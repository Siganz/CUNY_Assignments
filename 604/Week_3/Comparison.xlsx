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nzs\Documents\CUNY_Assignments\604\Week_3\"/>
    </mc:Choice>
  </mc:AlternateContent>
  <xr:revisionPtr revIDLastSave="0" documentId="13_ncr:1_{D8F5741F-A5F6-47C3-B0C7-329B2598F10A}" xr6:coauthVersionLast="47" xr6:coauthVersionMax="47" xr10:uidLastSave="{00000000-0000-0000-0000-000000000000}"/>
  <bookViews>
    <workbookView xWindow="-108" yWindow="-108" windowWidth="46296" windowHeight="25416" tabRatio="908" xr2:uid="{2A6E07BD-1BF8-4E1F-AA0A-E602386EA998}"/>
  </bookViews>
  <sheets>
    <sheet name="Readme" sheetId="10" r:id="rId1"/>
    <sheet name="Comparison" sheetId="6" r:id="rId2"/>
    <sheet name="Profile" sheetId="2" r:id="rId3"/>
    <sheet name="Fake Profile" sheetId="4" r:id="rId4"/>
    <sheet name="Empirical Random Profile" sheetId="9" r:id="rId5"/>
    <sheet name="Squirrel_Data" sheetId="1" r:id="rId6"/>
    <sheet name="Fake_Squirrel_Data" sheetId="5" r:id="rId7"/>
    <sheet name="Empirical_Random_Squirrel_Data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5" i="10" l="1"/>
  <c r="G17" i="6"/>
  <c r="H17" i="6" s="1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5" i="9"/>
  <c r="G43" i="6" s="1"/>
  <c r="H43" i="6" s="1"/>
  <c r="D72" i="6" s="1"/>
  <c r="B54" i="9"/>
  <c r="G42" i="6" s="1"/>
  <c r="H42" i="6" s="1"/>
  <c r="D71" i="6" s="1"/>
  <c r="B53" i="9"/>
  <c r="G41" i="6" s="1"/>
  <c r="H41" i="6" s="1"/>
  <c r="D70" i="6" s="1"/>
  <c r="B52" i="9"/>
  <c r="G40" i="6" s="1"/>
  <c r="H40" i="6" s="1"/>
  <c r="D69" i="6" s="1"/>
  <c r="B51" i="9"/>
  <c r="G39" i="6" s="1"/>
  <c r="H39" i="6" s="1"/>
  <c r="D68" i="6" s="1"/>
  <c r="B50" i="9"/>
  <c r="G38" i="6" s="1"/>
  <c r="H38" i="6" s="1"/>
  <c r="D67" i="6" s="1"/>
  <c r="B49" i="9"/>
  <c r="G37" i="6" s="1"/>
  <c r="H37" i="6" s="1"/>
  <c r="D66" i="6" s="1"/>
  <c r="B48" i="9"/>
  <c r="G36" i="6" s="1"/>
  <c r="H36" i="6" s="1"/>
  <c r="D65" i="6" s="1"/>
  <c r="B47" i="9"/>
  <c r="G35" i="6" s="1"/>
  <c r="H35" i="6" s="1"/>
  <c r="D64" i="6" s="1"/>
  <c r="B46" i="9"/>
  <c r="G34" i="6" s="1"/>
  <c r="H34" i="6" s="1"/>
  <c r="D63" i="6" s="1"/>
  <c r="B45" i="9"/>
  <c r="G33" i="6" s="1"/>
  <c r="H33" i="6" s="1"/>
  <c r="D62" i="6" s="1"/>
  <c r="B44" i="9"/>
  <c r="G32" i="6" s="1"/>
  <c r="H32" i="6" s="1"/>
  <c r="D61" i="6" s="1"/>
  <c r="B43" i="9"/>
  <c r="G31" i="6" s="1"/>
  <c r="H31" i="6" s="1"/>
  <c r="B42" i="9"/>
  <c r="G30" i="6" s="1"/>
  <c r="H30" i="6" s="1"/>
  <c r="B36" i="9"/>
  <c r="B35" i="9"/>
  <c r="B29" i="9"/>
  <c r="G24" i="6" s="1"/>
  <c r="H24" i="6" s="1"/>
  <c r="B28" i="9"/>
  <c r="G23" i="6" s="1"/>
  <c r="H23" i="6" s="1"/>
  <c r="D55" i="6" s="1"/>
  <c r="B27" i="9"/>
  <c r="G22" i="6" s="1"/>
  <c r="H22" i="6" s="1"/>
  <c r="D54" i="6" s="1"/>
  <c r="B21" i="9"/>
  <c r="G16" i="6" s="1"/>
  <c r="H16" i="6" s="1"/>
  <c r="D50" i="6" s="1"/>
  <c r="B20" i="9"/>
  <c r="G15" i="6" s="1"/>
  <c r="H15" i="6" s="1"/>
  <c r="B19" i="9"/>
  <c r="G14" i="6" s="1"/>
  <c r="H14" i="6" s="1"/>
  <c r="D48" i="6" s="1"/>
  <c r="B14" i="9"/>
  <c r="B13" i="9"/>
  <c r="B8" i="9" a="1"/>
  <c r="B8" i="9" s="1"/>
  <c r="B7" i="9" a="1"/>
  <c r="B7" i="9" s="1"/>
  <c r="B6" i="9"/>
  <c r="E74" i="9"/>
  <c r="D74" i="9"/>
  <c r="E73" i="9"/>
  <c r="D73" i="9"/>
  <c r="E72" i="9"/>
  <c r="D72" i="9"/>
  <c r="E71" i="9"/>
  <c r="D71" i="9"/>
  <c r="E70" i="9"/>
  <c r="D70" i="9"/>
  <c r="E69" i="9"/>
  <c r="D69" i="9"/>
  <c r="E68" i="9"/>
  <c r="D68" i="9"/>
  <c r="E67" i="9"/>
  <c r="D67" i="9"/>
  <c r="E66" i="9"/>
  <c r="D66" i="9"/>
  <c r="E65" i="9"/>
  <c r="D65" i="9"/>
  <c r="E64" i="9"/>
  <c r="D64" i="9"/>
  <c r="E63" i="9"/>
  <c r="D63" i="9"/>
  <c r="E62" i="9"/>
  <c r="D62" i="9"/>
  <c r="E61" i="9"/>
  <c r="D61" i="9"/>
  <c r="E60" i="9"/>
  <c r="D60" i="9"/>
  <c r="D17" i="6"/>
  <c r="B17" i="6"/>
  <c r="C17" i="6" s="1"/>
  <c r="I17" i="6" s="1"/>
  <c r="B55" i="4"/>
  <c r="D43" i="6" s="1"/>
  <c r="E43" i="6" s="1"/>
  <c r="C72" i="6" s="1"/>
  <c r="E74" i="4"/>
  <c r="D74" i="4"/>
  <c r="B74" i="4"/>
  <c r="E73" i="4"/>
  <c r="D73" i="4"/>
  <c r="B73" i="4"/>
  <c r="E72" i="4"/>
  <c r="D72" i="4"/>
  <c r="B72" i="4"/>
  <c r="E71" i="4"/>
  <c r="D71" i="4"/>
  <c r="B71" i="4"/>
  <c r="D60" i="4"/>
  <c r="D61" i="4"/>
  <c r="D62" i="4"/>
  <c r="D63" i="4"/>
  <c r="D64" i="4"/>
  <c r="D65" i="4"/>
  <c r="D66" i="4"/>
  <c r="D67" i="4"/>
  <c r="D68" i="4"/>
  <c r="D69" i="4"/>
  <c r="D70" i="4"/>
  <c r="E70" i="4"/>
  <c r="E69" i="4"/>
  <c r="E68" i="4"/>
  <c r="E67" i="4"/>
  <c r="E66" i="4"/>
  <c r="E65" i="4"/>
  <c r="E64" i="4"/>
  <c r="E63" i="4"/>
  <c r="E62" i="4"/>
  <c r="E61" i="4"/>
  <c r="E60" i="4"/>
  <c r="B70" i="4"/>
  <c r="B69" i="4"/>
  <c r="B68" i="4"/>
  <c r="B67" i="4"/>
  <c r="B66" i="4"/>
  <c r="B65" i="4"/>
  <c r="B64" i="4"/>
  <c r="B63" i="4"/>
  <c r="B62" i="4"/>
  <c r="B61" i="4"/>
  <c r="B60" i="4"/>
  <c r="B54" i="4"/>
  <c r="D42" i="6" s="1"/>
  <c r="E42" i="6" s="1"/>
  <c r="C71" i="6" s="1"/>
  <c r="B53" i="4"/>
  <c r="D41" i="6" s="1"/>
  <c r="E41" i="6" s="1"/>
  <c r="C70" i="6" s="1"/>
  <c r="B52" i="4"/>
  <c r="D40" i="6" s="1"/>
  <c r="E40" i="6" s="1"/>
  <c r="C69" i="6" s="1"/>
  <c r="B51" i="4"/>
  <c r="D39" i="6" s="1"/>
  <c r="E39" i="6" s="1"/>
  <c r="C68" i="6" s="1"/>
  <c r="B50" i="4"/>
  <c r="D38" i="6" s="1"/>
  <c r="E38" i="6" s="1"/>
  <c r="C67" i="6" s="1"/>
  <c r="B49" i="4"/>
  <c r="D37" i="6" s="1"/>
  <c r="E37" i="6" s="1"/>
  <c r="C66" i="6" s="1"/>
  <c r="B48" i="4"/>
  <c r="D36" i="6" s="1"/>
  <c r="E36" i="6" s="1"/>
  <c r="C65" i="6" s="1"/>
  <c r="B47" i="4"/>
  <c r="D35" i="6" s="1"/>
  <c r="E35" i="6" s="1"/>
  <c r="C64" i="6" s="1"/>
  <c r="B46" i="4"/>
  <c r="D34" i="6" s="1"/>
  <c r="E34" i="6" s="1"/>
  <c r="C63" i="6" s="1"/>
  <c r="B45" i="4"/>
  <c r="D33" i="6" s="1"/>
  <c r="E33" i="6" s="1"/>
  <c r="C62" i="6" s="1"/>
  <c r="B44" i="4"/>
  <c r="D32" i="6" s="1"/>
  <c r="E32" i="6" s="1"/>
  <c r="C61" i="6" s="1"/>
  <c r="B43" i="4"/>
  <c r="D31" i="6" s="1"/>
  <c r="E31" i="6" s="1"/>
  <c r="B42" i="4"/>
  <c r="D30" i="6" s="1"/>
  <c r="B36" i="4"/>
  <c r="B35" i="4"/>
  <c r="B29" i="4"/>
  <c r="D24" i="6" s="1"/>
  <c r="E24" i="6" s="1"/>
  <c r="C56" i="6" s="1"/>
  <c r="B28" i="4"/>
  <c r="D23" i="6" s="1"/>
  <c r="E23" i="6" s="1"/>
  <c r="C55" i="6" s="1"/>
  <c r="B27" i="4"/>
  <c r="D22" i="6" s="1"/>
  <c r="B21" i="4"/>
  <c r="D16" i="6" s="1"/>
  <c r="E16" i="6" s="1"/>
  <c r="C50" i="6" s="1"/>
  <c r="B20" i="4"/>
  <c r="C20" i="4" s="1"/>
  <c r="B19" i="4"/>
  <c r="D14" i="6" s="1"/>
  <c r="B14" i="4"/>
  <c r="B13" i="4"/>
  <c r="B8" i="4" a="1"/>
  <c r="B8" i="4" s="1"/>
  <c r="B7" i="4" a="1"/>
  <c r="B7" i="4" s="1"/>
  <c r="B6" i="4"/>
  <c r="C55" i="4" s="1"/>
  <c r="B8" i="2" a="1"/>
  <c r="B8" i="2" s="1"/>
  <c r="B7" i="2" a="1"/>
  <c r="B7" i="2" s="1"/>
  <c r="D70" i="2"/>
  <c r="E70" i="2" s="1"/>
  <c r="B70" i="2"/>
  <c r="D69" i="2"/>
  <c r="E69" i="2" s="1"/>
  <c r="B69" i="2"/>
  <c r="D68" i="2"/>
  <c r="E68" i="2" s="1"/>
  <c r="B68" i="2"/>
  <c r="D67" i="2"/>
  <c r="E67" i="2" s="1"/>
  <c r="B67" i="2"/>
  <c r="D66" i="2"/>
  <c r="E66" i="2" s="1"/>
  <c r="B66" i="2"/>
  <c r="D65" i="2"/>
  <c r="E65" i="2" s="1"/>
  <c r="B65" i="2"/>
  <c r="D64" i="2"/>
  <c r="E64" i="2" s="1"/>
  <c r="B64" i="2"/>
  <c r="D63" i="2"/>
  <c r="E63" i="2" s="1"/>
  <c r="B63" i="2"/>
  <c r="D62" i="2"/>
  <c r="E62" i="2" s="1"/>
  <c r="B62" i="2"/>
  <c r="D61" i="2"/>
  <c r="E61" i="2" s="1"/>
  <c r="B61" i="2"/>
  <c r="D60" i="2"/>
  <c r="E60" i="2" s="1"/>
  <c r="B60" i="2"/>
  <c r="B55" i="2"/>
  <c r="B43" i="6" s="1"/>
  <c r="C43" i="6" s="1"/>
  <c r="B72" i="6" s="1"/>
  <c r="B54" i="2"/>
  <c r="B42" i="6" s="1"/>
  <c r="C42" i="6" s="1"/>
  <c r="B71" i="6" s="1"/>
  <c r="B53" i="2"/>
  <c r="B41" i="6" s="1"/>
  <c r="C41" i="6" s="1"/>
  <c r="B70" i="6" s="1"/>
  <c r="B52" i="2"/>
  <c r="B40" i="6" s="1"/>
  <c r="C40" i="6" s="1"/>
  <c r="B69" i="6" s="1"/>
  <c r="B51" i="2"/>
  <c r="B39" i="6" s="1"/>
  <c r="C39" i="6" s="1"/>
  <c r="B68" i="6" s="1"/>
  <c r="B50" i="2"/>
  <c r="B38" i="6" s="1"/>
  <c r="C38" i="6" s="1"/>
  <c r="B67" i="6" s="1"/>
  <c r="B49" i="2"/>
  <c r="B37" i="6" s="1"/>
  <c r="C37" i="6" s="1"/>
  <c r="B66" i="6" s="1"/>
  <c r="B48" i="2"/>
  <c r="B36" i="6" s="1"/>
  <c r="C36" i="6" s="1"/>
  <c r="B65" i="6" s="1"/>
  <c r="B47" i="2"/>
  <c r="B35" i="6" s="1"/>
  <c r="C35" i="6" s="1"/>
  <c r="B64" i="6" s="1"/>
  <c r="B46" i="2"/>
  <c r="B34" i="6" s="1"/>
  <c r="C34" i="6" s="1"/>
  <c r="B63" i="6" s="1"/>
  <c r="B45" i="2"/>
  <c r="B33" i="6" s="1"/>
  <c r="C33" i="6" s="1"/>
  <c r="B62" i="6" s="1"/>
  <c r="B44" i="2"/>
  <c r="B32" i="6" s="1"/>
  <c r="C32" i="6" s="1"/>
  <c r="B61" i="6" s="1"/>
  <c r="B43" i="2"/>
  <c r="B31" i="6" s="1"/>
  <c r="C31" i="6" s="1"/>
  <c r="B42" i="2"/>
  <c r="B30" i="6" s="1"/>
  <c r="B36" i="2"/>
  <c r="B35" i="2"/>
  <c r="B29" i="2"/>
  <c r="B24" i="6" s="1"/>
  <c r="C24" i="6" s="1"/>
  <c r="B56" i="6" s="1"/>
  <c r="B28" i="2"/>
  <c r="B23" i="6" s="1"/>
  <c r="C23" i="6" s="1"/>
  <c r="B55" i="6" s="1"/>
  <c r="B27" i="2"/>
  <c r="B22" i="6" s="1"/>
  <c r="B21" i="2"/>
  <c r="B16" i="6" s="1"/>
  <c r="C16" i="6" s="1"/>
  <c r="B50" i="6" s="1"/>
  <c r="B20" i="2"/>
  <c r="B15" i="6" s="1"/>
  <c r="C15" i="6" s="1"/>
  <c r="B49" i="6" s="1"/>
  <c r="B19" i="2"/>
  <c r="B14" i="6" s="1"/>
  <c r="B14" i="2"/>
  <c r="B13" i="2"/>
  <c r="B6" i="2"/>
  <c r="C22" i="2" s="1"/>
  <c r="I15" i="6" l="1"/>
  <c r="I34" i="6"/>
  <c r="I32" i="6"/>
  <c r="I33" i="6"/>
  <c r="I39" i="6"/>
  <c r="I37" i="6"/>
  <c r="I38" i="6"/>
  <c r="I42" i="6"/>
  <c r="I35" i="6"/>
  <c r="I36" i="6"/>
  <c r="I40" i="6"/>
  <c r="I41" i="6"/>
  <c r="I43" i="6"/>
  <c r="D49" i="6"/>
  <c r="I16" i="6"/>
  <c r="I24" i="6"/>
  <c r="I23" i="6"/>
  <c r="D56" i="6"/>
  <c r="I31" i="6"/>
  <c r="C69" i="9"/>
  <c r="B75" i="9"/>
  <c r="B56" i="9"/>
  <c r="G44" i="6" s="1"/>
  <c r="H44" i="6" s="1"/>
  <c r="B23" i="9"/>
  <c r="G18" i="6" s="1"/>
  <c r="H18" i="6" s="1"/>
  <c r="B15" i="9"/>
  <c r="B30" i="9"/>
  <c r="B37" i="9"/>
  <c r="B38" i="9" s="1"/>
  <c r="C52" i="9"/>
  <c r="C19" i="9"/>
  <c r="E6" i="6" s="1"/>
  <c r="C53" i="9"/>
  <c r="E10" i="6" s="1"/>
  <c r="C64" i="9"/>
  <c r="C70" i="9"/>
  <c r="C20" i="9"/>
  <c r="C42" i="9"/>
  <c r="C54" i="9"/>
  <c r="C21" i="9"/>
  <c r="C43" i="9"/>
  <c r="C55" i="9"/>
  <c r="C65" i="9"/>
  <c r="C71" i="9"/>
  <c r="C29" i="9"/>
  <c r="C47" i="9"/>
  <c r="C61" i="9"/>
  <c r="C67" i="9"/>
  <c r="C73" i="9"/>
  <c r="C44" i="9"/>
  <c r="C27" i="9"/>
  <c r="E7" i="6" s="1"/>
  <c r="C45" i="9"/>
  <c r="C60" i="9"/>
  <c r="C66" i="9"/>
  <c r="C72" i="9"/>
  <c r="C28" i="9"/>
  <c r="C46" i="9"/>
  <c r="E9" i="6" s="1"/>
  <c r="C30" i="9"/>
  <c r="C48" i="9"/>
  <c r="C49" i="9"/>
  <c r="C62" i="9"/>
  <c r="C68" i="9"/>
  <c r="C74" i="9"/>
  <c r="C13" i="9"/>
  <c r="C35" i="9"/>
  <c r="E8" i="6" s="1"/>
  <c r="C50" i="9"/>
  <c r="C14" i="9"/>
  <c r="E5" i="6" s="1"/>
  <c r="C36" i="9"/>
  <c r="C51" i="9"/>
  <c r="C63" i="9"/>
  <c r="B23" i="2"/>
  <c r="B18" i="6"/>
  <c r="C14" i="6"/>
  <c r="I14" i="6" s="1"/>
  <c r="C22" i="6"/>
  <c r="B54" i="6" s="1"/>
  <c r="B44" i="6"/>
  <c r="C30" i="6"/>
  <c r="C44" i="6" s="1"/>
  <c r="F16" i="6"/>
  <c r="F23" i="6"/>
  <c r="F24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D44" i="6"/>
  <c r="E44" i="6" s="1"/>
  <c r="E30" i="6"/>
  <c r="E22" i="6"/>
  <c r="C54" i="6" s="1"/>
  <c r="E14" i="6"/>
  <c r="C48" i="6" s="1"/>
  <c r="D15" i="6"/>
  <c r="E15" i="6" s="1"/>
  <c r="C21" i="4"/>
  <c r="C14" i="4"/>
  <c r="C5" i="6" s="1"/>
  <c r="C60" i="4"/>
  <c r="C63" i="4"/>
  <c r="B37" i="4"/>
  <c r="C37" i="4" s="1"/>
  <c r="C61" i="4"/>
  <c r="C62" i="4"/>
  <c r="C64" i="4"/>
  <c r="C65" i="4"/>
  <c r="C67" i="4"/>
  <c r="C27" i="4"/>
  <c r="C19" i="4"/>
  <c r="C6" i="6" s="1"/>
  <c r="C71" i="4"/>
  <c r="C70" i="4"/>
  <c r="C43" i="4"/>
  <c r="C72" i="4"/>
  <c r="C73" i="4"/>
  <c r="C47" i="4"/>
  <c r="C74" i="4"/>
  <c r="B75" i="4"/>
  <c r="C66" i="4"/>
  <c r="C68" i="4"/>
  <c r="C69" i="4"/>
  <c r="C44" i="4"/>
  <c r="C45" i="4"/>
  <c r="C46" i="4"/>
  <c r="C9" i="6" s="1"/>
  <c r="C54" i="4"/>
  <c r="C28" i="4"/>
  <c r="C48" i="4"/>
  <c r="C49" i="4"/>
  <c r="C29" i="4"/>
  <c r="B30" i="4"/>
  <c r="C50" i="4"/>
  <c r="C35" i="4"/>
  <c r="C8" i="6" s="1"/>
  <c r="C51" i="4"/>
  <c r="C36" i="4"/>
  <c r="C52" i="4"/>
  <c r="C53" i="4"/>
  <c r="C10" i="6" s="1"/>
  <c r="C13" i="4"/>
  <c r="C42" i="4"/>
  <c r="B56" i="4"/>
  <c r="B23" i="4"/>
  <c r="E17" i="6" s="1"/>
  <c r="F17" i="6" s="1"/>
  <c r="B15" i="4"/>
  <c r="B71" i="2"/>
  <c r="B56" i="2"/>
  <c r="C13" i="2"/>
  <c r="C67" i="2"/>
  <c r="B15" i="2"/>
  <c r="C20" i="2"/>
  <c r="B30" i="2"/>
  <c r="C30" i="2" s="1"/>
  <c r="C69" i="2"/>
  <c r="C28" i="2"/>
  <c r="B37" i="2"/>
  <c r="B38" i="2" s="1"/>
  <c r="C42" i="2"/>
  <c r="C51" i="2"/>
  <c r="C45" i="2"/>
  <c r="C48" i="2"/>
  <c r="C66" i="2"/>
  <c r="C54" i="2"/>
  <c r="C14" i="2"/>
  <c r="C43" i="2"/>
  <c r="C55" i="2"/>
  <c r="C19" i="2"/>
  <c r="C44" i="2"/>
  <c r="C60" i="2"/>
  <c r="C68" i="2"/>
  <c r="C61" i="2"/>
  <c r="C21" i="2"/>
  <c r="C46" i="2"/>
  <c r="B9" i="6" s="1"/>
  <c r="C27" i="2"/>
  <c r="B7" i="6" s="1"/>
  <c r="C47" i="2"/>
  <c r="C62" i="2"/>
  <c r="C70" i="2"/>
  <c r="C63" i="2"/>
  <c r="C29" i="2"/>
  <c r="C49" i="2"/>
  <c r="C50" i="2"/>
  <c r="C64" i="2"/>
  <c r="C35" i="2"/>
  <c r="B8" i="6" s="1"/>
  <c r="C65" i="2"/>
  <c r="C36" i="2"/>
  <c r="C52" i="2"/>
  <c r="C37" i="2"/>
  <c r="C53" i="2"/>
  <c r="B10" i="6" s="1"/>
  <c r="D8" i="6" l="1"/>
  <c r="F8" i="6"/>
  <c r="I44" i="6"/>
  <c r="F9" i="6"/>
  <c r="D9" i="6"/>
  <c r="C18" i="6"/>
  <c r="I18" i="6" s="1"/>
  <c r="B48" i="6"/>
  <c r="F30" i="6"/>
  <c r="I30" i="6"/>
  <c r="F10" i="6"/>
  <c r="D10" i="6"/>
  <c r="F15" i="6"/>
  <c r="C49" i="6"/>
  <c r="F7" i="6"/>
  <c r="D7" i="6"/>
  <c r="F44" i="6"/>
  <c r="I22" i="6"/>
  <c r="B31" i="9"/>
  <c r="G26" i="6" s="1"/>
  <c r="H26" i="6" s="1"/>
  <c r="G25" i="6"/>
  <c r="H25" i="6" s="1"/>
  <c r="C37" i="9"/>
  <c r="C38" i="9"/>
  <c r="C23" i="9"/>
  <c r="C75" i="9"/>
  <c r="C15" i="9"/>
  <c r="C56" i="9"/>
  <c r="C31" i="9"/>
  <c r="C23" i="2"/>
  <c r="B6" i="6"/>
  <c r="C15" i="2"/>
  <c r="B5" i="6"/>
  <c r="B31" i="2"/>
  <c r="B25" i="6"/>
  <c r="C23" i="4"/>
  <c r="C7" i="6"/>
  <c r="B38" i="4"/>
  <c r="C75" i="4"/>
  <c r="D18" i="6"/>
  <c r="C15" i="4"/>
  <c r="E18" i="6"/>
  <c r="F18" i="6" s="1"/>
  <c r="F14" i="6"/>
  <c r="B31" i="4"/>
  <c r="D25" i="6"/>
  <c r="F22" i="6"/>
  <c r="C30" i="4"/>
  <c r="C31" i="4" s="1"/>
  <c r="C38" i="4"/>
  <c r="C56" i="4"/>
  <c r="C38" i="2"/>
  <c r="C71" i="2"/>
  <c r="C56" i="2"/>
  <c r="F5" i="6" l="1"/>
  <c r="D5" i="6"/>
  <c r="F6" i="6"/>
  <c r="D6" i="6"/>
  <c r="D57" i="6"/>
  <c r="C25" i="6"/>
  <c r="B26" i="6"/>
  <c r="E25" i="6"/>
  <c r="C57" i="6" s="1"/>
  <c r="D26" i="6"/>
  <c r="C26" i="6" l="1"/>
  <c r="I26" i="6" s="1"/>
  <c r="B57" i="6"/>
  <c r="I25" i="6"/>
  <c r="F25" i="6"/>
  <c r="E26" i="6"/>
  <c r="F26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<sst xmlns="http://schemas.openxmlformats.org/spreadsheetml/2006/main" count="49861" uniqueCount="9603">
  <si>
    <t>X</t>
  </si>
  <si>
    <t>Y</t>
  </si>
  <si>
    <t>Unique Squirrel ID</t>
  </si>
  <si>
    <t>Hectare</t>
  </si>
  <si>
    <t>Shift</t>
  </si>
  <si>
    <t>Date</t>
  </si>
  <si>
    <t>Hectare Squirrel Number</t>
  </si>
  <si>
    <t>Age</t>
  </si>
  <si>
    <t>Primary Fur Color</t>
  </si>
  <si>
    <t>Highlight Fur Color</t>
  </si>
  <si>
    <t>Combination of Primary and Highlight Color</t>
  </si>
  <si>
    <t>Color notes</t>
  </si>
  <si>
    <t>Location</t>
  </si>
  <si>
    <t>Above Ground Sighter Measurement</t>
  </si>
  <si>
    <t>Specific Location</t>
  </si>
  <si>
    <t>Running</t>
  </si>
  <si>
    <t>Chasing</t>
  </si>
  <si>
    <t>Climbing</t>
  </si>
  <si>
    <t>Eating</t>
  </si>
  <si>
    <t>Foraging</t>
  </si>
  <si>
    <t>Other Activities</t>
  </si>
  <si>
    <t>Kuks</t>
  </si>
  <si>
    <t>Quaas</t>
  </si>
  <si>
    <t>Moans</t>
  </si>
  <si>
    <t>Tail flags</t>
  </si>
  <si>
    <t>Tail twitches</t>
  </si>
  <si>
    <t>Approaches</t>
  </si>
  <si>
    <t>Indifferent</t>
  </si>
  <si>
    <t>Runs from</t>
  </si>
  <si>
    <t>Other Interactions</t>
  </si>
  <si>
    <t>Lat/Long</t>
  </si>
  <si>
    <t>37F-PM-1014-03</t>
  </si>
  <si>
    <t>37F</t>
  </si>
  <si>
    <t>PM</t>
  </si>
  <si>
    <t>+</t>
  </si>
  <si>
    <t>POINT (-73.9561344937861 40.7940823884086)</t>
  </si>
  <si>
    <t>21B-AM-1019-04</t>
  </si>
  <si>
    <t>21B</t>
  </si>
  <si>
    <t>AM</t>
  </si>
  <si>
    <t>POINT (-73.9688574691102 40.7837825208444)</t>
  </si>
  <si>
    <t>11B-PM-1014-08</t>
  </si>
  <si>
    <t>11B</t>
  </si>
  <si>
    <t>Gray</t>
  </si>
  <si>
    <t>Gray+</t>
  </si>
  <si>
    <t>Above Ground</t>
  </si>
  <si>
    <t>POINT (-73.97428114848522 40.775533619083)</t>
  </si>
  <si>
    <t>32E-PM-1017-14</t>
  </si>
  <si>
    <t>32E</t>
  </si>
  <si>
    <t>Adult</t>
  </si>
  <si>
    <t>Nothing selected as Primary. Gray selected as Highlights. Made executive adjustments.</t>
  </si>
  <si>
    <t>POINT (-73.9596413903948 40.7903128889029)</t>
  </si>
  <si>
    <t>13E-AM-1017-05</t>
  </si>
  <si>
    <t>13E</t>
  </si>
  <si>
    <t>Cinnamon</t>
  </si>
  <si>
    <t>Gray+Cinnamon</t>
  </si>
  <si>
    <t>on tree stump</t>
  </si>
  <si>
    <t>POINT (-73.9702676472613 40.7762126854894)</t>
  </si>
  <si>
    <t>11H-AM-1010-03</t>
  </si>
  <si>
    <t>11H</t>
  </si>
  <si>
    <t>White</t>
  </si>
  <si>
    <t>Cinnamon+White</t>
  </si>
  <si>
    <t>POINT (-73.9683613516225 40.7725908847499)</t>
  </si>
  <si>
    <t>36H-AM-1010-02</t>
  </si>
  <si>
    <t>36H</t>
  </si>
  <si>
    <t>just outside hectare</t>
  </si>
  <si>
    <t>Ground Plane</t>
  </si>
  <si>
    <t>POINT (-73.9541201789795 40.7931811701082)</t>
  </si>
  <si>
    <t>33F-AM-1008-02</t>
  </si>
  <si>
    <t>33F</t>
  </si>
  <si>
    <t>POINT (-73.9582694312289 40.7917367820255)</t>
  </si>
  <si>
    <t>21C-PM-1006-01</t>
  </si>
  <si>
    <t>21C</t>
  </si>
  <si>
    <t>POINT (-73.9674285955293 40.7829723919744)</t>
  </si>
  <si>
    <t>11D-AM-1010-03</t>
  </si>
  <si>
    <t>11D</t>
  </si>
  <si>
    <t>grooming</t>
  </si>
  <si>
    <t>POINT (-73.9722500196844 40.7742879599026)</t>
  </si>
  <si>
    <t>20B-PM-1013-05</t>
  </si>
  <si>
    <t>20B</t>
  </si>
  <si>
    <t>Gray+White</t>
  </si>
  <si>
    <t>POINT (-73.9695063535333 40.7823507678183)</t>
  </si>
  <si>
    <t>22F-PM-1014-06</t>
  </si>
  <si>
    <t>22F</t>
  </si>
  <si>
    <t>POINT (-73.9640032826529 40.7820309825448)</t>
  </si>
  <si>
    <t>36I-PM-1007-01</t>
  </si>
  <si>
    <t>36I</t>
  </si>
  <si>
    <t>POINT (-73.9532170504865 40.7919669739962)</t>
  </si>
  <si>
    <t>5C-PM-1010-09</t>
  </si>
  <si>
    <t>05C</t>
  </si>
  <si>
    <t>Cinnamon+Gray</t>
  </si>
  <si>
    <t>POINT (-73.9768603630674 40.7702795904962)</t>
  </si>
  <si>
    <t>7H-AM-1006-05</t>
  </si>
  <si>
    <t>07H</t>
  </si>
  <si>
    <t>POINT (-73.9706105896967 40.7698124821507)</t>
  </si>
  <si>
    <t>16C-PM-1018-03</t>
  </si>
  <si>
    <t>16C</t>
  </si>
  <si>
    <t>Cinnamon, White</t>
  </si>
  <si>
    <t>Gray+Cinnamon, White</t>
  </si>
  <si>
    <t>POINT (-73.9703781726172 40.7787526130321)</t>
  </si>
  <si>
    <t>14E-AM-1008-23</t>
  </si>
  <si>
    <t>14E</t>
  </si>
  <si>
    <t>walking</t>
  </si>
  <si>
    <t>POINT (-73.9703925210471 40.7765032004992)</t>
  </si>
  <si>
    <t>32A-PM-1013-03</t>
  </si>
  <si>
    <t>32A</t>
  </si>
  <si>
    <t>Juvenile</t>
  </si>
  <si>
    <t>POINT (-73.9638179439747 40.7924173263904)</t>
  </si>
  <si>
    <t>33F-AM-1008-01</t>
  </si>
  <si>
    <t>moving slowly</t>
  </si>
  <si>
    <t>POINT (-73.9584070974734 40.7913812490557)</t>
  </si>
  <si>
    <t>17F-AM-1007-07</t>
  </si>
  <si>
    <t>17F</t>
  </si>
  <si>
    <t>POINT (-73.9671130680114 40.7784859700171)</t>
  </si>
  <si>
    <t>16I-AM-1008-01</t>
  </si>
  <si>
    <t>16I</t>
  </si>
  <si>
    <t>Gray, White</t>
  </si>
  <si>
    <t>Cinnamon+Gray, White</t>
  </si>
  <si>
    <t>POINT (-73.9649866016038 40.7764929694457)</t>
  </si>
  <si>
    <t>12I-AM-1013-01</t>
  </si>
  <si>
    <t>12I</t>
  </si>
  <si>
    <t>on tree roots</t>
  </si>
  <si>
    <t>sitting</t>
  </si>
  <si>
    <t>POINT (-73.9670628558161 40.77349914209411)</t>
  </si>
  <si>
    <t>32F-PM-1008-07</t>
  </si>
  <si>
    <t>32F</t>
  </si>
  <si>
    <t>POINT (-73.958736593111 40.7908524370626)</t>
  </si>
  <si>
    <t>25A-AM-1013-04</t>
  </si>
  <si>
    <t>25A</t>
  </si>
  <si>
    <t>POINT (-73.9671786715256 40.7867352791232)</t>
  </si>
  <si>
    <t>15E-AM-1013-01</t>
  </si>
  <si>
    <t>15E</t>
  </si>
  <si>
    <t>POINT (-73.9692943291611 40.7769536102488)</t>
  </si>
  <si>
    <t>39G-PM-1013-06</t>
  </si>
  <si>
    <t>39G</t>
  </si>
  <si>
    <t>POINT (-73.9540054100539 40.7952445999836)</t>
  </si>
  <si>
    <t>29I-PM-1007-01</t>
  </si>
  <si>
    <t>29I</t>
  </si>
  <si>
    <t>POINT (-73.9576530157255 40.7868659490397)</t>
  </si>
  <si>
    <t>7E-AM-1006-02</t>
  </si>
  <si>
    <t>07E</t>
  </si>
  <si>
    <t>under a tree</t>
  </si>
  <si>
    <t>POINT (-73.9738033257473 40.7711846894166)</t>
  </si>
  <si>
    <t>17C-PM-1013-05</t>
  </si>
  <si>
    <t>17C</t>
  </si>
  <si>
    <t>eating (ate upside down on a tree â€” #jealous)</t>
  </si>
  <si>
    <t>POINT (-73.9704402681017 40.77989656212031)</t>
  </si>
  <si>
    <t>10A-PM-1014-01</t>
  </si>
  <si>
    <t>10A</t>
  </si>
  <si>
    <t>Black, Cinnamon, White</t>
  </si>
  <si>
    <t>Gray+Black, Cinnamon, White</t>
  </si>
  <si>
    <t>Gray &amp; White selected as Primary. Black &amp; Cinnamon selected as Highlights. Made executive adjustments.</t>
  </si>
  <si>
    <t>in b/w trees</t>
  </si>
  <si>
    <t>POINT (-73.9756976076707 40.7753897331918)</t>
  </si>
  <si>
    <t>28A-PM-1007-05</t>
  </si>
  <si>
    <t>28A</t>
  </si>
  <si>
    <t>Cinnamon+</t>
  </si>
  <si>
    <t>POINT (-73.9662438996681 40.7890381809441)</t>
  </si>
  <si>
    <t>22F-PM-1014-05</t>
  </si>
  <si>
    <t>POINT (-73.9643153920428 40.7820818516957)</t>
  </si>
  <si>
    <t>12B-AM-1007-01</t>
  </si>
  <si>
    <t>12B</t>
  </si>
  <si>
    <t>POINT (-73.9742073452913 40.7757957380463)</t>
  </si>
  <si>
    <t>18A-PM-1018-01</t>
  </si>
  <si>
    <t>18A</t>
  </si>
  <si>
    <t>POINT (-73.9716147061553 40.7813911036179)</t>
  </si>
  <si>
    <t>33H-AM-1019-02</t>
  </si>
  <si>
    <t>33H</t>
  </si>
  <si>
    <t>wrestling with mother</t>
  </si>
  <si>
    <t>POINT (-73.9565700386162 40.7902561000937)</t>
  </si>
  <si>
    <t>36H-PM-1008-02</t>
  </si>
  <si>
    <t>POINT (-73.9535410657077 40.79287117600611)</t>
  </si>
  <si>
    <t>29C-AM-1007-06</t>
  </si>
  <si>
    <t>29C</t>
  </si>
  <si>
    <t>POINT (-73.9639159298446 40.7891774637988)</t>
  </si>
  <si>
    <t>38C-PM-1014-09</t>
  </si>
  <si>
    <t>38C</t>
  </si>
  <si>
    <t>Black</t>
  </si>
  <si>
    <t>Black+</t>
  </si>
  <si>
    <t>POINT (-73.9579564338627 40.7959337795027)</t>
  </si>
  <si>
    <t>31H-PM-1008-02</t>
  </si>
  <si>
    <t>31H</t>
  </si>
  <si>
    <t>POINT (-73.9574648097543 40.78925084286221)</t>
  </si>
  <si>
    <t>8H-AM-1017-06</t>
  </si>
  <si>
    <t>08H</t>
  </si>
  <si>
    <t>POINT (-73.970252675331 40.77059995882221)</t>
  </si>
  <si>
    <t>34F-AM-1007-01</t>
  </si>
  <si>
    <t>34F</t>
  </si>
  <si>
    <t>POINT (-73.9579645940414 40.7918613498407)</t>
  </si>
  <si>
    <t>13H-PM-1010-02</t>
  </si>
  <si>
    <t>13H</t>
  </si>
  <si>
    <t>tree</t>
  </si>
  <si>
    <t>POINT (-73.9673253417305 40.7749505252981)</t>
  </si>
  <si>
    <t>32E-AM-1007-13</t>
  </si>
  <si>
    <t>POINT (-73.9595933195409 40.7905847332369)</t>
  </si>
  <si>
    <t>35C-AM-1007-05</t>
  </si>
  <si>
    <t>35C</t>
  </si>
  <si>
    <t>POINT (-73.9602222116708 40.793779699421)</t>
  </si>
  <si>
    <t>35C-PM-1013-03</t>
  </si>
  <si>
    <t>POINT (-73.9602609920814 40.79428830455661)</t>
  </si>
  <si>
    <t>17E-AM-1017-05</t>
  </si>
  <si>
    <t>17E</t>
  </si>
  <si>
    <t>Branch</t>
  </si>
  <si>
    <t>POINT (-73.9680635070949 40.779249873647)</t>
  </si>
  <si>
    <t>2B-PM-1013-01</t>
  </si>
  <si>
    <t>02B</t>
  </si>
  <si>
    <t>running (with nut)</t>
  </si>
  <si>
    <t>POINT (-73.9801666435401 40.7686905339212)</t>
  </si>
  <si>
    <t>19D-AM-1007-01</t>
  </si>
  <si>
    <t>19D</t>
  </si>
  <si>
    <t>fenced off area can't approach</t>
  </si>
  <si>
    <t>POINT (-73.9675634326877 40.7813477352507)</t>
  </si>
  <si>
    <t>40B-AM-1019-03</t>
  </si>
  <si>
    <t>40B</t>
  </si>
  <si>
    <t>POINT (-73.9584970643213 40.7982886348696)</t>
  </si>
  <si>
    <t>3E-PM-1008-07</t>
  </si>
  <si>
    <t>03E</t>
  </si>
  <si>
    <t>POINT (-73.9760298241178 40.7681954366911)</t>
  </si>
  <si>
    <t>39C-PM-1006-01</t>
  </si>
  <si>
    <t>39C</t>
  </si>
  <si>
    <t>POINT (-73.9568802149818 40.7972399133816)</t>
  </si>
  <si>
    <t>6G-AM-1008-02</t>
  </si>
  <si>
    <t>06G</t>
  </si>
  <si>
    <t>bush</t>
  </si>
  <si>
    <t>POINT (-73.9724642436394 40.7690526441109)</t>
  </si>
  <si>
    <t>14F-AM-1007-05</t>
  </si>
  <si>
    <t>14F</t>
  </si>
  <si>
    <t>POINT (-73.9690175838534 40.7760432720017)</t>
  </si>
  <si>
    <t>6I-PM-1013-06</t>
  </si>
  <si>
    <t>06I</t>
  </si>
  <si>
    <t>playing with #5</t>
  </si>
  <si>
    <t>POINT (-73.9704082821356 40.7690280985956)</t>
  </si>
  <si>
    <t>15F-PM-1010-05</t>
  </si>
  <si>
    <t>15F</t>
  </si>
  <si>
    <t>POINT (-73.9684910712272 40.7768811640021)</t>
  </si>
  <si>
    <t>8B-PM-1012-02</t>
  </si>
  <si>
    <t>08B</t>
  </si>
  <si>
    <t>hiding in bushes</t>
  </si>
  <si>
    <t>POINT (-73.9768674812942 40.7735232648872)</t>
  </si>
  <si>
    <t>3A-PM-1017-06</t>
  </si>
  <si>
    <t>03A</t>
  </si>
  <si>
    <t>POINT (-73.9797084866613 40.7698885241349)</t>
  </si>
  <si>
    <t>36I-AM-1017-02</t>
  </si>
  <si>
    <t>Cinnamon stripe on back</t>
  </si>
  <si>
    <t>POINT (-73.952819267977 40.7923130402793)</t>
  </si>
  <si>
    <t>5E-AM-1008-06</t>
  </si>
  <si>
    <t>05E</t>
  </si>
  <si>
    <t>POINT (-73.9745630038492 40.7692602628745)</t>
  </si>
  <si>
    <t>32E-PM-1017-13</t>
  </si>
  <si>
    <t>POINT (-73.9595002339508 40.7903365788694)</t>
  </si>
  <si>
    <t>5F-PM-1007-03</t>
  </si>
  <si>
    <t>05F</t>
  </si>
  <si>
    <t>hiding nut</t>
  </si>
  <si>
    <t>POINT (-73.9741824992294 40.7689486657963)</t>
  </si>
  <si>
    <t>11B-PM-1014-05</t>
  </si>
  <si>
    <t>POINT (-73.9749243901189 40.7761393551781)</t>
  </si>
  <si>
    <t>16E-PM-1018-06</t>
  </si>
  <si>
    <t>16E</t>
  </si>
  <si>
    <t>On a rock</t>
  </si>
  <si>
    <t>POINT (-73.968381325559 40.7780143443779)</t>
  </si>
  <si>
    <t>13F-AM-1007-02</t>
  </si>
  <si>
    <t>13F</t>
  </si>
  <si>
    <t>POINT (-73.96942403275091 40.7755898126674)</t>
  </si>
  <si>
    <t>20B-PM-1013-10</t>
  </si>
  <si>
    <t>drank from a pond of rain water</t>
  </si>
  <si>
    <t>POINT (-73.9689000978955 40.7828364735236)</t>
  </si>
  <si>
    <t>3A-PM-1017-05</t>
  </si>
  <si>
    <t>POINT (-73.9804528867547 40.76967536559861)</t>
  </si>
  <si>
    <t>29H-PM-1006-01</t>
  </si>
  <si>
    <t>29H</t>
  </si>
  <si>
    <t>POINT (-73.9576245992455 40.7873862510001)</t>
  </si>
  <si>
    <t>23C-PM-1014-03</t>
  </si>
  <si>
    <t>23C</t>
  </si>
  <si>
    <t>chasing (#4 across trees)</t>
  </si>
  <si>
    <t>POINT (-73.9666007935638 40.7845098131567)</t>
  </si>
  <si>
    <t>33C-PM-1007-03</t>
  </si>
  <si>
    <t>33C</t>
  </si>
  <si>
    <t>POINT (-73.96148483609 40.7922645521905)</t>
  </si>
  <si>
    <t>38G-PM-1020-09</t>
  </si>
  <si>
    <t>38G</t>
  </si>
  <si>
    <t>POINT (-73.9546654184146 40.7947639241491)</t>
  </si>
  <si>
    <t>16G-PM-1017-01</t>
  </si>
  <si>
    <t>16G</t>
  </si>
  <si>
    <t>POINT (-73.9667114027214 40.7768804702473)</t>
  </si>
  <si>
    <t>36I-PM-1007-07</t>
  </si>
  <si>
    <t>POINT (-73.9530035564643 40.7921822457613)</t>
  </si>
  <si>
    <t>35A-AM-1014-03</t>
  </si>
  <si>
    <t>35A</t>
  </si>
  <si>
    <t>POINT (-73.9615696577673 40.7951278622399)</t>
  </si>
  <si>
    <t>28C-PM-1006-01</t>
  </si>
  <si>
    <t>28C</t>
  </si>
  <si>
    <t>gathering acorns</t>
  </si>
  <si>
    <t>gnd to tree</t>
  </si>
  <si>
    <t>POINT (-73.964474836001 40.7883840104749)</t>
  </si>
  <si>
    <t>32D-AM-1013-06</t>
  </si>
  <si>
    <t>32D</t>
  </si>
  <si>
    <t>eating (a mushroom),circles around us,really fat,scratching himself,grooming activity</t>
  </si>
  <si>
    <t>POINT (-73.9610705592868 40.7914829661051)</t>
  </si>
  <si>
    <t>22A-AM-1008-05</t>
  </si>
  <si>
    <t>22A</t>
  </si>
  <si>
    <t>trash can</t>
  </si>
  <si>
    <t>POINT (-73.9688454483585 40.7845301288163)</t>
  </si>
  <si>
    <t>40B-PM-1014-06</t>
  </si>
  <si>
    <t>POINT (-73.9578237168359 40.7980959471034)</t>
  </si>
  <si>
    <t>19C-PM-1018-01</t>
  </si>
  <si>
    <t>19C</t>
  </si>
  <si>
    <t>POINT (-73.9688271202401 40.7809719445309)</t>
  </si>
  <si>
    <t>35A-PM-1013-06</t>
  </si>
  <si>
    <t>POINT (-73.9617088749928 40.7944585082367)</t>
  </si>
  <si>
    <t>14E-AM-1008-09</t>
  </si>
  <si>
    <t>POINT (-73.9701824825872 40.7766530579293)</t>
  </si>
  <si>
    <t>15G-PM-1019-05</t>
  </si>
  <si>
    <t>15G</t>
  </si>
  <si>
    <t>POINT (-73.9676410497481 40.7766043512974)</t>
  </si>
  <si>
    <t>10F-AM-1007-02</t>
  </si>
  <si>
    <t>10F</t>
  </si>
  <si>
    <t>POINT (-73.9708726050721 40.7723572030236)</t>
  </si>
  <si>
    <t>42E-PM-1012-06</t>
  </si>
  <si>
    <t>42E</t>
  </si>
  <si>
    <t>POINT (-73.9541453465817 40.79821622237641)</t>
  </si>
  <si>
    <t>22B-AM-1013-04</t>
  </si>
  <si>
    <t>22B</t>
  </si>
  <si>
    <t>Under bench</t>
  </si>
  <si>
    <t>ran from dog-walker</t>
  </si>
  <si>
    <t>POINT (-73.9683608295976 40.7842927405327)</t>
  </si>
  <si>
    <t>15F-PM-1010-06</t>
  </si>
  <si>
    <t>POINT (-73.968052057989 40.777338666528)</t>
  </si>
  <si>
    <t>5A-AM-1006-05</t>
  </si>
  <si>
    <t>05A</t>
  </si>
  <si>
    <t>near 65th St arch</t>
  </si>
  <si>
    <t>POINT (-73.9787180870736 40.7715877863274)</t>
  </si>
  <si>
    <t>32H-PM-1006-01</t>
  </si>
  <si>
    <t>32H</t>
  </si>
  <si>
    <t>in the European Beech</t>
  </si>
  <si>
    <t>POINT (-73.9565905868276 40.7895654068546)</t>
  </si>
  <si>
    <t>42C-AM-1007-02</t>
  </si>
  <si>
    <t>42C</t>
  </si>
  <si>
    <t>POINT (-73.9565759733611 40.7992461674802)</t>
  </si>
  <si>
    <t>41D-AM-1014-01</t>
  </si>
  <si>
    <t>41D</t>
  </si>
  <si>
    <t>Gray+Black</t>
  </si>
  <si>
    <t>digging</t>
  </si>
  <si>
    <t>POINT (-73.9551539498306 40.7987384656256)</t>
  </si>
  <si>
    <t>21G-PM-1007-01</t>
  </si>
  <si>
    <t>21G</t>
  </si>
  <si>
    <t>POINT (-73.9641971813967 40.7813537959435)</t>
  </si>
  <si>
    <t>14E-AM-1008-02</t>
  </si>
  <si>
    <t>POINT (-73.9692883970928 40.7768553703082)</t>
  </si>
  <si>
    <t>7H-PM-1006-04</t>
  </si>
  <si>
    <t>on tree knob</t>
  </si>
  <si>
    <t>POINT (-73.9708549670788 40.7699587019058)</t>
  </si>
  <si>
    <t>22F-AM-1007-01</t>
  </si>
  <si>
    <t>POINT (-73.9639744005647 40.7825111950764)</t>
  </si>
  <si>
    <t>7F-AM-1008-16</t>
  </si>
  <si>
    <t>07F</t>
  </si>
  <si>
    <t>POINT (-73.9730277911422 40.7712145488828)</t>
  </si>
  <si>
    <t>10F-PM-1019-05</t>
  </si>
  <si>
    <t>Behind fence, tree</t>
  </si>
  <si>
    <t>POINT (-73.9710541405708 40.7724691605718)</t>
  </si>
  <si>
    <t>10A-AM-1006-04</t>
  </si>
  <si>
    <t>tree near large rock on Bridle Path</t>
  </si>
  <si>
    <t>walking on branch</t>
  </si>
  <si>
    <t>POINT (-73.9761592532482 40.7747213585387)</t>
  </si>
  <si>
    <t>38F-PM-1013-05</t>
  </si>
  <si>
    <t>38F</t>
  </si>
  <si>
    <t>being chased,was pushed by other squirrel</t>
  </si>
  <si>
    <t>POINT (-73.9544007658685 40.7950689723135)</t>
  </si>
  <si>
    <t>41B-PM-1014-01</t>
  </si>
  <si>
    <t>41B</t>
  </si>
  <si>
    <t>Climbing tree</t>
  </si>
  <si>
    <t>climbing (tree)</t>
  </si>
  <si>
    <t>POINT (-73.9575986161364 40.799368134968)</t>
  </si>
  <si>
    <t>36A-PM-1013-07</t>
  </si>
  <si>
    <t>36A</t>
  </si>
  <si>
    <t>"FIELD"</t>
  </si>
  <si>
    <t>chasing #8</t>
  </si>
  <si>
    <t>POINT (-73.9607701370443 40.7955418990855)</t>
  </si>
  <si>
    <t>5C-AM-1006-05</t>
  </si>
  <si>
    <t>POINT (-73.9764036522984 40.7705846185121)</t>
  </si>
  <si>
    <t>32E-PM-1017-03</t>
  </si>
  <si>
    <t>bottom of tree</t>
  </si>
  <si>
    <t>still</t>
  </si>
  <si>
    <t>POINT (-73.9589249555235 40.7908193284981)</t>
  </si>
  <si>
    <t>31A-PM-1017-04</t>
  </si>
  <si>
    <t>31A</t>
  </si>
  <si>
    <t>POINT (-73.9634623418761 40.7917685404482)</t>
  </si>
  <si>
    <t>42G-AM-1018-03</t>
  </si>
  <si>
    <t>42G</t>
  </si>
  <si>
    <t>stop to look at meâ€”then ran</t>
  </si>
  <si>
    <t>POINT (-73.9521110154872 40.7978449143313)</t>
  </si>
  <si>
    <t>37D-PM-1014-04</t>
  </si>
  <si>
    <t>37D</t>
  </si>
  <si>
    <t>chasing (a chipmunk)</t>
  </si>
  <si>
    <t>POINT (-73.9574809028248 40.7950013620207)</t>
  </si>
  <si>
    <t>37E-PM-1006-03</t>
  </si>
  <si>
    <t>37E</t>
  </si>
  <si>
    <t>me</t>
  </si>
  <si>
    <t>POINT (-73.9570437717691 40.794850940803904)</t>
  </si>
  <si>
    <t>24B-AM-1013-01</t>
  </si>
  <si>
    <t>24B</t>
  </si>
  <si>
    <t>took nut to bury</t>
  </si>
  <si>
    <t>POINT (-73.967097592707 40.7854119342538)</t>
  </si>
  <si>
    <t>7G-AM-1010-02</t>
  </si>
  <si>
    <t>07G</t>
  </si>
  <si>
    <t>POINT (-73.9711318790279 40.7701941550273)</t>
  </si>
  <si>
    <t>5C-PM-1010-13</t>
  </si>
  <si>
    <t>way up a tree!</t>
  </si>
  <si>
    <t>POINT (-73.9763243383771 40.7705409315703)</t>
  </si>
  <si>
    <t>15I-AM-1008-01</t>
  </si>
  <si>
    <t>15I</t>
  </si>
  <si>
    <t>POINT (-73.9651754464439 40.7755181941559)</t>
  </si>
  <si>
    <t>19B-PM-1018-01</t>
  </si>
  <si>
    <t>19B</t>
  </si>
  <si>
    <t>flying</t>
  </si>
  <si>
    <t>POINT (-73.9700100617602 40.7815739959357)</t>
  </si>
  <si>
    <t>13D-PM-1018-10</t>
  </si>
  <si>
    <t>13D</t>
  </si>
  <si>
    <t>POINT (-73.971905618214 40.776238547063)</t>
  </si>
  <si>
    <t>36I-PM-1007-10</t>
  </si>
  <si>
    <t>stole (found?) an entire sandwich</t>
  </si>
  <si>
    <t>POINT (-73.9530040923555 40.7922896176936)</t>
  </si>
  <si>
    <t>41B-AM-1010-06</t>
  </si>
  <si>
    <t>POINT (-73.9572093760529 40.7988487300216)</t>
  </si>
  <si>
    <t>35B-AM-1010-01</t>
  </si>
  <si>
    <t>35B</t>
  </si>
  <si>
    <t>lawn</t>
  </si>
  <si>
    <t>walking w/ something in mouth</t>
  </si>
  <si>
    <t>POINT (-73.9607746337979 40.793958106938206)</t>
  </si>
  <si>
    <t>40D-PM-1013-01</t>
  </si>
  <si>
    <t>40D</t>
  </si>
  <si>
    <t>POINT (-73.9566346046453 40.7973923396512)</t>
  </si>
  <si>
    <t>38B-PM-1018-02</t>
  </si>
  <si>
    <t>38B</t>
  </si>
  <si>
    <t>burying nut</t>
  </si>
  <si>
    <t>POINT (-73.9592038887673 40.796382675378)</t>
  </si>
  <si>
    <t>40I-AM-1018-01</t>
  </si>
  <si>
    <t>40I</t>
  </si>
  <si>
    <t>begging</t>
  </si>
  <si>
    <t>POINT (-73.9511118711108 40.7950813345902)</t>
  </si>
  <si>
    <t>7B-AM-1008-10</t>
  </si>
  <si>
    <t>07B</t>
  </si>
  <si>
    <t>POINT (-73.9769939796382 40.7729537573035)</t>
  </si>
  <si>
    <t>13D-AM-1014-08</t>
  </si>
  <si>
    <t>Gray &amp; Cinnamon selected as Primary. Cinnamon selected as Highlights. Made executive adjustments.</t>
  </si>
  <si>
    <t>POINT (-73.9712527809516 40.7763310392591)</t>
  </si>
  <si>
    <t>16G-AM-1010-03</t>
  </si>
  <si>
    <t>was hanging out w/ #2 until i showed up</t>
  </si>
  <si>
    <t>POINT (-73.9671147090087 40.7772624641112)</t>
  </si>
  <si>
    <t>40A-AM-1010-03</t>
  </si>
  <si>
    <t>40A</t>
  </si>
  <si>
    <t>bottom of great hill</t>
  </si>
  <si>
    <t>dog chased</t>
  </si>
  <si>
    <t>POINT (-73.9588660250232 40.7982597947515)</t>
  </si>
  <si>
    <t>15I-PM-1012-07</t>
  </si>
  <si>
    <t>POINT (-73.9651601541795 40.7761841788025)</t>
  </si>
  <si>
    <t>3B-PM-1007-11</t>
  </si>
  <si>
    <t>03B</t>
  </si>
  <si>
    <t>in tree</t>
  </si>
  <si>
    <t>POINT (-73.9792155473689 40.7693711799946)</t>
  </si>
  <si>
    <t>21D-AM-1008-02</t>
  </si>
  <si>
    <t>21D</t>
  </si>
  <si>
    <t>POINT (-73.9664100504436 40.7828778892276)</t>
  </si>
  <si>
    <t>10B-PM-1014-05</t>
  </si>
  <si>
    <t>10B</t>
  </si>
  <si>
    <t>avoided people</t>
  </si>
  <si>
    <t>POINT (-73.9746229094643 40.7748467061969)</t>
  </si>
  <si>
    <t>13E-PM-1008-07</t>
  </si>
  <si>
    <t>POINT (-73.9705092958892 40.7761092972965)</t>
  </si>
  <si>
    <t>41A-PM-1007-06</t>
  </si>
  <si>
    <t>41A</t>
  </si>
  <si>
    <t>POINT (-73.9581655949437 40.7997708190022)</t>
  </si>
  <si>
    <t>2F-AM-1006-05</t>
  </si>
  <si>
    <t>02F</t>
  </si>
  <si>
    <t>curious but shy</t>
  </si>
  <si>
    <t>POINT (-73.9755560786227 40.7662992317575)</t>
  </si>
  <si>
    <t>20B-AM-1007-01</t>
  </si>
  <si>
    <t>quietly</t>
  </si>
  <si>
    <t>POINT (-73.9696433533986 40.7828208083804)</t>
  </si>
  <si>
    <t>26A-PM-1006-06</t>
  </si>
  <si>
    <t>26A</t>
  </si>
  <si>
    <t>Tree 90th left 90th &amp; 89</t>
  </si>
  <si>
    <t>studying us looking for food</t>
  </si>
  <si>
    <t>POINT (-73.9664711607022 40.787896428768)</t>
  </si>
  <si>
    <t>35E-PM-1006-07</t>
  </si>
  <si>
    <t>35E</t>
  </si>
  <si>
    <t>POINT (-73.9575943815564 40.7933755266787)</t>
  </si>
  <si>
    <t>11G-PM-1013-01</t>
  </si>
  <si>
    <t>11G</t>
  </si>
  <si>
    <t>In the Woods/Brush</t>
  </si>
  <si>
    <t>watching me</t>
  </si>
  <si>
    <t>POINT (-73.9694168118643 40.7728877377977)</t>
  </si>
  <si>
    <t>36I-PM-1007-13</t>
  </si>
  <si>
    <t>POINT (-73.9528682507794 40.7925807808307)</t>
  </si>
  <si>
    <t>7A-AM-1006-01</t>
  </si>
  <si>
    <t>07A</t>
  </si>
  <si>
    <t>looked at us</t>
  </si>
  <si>
    <t>POINT (-73.9782417115139 40.7724665036447)</t>
  </si>
  <si>
    <t>7G-PM-1018-03</t>
  </si>
  <si>
    <t>POINT (-73.9721442939797 40.7700750802317)</t>
  </si>
  <si>
    <t>14E-AM-1008-05</t>
  </si>
  <si>
    <t>nest building</t>
  </si>
  <si>
    <t>POINT (-73.969847380865 40.7769884612305)</t>
  </si>
  <si>
    <t>3D-PM-1010-03</t>
  </si>
  <si>
    <t>03D</t>
  </si>
  <si>
    <t>POINT (-73.97686527856641 40.7684838168207)</t>
  </si>
  <si>
    <t>35D-PM-1013-09</t>
  </si>
  <si>
    <t>35D</t>
  </si>
  <si>
    <t>POINT (-73.9590992841423 40.793758098573)</t>
  </si>
  <si>
    <t>7F-PM-1012-01</t>
  </si>
  <si>
    <t>POINT (-73.9724063986771 40.7705711897977)</t>
  </si>
  <si>
    <t>18G-PM-1013-01</t>
  </si>
  <si>
    <t>18G</t>
  </si>
  <si>
    <t>burying</t>
  </si>
  <si>
    <t>POINT (-73.9661361310677 40.7787872561177)</t>
  </si>
  <si>
    <t>6F-PM-1008-01</t>
  </si>
  <si>
    <t>06F</t>
  </si>
  <si>
    <t>POINT (-73.9730750601212 40.7701304211944)</t>
  </si>
  <si>
    <t>9F-AM-1013-04</t>
  </si>
  <si>
    <t>09F</t>
  </si>
  <si>
    <t>POINT (-73.971970670614 40.7720868124544)</t>
  </si>
  <si>
    <t>38E-AM-1010-09</t>
  </si>
  <si>
    <t>38E</t>
  </si>
  <si>
    <t>POINT (-73.95621174551 40.7951044378207)</t>
  </si>
  <si>
    <t>33G-AM-1013-02</t>
  </si>
  <si>
    <t>33G</t>
  </si>
  <si>
    <t>shelter in hole in tree</t>
  </si>
  <si>
    <t>POINT (-73.9564023626619 40.7905423546155)</t>
  </si>
  <si>
    <t>39G-AM-1018-01</t>
  </si>
  <si>
    <t>dead (something ran over it)</t>
  </si>
  <si>
    <t>POINT (-73.9532620128307 40.7952475548048)</t>
  </si>
  <si>
    <t>32G-PM-1013-03</t>
  </si>
  <si>
    <t>32G</t>
  </si>
  <si>
    <t>Cinnamon belly</t>
  </si>
  <si>
    <t>POINT (-73.9576349321357 40.7904409912437)</t>
  </si>
  <si>
    <t>4D-PM-1008-11</t>
  </si>
  <si>
    <t>04D</t>
  </si>
  <si>
    <t>on tree facing downward</t>
  </si>
  <si>
    <t>chased #12</t>
  </si>
  <si>
    <t>POINT (-73.9763430829342 40.7686351097159)</t>
  </si>
  <si>
    <t>6H-AM-1008-01</t>
  </si>
  <si>
    <t>06H</t>
  </si>
  <si>
    <t>POINT (-73.9714789136757 40.7694886645194)</t>
  </si>
  <si>
    <t>5E-AM-1008-08</t>
  </si>
  <si>
    <t>POINT (-73.9755133710665 40.7697883435981)</t>
  </si>
  <si>
    <t>15D-PM-1017-01</t>
  </si>
  <si>
    <t>15D</t>
  </si>
  <si>
    <t>POINT (-73.9702348982803 40.7773295419104)</t>
  </si>
  <si>
    <t>16E-AM-1014-03</t>
  </si>
  <si>
    <t>POINT (-73.9686056085297 40.7781658424866)</t>
  </si>
  <si>
    <t>39H-PM-1013-02</t>
  </si>
  <si>
    <t>39H</t>
  </si>
  <si>
    <t>POINT (-73.9522142360388 40.7949598486683)</t>
  </si>
  <si>
    <t>39C-PM-1006-02</t>
  </si>
  <si>
    <t>unaware of</t>
  </si>
  <si>
    <t>POINT (-73.95765899974931 40.7972751877447)</t>
  </si>
  <si>
    <t>31A-AM-1010-04</t>
  </si>
  <si>
    <t>POINT (-73.9637946878735 40.7915700446878)</t>
  </si>
  <si>
    <t>9F-PM-1014-02</t>
  </si>
  <si>
    <t>POINT (-73.9710991123992 40.7723889726647)</t>
  </si>
  <si>
    <t>21G-PM-1007-02</t>
  </si>
  <si>
    <t>POINT (-73.9638270331336 40.7810450065235)</t>
  </si>
  <si>
    <t>2F-AM-1006-01</t>
  </si>
  <si>
    <t>walking along path</t>
  </si>
  <si>
    <t>POINT (-73.97560150058212 40.7670090327736)</t>
  </si>
  <si>
    <t>20F-PM-1007-01</t>
  </si>
  <si>
    <t>20F</t>
  </si>
  <si>
    <t>cinnamon tail</t>
  </si>
  <si>
    <t>POINT (-73.9649632550828 40.7809187761995)</t>
  </si>
  <si>
    <t>35E-PM-1006-01</t>
  </si>
  <si>
    <t>looking/begging for food</t>
  </si>
  <si>
    <t>POINT (-73.957219204335 40.7931529059779)</t>
  </si>
  <si>
    <t>9G-AM-1007-04</t>
  </si>
  <si>
    <t>09G</t>
  </si>
  <si>
    <t>POINT (-73.9712308864394 40.7714534847379)</t>
  </si>
  <si>
    <t>5D-PM-1018-03</t>
  </si>
  <si>
    <t>05D</t>
  </si>
  <si>
    <t>POINT (-73.9758676144255 40.7701671581939)</t>
  </si>
  <si>
    <t>14F-PM-1012-06</t>
  </si>
  <si>
    <t>POINT (-73.969058856545 40.7766356226979)</t>
  </si>
  <si>
    <t>23F-AM-1018-01</t>
  </si>
  <si>
    <t>23F</t>
  </si>
  <si>
    <t>POINT (-73.963846339804 40.7834051716226)</t>
  </si>
  <si>
    <t>39A-PM-1014-02</t>
  </si>
  <si>
    <t>39A</t>
  </si>
  <si>
    <t>POINT (-73.9597642778427 40.7976368003915)</t>
  </si>
  <si>
    <t>13A-PM-1014-03</t>
  </si>
  <si>
    <t>13A</t>
  </si>
  <si>
    <t>child chasing</t>
  </si>
  <si>
    <t>POINT (-73.9745691353018 40.7771035589298)</t>
  </si>
  <si>
    <t>10B-AM-1006-02</t>
  </si>
  <si>
    <t>High in a tree</t>
  </si>
  <si>
    <t>POINT (-73.9748706415584 40.7744174965072)</t>
  </si>
  <si>
    <t>38B-AM-1019-01</t>
  </si>
  <si>
    <t>POINT (-73.9597205966324 40.7969409510133)</t>
  </si>
  <si>
    <t>9G-PM-1007-06</t>
  </si>
  <si>
    <t>POINT (-73.971086588091 40.7719703235178)</t>
  </si>
  <si>
    <t>40B-AM-1019-02</t>
  </si>
  <si>
    <t>POINT (-73.958535640774 40.7982737896998)</t>
  </si>
  <si>
    <t>35D-PM-1013-04</t>
  </si>
  <si>
    <t>POINT (-73.958770180151 40.7934123941528)</t>
  </si>
  <si>
    <t>10G-PM-1017-10</t>
  </si>
  <si>
    <t>10G</t>
  </si>
  <si>
    <t>playing (with #9)</t>
  </si>
  <si>
    <t>POINT (-73.9707274055755 40.7723889080377)</t>
  </si>
  <si>
    <t>13C-AM-1010-04</t>
  </si>
  <si>
    <t>13C</t>
  </si>
  <si>
    <t>POINT (-73.9720065066618 40.7764043782924)</t>
  </si>
  <si>
    <t>32C-PM-1013-12</t>
  </si>
  <si>
    <t>32C</t>
  </si>
  <si>
    <t>POINT (-73.9618064639153 40.792158440043)</t>
  </si>
  <si>
    <t>37F-PM-1014-01</t>
  </si>
  <si>
    <t>POINT (-73.9554432393295 40.7945669054449)</t>
  </si>
  <si>
    <t>31D-PM-1006-04</t>
  </si>
  <si>
    <t>31D</t>
  </si>
  <si>
    <t>POINT (-73.9613780522542 40.790786197111)</t>
  </si>
  <si>
    <t>15I-PM-1012-03</t>
  </si>
  <si>
    <t>POINT (-73.9646901432328 40.775995869679)</t>
  </si>
  <si>
    <t>19C-PM-1018-04</t>
  </si>
  <si>
    <t>POINT (-73.9690828325179 40.7818038172275)</t>
  </si>
  <si>
    <t>10F-PM-1019-12</t>
  </si>
  <si>
    <t>Black+White</t>
  </si>
  <si>
    <t>POINT (-73.9708775864433 40.772473633538)</t>
  </si>
  <si>
    <t>18C-PM-1018-01</t>
  </si>
  <si>
    <t>18C</t>
  </si>
  <si>
    <t>POINT (-73.9691050656013 40.7808139538222)</t>
  </si>
  <si>
    <t>7B-AM-1008-11</t>
  </si>
  <si>
    <t>POINT (-73.9768434635084 40.7728494038744)</t>
  </si>
  <si>
    <t>40E-AM-1014-02</t>
  </si>
  <si>
    <t>40E</t>
  </si>
  <si>
    <t>POINT (-73.9553811810434 40.7970895007931)</t>
  </si>
  <si>
    <t>38B-AM-1019-05</t>
  </si>
  <si>
    <t>sitting still</t>
  </si>
  <si>
    <t>POINT (-73.9588468413094 40.7963852299012)</t>
  </si>
  <si>
    <t>3B-AM-1010-09</t>
  </si>
  <si>
    <t>POINT (-73.9788138172962 40.7693001754769)</t>
  </si>
  <si>
    <t>19B-AM-1019-02</t>
  </si>
  <si>
    <t>posing</t>
  </si>
  <si>
    <t>indifferent then runs from</t>
  </si>
  <si>
    <t>POINT (-73.9700162034073 40.7815277479588)</t>
  </si>
  <si>
    <t>41B-AM-1010-07</t>
  </si>
  <si>
    <t>mad!</t>
  </si>
  <si>
    <t>POINT (-73.9570528770427 40.7990973804149)</t>
  </si>
  <si>
    <t>4G-AM-1006-02</t>
  </si>
  <si>
    <t>04G</t>
  </si>
  <si>
    <t>sitting in tree</t>
  </si>
  <si>
    <t>POINT (-73.9735489537928 40.7681257911523)</t>
  </si>
  <si>
    <t>12F-PM-1007-04</t>
  </si>
  <si>
    <t>12F</t>
  </si>
  <si>
    <t>stared</t>
  </si>
  <si>
    <t>POINT (-73.96955079651552 40.7743070423435)</t>
  </si>
  <si>
    <t>3B-AM-1010-08</t>
  </si>
  <si>
    <t>together w/ #7</t>
  </si>
  <si>
    <t>POINT (-73.9787105069657 40.7693708133873)</t>
  </si>
  <si>
    <t>17H-PM-1007-02</t>
  </si>
  <si>
    <t>17H</t>
  </si>
  <si>
    <t>POINT (-73.9651654887991 40.7777806006951)</t>
  </si>
  <si>
    <t>38G-PM-1020-01</t>
  </si>
  <si>
    <t>POINT (-73.9537691298752 40.7941272599797)</t>
  </si>
  <si>
    <t>4D-PM-1008-06</t>
  </si>
  <si>
    <t>POINT (-73.9764839973068 40.7691725326976)</t>
  </si>
  <si>
    <t>3G-PM-1013-01</t>
  </si>
  <si>
    <t>03G</t>
  </si>
  <si>
    <t>POINT (-73.9737773613311 40.7673662611015)</t>
  </si>
  <si>
    <t>15H-PM-1008-03</t>
  </si>
  <si>
    <t>15H</t>
  </si>
  <si>
    <t>lawn moving east over Park path</t>
  </si>
  <si>
    <t>not sure walk-pause-walk</t>
  </si>
  <si>
    <t>POINT (-73.96579697896901 40.7760402842845)</t>
  </si>
  <si>
    <t>14G-PM-1013-01</t>
  </si>
  <si>
    <t>14G</t>
  </si>
  <si>
    <t>watching</t>
  </si>
  <si>
    <t>POINT (-73.9679336341793 40.7754186579647)</t>
  </si>
  <si>
    <t>5D-AM-1020-01</t>
  </si>
  <si>
    <t>Too far &amp; cloudy to tell</t>
  </si>
  <si>
    <t>POINT (-73.9761107065353 40.769642060286)</t>
  </si>
  <si>
    <t>5C-AM-1006-02</t>
  </si>
  <si>
    <t>POINT (-73.9771614686616 40.7709677983247)</t>
  </si>
  <si>
    <t>42H-AM-1019-02</t>
  </si>
  <si>
    <t>42H</t>
  </si>
  <si>
    <t>POINT (-73.9510747586301 40.7973106833951)</t>
  </si>
  <si>
    <t>38A-PM-1013-03</t>
  </si>
  <si>
    <t>38A</t>
  </si>
  <si>
    <t>POINT (-73.9598015842806 40.7973522744237)</t>
  </si>
  <si>
    <t>7G-PM-1018-05</t>
  </si>
  <si>
    <t>POINT (-73.9718729101676 40.7703692621371)</t>
  </si>
  <si>
    <t>31A-AM-1010-05</t>
  </si>
  <si>
    <t>jumping</t>
  </si>
  <si>
    <t>eventually ran from lawnmower (tail flag)</t>
  </si>
  <si>
    <t>POINT (-73.9638774579549 40.7913532129148)</t>
  </si>
  <si>
    <t>22C-AM-1013-03</t>
  </si>
  <si>
    <t>22C</t>
  </si>
  <si>
    <t>eating (mushroom)</t>
  </si>
  <si>
    <t>POINT (-73.9679538163341 40.7837103696906)</t>
  </si>
  <si>
    <t>36F-PM-1012-04</t>
  </si>
  <si>
    <t>36F</t>
  </si>
  <si>
    <t>POINT (-73.9564724104048 40.7936055508162)</t>
  </si>
  <si>
    <t>5C-AM-1006-03</t>
  </si>
  <si>
    <t>POINT (-73.97708244122522 40.7709961309457)</t>
  </si>
  <si>
    <t>13H-PM-1010-05</t>
  </si>
  <si>
    <t>POINT (-73.9677646187171 40.7746492806333)</t>
  </si>
  <si>
    <t>10F-PM-1019-02</t>
  </si>
  <si>
    <t>Cinnamon head &amp; stripe</t>
  </si>
  <si>
    <t>Behind fence, grass</t>
  </si>
  <si>
    <t>POINT (-73.9710760196868 40.7725506006789)</t>
  </si>
  <si>
    <t>5I-PM-1008-01</t>
  </si>
  <si>
    <t>05I</t>
  </si>
  <si>
    <t>Black+Cinnamon</t>
  </si>
  <si>
    <t>in tree by arsenal - climbing</t>
  </si>
  <si>
    <t>POINT (-73.9711298491132 40.7676902603543)</t>
  </si>
  <si>
    <t>16D-PM-1010-13</t>
  </si>
  <si>
    <t>16D</t>
  </si>
  <si>
    <t>POINT (-73.9702755805141 40.7783547795222)</t>
  </si>
  <si>
    <t>21G-AM-1014-07</t>
  </si>
  <si>
    <t>POINT (-73.9638837160341 40.7809747900833)</t>
  </si>
  <si>
    <t>22B-PM-1014-05</t>
  </si>
  <si>
    <t>eating (eats with head tilted far to the right (tooth issue?))</t>
  </si>
  <si>
    <t>POINT (-73.968367485157 40.7838472644815)</t>
  </si>
  <si>
    <t>3D-AM-1006-08</t>
  </si>
  <si>
    <t>approaches (food stand)</t>
  </si>
  <si>
    <t>POINT (-73.9772576561244 40.7679895093963)</t>
  </si>
  <si>
    <t>39H-AM-1007-01</t>
  </si>
  <si>
    <t>POINT (-73.9519639918804 40.7949911702392)</t>
  </si>
  <si>
    <t>6D-PM-1020-01</t>
  </si>
  <si>
    <t>06D</t>
  </si>
  <si>
    <t>Baseball field</t>
  </si>
  <si>
    <t>POINT (-73.9754270368984 40.7702411502308)</t>
  </si>
  <si>
    <t>12E-PM-1018-06</t>
  </si>
  <si>
    <t>12E</t>
  </si>
  <si>
    <t>POINT (-73.9712327308512 40.7748702909218)</t>
  </si>
  <si>
    <t>14D-PM-1019-04</t>
  </si>
  <si>
    <t>14D</t>
  </si>
  <si>
    <t>POINT (-73.9712318712643 40.7773053099657)</t>
  </si>
  <si>
    <t>3E-PM-1008-03</t>
  </si>
  <si>
    <t>POINT (-73.9761209945419 40.7682404528903)</t>
  </si>
  <si>
    <t>17F-PM-1020-03</t>
  </si>
  <si>
    <t>POINT (-73.967181612203 40.7787752287055)</t>
  </si>
  <si>
    <t>22D-PM-1012-04</t>
  </si>
  <si>
    <t>22D</t>
  </si>
  <si>
    <t>Black, White</t>
  </si>
  <si>
    <t>Gray+Black, White</t>
  </si>
  <si>
    <t>POINT (-73.9665709146738 40.7839384318554)</t>
  </si>
  <si>
    <t>8A-AM-1013-03</t>
  </si>
  <si>
    <t>08A</t>
  </si>
  <si>
    <t>fence</t>
  </si>
  <si>
    <t>playing tag together</t>
  </si>
  <si>
    <t>POINT (-73.9770273553525 40.7732399463626)</t>
  </si>
  <si>
    <t>7E-AM-1006-03</t>
  </si>
  <si>
    <t>POINT (-73.9737091707831 40.7713732567512)</t>
  </si>
  <si>
    <t>42G-PM-1014-03</t>
  </si>
  <si>
    <t>on fence</t>
  </si>
  <si>
    <t>prancing</t>
  </si>
  <si>
    <t>POINT (-73.9520592496349 40.7975076299811)</t>
  </si>
  <si>
    <t>28C-PM-1006-02</t>
  </si>
  <si>
    <t>Near rock</t>
  </si>
  <si>
    <t>dog</t>
  </si>
  <si>
    <t>POINT (-73.963842266151 40.7887340867773)</t>
  </si>
  <si>
    <t>2D-AM-1007-03</t>
  </si>
  <si>
    <t>02D</t>
  </si>
  <si>
    <t>POINT (-73.9775681731459 40.7676421190309)</t>
  </si>
  <si>
    <t>32E-AM-1007-10</t>
  </si>
  <si>
    <t>POINT (-73.9598155300913 40.7905887826983)</t>
  </si>
  <si>
    <t>12C-AM-1013-03</t>
  </si>
  <si>
    <t>12C</t>
  </si>
  <si>
    <t>POINT (-73.9728660779622 40.7753294525644)</t>
  </si>
  <si>
    <t>8F-PM-1012-04</t>
  </si>
  <si>
    <t>08F</t>
  </si>
  <si>
    <t>POINT (-73.972416242971 40.7714260236636)</t>
  </si>
  <si>
    <t>2H-AM-1006-02</t>
  </si>
  <si>
    <t>02H</t>
  </si>
  <si>
    <t>POINT (-73.9731498064872 40.7659963196581)</t>
  </si>
  <si>
    <t>36I-AM-1017-05</t>
  </si>
  <si>
    <t>runs from (me)</t>
  </si>
  <si>
    <t>POINT (-73.9527808174534 40.7924167234441)</t>
  </si>
  <si>
    <t>32B-AM-1017-03</t>
  </si>
  <si>
    <t>32B</t>
  </si>
  <si>
    <t>approaches (primarily),runs from (initially),follows</t>
  </si>
  <si>
    <t>POINT (-73.9624184586031 40.7921524868211)</t>
  </si>
  <si>
    <t>37E-PM-1006-04</t>
  </si>
  <si>
    <t>doesn't see me</t>
  </si>
  <si>
    <t>POINT (-73.9568343093228 40.7949401350882)</t>
  </si>
  <si>
    <t>12B-AM-1007-02</t>
  </si>
  <si>
    <t>POINT (-73.9741401377844 40.7758134257881)</t>
  </si>
  <si>
    <t>4E-PM-1008-08</t>
  </si>
  <si>
    <t>04E</t>
  </si>
  <si>
    <t>POINT (-73.9753574279936 40.7683211694257)</t>
  </si>
  <si>
    <t>14A-PM-1014-01</t>
  </si>
  <si>
    <t>14A</t>
  </si>
  <si>
    <t>POINT (-73.9737266070919 40.7786338379896)</t>
  </si>
  <si>
    <t>15F-PM-1010-07</t>
  </si>
  <si>
    <t>POINT (-73.967895656898 40.7767409597341)</t>
  </si>
  <si>
    <t>9B-PM-1013-07</t>
  </si>
  <si>
    <t>09B</t>
  </si>
  <si>
    <t>POINT (-73.97609422524371 40.7742035674209)</t>
  </si>
  <si>
    <t>8C-PM-1013-05</t>
  </si>
  <si>
    <t>08C</t>
  </si>
  <si>
    <t>POINT (-73.9758464905133 40.7725957408841)</t>
  </si>
  <si>
    <t>6B-PM-1017-04</t>
  </si>
  <si>
    <t>06B</t>
  </si>
  <si>
    <t>POINT (-73.9767080512177 40.7717708794221)</t>
  </si>
  <si>
    <t>5D-AM-1020-02</t>
  </si>
  <si>
    <t>small jumps</t>
  </si>
  <si>
    <t>POINT (-73.9760256477558 40.7703573131398)</t>
  </si>
  <si>
    <t>39B-AM-1018-01</t>
  </si>
  <si>
    <t>39B</t>
  </si>
  <si>
    <t>unknown</t>
  </si>
  <si>
    <t>POINT (-73.9593126695714 40.797533370163)</t>
  </si>
  <si>
    <t>40A-AM-1010-04</t>
  </si>
  <si>
    <t>bottom great hill</t>
  </si>
  <si>
    <t>POINT (-73.9590236602085 40.7982632456866)</t>
  </si>
  <si>
    <t>4E-AM-1020-01</t>
  </si>
  <si>
    <t>White selected as Primary. Cinnamon selected as Highlights. Made executive adjustments.</t>
  </si>
  <si>
    <t>sitting very still</t>
  </si>
  <si>
    <t>POINT (-73.9754778808471 40.7685619029765)</t>
  </si>
  <si>
    <t>32E-AM-1007-01</t>
  </si>
  <si>
    <t>POINT (-73.9597648775789 40.7903443029725)</t>
  </si>
  <si>
    <t>32E-PM-1017-04</t>
  </si>
  <si>
    <t>treed area</t>
  </si>
  <si>
    <t>POINT (-73.9589414339242 40.7907073888277)</t>
  </si>
  <si>
    <t>2D-PM-1012-02</t>
  </si>
  <si>
    <t>POINT (-73.9779805668091 40.7680931566797)</t>
  </si>
  <si>
    <t>6F-PM-1008-05</t>
  </si>
  <si>
    <t>white patch</t>
  </si>
  <si>
    <t>POINT (-73.97331176635412 40.7694584620114)</t>
  </si>
  <si>
    <t>10B-PM-1014-02</t>
  </si>
  <si>
    <t>gingko tree by traffic light in front of Strawberry Fields</t>
  </si>
  <si>
    <t>came over on tree to see me then disappeared</t>
  </si>
  <si>
    <t>POINT (-73.9751729403694 40.7743284123118)</t>
  </si>
  <si>
    <t>3C-PM-1008-02</t>
  </si>
  <si>
    <t>03C</t>
  </si>
  <si>
    <t>POINT (-73.9786339295735 40.7684918638639)</t>
  </si>
  <si>
    <t>7F-AM-1008-02</t>
  </si>
  <si>
    <t>see stories and locations</t>
  </si>
  <si>
    <t>POINT (-73.9726747666002 40.7703022669308)</t>
  </si>
  <si>
    <t>7B-AM-1008-09</t>
  </si>
  <si>
    <t>POINT (-73.9770718586754 40.7729752391435)</t>
  </si>
  <si>
    <t>38D-AM-1017-02</t>
  </si>
  <si>
    <t>38D</t>
  </si>
  <si>
    <t>hiding in log</t>
  </si>
  <si>
    <t>POINT (-73.9570817579092 40.7964221087879)</t>
  </si>
  <si>
    <t>10C-PM-1013-04</t>
  </si>
  <si>
    <t>10C</t>
  </si>
  <si>
    <t>POINT (-73.974420668782 40.7749628597465)</t>
  </si>
  <si>
    <t>6G-PM-1020-02</t>
  </si>
  <si>
    <t>POINT (-73.9719735582476 40.7693045133578)</t>
  </si>
  <si>
    <t>26I-PM-1010-02</t>
  </si>
  <si>
    <t>26I</t>
  </si>
  <si>
    <t>hiding food</t>
  </si>
  <si>
    <t>POINT (-73.9589627056561 40.7847591558491)</t>
  </si>
  <si>
    <t>10A-AM-1006-03</t>
  </si>
  <si>
    <t>Bridle Path lawn</t>
  </si>
  <si>
    <t>POINT (-73.9762246600197 40.775164077652)</t>
  </si>
  <si>
    <t>1B-AM-1012-07</t>
  </si>
  <si>
    <t>01B</t>
  </si>
  <si>
    <t>on tree trunk</t>
  </si>
  <si>
    <t>POINT (-73.9800669115792 40.7676825134384)</t>
  </si>
  <si>
    <t>9A-PM-1010-04</t>
  </si>
  <si>
    <t>09A</t>
  </si>
  <si>
    <t>POINT (-73.97679812430802 40.7741316574113)</t>
  </si>
  <si>
    <t>3D-AM-1006-03</t>
  </si>
  <si>
    <t>on top [of] a big rock/boulder in the area</t>
  </si>
  <si>
    <t>climbing (rock)</t>
  </si>
  <si>
    <t>approaches (slightly),wary of humans</t>
  </si>
  <si>
    <t>POINT (-73.9773317054464 40.76840359967581)</t>
  </si>
  <si>
    <t>37H-AM-1018-03</t>
  </si>
  <si>
    <t>37H</t>
  </si>
  <si>
    <t>in a tree with red berries</t>
  </si>
  <si>
    <t>POINT (-73.9534333425633 40.7932564163328)</t>
  </si>
  <si>
    <t>7F-AM-1008-09</t>
  </si>
  <si>
    <t>playing w/ #8</t>
  </si>
  <si>
    <t>POINT (-73.9726958070536 40.7706096126328)</t>
  </si>
  <si>
    <t>6A-AM-1006-06</t>
  </si>
  <si>
    <t>06A</t>
  </si>
  <si>
    <t>POINT (-73.978436117932 40.7724769242403)</t>
  </si>
  <si>
    <t>32I-AM-1013-05</t>
  </si>
  <si>
    <t>32I</t>
  </si>
  <si>
    <t>In and below shrub</t>
  </si>
  <si>
    <t>POINT (-73.9552861155228 40.788973931872)</t>
  </si>
  <si>
    <t>7H-PM-1006-02</t>
  </si>
  <si>
    <t>POINT (-73.9712876234172 40.7695885530701)</t>
  </si>
  <si>
    <t>2E-PM-1014-05</t>
  </si>
  <si>
    <t>02E</t>
  </si>
  <si>
    <t>POINT (-73.9771069181511 40.7670538214988)</t>
  </si>
  <si>
    <t>12F-AM-1020-02</t>
  </si>
  <si>
    <t>POINT (-73.9698714743386 40.7743814661685)</t>
  </si>
  <si>
    <t>14E-AM-1008-01</t>
  </si>
  <si>
    <t>POINT (-73.9691094942294 40.776760392858)</t>
  </si>
  <si>
    <t>4B-PM-1018-03</t>
  </si>
  <si>
    <t>04B</t>
  </si>
  <si>
    <t>POINT (-73.9786481009499 40.7697372811949)</t>
  </si>
  <si>
    <t>5E-PM-1012-02</t>
  </si>
  <si>
    <t>POINT (-73.9754742295091 40.7696998327247)</t>
  </si>
  <si>
    <t>15F-AM-1007-09</t>
  </si>
  <si>
    <t>POINT (-73.968107276769 40.7768612676036)</t>
  </si>
  <si>
    <t>31F-PM-1007-01</t>
  </si>
  <si>
    <t>31F</t>
  </si>
  <si>
    <t>white neck and belly</t>
  </si>
  <si>
    <t>POINT (-73.9591400366159 40.7891708599318)</t>
  </si>
  <si>
    <t>8B-PM-1012-03</t>
  </si>
  <si>
    <t>POINT (-73.9767191629692 40.7730786298701)</t>
  </si>
  <si>
    <t>23D-AM-1013-01</t>
  </si>
  <si>
    <t>23D</t>
  </si>
  <si>
    <t>approaches (he saw me,came towards,then darted up)</t>
  </si>
  <si>
    <t>POINT (-73.9661262885099 40.7844085550945)</t>
  </si>
  <si>
    <t>39H-PM-1013-01</t>
  </si>
  <si>
    <t>ran away when a human approached with a dog</t>
  </si>
  <si>
    <t>POINT (-73.9521950056404 40.794937340845)</t>
  </si>
  <si>
    <t>38C-AM-1019-04</t>
  </si>
  <si>
    <t>POINT (-73.9579218587172 40.79606050288481)</t>
  </si>
  <si>
    <t>30B-PM-1019-08</t>
  </si>
  <si>
    <t>30B</t>
  </si>
  <si>
    <t>POINT (-73.9639832886071 40.7909532437095)</t>
  </si>
  <si>
    <t>4F-PM-1013-04</t>
  </si>
  <si>
    <t>04F</t>
  </si>
  <si>
    <t>POINT (-73.974467903723 40.7686520352868)</t>
  </si>
  <si>
    <t>3E-PM-1008-05</t>
  </si>
  <si>
    <t>jump</t>
  </si>
  <si>
    <t>POINT (-73.9758579666874 40.7679326548845)</t>
  </si>
  <si>
    <t>35A-AM-1014-05</t>
  </si>
  <si>
    <t>POINT (-73.9619070229674 40.79525566925)</t>
  </si>
  <si>
    <t>5A-PM-1010-01</t>
  </si>
  <si>
    <t>POINT (-73.9787796921165 40.7707526535381)</t>
  </si>
  <si>
    <t>33I-AM-1008-03</t>
  </si>
  <si>
    <t>33I</t>
  </si>
  <si>
    <t>98th @ edge of park</t>
  </si>
  <si>
    <t>POINT (-73.9550082056509 40.7894521543449)</t>
  </si>
  <si>
    <t>37C-PM-1013-03</t>
  </si>
  <si>
    <t>37C</t>
  </si>
  <si>
    <t>POINT (-73.9587401274261 40.7960322222949)</t>
  </si>
  <si>
    <t>33B-PM-1010-11</t>
  </si>
  <si>
    <t>33B</t>
  </si>
  <si>
    <t>POINT (-73.9619411917909 40.7923536640283)</t>
  </si>
  <si>
    <t>10G-PM-1017-06</t>
  </si>
  <si>
    <t>POINT (-73.9701575891098 40.7730973282423)</t>
  </si>
  <si>
    <t>37I-AM-1010-01</t>
  </si>
  <si>
    <t>37I</t>
  </si>
  <si>
    <t>POINT (-73.9529060669193 40.7927909735388)</t>
  </si>
  <si>
    <t>37G-PM-1007-07</t>
  </si>
  <si>
    <t>37G</t>
  </si>
  <si>
    <t>POINT (-73.9547336666137 40.7938937756332)</t>
  </si>
  <si>
    <t>11G-AM-1012-01</t>
  </si>
  <si>
    <t>POINT (-73.9691433356733 40.77317083332421)</t>
  </si>
  <si>
    <t>13C-PM-1019-01</t>
  </si>
  <si>
    <t>POINT (-73.9720907384613 40.7762987836055)</t>
  </si>
  <si>
    <t>20A-AM-1010-02</t>
  </si>
  <si>
    <t>20A</t>
  </si>
  <si>
    <t>POINT (-73.9709281471442 40.7828097939777)</t>
  </si>
  <si>
    <t>15A-PM-1017-01</t>
  </si>
  <si>
    <t>15A</t>
  </si>
  <si>
    <t>eating in tree</t>
  </si>
  <si>
    <t>POINT (-73.9731113265165 40.7786640676355)</t>
  </si>
  <si>
    <t>16E-AM-1014-02</t>
  </si>
  <si>
    <t>POINT (-73.9684254196866 40.77809016436)</t>
  </si>
  <si>
    <t>37E-PM-1006-06</t>
  </si>
  <si>
    <t>POINT (-73.9560679864426 40.7947887062326)</t>
  </si>
  <si>
    <t>22C-AM-1013-01</t>
  </si>
  <si>
    <t>sitting still,tail over back</t>
  </si>
  <si>
    <t>POINT (-73.9679661308374 40.7837388390673)</t>
  </si>
  <si>
    <t>16F-PM-1013-02</t>
  </si>
  <si>
    <t>16F</t>
  </si>
  <si>
    <t>Woods</t>
  </si>
  <si>
    <t>POINT (-73.9674069524601 40.7772529662424)</t>
  </si>
  <si>
    <t>8H-AM-1017-04</t>
  </si>
  <si>
    <t>POINT (-73.9696173677837 40.7705202790525)</t>
  </si>
  <si>
    <t>1G-PM-1010-01</t>
  </si>
  <si>
    <t>01G</t>
  </si>
  <si>
    <t>too busy eating in his tree</t>
  </si>
  <si>
    <t>POINT (-73.9756573579063 40.7656644063024)</t>
  </si>
  <si>
    <t>20A-PM-1017-01</t>
  </si>
  <si>
    <t>POINT (-73.97006916295742 40.7828893645197)</t>
  </si>
  <si>
    <t>37B-AM-1018-03</t>
  </si>
  <si>
    <t>37B</t>
  </si>
  <si>
    <t>POINT (-73.9596964641652 40.7957753591585)</t>
  </si>
  <si>
    <t>15F-PM-1010-03</t>
  </si>
  <si>
    <t>POINT (-73.9685604013735 40.7773439909065)</t>
  </si>
  <si>
    <t>37E-PM-1006-09</t>
  </si>
  <si>
    <t>moseying</t>
  </si>
  <si>
    <t>POINT (-73.957342596188 40.7944359654227)</t>
  </si>
  <si>
    <t>35D-PM-1013-03</t>
  </si>
  <si>
    <t>No Tail!</t>
  </si>
  <si>
    <t>bench</t>
  </si>
  <si>
    <t>POINT (-73.9586214081667 40.7937473968735)</t>
  </si>
  <si>
    <t>36I-AM-1017-06</t>
  </si>
  <si>
    <t>Darker than others</t>
  </si>
  <si>
    <t>Running down tree</t>
  </si>
  <si>
    <t>POINT (-73.9528149779809 40.7924984810637)</t>
  </si>
  <si>
    <t>3I-PM-1013-07</t>
  </si>
  <si>
    <t>03I</t>
  </si>
  <si>
    <t>POINT (-73.9717425494287 40.7664227676653)</t>
  </si>
  <si>
    <t>12G-PM-1007-04</t>
  </si>
  <si>
    <t>12G</t>
  </si>
  <si>
    <t>POINT (-73.9695176417703 40.7741725190048)</t>
  </si>
  <si>
    <t>4D-PM-1008-08</t>
  </si>
  <si>
    <t>climbed fence staring at me - went up tree</t>
  </si>
  <si>
    <t>POINT (-73.97623482246482 40.7694522315322)</t>
  </si>
  <si>
    <t>39H-AM-1007-02</t>
  </si>
  <si>
    <t>POINT (-73.9523001834395 40.7949231000186)</t>
  </si>
  <si>
    <t>8C-PM-1013-08</t>
  </si>
  <si>
    <t>POINT (-73.9750283794865 40.7724101927821)</t>
  </si>
  <si>
    <t>15E-PM-1008-05</t>
  </si>
  <si>
    <t>POINT (-73.9689700100267 40.7775169562765)</t>
  </si>
  <si>
    <t>10I-AM-1010-03</t>
  </si>
  <si>
    <t>10I</t>
  </si>
  <si>
    <t>POINT (-73.9683965841952 40.7718679848978)</t>
  </si>
  <si>
    <t>32I-AM-1013-01</t>
  </si>
  <si>
    <t>POINT (-73.9554095823557 40.7887305802044)</t>
  </si>
  <si>
    <t>19B-PM-1018-05</t>
  </si>
  <si>
    <t>Gray, Cinnamon &amp; White selected as Primary. Gray &amp; White selected as Highlights. Made executive adjustments.</t>
  </si>
  <si>
    <t>POINT (-73.9696001184129 40.7820810673532)</t>
  </si>
  <si>
    <t>3B-PM-1007-03</t>
  </si>
  <si>
    <t>POINT (-73.9795081274695 40.7691431548544)</t>
  </si>
  <si>
    <t>35E-PM-1006-06</t>
  </si>
  <si>
    <t>POINT (-73.9578779556574 40.7934116539732)</t>
  </si>
  <si>
    <t>38C-AM-1019-07</t>
  </si>
  <si>
    <t>Gray &amp; Cinnamon selected as Primary. Nothing selected as Highlights. Made executive adjustments.</t>
  </si>
  <si>
    <t>POINT (-73.958356112357 40.796014459571)</t>
  </si>
  <si>
    <t>19H-AM-1010-05</t>
  </si>
  <si>
    <t>19H</t>
  </si>
  <si>
    <t>near a brush</t>
  </si>
  <si>
    <t>POINT (-73.9646610347972 40.7790583544252)</t>
  </si>
  <si>
    <t>32D-PM-1006-09</t>
  </si>
  <si>
    <t>POINT (-73.960601067176 40.7917243850136)</t>
  </si>
  <si>
    <t>39G-PM-1013-04</t>
  </si>
  <si>
    <t>POINT (-73.9539734770934 40.7956055442)</t>
  </si>
  <si>
    <t>38G-PM-1020-10</t>
  </si>
  <si>
    <t>POINT (-73.9540616660191 40.7951556603245)</t>
  </si>
  <si>
    <t>34I-PM-1010-01</t>
  </si>
  <si>
    <t>34I</t>
  </si>
  <si>
    <t>POINT (-73.9545799024508 40.7908084039886)</t>
  </si>
  <si>
    <t>12A-PM-1013-04</t>
  </si>
  <si>
    <t>12A</t>
  </si>
  <si>
    <t>chasing #3</t>
  </si>
  <si>
    <t>POINT (-73.9743990576746 40.7768690723163)</t>
  </si>
  <si>
    <t>19F-AM-1007-02</t>
  </si>
  <si>
    <t>19F</t>
  </si>
  <si>
    <t>POINT (-73.9659034359706 40.77975166888441)</t>
  </si>
  <si>
    <t>20C-PM-1018-09</t>
  </si>
  <si>
    <t>20C</t>
  </si>
  <si>
    <t>POINT (-73.9684376038582 40.7824275067237)</t>
  </si>
  <si>
    <t>22A-PM-1017-01</t>
  </si>
  <si>
    <t>POINT (-73.9694288806212 40.7842952265291)</t>
  </si>
  <si>
    <t>33I-PM-1006-07</t>
  </si>
  <si>
    <t>POINT (-73.9546042927016 40.7898133734952)</t>
  </si>
  <si>
    <t>36E-AM-1013-03</t>
  </si>
  <si>
    <t>36E</t>
  </si>
  <si>
    <t>indifferent (moving very fast)</t>
  </si>
  <si>
    <t>POINT (-73.9573469787503 40.7944044592573)</t>
  </si>
  <si>
    <t>32F-AM-1012-01</t>
  </si>
  <si>
    <t>made a back-door escape from dog off-leash</t>
  </si>
  <si>
    <t>POINT (-73.9587879699956 40.7908135158551)</t>
  </si>
  <si>
    <t>28D-AM-1012-02</t>
  </si>
  <si>
    <t>28D</t>
  </si>
  <si>
    <t>POINT (-73.9630990823243 40.7885764284016)</t>
  </si>
  <si>
    <t>10G-AM-1006-01</t>
  </si>
  <si>
    <t>POINT (-73.96998435706361 40.7729480440312)</t>
  </si>
  <si>
    <t>39G-PM-1013-07</t>
  </si>
  <si>
    <t>POINT (-73.9534306291679 40.7959052073753)</t>
  </si>
  <si>
    <t>21E-PM-1012-02</t>
  </si>
  <si>
    <t>21E</t>
  </si>
  <si>
    <t>POINT (-73.9652357279671 40.7819296887147)</t>
  </si>
  <si>
    <t>17E-PM-1018-03</t>
  </si>
  <si>
    <t>POINT (-73.967832992543 40.7783669913408)</t>
  </si>
  <si>
    <t>14D-AM-1014-03</t>
  </si>
  <si>
    <t>POINT (-73.9708969246276 40.7767695507462)</t>
  </si>
  <si>
    <t>39F-PM-1006-03</t>
  </si>
  <si>
    <t>39F</t>
  </si>
  <si>
    <t>lower branch of tree</t>
  </si>
  <si>
    <t>ran up tree when approached</t>
  </si>
  <si>
    <t>POINT (-73.95448101115 40.7954469678857)</t>
  </si>
  <si>
    <t>10F-PM-1019-11</t>
  </si>
  <si>
    <t>Grassy area</t>
  </si>
  <si>
    <t>POINT (-73.9705123624953 40.7731723757869)</t>
  </si>
  <si>
    <t>27A-PM-1006-01</t>
  </si>
  <si>
    <t>27A</t>
  </si>
  <si>
    <t>on a tree</t>
  </si>
  <si>
    <t>walking up &amp; down branches</t>
  </si>
  <si>
    <t>POINT (-73.9667560049684 40.7882333830729)</t>
  </si>
  <si>
    <t>18D-AM-1018-02</t>
  </si>
  <si>
    <t>18D</t>
  </si>
  <si>
    <t>POINT (-73.9687395228846 40.7807364481385)</t>
  </si>
  <si>
    <t>6A-AM-1006-03</t>
  </si>
  <si>
    <t>POINT (-73.9782351435852 40.7715896672335)</t>
  </si>
  <si>
    <t>4E-PM-1008-04</t>
  </si>
  <si>
    <t>POINT (-73.9757413215621 40.7692582758978)</t>
  </si>
  <si>
    <t>27I-PM-1020-05</t>
  </si>
  <si>
    <t>27I</t>
  </si>
  <si>
    <t>In tree</t>
  </si>
  <si>
    <t>runs from (us)</t>
  </si>
  <si>
    <t>POINT (-73.9583101927652 40.7852649316039)</t>
  </si>
  <si>
    <t>10A-PM-1014-04</t>
  </si>
  <si>
    <t>POINT (-73.9765595553183 40.7748455340432)</t>
  </si>
  <si>
    <t>14I-PM-1018-05</t>
  </si>
  <si>
    <t>14I</t>
  </si>
  <si>
    <t>POINT (-73.96550957640301 40.7752456763263)</t>
  </si>
  <si>
    <t>1H-AM-1012-01</t>
  </si>
  <si>
    <t>01H</t>
  </si>
  <si>
    <t>first approaches then runs from - he was less than 1 yd. away from me.</t>
  </si>
  <si>
    <t>POINT (-73.9744960829844 40.7652585501959)</t>
  </si>
  <si>
    <t>8H-PM-1014-05</t>
  </si>
  <si>
    <t>POINT (-73.9703161745884 40.7702610461336)</t>
  </si>
  <si>
    <t>30E-AM-1008-01</t>
  </si>
  <si>
    <t>30E</t>
  </si>
  <si>
    <t>scurried into bushes when jogger ran by</t>
  </si>
  <si>
    <t>POINT (-73.9605966636226 40.7889849108637)</t>
  </si>
  <si>
    <t>16A-PM-1019-04</t>
  </si>
  <si>
    <t>16A</t>
  </si>
  <si>
    <t>POINT (-73.9730224561601 40.7796833353894)</t>
  </si>
  <si>
    <t>8B-PM-1012-06</t>
  </si>
  <si>
    <t>on a bench</t>
  </si>
  <si>
    <t>POINT (-73.9759432151552 40.7733240612552)</t>
  </si>
  <si>
    <t>8F-PM-1012-03</t>
  </si>
  <si>
    <t>buried an acorn</t>
  </si>
  <si>
    <t>POINT (-73.9724452296309 40.7715792113505)</t>
  </si>
  <si>
    <t>11E-AM-1013-02</t>
  </si>
  <si>
    <t>11E</t>
  </si>
  <si>
    <t>POINT (-73.9712971568288 40.7745520717065)</t>
  </si>
  <si>
    <t>22I-AM-1007-03</t>
  </si>
  <si>
    <t>22I</t>
  </si>
  <si>
    <t>POINT (-73.9611696144784 40.7816692895155)</t>
  </si>
  <si>
    <t>37G-PM-1007-09</t>
  </si>
  <si>
    <t>POINT (-73.9542990150586 40.7940915300678)</t>
  </si>
  <si>
    <t>15F-AM-1007-04</t>
  </si>
  <si>
    <t>POINT (-73.9689657039917 40.7767834276767)</t>
  </si>
  <si>
    <t>13E-AM-1017-08</t>
  </si>
  <si>
    <t>POINT (-73.9707471099503 40.7759255131734)</t>
  </si>
  <si>
    <t>14D-AM-1014-10</t>
  </si>
  <si>
    <t>POINT (-73.9713330594434 40.7771924214236)</t>
  </si>
  <si>
    <t>7H-AM-1006-06</t>
  </si>
  <si>
    <t>POINT (-73.970540988328 40.7698103067062)</t>
  </si>
  <si>
    <t>1H-PM-1013-01</t>
  </si>
  <si>
    <t>POINT (-73.9740007759509 40.7650077086539)</t>
  </si>
  <si>
    <t>41C-PM-1007-04</t>
  </si>
  <si>
    <t>41C</t>
  </si>
  <si>
    <t>POINT (-73.9566751022336 40.799035789744)</t>
  </si>
  <si>
    <t>29B-PM-1010-05</t>
  </si>
  <si>
    <t>29B</t>
  </si>
  <si>
    <t>POINT (-73.9639635134738 40.7900337598704)</t>
  </si>
  <si>
    <t>6D-PM-1020-03</t>
  </si>
  <si>
    <t>POINT (-73.9761036400144 40.7705482684594)</t>
  </si>
  <si>
    <t>15B-PM-1017-05</t>
  </si>
  <si>
    <t>15B</t>
  </si>
  <si>
    <t>POINT (-73.9724801784201 40.7790131966689)</t>
  </si>
  <si>
    <t>18I-AM-1017-03</t>
  </si>
  <si>
    <t>18I</t>
  </si>
  <si>
    <t>Cinnamon+Black</t>
  </si>
  <si>
    <t>POINT (-73.9635658786416 40.77772917779011)</t>
  </si>
  <si>
    <t>12D-PM-1014-02</t>
  </si>
  <si>
    <t>12D</t>
  </si>
  <si>
    <t>seems to be grinding teeth on a piece of material (sounds from grinding)</t>
  </si>
  <si>
    <t>POINT (-73.9716404781264 40.7753181851766)</t>
  </si>
  <si>
    <t>26A-PM-1006-05</t>
  </si>
  <si>
    <t>POINT (-73.9672054610151 40.7876519923501)</t>
  </si>
  <si>
    <t>32C-PM-1013-03</t>
  </si>
  <si>
    <t>POINT (-73.9614824437251 40.7912929799884)</t>
  </si>
  <si>
    <t>35E-PM-1006-02</t>
  </si>
  <si>
    <t>begging for food</t>
  </si>
  <si>
    <t>POINT (-73.9571407991577 40.7931917396406)</t>
  </si>
  <si>
    <t>14D-PM-1019-12</t>
  </si>
  <si>
    <t>POINT (-73.9707197274481 40.7773956803431)</t>
  </si>
  <si>
    <t>32B-AM-1017-04</t>
  </si>
  <si>
    <t>POINT (-73.9623696148045 40.792184861375)</t>
  </si>
  <si>
    <t>38C-AM-1019-01</t>
  </si>
  <si>
    <t>runs from (lawnmower)</t>
  </si>
  <si>
    <t>POINT (-73.9576035072364 40.7966120824816)</t>
  </si>
  <si>
    <t>15G-PM-1019-11</t>
  </si>
  <si>
    <t>POINT (-73.9673548527075 40.7765669058396)</t>
  </si>
  <si>
    <t>11F-PM-1006-02</t>
  </si>
  <si>
    <t>11F</t>
  </si>
  <si>
    <t>POINT (-73.9704862864304 40.7739583111676)</t>
  </si>
  <si>
    <t>10G-PM-1017-02</t>
  </si>
  <si>
    <t>POINT (-73.970315671921 40.7720905395472)</t>
  </si>
  <si>
    <t>34D-PM-1007-02</t>
  </si>
  <si>
    <t>34D</t>
  </si>
  <si>
    <t>cautiously aware</t>
  </si>
  <si>
    <t>POINT (-73.9596398997228 40.7933386953847)</t>
  </si>
  <si>
    <t>37G-AM-1014-05</t>
  </si>
  <si>
    <t>POINT (-73.9548957862084 40.7944844464619)</t>
  </si>
  <si>
    <t>30B-AM-1007-02</t>
  </si>
  <si>
    <t>POINT (-73.964080104186 40.7907898627287)</t>
  </si>
  <si>
    <t>7A-AM-1006-02</t>
  </si>
  <si>
    <t>POINT (-73.9781303869038 40.7725000348875)</t>
  </si>
  <si>
    <t>20D-AM-1007-01</t>
  </si>
  <si>
    <t>20D</t>
  </si>
  <si>
    <t>too far to note 30'</t>
  </si>
  <si>
    <t>a lot of activity</t>
  </si>
  <si>
    <t>POINT (-73.9672127283283 40.7810666805133)</t>
  </si>
  <si>
    <t>32I-AM-1013-02</t>
  </si>
  <si>
    <t>watching me from tree - curious</t>
  </si>
  <si>
    <t>POINT (-73.9556817958407 40.788852000621)</t>
  </si>
  <si>
    <t>8C-PM-1013-04</t>
  </si>
  <si>
    <t>POINT (-73.9752000129992 40.7732918122239)</t>
  </si>
  <si>
    <t>13E-PM-1008-10</t>
  </si>
  <si>
    <t>POINT (-73.9698817079185 40.7758322627711)</t>
  </si>
  <si>
    <t>5E-AM-1008-09</t>
  </si>
  <si>
    <t>went up tree</t>
  </si>
  <si>
    <t>POINT (-73.9757001944781 40.769499790547)</t>
  </si>
  <si>
    <t>39B-PM-1014-06</t>
  </si>
  <si>
    <t>POINT (-73.9584835416846 40.7978213396921)</t>
  </si>
  <si>
    <t>32D-PM-1006-07</t>
  </si>
  <si>
    <t>POINT (-73.9606817053484 40.7917320450401)</t>
  </si>
  <si>
    <t>21F-AM-1018-01</t>
  </si>
  <si>
    <t>21F</t>
  </si>
  <si>
    <t>POINT (-73.9649590119935 40.7822107920769)</t>
  </si>
  <si>
    <t>33D-PM-1006-03</t>
  </si>
  <si>
    <t>33D</t>
  </si>
  <si>
    <t>ran up tree</t>
  </si>
  <si>
    <t>POINT (-73.959709414696 40.7919745085986)</t>
  </si>
  <si>
    <t>8E-PM-1008-01</t>
  </si>
  <si>
    <t>08E</t>
  </si>
  <si>
    <t>by tree trunk base</t>
  </si>
  <si>
    <t>eating food being thrown at it by a mom &amp; baby</t>
  </si>
  <si>
    <t>POINT (-73.9735946835545 40.7724155751282)</t>
  </si>
  <si>
    <t>33E-PM-1012-01</t>
  </si>
  <si>
    <t>33E</t>
  </si>
  <si>
    <t>POINT (-73.9588358879692 40.7912631913057)</t>
  </si>
  <si>
    <t>22C-AM-1013-02</t>
  </si>
  <si>
    <t>POINT (-73.968045072743 40.7836626717225)</t>
  </si>
  <si>
    <t>3B-PM-1007-01</t>
  </si>
  <si>
    <t>chased by dog</t>
  </si>
  <si>
    <t>POINT (-73.979316275899 40.7692134727555)</t>
  </si>
  <si>
    <t>40E-AM-1014-01</t>
  </si>
  <si>
    <t>POINT (-73.9550351380957 40.7974681522214)</t>
  </si>
  <si>
    <t>31G-PM-1007-01</t>
  </si>
  <si>
    <t>31G</t>
  </si>
  <si>
    <t>hiding</t>
  </si>
  <si>
    <t>froze,sight of dogs</t>
  </si>
  <si>
    <t>POINT (-73.9578316525492 40.7890102959629)</t>
  </si>
  <si>
    <t>33E-AM-1014-03</t>
  </si>
  <si>
    <t>POINT (-73.9592537496995 40.7919271821316)</t>
  </si>
  <si>
    <t>8E-PM-1008-08</t>
  </si>
  <si>
    <t>POINT (-73.9733966282316 40.7717179627127)</t>
  </si>
  <si>
    <t>14D-PM-1019-11</t>
  </si>
  <si>
    <t>POINT (-73.970720187655 40.7774564799983)</t>
  </si>
  <si>
    <t>2C-AM-1010-03</t>
  </si>
  <si>
    <t>02C</t>
  </si>
  <si>
    <t>Black+Gray</t>
  </si>
  <si>
    <t>POINT (-73.9790875480358 40.7676104780657)</t>
  </si>
  <si>
    <t>1B-AM-1012-12</t>
  </si>
  <si>
    <t>POINT (-73.9802376131034 40.7680707516627)</t>
  </si>
  <si>
    <t>38C-PM-1014-06</t>
  </si>
  <si>
    <t>POINT (-73.9577212629651 40.7965525296722)</t>
  </si>
  <si>
    <t>4I-PM-1007-03</t>
  </si>
  <si>
    <t>04I</t>
  </si>
  <si>
    <t>ran to tree</t>
  </si>
  <si>
    <t>being chased</t>
  </si>
  <si>
    <t>POINT (-73.9719888241794 40.7667681685356)</t>
  </si>
  <si>
    <t>40C-PM-1006-03</t>
  </si>
  <si>
    <t>40C</t>
  </si>
  <si>
    <t>POINT (-73.9565686300382 40.797592846003)</t>
  </si>
  <si>
    <t>13H-PM-1010-03</t>
  </si>
  <si>
    <t>in glen</t>
  </si>
  <si>
    <t>POINT (-73.9669206605745 40.7748155701122)</t>
  </si>
  <si>
    <t>10H-AM-1014-05</t>
  </si>
  <si>
    <t>10H</t>
  </si>
  <si>
    <t>POINT (-73.9690416961886 40.7716618670996)</t>
  </si>
  <si>
    <t>30D-AM-1017-02</t>
  </si>
  <si>
    <t>30D</t>
  </si>
  <si>
    <t>POINT (-73.9613643418025 40.7892431934209)</t>
  </si>
  <si>
    <t>12G-PM-1007-06</t>
  </si>
  <si>
    <t>POINT (-73.9686737866872 40.7739714023732)</t>
  </si>
  <si>
    <t>9B-PM-1013-10</t>
  </si>
  <si>
    <t>"Brown" written in as Primary</t>
  </si>
  <si>
    <t>POINT (-73.9763433202401 40.7738473490681)</t>
  </si>
  <si>
    <t>36C-PM-1013-06</t>
  </si>
  <si>
    <t>36C</t>
  </si>
  <si>
    <t>Running across wide street</t>
  </si>
  <si>
    <t>carrying food in mouth</t>
  </si>
  <si>
    <t>POINT (-73.9590502257662 40.794290363687)</t>
  </si>
  <si>
    <t>22D-PM-1012-01</t>
  </si>
  <si>
    <t>climbing tree</t>
  </si>
  <si>
    <t>POINT (-73.965862100991 40.7825926896917)</t>
  </si>
  <si>
    <t>11I-PM-1012-03</t>
  </si>
  <si>
    <t>11I</t>
  </si>
  <si>
    <t>runs from the dog</t>
  </si>
  <si>
    <t>POINT (-73.9681917366128 40.7723298813768)</t>
  </si>
  <si>
    <t>38A-PM-1013-01</t>
  </si>
  <si>
    <t>POINT (-73.9597470659927 40.7973215935416)</t>
  </si>
  <si>
    <t>14F-PM-1012-01</t>
  </si>
  <si>
    <t>POINT (-73.9680774548516 40.7762491903691)</t>
  </si>
  <si>
    <t>1D-AM-1006-09</t>
  </si>
  <si>
    <t>01D</t>
  </si>
  <si>
    <t>POINT (-73.9786603147149 40.7671937837017)</t>
  </si>
  <si>
    <t>8B-AM-1007-09</t>
  </si>
  <si>
    <t>shelling and eating a nut then a dog chased it up a tree &amp; squirrel carried its nut up the tree,settled in a branch &amp; resumed eating</t>
  </si>
  <si>
    <t>POINT (-73.9766354967197 40.7734575166319)</t>
  </si>
  <si>
    <t>3B-PM-1007-07</t>
  </si>
  <si>
    <t>eating loudly &lt;- peanuts w/ shells</t>
  </si>
  <si>
    <t>POINT (-73.9787658435198 40.7689419765393)</t>
  </si>
  <si>
    <t>22G-PM-1018-03</t>
  </si>
  <si>
    <t>22G</t>
  </si>
  <si>
    <t>chilling</t>
  </si>
  <si>
    <t>observed</t>
  </si>
  <si>
    <t>POINT (-73.96337601736352 40.7818422357619)</t>
  </si>
  <si>
    <t>40G-PM-1013-02</t>
  </si>
  <si>
    <t>40G</t>
  </si>
  <si>
    <t>hiding from dog</t>
  </si>
  <si>
    <t>runs from (dog)</t>
  </si>
  <si>
    <t>POINT (-73.9530809650496 40.79591763177051)</t>
  </si>
  <si>
    <t>27I-PM-1020-01</t>
  </si>
  <si>
    <t>POINT (-73.9584024936392 40.7851491701944)</t>
  </si>
  <si>
    <t>22C-PM-1006-09</t>
  </si>
  <si>
    <t>POINT (-73.96693664010711 40.7836023897982)</t>
  </si>
  <si>
    <t>1C-PM-1013-05</t>
  </si>
  <si>
    <t>01C</t>
  </si>
  <si>
    <t>POINT (-73.9785675798034 40.7672992405289)</t>
  </si>
  <si>
    <t>8H-PM-1014-03</t>
  </si>
  <si>
    <t>POINT (-73.9698934182612 40.7708211633861)</t>
  </si>
  <si>
    <t>13C-AM-1010-03</t>
  </si>
  <si>
    <t>POINT (-73.9721899838568 40.7761519045651)</t>
  </si>
  <si>
    <t>41B-PM-1014-05</t>
  </si>
  <si>
    <t>POINT (-73.9570131890379 40.7991786736124)</t>
  </si>
  <si>
    <t>7I-PM-1013-05</t>
  </si>
  <si>
    <t>07I</t>
  </si>
  <si>
    <t>Rock</t>
  </si>
  <si>
    <t>POINT (-73.9702788578386 40.7694484997295)</t>
  </si>
  <si>
    <t>31A-AM-1010-01</t>
  </si>
  <si>
    <t>POINT (-73.9639888092327 40.791449395909005)</t>
  </si>
  <si>
    <t>35E-PM-1006-03</t>
  </si>
  <si>
    <t>POINT (-73.9573604880421 40.7930844158021)</t>
  </si>
  <si>
    <t>1D-AM-1006-02</t>
  </si>
  <si>
    <t>POINT (-73.9777328709928 40.7669087724668)</t>
  </si>
  <si>
    <t>14H-PM-1012-01</t>
  </si>
  <si>
    <t>14H</t>
  </si>
  <si>
    <t>approaches (came very close to me)</t>
  </si>
  <si>
    <t>POINT (-73.9671851611243 40.7750878657618)</t>
  </si>
  <si>
    <t>14H-AM-1007-04</t>
  </si>
  <si>
    <t>POINT (-73.9664630067791 40.7756361515825)</t>
  </si>
  <si>
    <t>8I-PM-1013-01</t>
  </si>
  <si>
    <t>08I</t>
  </si>
  <si>
    <t>POINT (-73.9694630409125 40.769737659647)</t>
  </si>
  <si>
    <t>9B-PM-1013-02</t>
  </si>
  <si>
    <t>POINT (-73.9756754297747 40.7738518843446)</t>
  </si>
  <si>
    <t>8B-PM-1012-08</t>
  </si>
  <si>
    <t>POINT (-73.9756557086441 40.773296289824)</t>
  </si>
  <si>
    <t>9G-AM-1007-02</t>
  </si>
  <si>
    <t>kids were trying to poke it with a stick</t>
  </si>
  <si>
    <t>POINT (-73.9704485231855 40.7717290560806)</t>
  </si>
  <si>
    <t>13B-PM-1008-01</t>
  </si>
  <si>
    <t>13B</t>
  </si>
  <si>
    <t>on railing</t>
  </si>
  <si>
    <t>POINT (-73.9741944367138 40.7769889953596)</t>
  </si>
  <si>
    <t>31F-PM-1007-04</t>
  </si>
  <si>
    <t>POINT (-73.9589367709165 40.7896465303483)</t>
  </si>
  <si>
    <t>21G-AM-1014-02</t>
  </si>
  <si>
    <t>POINT (-73.96362827608 40.7807994595242)</t>
  </si>
  <si>
    <t>10G-PM-1017-08</t>
  </si>
  <si>
    <t>POINT (-73.9710116801402 40.7723689301989)</t>
  </si>
  <si>
    <t>10B-PM-1014-01</t>
  </si>
  <si>
    <t>on lawn in front of a tree</t>
  </si>
  <si>
    <t>stay on ground but went to other side of tree to hide from a dog</t>
  </si>
  <si>
    <t>POINT (-73.9757436019432 40.7746064363227)</t>
  </si>
  <si>
    <t>9B-PM-1013-03</t>
  </si>
  <si>
    <t>POINT (-73.9757787135906 40.7737231427345)</t>
  </si>
  <si>
    <t>34H-AM-1007-01</t>
  </si>
  <si>
    <t>34H</t>
  </si>
  <si>
    <t>POINT (-73.9558474701153 40.7913335515534)</t>
  </si>
  <si>
    <t>13H-PM-1010-07</t>
  </si>
  <si>
    <t>POINT (-73.9676639740486 40.7745369616499)</t>
  </si>
  <si>
    <t>7H-AM-1006-11</t>
  </si>
  <si>
    <t>POINT (-73.9702963056917 40.7697928730791)</t>
  </si>
  <si>
    <t>8E-PM-1008-05</t>
  </si>
  <si>
    <t>5, 6, 7 all at same tree trunk base</t>
  </si>
  <si>
    <t>POINT (-73.9734695768004 40.7716297491384)</t>
  </si>
  <si>
    <t>4A-PM-1007-03</t>
  </si>
  <si>
    <t>04A</t>
  </si>
  <si>
    <t>by rock</t>
  </si>
  <si>
    <t>POINT (-73.9793952066038 40.77078376578591)</t>
  </si>
  <si>
    <t>42F-PM-1017-02</t>
  </si>
  <si>
    <t>42F</t>
  </si>
  <si>
    <t>playing</t>
  </si>
  <si>
    <t>POINT (-73.95257475169142 40.7977257435263)</t>
  </si>
  <si>
    <t>33E-AM-1014-05</t>
  </si>
  <si>
    <t>POINT (-73.9589770206691 40.791240542172)</t>
  </si>
  <si>
    <t>22F-AM-1007-05</t>
  </si>
  <si>
    <t>POINT (-73.9642717435966 40.782087049693)</t>
  </si>
  <si>
    <t>5F-AM-1007-04</t>
  </si>
  <si>
    <t>rocks</t>
  </si>
  <si>
    <t>POINT (-73.9742973420446 40.7691801644292)</t>
  </si>
  <si>
    <t>41I-AM-1018-02</t>
  </si>
  <si>
    <t>41I</t>
  </si>
  <si>
    <t>runs off</t>
  </si>
  <si>
    <t>POINT (-73.9502466289084 40.7959228779883)</t>
  </si>
  <si>
    <t>13D-PM-1018-08</t>
  </si>
  <si>
    <t>Gray &amp; Cinnamon selected as Primary. White selected as Highlights. Made executive adjustments.</t>
  </si>
  <si>
    <t>POINT (-73.9720887275538 40.7760799537976)</t>
  </si>
  <si>
    <t>18I-PM-1007-09</t>
  </si>
  <si>
    <t>canoodling w/ 8</t>
  </si>
  <si>
    <t>POINT (-73.9641462360541 40.7778316005464)</t>
  </si>
  <si>
    <t>9F-PM-1014-04</t>
  </si>
  <si>
    <t>POINT (-73.9714057327159 40.7720375135272)</t>
  </si>
  <si>
    <t>12H-PM-1007-04</t>
  </si>
  <si>
    <t>12H</t>
  </si>
  <si>
    <t>mushroom</t>
  </si>
  <si>
    <t>POINT (-73.9678774314725 40.7738535171265)</t>
  </si>
  <si>
    <t>8F-PM-1012-05</t>
  </si>
  <si>
    <t>POINT (-73.9725906016474 40.7713889729739)</t>
  </si>
  <si>
    <t>13E-PM-1008-06</t>
  </si>
  <si>
    <t>POINT (-73.9706929341294 40.77604738723951)</t>
  </si>
  <si>
    <t>10G-AM-1006-10</t>
  </si>
  <si>
    <t>POINT (-73.9701335162984 40.7722051011357)</t>
  </si>
  <si>
    <t>21F-AM-1018-02</t>
  </si>
  <si>
    <t>POINT (-73.9644293195773 40.7813829172072)</t>
  </si>
  <si>
    <t>9C-AM-1006-02</t>
  </si>
  <si>
    <t>09C</t>
  </si>
  <si>
    <t>POINT (-73.9753140640445 40.7734037805101)</t>
  </si>
  <si>
    <t>36B-AM-1013-03</t>
  </si>
  <si>
    <t>36B</t>
  </si>
  <si>
    <t>POINT (-73.960300330029 40.7953475871869)</t>
  </si>
  <si>
    <t>31E-PM-1006-02</t>
  </si>
  <si>
    <t>31E</t>
  </si>
  <si>
    <t>under bushes</t>
  </si>
  <si>
    <t>POINT (-73.959514034869 40.789911786416)</t>
  </si>
  <si>
    <t>9C-AM-1006-03</t>
  </si>
  <si>
    <t>POINT (-73.9752793195744 40.7733960128931)</t>
  </si>
  <si>
    <t>33I-PM-1006-05</t>
  </si>
  <si>
    <t>POINT (-73.9547878025303 40.7899151873467)</t>
  </si>
  <si>
    <t>19F-PM-1017-01</t>
  </si>
  <si>
    <t>POINT (-73.965848283831 40.7797243033057)</t>
  </si>
  <si>
    <t>6F-PM-1008-06</t>
  </si>
  <si>
    <t>White patches. Almost looks like fox squirrel</t>
  </si>
  <si>
    <t>POINT (-73.9735750352959 40.7694500333777)</t>
  </si>
  <si>
    <t>29D-AM-1014-04</t>
  </si>
  <si>
    <t>29D</t>
  </si>
  <si>
    <t>Rock a</t>
  </si>
  <si>
    <t>POINT (-73.9624546917649 40.78882349597921)</t>
  </si>
  <si>
    <t>42D-PM-1013-03</t>
  </si>
  <si>
    <t>42D</t>
  </si>
  <si>
    <t>POINT (-73.9549135206961 40.798525897229)</t>
  </si>
  <si>
    <t>19G-PM-1017-03</t>
  </si>
  <si>
    <t>19G</t>
  </si>
  <si>
    <t>staring</t>
  </si>
  <si>
    <t>POINT (-73.9648195433192 40.7796399955868)</t>
  </si>
  <si>
    <t>13I-PM-1008-01</t>
  </si>
  <si>
    <t>13I</t>
  </si>
  <si>
    <t>climbed tree</t>
  </si>
  <si>
    <t>POINT (-73.9661785940531 40.7742569936186)</t>
  </si>
  <si>
    <t>32E-PM-1017-10</t>
  </si>
  <si>
    <t>POINT (-73.9592103064327 40.7904390691553)</t>
  </si>
  <si>
    <t>27A-AM-1008-02</t>
  </si>
  <si>
    <t>POINT (-73.9664450399121 40.7887844904695)</t>
  </si>
  <si>
    <t>24A-AM-1014-01</t>
  </si>
  <si>
    <t>24A</t>
  </si>
  <si>
    <t>freezes</t>
  </si>
  <si>
    <t>POINT (-73.9683041099256 40.7862652300082)</t>
  </si>
  <si>
    <t>14E-AM-1008-20</t>
  </si>
  <si>
    <t>POINT (-73.970308716071 40.7763985667344)</t>
  </si>
  <si>
    <t>37D-AM-1018-01</t>
  </si>
  <si>
    <t>POINT (-73.9579724119943 40.7948709900016)</t>
  </si>
  <si>
    <t>1D-PM-1007-06</t>
  </si>
  <si>
    <t>POINT (-73.9780659679557 40.7672382282781)</t>
  </si>
  <si>
    <t>13D-PM-1018-02</t>
  </si>
  <si>
    <t>POINT (-73.9717201378775 40.776120280884)</t>
  </si>
  <si>
    <t>36D-AM-1007-01</t>
  </si>
  <si>
    <t>36D</t>
  </si>
  <si>
    <t>avoiding a dog</t>
  </si>
  <si>
    <t>POINT (-73.95812430217221 40.794431473386)</t>
  </si>
  <si>
    <t>10G-AM-1006-05</t>
  </si>
  <si>
    <t>chasing (#6)</t>
  </si>
  <si>
    <t>POINT (-73.9707215394887 40.7727508149058)</t>
  </si>
  <si>
    <t>7H-AM-1006-15</t>
  </si>
  <si>
    <t>POINT (-73.9702721244652 40.7701011774207)</t>
  </si>
  <si>
    <t>42B-AM-1014-02</t>
  </si>
  <si>
    <t>42B</t>
  </si>
  <si>
    <t>POINT (-73.9570130017159 40.7996027428625)</t>
  </si>
  <si>
    <t>39G-PM-1013-05</t>
  </si>
  <si>
    <t>POINT (-73.9540652304705 40.7955226178199)</t>
  </si>
  <si>
    <t>12F-PM-1007-05</t>
  </si>
  <si>
    <t>POINT (-73.9697855573137 40.7742186391935)</t>
  </si>
  <si>
    <t>8I-AM-1006-08</t>
  </si>
  <si>
    <t>not backing down</t>
  </si>
  <si>
    <t>POINT (-73.9690968160819 40.769923269444)</t>
  </si>
  <si>
    <t>12F-AM-1020-06</t>
  </si>
  <si>
    <t>POINT (-73.9701481200298 40.7751110354034)</t>
  </si>
  <si>
    <t>42D-PM-1013-01</t>
  </si>
  <si>
    <t>Drawing included.</t>
  </si>
  <si>
    <t>watching passers-by</t>
  </si>
  <si>
    <t>POINT (-73.954482814186 40.7987031768001)</t>
  </si>
  <si>
    <t>38D-PM-1006-01</t>
  </si>
  <si>
    <t>didn't see me or others</t>
  </si>
  <si>
    <t>POINT (-73.9569403365847 40.7956599608798)</t>
  </si>
  <si>
    <t>30B-AM-1007-03</t>
  </si>
  <si>
    <t>POINT (-73.9641293283734 40.7907654006019)</t>
  </si>
  <si>
    <t>11E-AM-1013-04</t>
  </si>
  <si>
    <t>POINT (-73.9714303315699 40.7745934947706)</t>
  </si>
  <si>
    <t>16A-PM-1019-07</t>
  </si>
  <si>
    <t>approaches (very friendly)</t>
  </si>
  <si>
    <t>POINT (-73.9721797824576 40.7801213843628)</t>
  </si>
  <si>
    <t>4B-AM-1010-03</t>
  </si>
  <si>
    <t>POINT (-73.9789952029637 40.7697758333099)</t>
  </si>
  <si>
    <t>14H-AM-1007-02</t>
  </si>
  <si>
    <t>POINT (-73.9666526554772 40.77561117183551)</t>
  </si>
  <si>
    <t>11I-AM-1012-02</t>
  </si>
  <si>
    <t>POINT (-73.9677423154682 40.77288133502451)</t>
  </si>
  <si>
    <t>7H-AM-1006-04</t>
  </si>
  <si>
    <t>POINT (-73.97121338569602 40.769872094337)</t>
  </si>
  <si>
    <t>23C-PM-1014-02</t>
  </si>
  <si>
    <t>in bushes, then ran across path</t>
  </si>
  <si>
    <t>POINT (-73.9666521094255 40.7842753517648)</t>
  </si>
  <si>
    <t>36A-AM-1018-01</t>
  </si>
  <si>
    <t>eating (red berries)</t>
  </si>
  <si>
    <t>POINT (-73.9615751148595 40.7954551238146)</t>
  </si>
  <si>
    <t>2D-AM-1007-06</t>
  </si>
  <si>
    <t>POINT (-73.97780296909002 40.767632106066905)</t>
  </si>
  <si>
    <t>6A-PM-1012-04</t>
  </si>
  <si>
    <t>POINT (-73.978426472499 40.771904101844)</t>
  </si>
  <si>
    <t>22A-AM-1008-03</t>
  </si>
  <si>
    <t>POINT (-73.9688470831269 40.7844651946415)</t>
  </si>
  <si>
    <t>8H-PM-1014-06</t>
  </si>
  <si>
    <t>POINT (-73.9703010856224 40.7701983575511)</t>
  </si>
  <si>
    <t>3D-AM-1006-04</t>
  </si>
  <si>
    <t>runs from (boy on bike)</t>
  </si>
  <si>
    <t>POINT (-73.9776854797916 40.7683102295663)</t>
  </si>
  <si>
    <t>40A-PM-1014-06</t>
  </si>
  <si>
    <t>POINT (-73.958837574505 40.7985003987784)</t>
  </si>
  <si>
    <t>1B-PM-1019-06</t>
  </si>
  <si>
    <t>POINT (-73.9801007327506 40.7677455633932)</t>
  </si>
  <si>
    <t>41E-AM-1007-06</t>
  </si>
  <si>
    <t>41E</t>
  </si>
  <si>
    <t>POINT (-73.9548430741605 40.798207350942)</t>
  </si>
  <si>
    <t>36B-AM-1013-04</t>
  </si>
  <si>
    <t>Moved 20+ feet high above top of tree limb</t>
  </si>
  <si>
    <t>POINT (-73.9602166876979 40.7953811003986)</t>
  </si>
  <si>
    <t>18F-AM-1014-01</t>
  </si>
  <si>
    <t>18F</t>
  </si>
  <si>
    <t>Low tree</t>
  </si>
  <si>
    <t>POINT (-73.9669432929573 40.779136518298)</t>
  </si>
  <si>
    <t>16H-PM-1014-04</t>
  </si>
  <si>
    <t>16H</t>
  </si>
  <si>
    <t>POINT (-73.9657288055011 40.7764580036287)</t>
  </si>
  <si>
    <t>40C-PM-1006-05</t>
  </si>
  <si>
    <t>POINT (-73.9568305513017 40.7974086631267)</t>
  </si>
  <si>
    <t>13D-AM-1014-06</t>
  </si>
  <si>
    <t>POINT (-73.9708798496132 40.7761532088521)</t>
  </si>
  <si>
    <t>18D-PM-1017-01</t>
  </si>
  <si>
    <t>POINT (-73.9683312453011 40.7801661685712)</t>
  </si>
  <si>
    <t>33D-PM-1006-02</t>
  </si>
  <si>
    <t>POINT (-73.95983407835722 40.7915857030295)</t>
  </si>
  <si>
    <t>37H-PM-1006-02</t>
  </si>
  <si>
    <t>dogs</t>
  </si>
  <si>
    <t>POINT (-73.9533476020736 40.7933003544685)</t>
  </si>
  <si>
    <t>12H-PM-1007-02</t>
  </si>
  <si>
    <t>peanuts</t>
  </si>
  <si>
    <t>POINT (-73.9677387336667 40.7742695912)</t>
  </si>
  <si>
    <t>21F-AM-1018-05</t>
  </si>
  <si>
    <t>POINT (-73.9649611089685 40.7814371834837)</t>
  </si>
  <si>
    <t>9D-AM-1008-01</t>
  </si>
  <si>
    <t>09D</t>
  </si>
  <si>
    <t>POINT (-73.9744835563086 40.7729521433235)</t>
  </si>
  <si>
    <t>1G-AM-1006-02</t>
  </si>
  <si>
    <t>POINT (-73.9746918762076 40.7655231883678)</t>
  </si>
  <si>
    <t>12E-PM-1018-04</t>
  </si>
  <si>
    <t>POINT (-73.9714289592392 40.7750670702093)</t>
  </si>
  <si>
    <t>18I-AM-1017-02</t>
  </si>
  <si>
    <t>POINT (-73.9638590768396 40.7776782114981)</t>
  </si>
  <si>
    <t>15I-AM-1008-04</t>
  </si>
  <si>
    <t>POINT (-73.9653142636891 40.7760015129298)</t>
  </si>
  <si>
    <t>35D-AM-1019-01</t>
  </si>
  <si>
    <t>on tree, blue jays gathering nearby</t>
  </si>
  <si>
    <t>POINT (-73.9586098170241 40.7939653733898)</t>
  </si>
  <si>
    <t>32B-AM-1017-02</t>
  </si>
  <si>
    <t>Cinnamon on its head</t>
  </si>
  <si>
    <t>POINT (-73.963100689807 40.79202551894671)</t>
  </si>
  <si>
    <t>3D-PM-1010-12</t>
  </si>
  <si>
    <t>POINT (-73.9768357173861 40.7683813358343)</t>
  </si>
  <si>
    <t>35C-PM-1013-02</t>
  </si>
  <si>
    <t>approaches (when i crouched down)</t>
  </si>
  <si>
    <t>POINT (-73.9601486483164 40.7943724108626)</t>
  </si>
  <si>
    <t>37B-PM-1013-05</t>
  </si>
  <si>
    <t>POINT (-73.9597418366664 40.7964417084985)</t>
  </si>
  <si>
    <t>41D-PM-1014-03</t>
  </si>
  <si>
    <t>POINT (-73.954959868822 40.7985404965582)</t>
  </si>
  <si>
    <t>16E-AM-1014-09</t>
  </si>
  <si>
    <t>POINT (-73.9687847410656 40.778185700305)</t>
  </si>
  <si>
    <t>18G-PM-1013-02</t>
  </si>
  <si>
    <t>POINT (-73.9659010238417 40.779168366621505)</t>
  </si>
  <si>
    <t>7D-PM-1010-01</t>
  </si>
  <si>
    <t>07D</t>
  </si>
  <si>
    <t>outside fenced hectare</t>
  </si>
  <si>
    <t>POINT (-73.9749446629706 40.7720659696067)</t>
  </si>
  <si>
    <t>8G-PM-1017-01</t>
  </si>
  <si>
    <t>08G</t>
  </si>
  <si>
    <t>POINT (-73.971322876671 40.7714145086361)</t>
  </si>
  <si>
    <t>4C-PM-1010-06</t>
  </si>
  <si>
    <t>04C</t>
  </si>
  <si>
    <t>behind playground benches</t>
  </si>
  <si>
    <t>POINT (-73.9773821135611 40.7690453494383)</t>
  </si>
  <si>
    <t>1C-PM-1013-06</t>
  </si>
  <si>
    <t>POINT (-73.9793103340869 40.76782015359681)</t>
  </si>
  <si>
    <t>14E-AM-1008-19</t>
  </si>
  <si>
    <t>POINT (-73.970173142921 40.7762349924081)</t>
  </si>
  <si>
    <t>40G-AM-1007-02</t>
  </si>
  <si>
    <t>POINT (-73.952526164386 40.7963759240504)</t>
  </si>
  <si>
    <t>2B-AM-1010-07</t>
  </si>
  <si>
    <t>POINT (-73.9796383715206 40.7682477738244)</t>
  </si>
  <si>
    <t>22G-AM-1018-05</t>
  </si>
  <si>
    <t>POINT (-73.9632646049622 40.7817401292083)</t>
  </si>
  <si>
    <t>23E-PM-1006-01</t>
  </si>
  <si>
    <t>23E</t>
  </si>
  <si>
    <t>POINT (-73.9647284206644 40.7839611840884)</t>
  </si>
  <si>
    <t>22G-AM-1018-02</t>
  </si>
  <si>
    <t>POINT (-73.9635290751183 40.7820936628202)</t>
  </si>
  <si>
    <t>16D-PM-1010-03</t>
  </si>
  <si>
    <t>POINT (-73.9696360756453 40.7786545659072)</t>
  </si>
  <si>
    <t>14D-AM-1014-16</t>
  </si>
  <si>
    <t>POINT (-73.9709104380323 40.7769096957616)</t>
  </si>
  <si>
    <t>11H-AM-1010-05</t>
  </si>
  <si>
    <t>POINT (-73.9685429060839 40.7724786961619)</t>
  </si>
  <si>
    <t>19F-PM-1017-04</t>
  </si>
  <si>
    <t>POINT (-73.9652584749758 40.7803011124382)</t>
  </si>
  <si>
    <t>30A-AM-1010-01</t>
  </si>
  <si>
    <t>30A</t>
  </si>
  <si>
    <t>POINT (-73.9650499507011 40.7908191782173)</t>
  </si>
  <si>
    <t>2E-AM-1010-02</t>
  </si>
  <si>
    <t>totally indifferent</t>
  </si>
  <si>
    <t>POINT (-73.9772396728545 40.7668696411765)</t>
  </si>
  <si>
    <t>40D-PM-1013-05</t>
  </si>
  <si>
    <t>POINT (-73.9561141662309 40.7976258458604)</t>
  </si>
  <si>
    <t>11H-AM-1010-04</t>
  </si>
  <si>
    <t>POINT (-73.9682803241007 40.7724510558327)</t>
  </si>
  <si>
    <t>41D-AM-1014-05</t>
  </si>
  <si>
    <t>POINT (-73.9553113771098 40.7978431980204)</t>
  </si>
  <si>
    <t>6D-PM-1020-04</t>
  </si>
  <si>
    <t>POINT (-73.9761440627966 40.7706035301542)</t>
  </si>
  <si>
    <t>9C-PM-1006-01</t>
  </si>
  <si>
    <t>POINT (-73.9746802194012 40.7731347452245)</t>
  </si>
  <si>
    <t>35A-AM-1014-04</t>
  </si>
  <si>
    <t>POINT (-73.9617612388703 40.7952875954297)</t>
  </si>
  <si>
    <t>15C-PM-1017-03</t>
  </si>
  <si>
    <t>15C</t>
  </si>
  <si>
    <t>running across overpass</t>
  </si>
  <si>
    <t>POINT (-73.9713487591577 40.7784353043714)</t>
  </si>
  <si>
    <t>14E-AM-1008-06</t>
  </si>
  <si>
    <t>POINT (-73.9701310753277 40.7768001008083)</t>
  </si>
  <si>
    <t>16B-AM-1014-01</t>
  </si>
  <si>
    <t>16B</t>
  </si>
  <si>
    <t>POINT (-73.9718474480919 40.7794963354254)</t>
  </si>
  <si>
    <t>11A-PM-1013-01</t>
  </si>
  <si>
    <t>11A</t>
  </si>
  <si>
    <t>Off-white, decorator's white?</t>
  </si>
  <si>
    <t>eating (osage orange)</t>
  </si>
  <si>
    <t>POINT (-73.9756810453606 40.7756257458036)</t>
  </si>
  <si>
    <t>33I-PM-1006-09</t>
  </si>
  <si>
    <t>POINT (-73.9547423290276 40.7899702628835)</t>
  </si>
  <si>
    <t>38E-AM-1010-07</t>
  </si>
  <si>
    <t>branches</t>
  </si>
  <si>
    <t>chasing and being chased by #6</t>
  </si>
  <si>
    <t>POINT (-73.9559677963727 40.7951124076946)</t>
  </si>
  <si>
    <t>39B-PM-1014-03</t>
  </si>
  <si>
    <t>POINT (-73.9584696083284 40.7980121226635)</t>
  </si>
  <si>
    <t>36G-PM-1012-01</t>
  </si>
  <si>
    <t>36G</t>
  </si>
  <si>
    <t>crossing east drive</t>
  </si>
  <si>
    <t>POINT (-73.9549082481152 40.7933537584624)</t>
  </si>
  <si>
    <t>14C-PM-1006-02</t>
  </si>
  <si>
    <t>14C</t>
  </si>
  <si>
    <t>POINT (-73.9714465493257 40.7772135587308)</t>
  </si>
  <si>
    <t>21F-PM-1018-03</t>
  </si>
  <si>
    <t>POINT (-73.9643825381614 40.7815445841195)</t>
  </si>
  <si>
    <t>21H-AM-1017-02</t>
  </si>
  <si>
    <t>21H</t>
  </si>
  <si>
    <t>POINT (-73.9625416200877 40.78113023979121)</t>
  </si>
  <si>
    <t>22F-AM-1007-02</t>
  </si>
  <si>
    <t>standing</t>
  </si>
  <si>
    <t>POINT (-73.9638526062093 40.782693848993)</t>
  </si>
  <si>
    <t>5G-PM-1010-03</t>
  </si>
  <si>
    <t>05G</t>
  </si>
  <si>
    <t>POINT (-73.973351945818 40.768814796037)</t>
  </si>
  <si>
    <t>15F-AM-1007-02</t>
  </si>
  <si>
    <t>Listed as primary white with cinnamon highlights, I changed to Gray/cinnamon - JO</t>
  </si>
  <si>
    <t>POINT (-73.9685227310735 40.776599466588)</t>
  </si>
  <si>
    <t>13D-PM-1018-09</t>
  </si>
  <si>
    <t>POINT (-73.9721670042434 40.776085913838)</t>
  </si>
  <si>
    <t>3B-AM-1010-01</t>
  </si>
  <si>
    <t>POINT (-73.9792153893146 40.7688272492961)</t>
  </si>
  <si>
    <t>37D-PM-1014-05</t>
  </si>
  <si>
    <t>POINT (-73.9579335275486 40.7953080673706)</t>
  </si>
  <si>
    <t>14E-AM-1008-07</t>
  </si>
  <si>
    <t>POINT (-73.9704166194815 40.7766720346576)</t>
  </si>
  <si>
    <t>40B-PM-1014-01</t>
  </si>
  <si>
    <t>POINT (-73.9573057686241 40.7985734105729)</t>
  </si>
  <si>
    <t>41A-PM-1007-03</t>
  </si>
  <si>
    <t>POINT (-73.95819824864691 40.7992194575293)</t>
  </si>
  <si>
    <t>3I-PM-1013-05</t>
  </si>
  <si>
    <t>POINT (-73.972467515471 40.7659131865172)</t>
  </si>
  <si>
    <t>16D-PM-1010-06</t>
  </si>
  <si>
    <t>checking me out</t>
  </si>
  <si>
    <t>POINT (-73.9700330712119 40.7782913925727)</t>
  </si>
  <si>
    <t>37E-PM-1006-08</t>
  </si>
  <si>
    <t>POINT (-73.95700862122851 40.7946679755816)</t>
  </si>
  <si>
    <t>33C-AM-1012-02</t>
  </si>
  <si>
    <t>Cinnamon along back &amp; tail</t>
  </si>
  <si>
    <t>tree branches</t>
  </si>
  <si>
    <t>POINT (-73.9615402629655 40.7924082330328)</t>
  </si>
  <si>
    <t>10F-AM-1007-01</t>
  </si>
  <si>
    <t>POINT (-73.9708364583591 40.7723691587433)</t>
  </si>
  <si>
    <t>9B-PM-1013-04</t>
  </si>
  <si>
    <t>POINT (-73.9756972647636 40.773624164826)</t>
  </si>
  <si>
    <t>1C-AM-1012-01</t>
  </si>
  <si>
    <t>Gray, Black, &amp; Cinnamon selected as Primary. Cinnamon &amp; White selected as Highlights. Made executive adjustments.</t>
  </si>
  <si>
    <t>POINT (-73.9799441493404 40.7671499997527)</t>
  </si>
  <si>
    <t>7H-PM-1006-03</t>
  </si>
  <si>
    <t>POINT (-73.9709040623777 40.7701163892686)</t>
  </si>
  <si>
    <t>3F-AM-1006-09</t>
  </si>
  <si>
    <t>03F</t>
  </si>
  <si>
    <t>in grass by light post</t>
  </si>
  <si>
    <t>POINT (-73.9745227769788 40.76736182847821)</t>
  </si>
  <si>
    <t>22D-PM-1012-05</t>
  </si>
  <si>
    <t>POINT (-73.9659549963516 40.7833659689194)</t>
  </si>
  <si>
    <t>5C-PM-1010-10</t>
  </si>
  <si>
    <t>fed by woman</t>
  </si>
  <si>
    <t>POINT (-73.9763622269272 40.7704671295941)</t>
  </si>
  <si>
    <t>17E-AM-1017-06</t>
  </si>
  <si>
    <t>POINT (-73.9674688433583 40.7789728381912)</t>
  </si>
  <si>
    <t>9G-PM-1007-05</t>
  </si>
  <si>
    <t>POINT (-73.9706360005275 40.7717074044466)</t>
  </si>
  <si>
    <t>1D-PM-1007-03</t>
  </si>
  <si>
    <t>POINT (-73.9783366903829 40.7668300056094)</t>
  </si>
  <si>
    <t>35A-AM-1014-06</t>
  </si>
  <si>
    <t>POINT (-73.9622047677701 40.7945126358465)</t>
  </si>
  <si>
    <t>42I-PM-1014-03</t>
  </si>
  <si>
    <t>42I</t>
  </si>
  <si>
    <t>POINT (-73.9497217674555 40.796517007214)</t>
  </si>
  <si>
    <t>22C-PM-1006-05</t>
  </si>
  <si>
    <t>POINT (-73.9671306431211 40.783887015905705)</t>
  </si>
  <si>
    <t>4B-PM-1018-01</t>
  </si>
  <si>
    <t>POINT (-73.9786714207307 40.7696870806229)</t>
  </si>
  <si>
    <t>10B-PM-1014-03</t>
  </si>
  <si>
    <t>POINT (-73.9750992564362 40.7743391883762)</t>
  </si>
  <si>
    <t>41D-PM-1014-01</t>
  </si>
  <si>
    <t>digging,drinking</t>
  </si>
  <si>
    <t>POINT (-73.9556218199258 40.7980460204041)</t>
  </si>
  <si>
    <t>25A-AM-1013-02</t>
  </si>
  <si>
    <t>BIG TREE</t>
  </si>
  <si>
    <t>POINT (-73.9677779408464 40.7867482211349)</t>
  </si>
  <si>
    <t>35A-PM-1013-12</t>
  </si>
  <si>
    <t>POINT (-73.9612398509782 40.7950033150385)</t>
  </si>
  <si>
    <t>3I-AM-1010-04</t>
  </si>
  <si>
    <t>POINT (-73.9720553753548 40.7664488175384)</t>
  </si>
  <si>
    <t>16D-PM-1010-04</t>
  </si>
  <si>
    <t>POINT (-73.9700148248402 40.7787780193358)</t>
  </si>
  <si>
    <t>2C-PM-1013-08</t>
  </si>
  <si>
    <t>POINT (-73.9789126088606 40.7685079149692)</t>
  </si>
  <si>
    <t>7B-AM-1008-01</t>
  </si>
  <si>
    <t>POINT (-73.9771843912229 40.77236663821251)</t>
  </si>
  <si>
    <t>22F-AM-1007-07</t>
  </si>
  <si>
    <t>alert &amp; aware</t>
  </si>
  <si>
    <t>POINT (-73.9646597452128 40.7827698220703)</t>
  </si>
  <si>
    <t>6A-AM-1006-04</t>
  </si>
  <si>
    <t>curious</t>
  </si>
  <si>
    <t>POINT (-73.97826438139 40.7717086090782)</t>
  </si>
  <si>
    <t>6A-PM-1012-05</t>
  </si>
  <si>
    <t>POINT (-73.9785133301426 40.7718260288338)</t>
  </si>
  <si>
    <t>37G-PM-1007-03</t>
  </si>
  <si>
    <t>lying on belly on branch,eating big nut</t>
  </si>
  <si>
    <t>POINT (-73.9543323786888 40.7943086530436)</t>
  </si>
  <si>
    <t>13D-PM-1018-13</t>
  </si>
  <si>
    <t>Gray, Cinnamon &amp; White selected as Primary. White selected as Highlights. Made executive adjustments.</t>
  </si>
  <si>
    <t>POINT (-73.9712256765283 40.7760942872488)</t>
  </si>
  <si>
    <t>33E-AM-1014-02</t>
  </si>
  <si>
    <t>POINT (-73.9593352806175 40.7918150568046)</t>
  </si>
  <si>
    <t>14B-PM-1014-06</t>
  </si>
  <si>
    <t>14B</t>
  </si>
  <si>
    <t>skittish</t>
  </si>
  <si>
    <t>POINT (-73.9727488640736 40.7781916780621)</t>
  </si>
  <si>
    <t>7E-PM-1013-05</t>
  </si>
  <si>
    <t>On rocks</t>
  </si>
  <si>
    <t>POINT (-73.9742804552383 40.7707167671865)</t>
  </si>
  <si>
    <t>9A-AM-1013-11</t>
  </si>
  <si>
    <t>foot of tree</t>
  </si>
  <si>
    <t>POINT (-73.9769319450348 40.7743883576247)</t>
  </si>
  <si>
    <t>11D-AM-1010-06</t>
  </si>
  <si>
    <t>POINT (-73.97182708203471 40.7748300991287)</t>
  </si>
  <si>
    <t>18C-PM-1018-03</t>
  </si>
  <si>
    <t>POINT (-73.9698196671161 40.7802972001469)</t>
  </si>
  <si>
    <t>36I-PM-1007-05</t>
  </si>
  <si>
    <t>POINT (-73.9530263552489 40.7920949788358)</t>
  </si>
  <si>
    <t>1A-PM-1014-02</t>
  </si>
  <si>
    <t>01A</t>
  </si>
  <si>
    <t>POINT (-73.9808202088503 40.7682921842325)</t>
  </si>
  <si>
    <t>42G-PM-1014-01</t>
  </si>
  <si>
    <t>POINT (-73.9522291603405 40.7976985385835)</t>
  </si>
  <si>
    <t>9I-PM-1010-07</t>
  </si>
  <si>
    <t>09I</t>
  </si>
  <si>
    <t>POINT (-73.9685751595485 40.7709413567859)</t>
  </si>
  <si>
    <t>12C-AM-1013-02</t>
  </si>
  <si>
    <t>POINT (-73.9721592378418 40.776034583573)</t>
  </si>
  <si>
    <t>37G-PM-1007-04</t>
  </si>
  <si>
    <t>gray tail</t>
  </si>
  <si>
    <t>POINT (-73.9540908513075 40.794201225045)</t>
  </si>
  <si>
    <t>35E-AM-1020-03</t>
  </si>
  <si>
    <t>POINT (-73.9573930079918 40.7934570294469)</t>
  </si>
  <si>
    <t>8F-PM-1012-01</t>
  </si>
  <si>
    <t>POINT (-73.97175802286641 40.7715726159383)</t>
  </si>
  <si>
    <t>5D-PM-1018-05</t>
  </si>
  <si>
    <t>POINT (-73.9757249834141 40.7697032606755)</t>
  </si>
  <si>
    <t>34I-PM-1010-06</t>
  </si>
  <si>
    <t>POINT (-73.9547711796823 40.7908540751983)</t>
  </si>
  <si>
    <t>33E-AM-1014-09</t>
  </si>
  <si>
    <t>POINT (-73.9589675995517 40.7913119223584)</t>
  </si>
  <si>
    <t>16D-PM-1010-09</t>
  </si>
  <si>
    <t>POINT (-73.9698762023146 40.77820556881131)</t>
  </si>
  <si>
    <t>14H-AM-1007-01</t>
  </si>
  <si>
    <t>top of tree</t>
  </si>
  <si>
    <t>jumping between branches</t>
  </si>
  <si>
    <t>POINT (-73.9671549566066 40.7751342870705)</t>
  </si>
  <si>
    <t>13H-PM-1010-09</t>
  </si>
  <si>
    <t>POINT (-73.96793990973822 40.7742813149957)</t>
  </si>
  <si>
    <t>29C-AM-1007-03</t>
  </si>
  <si>
    <t>POINT (-73.9629420113622 40.789133072717)</t>
  </si>
  <si>
    <t>12G-PM-1007-05</t>
  </si>
  <si>
    <t>POINT (-73.9688466874605 40.7737911559867)</t>
  </si>
  <si>
    <t>18H-PM-1014-03</t>
  </si>
  <si>
    <t>18H</t>
  </si>
  <si>
    <t>POINT (-73.9642411990432 40.7779692777193)</t>
  </si>
  <si>
    <t>15I-AM-1008-02</t>
  </si>
  <si>
    <t>Could be same squirrel as #1?</t>
  </si>
  <si>
    <t>POINT (-73.9653279069888 40.7758743113817)</t>
  </si>
  <si>
    <t>42C-AM-1007-04</t>
  </si>
  <si>
    <t>young adult</t>
  </si>
  <si>
    <t>POINT (-73.9556937218252 40.7990928062435)</t>
  </si>
  <si>
    <t>38E-PM-1014-03</t>
  </si>
  <si>
    <t>THICK UNDERGROWTH</t>
  </si>
  <si>
    <t>POINT (-73.9558809064648 40.7952765022241)</t>
  </si>
  <si>
    <t>39C-AM-1017-04</t>
  </si>
  <si>
    <t>POINT (-73.957976896139 40.797027128241005)</t>
  </si>
  <si>
    <t>5C-PM-1010-04</t>
  </si>
  <si>
    <t>POINT (-73.97698874738522 40.7707561532949)</t>
  </si>
  <si>
    <t>14I-PM-1018-06</t>
  </si>
  <si>
    <t>POINT (-73.9655905300923 40.7752614638023)</t>
  </si>
  <si>
    <t>32E-PM-1017-01</t>
  </si>
  <si>
    <t>POINT (-73.9588886083793 40.7909991733435)</t>
  </si>
  <si>
    <t>9B-PM-1013-01</t>
  </si>
  <si>
    <t>POINT (-73.9754836796706 40.7738879545412)</t>
  </si>
  <si>
    <t>26B-AM-1010-01</t>
  </si>
  <si>
    <t>26B</t>
  </si>
  <si>
    <t>running across bridle path</t>
  </si>
  <si>
    <t>POINT (-73.9662939630722 40.7878502338031)</t>
  </si>
  <si>
    <t>31D-AM-1014-02</t>
  </si>
  <si>
    <t>Undergrowth</t>
  </si>
  <si>
    <t>POINT (-73.9613051957306 40.7909351393505)</t>
  </si>
  <si>
    <t>5C-PM-1010-11</t>
  </si>
  <si>
    <t>POINT (-73.97642353733221 40.770606513989)</t>
  </si>
  <si>
    <t>16C-AM-1014-04</t>
  </si>
  <si>
    <t>POINT (-73.9705053821577 40.7787503220242)</t>
  </si>
  <si>
    <t>5D-PM-1018-04</t>
  </si>
  <si>
    <t>Partial missing tail</t>
  </si>
  <si>
    <t>chasing (dog chasing)</t>
  </si>
  <si>
    <t>POINT (-73.9763791121438 40.770281512254)</t>
  </si>
  <si>
    <t>36B-PM-1013-03</t>
  </si>
  <si>
    <t>POINT (-73.9600165785486 40.7952466761832)</t>
  </si>
  <si>
    <t>40C-AM-1017-02</t>
  </si>
  <si>
    <t>chasing (#1)</t>
  </si>
  <si>
    <t>POINT (-73.9573724133264 40.7980080911115)</t>
  </si>
  <si>
    <t>28I-AM-1013-01</t>
  </si>
  <si>
    <t>28I</t>
  </si>
  <si>
    <t>Jumped onto path &amp; then back into brush</t>
  </si>
  <si>
    <t>stood on fence</t>
  </si>
  <si>
    <t>POINT (-73.9580109357087 40.7855654405447)</t>
  </si>
  <si>
    <t>38F-AM-1018-04</t>
  </si>
  <si>
    <t>POINT (-73.95488778301362 40.7950157489103)</t>
  </si>
  <si>
    <t>1F-AM-1010-01</t>
  </si>
  <si>
    <t>01F</t>
  </si>
  <si>
    <t>POINT (-73.9767314435027 40.7661199889431)</t>
  </si>
  <si>
    <t>26A-AM-1014-01</t>
  </si>
  <si>
    <t>could not get close due to fences</t>
  </si>
  <si>
    <t>POINT (-73.9673243699918 40.7875392957722)</t>
  </si>
  <si>
    <t>32E-AM-1007-05</t>
  </si>
  <si>
    <t>POINT (-73.9596375907038 40.79073477083531)</t>
  </si>
  <si>
    <t>17F-PM-1020-04</t>
  </si>
  <si>
    <t>POINT (-73.9673235555321 40.7786749596774)</t>
  </si>
  <si>
    <t>11A-PM-1013-03</t>
  </si>
  <si>
    <t>POINT (-73.9757536187319 40.7755119810678)</t>
  </si>
  <si>
    <t>17E-AM-1017-01</t>
  </si>
  <si>
    <t>Pond area</t>
  </si>
  <si>
    <t>POINT (-73.9675047480308 40.7789234397249)</t>
  </si>
  <si>
    <t>31I-PM-1019-02</t>
  </si>
  <si>
    <t>31I</t>
  </si>
  <si>
    <t>POINT (-73.9562765288004 40.7880617963868)</t>
  </si>
  <si>
    <t>32H-PM-1006-02</t>
  </si>
  <si>
    <t>POINT (-73.9558589529608 40.7892400394941)</t>
  </si>
  <si>
    <t>6A-PM-1012-07</t>
  </si>
  <si>
    <t>elevated ground</t>
  </si>
  <si>
    <t>POINT (-73.9785536529136 40.771618450500206)</t>
  </si>
  <si>
    <t>17A-AM-1017-01</t>
  </si>
  <si>
    <t>17A</t>
  </si>
  <si>
    <t>ground &amp; tree</t>
  </si>
  <si>
    <t>POINT (-73.9719036217446 40.7803588122409)</t>
  </si>
  <si>
    <t>40C-AM-1017-07</t>
  </si>
  <si>
    <t>POINT (-73.9568382279233 40.7975685470963)</t>
  </si>
  <si>
    <t>8A-PM-1014-01</t>
  </si>
  <si>
    <t>runs from (goes up a tree)</t>
  </si>
  <si>
    <t>POINT (-73.976730206737 40.773709213914)</t>
  </si>
  <si>
    <t>13C-PM-1019-05</t>
  </si>
  <si>
    <t>POINT (-73.972212563004 40.7761311465857)</t>
  </si>
  <si>
    <t>4E-PM-1008-03</t>
  </si>
  <si>
    <t>chasing #4</t>
  </si>
  <si>
    <t>POINT (-73.9758152322587 40.7692377401467)</t>
  </si>
  <si>
    <t>41E-PM-1013-05</t>
  </si>
  <si>
    <t>White tail</t>
  </si>
  <si>
    <t>POINT (-73.954092292214 40.7979800395433)</t>
  </si>
  <si>
    <t>3H-AM-1008-05</t>
  </si>
  <si>
    <t>03H</t>
  </si>
  <si>
    <t>POINT (-73.9734762649298 40.7663703404546)</t>
  </si>
  <si>
    <t>41E-AM-1007-02</t>
  </si>
  <si>
    <t>POINT (-73.9539400028236 40.79800412717)</t>
  </si>
  <si>
    <t>40E-AM-1014-03</t>
  </si>
  <si>
    <t>POINT (-73.9554891003543 40.79687745996541)</t>
  </si>
  <si>
    <t>2A-AM-1010-02</t>
  </si>
  <si>
    <t>02A</t>
  </si>
  <si>
    <t>perched on small fence</t>
  </si>
  <si>
    <t>POINT (-73.9809610117171 40.7683896665502)</t>
  </si>
  <si>
    <t>3A-PM-1017-03</t>
  </si>
  <si>
    <t>POINT (-73.9801661903932 40.7697950141751)</t>
  </si>
  <si>
    <t>30I-PM-1006-02</t>
  </si>
  <si>
    <t>30I</t>
  </si>
  <si>
    <t>POINT (-73.9570056123953 40.7878756067582)</t>
  </si>
  <si>
    <t>17C-PM-1013-01</t>
  </si>
  <si>
    <t>then perched on 2-ft high border fencing</t>
  </si>
  <si>
    <t>POINT (-73.9703401385684 40.7795238784266)</t>
  </si>
  <si>
    <t>9A-AM-1013-04</t>
  </si>
  <si>
    <t>POINT (-73.976769659152 40.7741908010484)</t>
  </si>
  <si>
    <t>9E-PM-1014-02</t>
  </si>
  <si>
    <t>09E</t>
  </si>
  <si>
    <t>Black, Cinnamon</t>
  </si>
  <si>
    <t>Gray+Black, Cinnamon</t>
  </si>
  <si>
    <t>POINT (-73.9728783802067 40.7731671049246)</t>
  </si>
  <si>
    <t>41D-AM-1014-02</t>
  </si>
  <si>
    <t>POINT (-73.9553726714504 40.7987578541123)</t>
  </si>
  <si>
    <t>14G-AM-1012-02</t>
  </si>
  <si>
    <t>POINT (-73.9679008849677 40.7759013923034)</t>
  </si>
  <si>
    <t>7H-PM-1006-09</t>
  </si>
  <si>
    <t>by tree</t>
  </si>
  <si>
    <t>POINT (-73.9704575848926 40.7693499326095)</t>
  </si>
  <si>
    <t>38D-AM-1017-03</t>
  </si>
  <si>
    <t>POINT (-73.9572686979412 40.796268457326)</t>
  </si>
  <si>
    <t>22F-AM-1007-03</t>
  </si>
  <si>
    <t>large white highlight</t>
  </si>
  <si>
    <t>POINT (-73.9638298997554 40.7825966332367)</t>
  </si>
  <si>
    <t>5I-AM-1010-01</t>
  </si>
  <si>
    <t>POINT (-73.9700759073973 40.7680560871695)</t>
  </si>
  <si>
    <t>12C-AM-1013-01</t>
  </si>
  <si>
    <t>POINT (-73.9721854790038 40.7761086352438)</t>
  </si>
  <si>
    <t>3E-AM-1006-02</t>
  </si>
  <si>
    <t>POINT (-73.9766440589836 40.7682390282581)</t>
  </si>
  <si>
    <t>3H-PM-1014-07</t>
  </si>
  <si>
    <t>POINT (-73.9725174868556 40.7664248283566)</t>
  </si>
  <si>
    <t>39D-AM-1008-03</t>
  </si>
  <si>
    <t>39D</t>
  </si>
  <si>
    <t>POINT (-73.9563661256875 40.7966823114508)</t>
  </si>
  <si>
    <t>9I-AM-1014-09</t>
  </si>
  <si>
    <t>POINT (-73.96870277827261 40.7705162616199)</t>
  </si>
  <si>
    <t>28D-AM-1012-04</t>
  </si>
  <si>
    <t>POINT (-73.9624538733037 40.7883829851518)</t>
  </si>
  <si>
    <t>10G-AM-1006-07</t>
  </si>
  <si>
    <t>POINT (-73.9706903740547 40.77268737606871)</t>
  </si>
  <si>
    <t>1B-AM-1012-10</t>
  </si>
  <si>
    <t>POINT (-73.9802079259866 40.7678723471007)</t>
  </si>
  <si>
    <t>32D-PM-1006-04</t>
  </si>
  <si>
    <t>POINT (-73.9602398690946 40.7910157676119)</t>
  </si>
  <si>
    <t>5I-AM-1010-02</t>
  </si>
  <si>
    <t>POINT (-73.9709244006956 40.7676942639697)</t>
  </si>
  <si>
    <t>32F-PM-1008-05</t>
  </si>
  <si>
    <t>POINT (-73.9588708103486 40.7905794078843)</t>
  </si>
  <si>
    <t>34E-PM-1006-01</t>
  </si>
  <si>
    <t>34E</t>
  </si>
  <si>
    <t>sitting and watching on a tree</t>
  </si>
  <si>
    <t>POINT (-73.958417813526 40.7927301214476)</t>
  </si>
  <si>
    <t>2D-AM-1007-01</t>
  </si>
  <si>
    <t>POINT (-73.9779811967788 40.7675178797546)</t>
  </si>
  <si>
    <t>3E-AM-1006-01</t>
  </si>
  <si>
    <t>POINT (-73.9759830650957 40.7683034739069)</t>
  </si>
  <si>
    <t>5I-AM-1010-05</t>
  </si>
  <si>
    <t>POINT (-73.9710207438538 40.7682187144432)</t>
  </si>
  <si>
    <t>3A-PM-1017-08</t>
  </si>
  <si>
    <t>POINT (-73.9799155966086 40.7698034314993)</t>
  </si>
  <si>
    <t>4C-PM-1010-11</t>
  </si>
  <si>
    <t>POINT (-73.977447585355 40.7697167828003)</t>
  </si>
  <si>
    <t>40E-PM-1017-02</t>
  </si>
  <si>
    <t>POINT (-73.955018489069 40.7971235333699)</t>
  </si>
  <si>
    <t>38E-AM-1010-02</t>
  </si>
  <si>
    <t>climbs</t>
  </si>
  <si>
    <t>POINT (-73.95640114211221 40.7958097849369)</t>
  </si>
  <si>
    <t>32I-AM-1013-04</t>
  </si>
  <si>
    <t>POINT (-73.9552880892701 40.7889040503316)</t>
  </si>
  <si>
    <t>19F-PM-1017-06</t>
  </si>
  <si>
    <t>POINT (-73.9651828383592 40.7802820943863)</t>
  </si>
  <si>
    <t>13E-AM-1017-11</t>
  </si>
  <si>
    <t>on/in log</t>
  </si>
  <si>
    <t>POINT (-73.9707683621584 40.77598155661231)</t>
  </si>
  <si>
    <t>14F-PM-1012-07</t>
  </si>
  <si>
    <t>POINT (-73.9691057326088 40.7765973509721)</t>
  </si>
  <si>
    <t>19F-AM-1007-01</t>
  </si>
  <si>
    <t>bit scared</t>
  </si>
  <si>
    <t>POINT (-73.9658181813014 40.7798160637561)</t>
  </si>
  <si>
    <t>2F-PM-1014-12</t>
  </si>
  <si>
    <t>POINT (-73.97537445393071 40.7671162211032)</t>
  </si>
  <si>
    <t>17D-AM-1008-06</t>
  </si>
  <si>
    <t>17D</t>
  </si>
  <si>
    <t>high in tree, couldn't see it, only heard it</t>
  </si>
  <si>
    <t>POINT (-73.9695745672033 40.7791835122147)</t>
  </si>
  <si>
    <t>37C-PM-1013-01</t>
  </si>
  <si>
    <t>POINT (-73.9580785600617 40.7957981310897)</t>
  </si>
  <si>
    <t>13E-PM-1008-05</t>
  </si>
  <si>
    <t>POINT (-73.970595381455 40.7762912142457)</t>
  </si>
  <si>
    <t>9A-PM-1010-01</t>
  </si>
  <si>
    <t>by large tree in sectioned off area</t>
  </si>
  <si>
    <t>i think it climbed the tree when i first saw it.</t>
  </si>
  <si>
    <t>POINT (-73.9767949141123 40.774454583585)</t>
  </si>
  <si>
    <t>18C-PM-1018-08</t>
  </si>
  <si>
    <t>POINT (-73.9695964983454 40.7802302192799)</t>
  </si>
  <si>
    <t>26I-PM-1010-04</t>
  </si>
  <si>
    <t>POINT (-73.95945293109851 40.7840492606552)</t>
  </si>
  <si>
    <t>21A-AM-1019-06</t>
  </si>
  <si>
    <t>21A</t>
  </si>
  <si>
    <t>POINT (-73.969353372175 40.7838247422369)</t>
  </si>
  <si>
    <t>16D-AM-1007-02</t>
  </si>
  <si>
    <t>POINT (-73.9698032734704 40.7782343912417)</t>
  </si>
  <si>
    <t>13G-PM-1008-03</t>
  </si>
  <si>
    <t>13G</t>
  </si>
  <si>
    <t>maple tree</t>
  </si>
  <si>
    <t>POINT (-73.9685080639873 40.77453097941551)</t>
  </si>
  <si>
    <t>15I-AM-1008-05</t>
  </si>
  <si>
    <t>POINT (-73.9656098194149 40.7757643078973)</t>
  </si>
  <si>
    <t>7H-PM-1006-05</t>
  </si>
  <si>
    <t>Ran across path to eat behind fence, next to the fence.</t>
  </si>
  <si>
    <t>POINT (-73.970465600402 40.7701125773248)</t>
  </si>
  <si>
    <t>32F-AM-1012-03</t>
  </si>
  <si>
    <t>bringing green leaves to nest</t>
  </si>
  <si>
    <t>POINT (-73.9585537668382 40.7903905787005)</t>
  </si>
  <si>
    <t>42H-AM-1019-01</t>
  </si>
  <si>
    <t>POINT (-73.9504693544225 40.797225436004)</t>
  </si>
  <si>
    <t>8I-AM-1006-12</t>
  </si>
  <si>
    <t>POINT (-73.9691261755936 40.7702929428604)</t>
  </si>
  <si>
    <t>40G-PM-1013-06</t>
  </si>
  <si>
    <t>along the road</t>
  </si>
  <si>
    <t>POINT (-73.9529230207908 40.7960663442573)</t>
  </si>
  <si>
    <t>21G-AM-1014-03</t>
  </si>
  <si>
    <t>POINT (-73.963858549251 40.7808999610914)</t>
  </si>
  <si>
    <t>38D-AM-1017-05</t>
  </si>
  <si>
    <t>Black stripe along sides</t>
  </si>
  <si>
    <t>eating (nut)</t>
  </si>
  <si>
    <t>POINT (-73.9576304473722 40.7959810622342)</t>
  </si>
  <si>
    <t>2C-AM-1010-09</t>
  </si>
  <si>
    <t>climbed up tree as i neared</t>
  </si>
  <si>
    <t>POINT (-73.9793565564361 40.7679259390448)</t>
  </si>
  <si>
    <t>3D-PM-1010-01</t>
  </si>
  <si>
    <t>POINT (-73.9779228287629 40.7681019683859)</t>
  </si>
  <si>
    <t>35F-PM-1012-01</t>
  </si>
  <si>
    <t>35F</t>
  </si>
  <si>
    <t>POINT (-73.9570132570934 40.7932014159087)</t>
  </si>
  <si>
    <t>33B-AM-1010-06</t>
  </si>
  <si>
    <t>POINT (-73.961547503801 40.7931560668672)</t>
  </si>
  <si>
    <t>35C-AM-1007-06</t>
  </si>
  <si>
    <t>POINT (-73.9592819491968 40.7941062008626)</t>
  </si>
  <si>
    <t>38I-PM-1014-04</t>
  </si>
  <si>
    <t>38I</t>
  </si>
  <si>
    <t>POINT (-73.9519387881692 40.7936273636929)</t>
  </si>
  <si>
    <t>9H-PM-1018-01</t>
  </si>
  <si>
    <t>09H</t>
  </si>
  <si>
    <t>POINT (-73.96955698970422 40.7712062147171)</t>
  </si>
  <si>
    <t>9A-PM-1010-02</t>
  </si>
  <si>
    <t>POINT (-73.9767980925124 40.774362775678)</t>
  </si>
  <si>
    <t>7E-AM-1006-06</t>
  </si>
  <si>
    <t>POINT (-73.9736169886655 40.7714942196257)</t>
  </si>
  <si>
    <t>40C-AM-1017-06</t>
  </si>
  <si>
    <t>POINT (-73.956200809768 40.798181446265)</t>
  </si>
  <si>
    <t>14F-AM-1007-03</t>
  </si>
  <si>
    <t>POINT (-73.9691585756191 40.776340465695)</t>
  </si>
  <si>
    <t>4D-PM-1008-14</t>
  </si>
  <si>
    <t>POINT (-73.9772026572674 40.7691598773017)</t>
  </si>
  <si>
    <t>5E-AM-1008-03</t>
  </si>
  <si>
    <t>POINT (-73.9745427984089 40.7691848214817)</t>
  </si>
  <si>
    <t>40C-PM-1006-08</t>
  </si>
  <si>
    <t>By the main road</t>
  </si>
  <si>
    <t>POINT (-73.9574749571848 40.7981898890735)</t>
  </si>
  <si>
    <t>15H-PM-1008-07</t>
  </si>
  <si>
    <t>along bottom of rock outcropping</t>
  </si>
  <si>
    <t>POINT (-73.9661694463488 40.7757530583569)</t>
  </si>
  <si>
    <t>30C-AM-1014-01</t>
  </si>
  <si>
    <t>30C</t>
  </si>
  <si>
    <t>POINT (-73.9626881234742 40.7905208345549)</t>
  </si>
  <si>
    <t>19E-PM-1018-01</t>
  </si>
  <si>
    <t>19E</t>
  </si>
  <si>
    <t>POINT (-73.9669814346326 40.780390919948)</t>
  </si>
  <si>
    <t>4I-PM-1007-02</t>
  </si>
  <si>
    <t>POINT (-73.9718262034469 40.7666771797442)</t>
  </si>
  <si>
    <t>8D-AM-1007-07</t>
  </si>
  <si>
    <t>08D</t>
  </si>
  <si>
    <t>POINT (-73.9745953710328 40.7728284025195)</t>
  </si>
  <si>
    <t>19F-PM-1017-03</t>
  </si>
  <si>
    <t>POINT (-73.9654397484763 40.7798863522904)</t>
  </si>
  <si>
    <t>36I-AM-1017-08</t>
  </si>
  <si>
    <t>chasing (#7)</t>
  </si>
  <si>
    <t>POINT (-73.95329527631061 40.7920074462622)</t>
  </si>
  <si>
    <t>14F-AM-1007-06</t>
  </si>
  <si>
    <t>POINT (-73.9689627791 40.776062004359)</t>
  </si>
  <si>
    <t>14A-PM-1014-06</t>
  </si>
  <si>
    <t>POINT (-73.973305698325 40.7783823311296)</t>
  </si>
  <si>
    <t>21G-PM-1007-04</t>
  </si>
  <si>
    <t>POINT (-73.9634563222926 40.780992836417)</t>
  </si>
  <si>
    <t>32D-PM-1006-03</t>
  </si>
  <si>
    <t>POINT (-73.9602913105578 40.7910635810038)</t>
  </si>
  <si>
    <t>4C-PM-1010-15</t>
  </si>
  <si>
    <t>on tree</t>
  </si>
  <si>
    <t>chasing #14</t>
  </si>
  <si>
    <t>POINT (-73.9776044578446 40.7697607308033)</t>
  </si>
  <si>
    <t>31D-PM-1006-01</t>
  </si>
  <si>
    <t>POINT (-73.9607280801601 40.7901506706248)</t>
  </si>
  <si>
    <t>4G-AM-1006-04</t>
  </si>
  <si>
    <t>POINT (-73.9733545802515 40.7675056025357)</t>
  </si>
  <si>
    <t>17D-AM-1008-02</t>
  </si>
  <si>
    <t>POINT (-73.9695041366722 40.7797878809482)</t>
  </si>
  <si>
    <t>8B-AM-1007-01</t>
  </si>
  <si>
    <t>POINT (-73.9764397550289 40.7737004557104)</t>
  </si>
  <si>
    <t>14D-AM-1014-11</t>
  </si>
  <si>
    <t>POINT (-73.9714921188372 40.776758371867)</t>
  </si>
  <si>
    <t>9F-PM-1014-05</t>
  </si>
  <si>
    <t>POINT (-73.971379936565 40.7721434941226)</t>
  </si>
  <si>
    <t>20F-AM-1014-01</t>
  </si>
  <si>
    <t>POINT (-73.9660110060416 40.7809990098597)</t>
  </si>
  <si>
    <t>10F-PM-1019-06</t>
  </si>
  <si>
    <t>Different tree</t>
  </si>
  <si>
    <t>POINT (-73.9711176999471 40.7724278547281)</t>
  </si>
  <si>
    <t>4H-AM-1006-02</t>
  </si>
  <si>
    <t>04H</t>
  </si>
  <si>
    <t>climbing (over small wire fence then on the ground)</t>
  </si>
  <si>
    <t>approaches (saw me &amp; came forward),runs from (startled by another person)</t>
  </si>
  <si>
    <t>POINT (-73.9725712588741 40.7669101832926)</t>
  </si>
  <si>
    <t>33B-PM-1010-10</t>
  </si>
  <si>
    <t>POINT (-73.9620597449066 40.7922465876813)</t>
  </si>
  <si>
    <t>33F-PM-1012-06</t>
  </si>
  <si>
    <t>POINT (-73.9583477850634 40.7914073632782)</t>
  </si>
  <si>
    <t>3B-PM-1007-10</t>
  </si>
  <si>
    <t>hopping</t>
  </si>
  <si>
    <t>POINT (-73.9790214253443 40.7686791169776)</t>
  </si>
  <si>
    <t>2E-PM-1014-02</t>
  </si>
  <si>
    <t>POINT (-73.9767016963397 40.7674012784541)</t>
  </si>
  <si>
    <t>36F-AM-1017-04</t>
  </si>
  <si>
    <t>White legs, front &amp; back</t>
  </si>
  <si>
    <t>approaches (me),runs from (me)</t>
  </si>
  <si>
    <t>POINT (-73.9565035705619 40.7937382705056)</t>
  </si>
  <si>
    <t>13A-PM-1014-02</t>
  </si>
  <si>
    <t>POINT (-73.9745687653791 40.7776396926997)</t>
  </si>
  <si>
    <t>16G-AM-1010-02</t>
  </si>
  <si>
    <t>POINT (-73.9671640520938 40.7772236833816)</t>
  </si>
  <si>
    <t>37B-AM-1018-01</t>
  </si>
  <si>
    <t>POINT (-73.9591407691 40.7960846903122)</t>
  </si>
  <si>
    <t>7B-AM-1008-02</t>
  </si>
  <si>
    <t>POINT (-73.9771422625274 40.772361415776)</t>
  </si>
  <si>
    <t>3F-PM-1013-03</t>
  </si>
  <si>
    <t>POINT (-73.9756603846107 40.7672531319384)</t>
  </si>
  <si>
    <t>15E-PM-1008-01</t>
  </si>
  <si>
    <t>on fallen tree</t>
  </si>
  <si>
    <t>POINT (-73.9686304581526 40.7773631337117)</t>
  </si>
  <si>
    <t>15D-AM-1007-07</t>
  </si>
  <si>
    <t>POINT (-73.9699672074164 40.7774389345748)</t>
  </si>
  <si>
    <t>20C-PM-1018-01</t>
  </si>
  <si>
    <t>POINT (-73.9683479943823 40.7815827298303)</t>
  </si>
  <si>
    <t>9A-PM-1010-03</t>
  </si>
  <si>
    <t>froze - standing on hind legs for ~10 seconds then scampered off</t>
  </si>
  <si>
    <t>POINT (-73.97686176907251 40.7741877060705)</t>
  </si>
  <si>
    <t>4H-AM-1006-04</t>
  </si>
  <si>
    <t>met #3 while foraging and briefly tussled</t>
  </si>
  <si>
    <t>POINT (-73.9729378674198 40.7672407594559)</t>
  </si>
  <si>
    <t>33G-PM-1006-01</t>
  </si>
  <si>
    <t>POINT (-73.9563203089105 40.7906275357726)</t>
  </si>
  <si>
    <t>41B-PM-1014-02</t>
  </si>
  <si>
    <t>POINT (-73.9579941847434 40.7991216713328)</t>
  </si>
  <si>
    <t>4C-AM-1006-02</t>
  </si>
  <si>
    <t>POINT (-73.9773079154219 40.7696506688861)</t>
  </si>
  <si>
    <t>7A-AM-1006-03</t>
  </si>
  <si>
    <t>3/4 length tail, hair loss</t>
  </si>
  <si>
    <t>in trees, then to ground</t>
  </si>
  <si>
    <t>POINT (-73.9783185278595 40.7724861675504)</t>
  </si>
  <si>
    <t>12E-AM-1017-08</t>
  </si>
  <si>
    <t>POINT (-73.9703621616472 40.775032271482)</t>
  </si>
  <si>
    <t>14E-AM-1008-17</t>
  </si>
  <si>
    <t>POINT (-73.96995111812402 40.7762756593015)</t>
  </si>
  <si>
    <t>18A-AM-1012-02</t>
  </si>
  <si>
    <t>POINT (-73.9718234159557 40.7810842503715)</t>
  </si>
  <si>
    <t>8C-PM-1013-07</t>
  </si>
  <si>
    <t>POINT (-73.975062146111 40.7723417173451)</t>
  </si>
  <si>
    <t>23B-PM-1012-02</t>
  </si>
  <si>
    <t>23B</t>
  </si>
  <si>
    <t>2/3 were chasing each other</t>
  </si>
  <si>
    <t>POINT (-73.9679291347956 40.7846973096665)</t>
  </si>
  <si>
    <t>6B-PM-1017-06</t>
  </si>
  <si>
    <t>POINT (-73.9767455430709 40.7717866237826)</t>
  </si>
  <si>
    <t>13A-AM-1017-01</t>
  </si>
  <si>
    <t>POINT (-73.9746608786299 40.7776092078254)</t>
  </si>
  <si>
    <t>23B-PM-1012-05</t>
  </si>
  <si>
    <t>chain link fence</t>
  </si>
  <si>
    <t>POINT (-73.96797780019 40.7847629473258)</t>
  </si>
  <si>
    <t>21B-AM-1019-02</t>
  </si>
  <si>
    <t>POINT (-73.9684463154398 40.7834813319352)</t>
  </si>
  <si>
    <t>20F-AM-1014-02</t>
  </si>
  <si>
    <t>pulling leaves</t>
  </si>
  <si>
    <t>POINT (-73.9655734633649 40.7805366922231)</t>
  </si>
  <si>
    <t>11D-AM-1010-01</t>
  </si>
  <si>
    <t>POINT (-73.9729394928432 40.7743256716496)</t>
  </si>
  <si>
    <t>9B-AM-1010-01</t>
  </si>
  <si>
    <t>POINT (-73.976521916284 40.773784724458)</t>
  </si>
  <si>
    <t>33D-AM-1017-07</t>
  </si>
  <si>
    <t>POINT (-73.9597782762029 40.7920773376757)</t>
  </si>
  <si>
    <t>20G-AM-1018-02</t>
  </si>
  <si>
    <t>20G</t>
  </si>
  <si>
    <t>Ran up tree</t>
  </si>
  <si>
    <t>POINT (-73.9648626810032 40.7804506112843)</t>
  </si>
  <si>
    <t>33E-PM-1012-07</t>
  </si>
  <si>
    <t>POINT (-73.9584188461059 40.7913241048498)</t>
  </si>
  <si>
    <t>31H-PM-1008-01</t>
  </si>
  <si>
    <t>POINT (-73.9566189145352 40.7883417969746)</t>
  </si>
  <si>
    <t>26A-PM-1006-03</t>
  </si>
  <si>
    <t>POINT (-73.9673603655908 40.7876974177782)</t>
  </si>
  <si>
    <t>31E-PM-1006-01</t>
  </si>
  <si>
    <t>POINT (-73.9595757792683 40.7899242643847)</t>
  </si>
  <si>
    <t>14F-PM-1012-02</t>
  </si>
  <si>
    <t>POINT (-73.9686816795392 40.775770422667)</t>
  </si>
  <si>
    <t>17G-AM-1018-01</t>
  </si>
  <si>
    <t>17G</t>
  </si>
  <si>
    <t>POINT (-73.9654210263521 40.77825296925751)</t>
  </si>
  <si>
    <t>17E-AM-1017-03</t>
  </si>
  <si>
    <t>Tree trunk</t>
  </si>
  <si>
    <t>POINT (-73.9677054870327 40.778992870166)</t>
  </si>
  <si>
    <t>10C-PM-1013-02</t>
  </si>
  <si>
    <t>POINT (-73.9745305540008 40.7742043234014)</t>
  </si>
  <si>
    <t>22C-PM-1006-06</t>
  </si>
  <si>
    <t>POINT (-73.9675472064204 40.7835947167436)</t>
  </si>
  <si>
    <t>35G-AM-1007-01</t>
  </si>
  <si>
    <t>35G</t>
  </si>
  <si>
    <t>POINT (-73.955516031113 40.7923188156277)</t>
  </si>
  <si>
    <t>16C-PM-1018-01</t>
  </si>
  <si>
    <t>disappeared up other side of tree</t>
  </si>
  <si>
    <t>POINT (-73.9710559113762 40.7794279914209)</t>
  </si>
  <si>
    <t>25A-AM-1013-03</t>
  </si>
  <si>
    <t>being chased by #2</t>
  </si>
  <si>
    <t>POINT (-73.9677654289757 40.786785529449)</t>
  </si>
  <si>
    <t>16D-PM-1010-01</t>
  </si>
  <si>
    <t>POINT (-73.9694784056618 40.7787735291442)</t>
  </si>
  <si>
    <t>22F-PM-1014-03</t>
  </si>
  <si>
    <t>POINT (-73.9649658099293 40.7823262369074)</t>
  </si>
  <si>
    <t>33B-PM-1010-12</t>
  </si>
  <si>
    <t>POINT (-73.9619417432685 40.7930365939865)</t>
  </si>
  <si>
    <t>36I-AM-1017-03</t>
  </si>
  <si>
    <t>POINT (-73.953296595236 40.7927644594513)</t>
  </si>
  <si>
    <t>2I-PM-1006-02</t>
  </si>
  <si>
    <t>02I</t>
  </si>
  <si>
    <t>POINT (-73.9725157534356 40.7658376729234)</t>
  </si>
  <si>
    <t>12G-AM-1012-01</t>
  </si>
  <si>
    <t>POINT (-73.9687476703117 40.7742856696093)</t>
  </si>
  <si>
    <t>25A-PM-1007-01</t>
  </si>
  <si>
    <t>POINT (-73.9675023138703 40.7872554700995)</t>
  </si>
  <si>
    <t>9C-PM-1006-06</t>
  </si>
  <si>
    <t>POINT (-73.97450405175022 40.77333038538)</t>
  </si>
  <si>
    <t>6B-PM-1017-03</t>
  </si>
  <si>
    <t>POINT (-73.9772635911119 40.7709428872533)</t>
  </si>
  <si>
    <t>10D-AM-1008-05</t>
  </si>
  <si>
    <t>10D</t>
  </si>
  <si>
    <t>POINT (-73.9730115687964 40.7741018274312)</t>
  </si>
  <si>
    <t>14B-PM-1014-05</t>
  </si>
  <si>
    <t>POINT (-73.9730111650468 40.7782157736204)</t>
  </si>
  <si>
    <t>2C-PM-1013-09</t>
  </si>
  <si>
    <t>POINT (-73.9790010565108 40.7685732369544)</t>
  </si>
  <si>
    <t>41A-PM-1007-05</t>
  </si>
  <si>
    <t>POINT (-73.9582523503306 40.7996897499473)</t>
  </si>
  <si>
    <t>13E-AM-1017-12</t>
  </si>
  <si>
    <t>POINT (-73.9706641770728 40.7759229213762)</t>
  </si>
  <si>
    <t>15E-AM-1013-02</t>
  </si>
  <si>
    <t>POINT (-73.969345754447 40.7770429650288)</t>
  </si>
  <si>
    <t>1B-AM-1012-17</t>
  </si>
  <si>
    <t>POINT (-73.98085422862802 40.7678702158382)</t>
  </si>
  <si>
    <t>36I-PM-1007-06</t>
  </si>
  <si>
    <t>POINT (-73.9529413156461 40.7920963446605)</t>
  </si>
  <si>
    <t>15F-AM-1007-08</t>
  </si>
  <si>
    <t>POINT (-73.9682144039334 40.7773070675393)</t>
  </si>
  <si>
    <t>8D-AM-1007-08</t>
  </si>
  <si>
    <t>communicating from tree</t>
  </si>
  <si>
    <t>POINT (-73.97433423035481 40.7727742948332)</t>
  </si>
  <si>
    <t>41A-AM-1013-01</t>
  </si>
  <si>
    <t>ran across a path</t>
  </si>
  <si>
    <t>POINT (-73.958494212554 40.7995008636057)</t>
  </si>
  <si>
    <t>8I-PM-1013-09</t>
  </si>
  <si>
    <t>POINT (-73.9697983725608 40.7700677022205)</t>
  </si>
  <si>
    <t>19B-AM-1019-01</t>
  </si>
  <si>
    <t>Side stripes</t>
  </si>
  <si>
    <t>POINT (-73.9697196619878 40.7814068507607)</t>
  </si>
  <si>
    <t>15D-PM-1017-04</t>
  </si>
  <si>
    <t>POINT (-73.9706851546184 40.7780777016038)</t>
  </si>
  <si>
    <t>13E-AM-1017-02</t>
  </si>
  <si>
    <t>begging (came one yard away from me and stood there)</t>
  </si>
  <si>
    <t>POINT (-73.970475755546 40.7763348062134)</t>
  </si>
  <si>
    <t>3D-PM-1010-10</t>
  </si>
  <si>
    <t>POINT (-73.9777259022441 40.7682059907903)</t>
  </si>
  <si>
    <t>15C-PM-1017-02</t>
  </si>
  <si>
    <t>POINT (-73.9716881838671 40.778553537087)</t>
  </si>
  <si>
    <t>32A-PM-1013-09</t>
  </si>
  <si>
    <t>POINT (-73.9633250636501 40.7922155082679)</t>
  </si>
  <si>
    <t>15G-AM-1008-05</t>
  </si>
  <si>
    <t>POINT (-73.967418114684 40.7764595360054)</t>
  </si>
  <si>
    <t>7B-AM-1008-03</t>
  </si>
  <si>
    <t>POINT (-73.9771695272048 40.7724277276263)</t>
  </si>
  <si>
    <t>15E-PM-1008-07</t>
  </si>
  <si>
    <t>POINT (-73.9699675160516 40.7773012642758)</t>
  </si>
  <si>
    <t>4D-PM-1008-01</t>
  </si>
  <si>
    <t>POINT (-73.9758959798289 40.7694125671679)</t>
  </si>
  <si>
    <t>36A-PM-1013-06</t>
  </si>
  <si>
    <t>EDGE OF WOODS</t>
  </si>
  <si>
    <t>POINT (-73.9607608482656 40.7954687648248)</t>
  </si>
  <si>
    <t>8C-PM-1013-02</t>
  </si>
  <si>
    <t>POINT (-73.9753283783695 40.7733043910649)</t>
  </si>
  <si>
    <t>6A-AM-1006-07</t>
  </si>
  <si>
    <t>POINT (-73.9785300509908 40.7721127748427)</t>
  </si>
  <si>
    <t>41E-AM-1007-01</t>
  </si>
  <si>
    <t>white haunches</t>
  </si>
  <si>
    <t>POINT (-73.9540022445432 40.7979409854977)</t>
  </si>
  <si>
    <t>31D-AM-1014-06</t>
  </si>
  <si>
    <t>POINT (-73.9608757424052 40.7906686504657)</t>
  </si>
  <si>
    <t>36B-AM-1013-02</t>
  </si>
  <si>
    <t>didn't see me</t>
  </si>
  <si>
    <t>POINT (-73.9603620122205 40.7955965755851)</t>
  </si>
  <si>
    <t>3A-AM-1012-03</t>
  </si>
  <si>
    <t>Gray &amp; Cinnamon selected as Primary. Black selected as Highlights. Made executive adjustments.</t>
  </si>
  <si>
    <t>POINT (-73.9801902133148 40.769557595068)</t>
  </si>
  <si>
    <t>34D-AM-1008-02</t>
  </si>
  <si>
    <t>POINT (-73.959077668148 40.7926045823346)</t>
  </si>
  <si>
    <t>41B-AM-1010-09</t>
  </si>
  <si>
    <t>POINT (-73.9576559099012 40.7992598626483)</t>
  </si>
  <si>
    <t>39F-AM-1014-04</t>
  </si>
  <si>
    <t>POINT (-73.954595058342 40.7956567934304)</t>
  </si>
  <si>
    <t>37B-PM-1013-04</t>
  </si>
  <si>
    <t>POINT (-73.9606344681252 40.795833778064406)</t>
  </si>
  <si>
    <t>39C-PM-1006-03</t>
  </si>
  <si>
    <t>POINT (-73.9580105174865 40.7974468322692)</t>
  </si>
  <si>
    <t>37F-PM-1014-02</t>
  </si>
  <si>
    <t>LAWN</t>
  </si>
  <si>
    <t>POINT (-73.95572635334891 40.7939505791448)</t>
  </si>
  <si>
    <t>21A-AM-1019-08</t>
  </si>
  <si>
    <t>POINT (-73.97002473509 40.7836929044459)</t>
  </si>
  <si>
    <t>34I-PM-1010-03</t>
  </si>
  <si>
    <t>in the playground.</t>
  </si>
  <si>
    <t>with some nuts in the mouth</t>
  </si>
  <si>
    <t>POINT (-73.9545101041865 40.7903823616782)</t>
  </si>
  <si>
    <t>16C-AM-1014-02</t>
  </si>
  <si>
    <t>POINT (-73.97118011225781 40.77868889422141)</t>
  </si>
  <si>
    <t>31E-PM-1006-03</t>
  </si>
  <si>
    <t>POINT (-73.9595645962539 40.7899599350145)</t>
  </si>
  <si>
    <t>36D-PM-1007-02</t>
  </si>
  <si>
    <t>POINT (-73.9587712679442 40.7944502501428)</t>
  </si>
  <si>
    <t>23B-PM-1012-01</t>
  </si>
  <si>
    <t>POINT (-73.9676206022477 40.784594234984)</t>
  </si>
  <si>
    <t>12B-PM-1018-01</t>
  </si>
  <si>
    <t>Climbing up rocks</t>
  </si>
  <si>
    <t>climbing (up rocks)</t>
  </si>
  <si>
    <t>POINT (-73.9741846413977 40.7762518164182)</t>
  </si>
  <si>
    <t>10G-PM-1017-01</t>
  </si>
  <si>
    <t>POINT (-73.9703914126866 40.7722457975176)</t>
  </si>
  <si>
    <t>14D-AM-1014-09</t>
  </si>
  <si>
    <t>POINT (-73.9707900566519 40.7771670550089)</t>
  </si>
  <si>
    <t>3F-AM-1006-01</t>
  </si>
  <si>
    <t>just to right when enter sanctuary</t>
  </si>
  <si>
    <t>POINT (-73.975086415444 40.7671990131313)</t>
  </si>
  <si>
    <t>35G-PM-1006-01</t>
  </si>
  <si>
    <t>POINT (-73.9557172336815 40.7921125657722)</t>
  </si>
  <si>
    <t>9I-AM-1014-02</t>
  </si>
  <si>
    <t>Very far, so appx</t>
  </si>
  <si>
    <t>POINT (-73.9691031094688 40.7706693835189)</t>
  </si>
  <si>
    <t>35A-PM-1013-08</t>
  </si>
  <si>
    <t>POINT (-73.9615602805554 40.7945662185621)</t>
  </si>
  <si>
    <t>39A-PM-1014-01</t>
  </si>
  <si>
    <t>POINT (-73.9598084794625 40.7976165434502)</t>
  </si>
  <si>
    <t>9C-PM-1006-05</t>
  </si>
  <si>
    <t>w/ dog</t>
  </si>
  <si>
    <t>POINT (-73.9746933852572 40.773313866931)</t>
  </si>
  <si>
    <t>17I-AM-1014-04</t>
  </si>
  <si>
    <t>17I</t>
  </si>
  <si>
    <t>POINT (-73.9645147011741 40.7772566833799)</t>
  </si>
  <si>
    <t>14D-AM-1014-12</t>
  </si>
  <si>
    <t>POINT (-73.9714089647431 40.7767916587915)</t>
  </si>
  <si>
    <t>17I-PM-1017-01</t>
  </si>
  <si>
    <t>was in a tree,so i couldn't really tell</t>
  </si>
  <si>
    <t>POINT (-73.9642379942652 40.7774792520738)</t>
  </si>
  <si>
    <t>41C-AM-1017-05</t>
  </si>
  <si>
    <t>POINT (-73.956869086031 40.7988858771114)</t>
  </si>
  <si>
    <t>39B-PM-1014-01</t>
  </si>
  <si>
    <t>White belly</t>
  </si>
  <si>
    <t>POINT (-73.9582850206205 40.7978975855555)</t>
  </si>
  <si>
    <t>42A-AM-1019-01</t>
  </si>
  <si>
    <t>42A</t>
  </si>
  <si>
    <t>POINT (-73.95826439540551 40.8000460061272)</t>
  </si>
  <si>
    <t>2E-AM-1010-01</t>
  </si>
  <si>
    <t>POINT (-73.9771335416403 40.7668431485224)</t>
  </si>
  <si>
    <t>14F-AM-1007-02</t>
  </si>
  <si>
    <t>POINT (-73.9692190295442 40.7763366309154)</t>
  </si>
  <si>
    <t>8D-AM-1007-04</t>
  </si>
  <si>
    <t>chasing squirrel #3</t>
  </si>
  <si>
    <t>POINT (-73.9736165917399 40.7724543901497)</t>
  </si>
  <si>
    <t>22F-AM-1007-06</t>
  </si>
  <si>
    <t>POINT (-73.9642288873015 40.7820439983567)</t>
  </si>
  <si>
    <t>36I-AM-1017-04</t>
  </si>
  <si>
    <t>POINT (-73.9528462779437 40.7923843043685)</t>
  </si>
  <si>
    <t>34B-AM-1013-03</t>
  </si>
  <si>
    <t>34B</t>
  </si>
  <si>
    <t>POINT (-73.9609704650925 40.7938786854735)</t>
  </si>
  <si>
    <t>36I-AM-1017-07</t>
  </si>
  <si>
    <t>chasing (#8),scratching</t>
  </si>
  <si>
    <t>POINT (-73.9534509627885 40.7921084224711)</t>
  </si>
  <si>
    <t>32G-PM-1013-02</t>
  </si>
  <si>
    <t>POINT (-73.9577113026056 40.7904332453456)</t>
  </si>
  <si>
    <t>2A-PM-1019-01</t>
  </si>
  <si>
    <t>runs from</t>
  </si>
  <si>
    <t>POINT (-73.9808247660048 40.7689408831287)</t>
  </si>
  <si>
    <t>35D-PM-1013-07</t>
  </si>
  <si>
    <t>POINT (-73.95916671628011 40.7937602121568)</t>
  </si>
  <si>
    <t>8G-PM-1017-02</t>
  </si>
  <si>
    <t>POINT (-73.9714243547433 40.7713973982359)</t>
  </si>
  <si>
    <t>29C-AM-1007-02</t>
  </si>
  <si>
    <t>POINT (-73.9629383420274 40.7889383725489)</t>
  </si>
  <si>
    <t>36B-PM-1013-02</t>
  </si>
  <si>
    <t>POINT (-73.9600964585868 40.7952339524416)</t>
  </si>
  <si>
    <t>17B-AM-1010-01</t>
  </si>
  <si>
    <t>17B</t>
  </si>
  <si>
    <t>POINT (-73.9713519158027 40.7798470142991)</t>
  </si>
  <si>
    <t>37H-PM-1006-04</t>
  </si>
  <si>
    <t>POINT (-73.953287300494 40.793520326789)</t>
  </si>
  <si>
    <t>30C-AM-1014-02</t>
  </si>
  <si>
    <t>on a rock</t>
  </si>
  <si>
    <t>POINT (-73.9626120417397 40.7905126358626)</t>
  </si>
  <si>
    <t>4D-PM-1008-05</t>
  </si>
  <si>
    <t>POINT (-73.9764016030666 40.7689894344251)</t>
  </si>
  <si>
    <t>18C-PM-1018-05</t>
  </si>
  <si>
    <t>POINT (-73.969485639023 40.780519159069)</t>
  </si>
  <si>
    <t>11C-PM-1018-01</t>
  </si>
  <si>
    <t>11C</t>
  </si>
  <si>
    <t>POINT (-73.9741621946917 40.7752481472025)</t>
  </si>
  <si>
    <t>2B-PM-1013-06</t>
  </si>
  <si>
    <t>sat there! in front of us</t>
  </si>
  <si>
    <t>POINT (-73.9792091200122 40.7685845475313)</t>
  </si>
  <si>
    <t>9A-AM-1013-08</t>
  </si>
  <si>
    <t>POINT (-73.9762257701293 40.7744032758323)</t>
  </si>
  <si>
    <t>7E-PM-1013-04</t>
  </si>
  <si>
    <t>POINT (-73.9738481771673 40.7706540698938)</t>
  </si>
  <si>
    <t>33A-PM-1018-03</t>
  </si>
  <si>
    <t>33A</t>
  </si>
  <si>
    <t>POINT (-73.9629483374528 40.7936809905265)</t>
  </si>
  <si>
    <t>7G-PM-1018-04</t>
  </si>
  <si>
    <t>POINT (-73.9718720403657 40.7702335056337)</t>
  </si>
  <si>
    <t>39B-PM-1014-02</t>
  </si>
  <si>
    <t>POINT (-73.9583738783348 40.7979302775527)</t>
  </si>
  <si>
    <t>34H-PM-1006-01</t>
  </si>
  <si>
    <t>POINT (-73.9551524422379 40.7910535596756)</t>
  </si>
  <si>
    <t>7B-AM-1008-04</t>
  </si>
  <si>
    <t>POINT (-73.9770948563006 40.7724063459185)</t>
  </si>
  <si>
    <t>36C-PM-1013-01</t>
  </si>
  <si>
    <t>Clearing near bike path (bikes active)</t>
  </si>
  <si>
    <t>POINT (-73.9591957793992 40.7949568873453)</t>
  </si>
  <si>
    <t>14E-PM-1017-04</t>
  </si>
  <si>
    <t>POINT (-73.9700861859051 40.7770639340582)</t>
  </si>
  <si>
    <t>2E-AM-1010-03</t>
  </si>
  <si>
    <t>POINT (-73.9768311751004 40.76671780725581)</t>
  </si>
  <si>
    <t>26A-PM-1006-02</t>
  </si>
  <si>
    <t>injured</t>
  </si>
  <si>
    <t>not moving</t>
  </si>
  <si>
    <t>POINT (-73.96727895735371 40.7874778720268)</t>
  </si>
  <si>
    <t>9F-PM-1014-03</t>
  </si>
  <si>
    <t>POINT (-73.9710547484029 40.7723589827074)</t>
  </si>
  <si>
    <t>2F-PM-1014-03</t>
  </si>
  <si>
    <t>POINT (-73.9757215415855 40.7668205976986)</t>
  </si>
  <si>
    <t>8E-PM-1008-07</t>
  </si>
  <si>
    <t>POINT (-73.9735120882106 40.7715915415169)</t>
  </si>
  <si>
    <t>36F-PM-1012-02</t>
  </si>
  <si>
    <t>POINT (-73.9565684577989 40.7936003940413)</t>
  </si>
  <si>
    <t>8D-PM-1007-01</t>
  </si>
  <si>
    <t>POINT (-73.9737872335563 40.77265868359851)</t>
  </si>
  <si>
    <t>4B-PM-1018-02</t>
  </si>
  <si>
    <t>POINT (-73.9786805884996 40.7697559231927)</t>
  </si>
  <si>
    <t>40D-PM-1013-02</t>
  </si>
  <si>
    <t>POINT (-73.9565533783499 40.7974368491287)</t>
  </si>
  <si>
    <t>16E-PM-1018-01</t>
  </si>
  <si>
    <t>POINT (-73.9678937289837 40.7782808361645)</t>
  </si>
  <si>
    <t>2F-PM-1014-08</t>
  </si>
  <si>
    <t>POINT (-73.9750463844984 40.7666871742836)</t>
  </si>
  <si>
    <t>14E-AM-1008-04</t>
  </si>
  <si>
    <t>POINT (-73.9696517826558 40.7769658302844)</t>
  </si>
  <si>
    <t>32A-PM-1013-05</t>
  </si>
  <si>
    <t>POINT (-73.9635028497015 40.7928207574906)</t>
  </si>
  <si>
    <t>15G-PM-1019-03</t>
  </si>
  <si>
    <t>POINT (-73.9674177504573 40.7769569731993)</t>
  </si>
  <si>
    <t>11I-PM-1012-04</t>
  </si>
  <si>
    <t>POINT (-73.9681042612938 40.772331431865)</t>
  </si>
  <si>
    <t>15H-PM-1008-02</t>
  </si>
  <si>
    <t>oak tree</t>
  </si>
  <si>
    <t>POINT (-73.9667755678511 40.7760256836088)</t>
  </si>
  <si>
    <t>31D-AM-1014-03</t>
  </si>
  <si>
    <t>POINT (-73.9613351649026 40.7909866851357)</t>
  </si>
  <si>
    <t>22I-AM-1007-02</t>
  </si>
  <si>
    <t>POINT (-73.9611368390233 40.7815619053395)</t>
  </si>
  <si>
    <t>2B-AM-1010-03</t>
  </si>
  <si>
    <t>POINT (-73.9799311173259 40.7685576997559)</t>
  </si>
  <si>
    <t>17F-AM-1007-02</t>
  </si>
  <si>
    <t>POINT (-73.9675198230918 40.778631094685)</t>
  </si>
  <si>
    <t>6A-AM-1006-08</t>
  </si>
  <si>
    <t>POINT (-73.9786898656279 40.77208330970651)</t>
  </si>
  <si>
    <t>6D-AM-1008-02</t>
  </si>
  <si>
    <t>POINT (-73.9755055978764 40.7707438681742)</t>
  </si>
  <si>
    <t>6F-PM-1008-04</t>
  </si>
  <si>
    <t>patches of white on haunches</t>
  </si>
  <si>
    <t>POINT (-73.9734687538064 40.7694308959222)</t>
  </si>
  <si>
    <t>37G-AM-1014-03</t>
  </si>
  <si>
    <t>POINT (-73.9542828053256 40.7941797320355)</t>
  </si>
  <si>
    <t>2C-AM-1010-08</t>
  </si>
  <si>
    <t>stay on side of trunk</t>
  </si>
  <si>
    <t>POINT (-73.9792754037291 40.7679690700399)</t>
  </si>
  <si>
    <t>31B-AM-1017-03</t>
  </si>
  <si>
    <t>31B</t>
  </si>
  <si>
    <t>POINT (-73.9626527908786 40.7912472380247)</t>
  </si>
  <si>
    <t>12F-PM-1007-12</t>
  </si>
  <si>
    <t>going down tree</t>
  </si>
  <si>
    <t>POINT (-73.9702228131711 40.7742131587983)</t>
  </si>
  <si>
    <t>20B-PM-1013-08</t>
  </si>
  <si>
    <t>(very brown)</t>
  </si>
  <si>
    <t>being chased by dog</t>
  </si>
  <si>
    <t>POINT (-73.969105907 40.7820474909192)</t>
  </si>
  <si>
    <t>7G-AM-1010-04</t>
  </si>
  <si>
    <t>POINT (-73.9719941577406 40.77037129313)</t>
  </si>
  <si>
    <t>36I-PM-1007-04</t>
  </si>
  <si>
    <t>POINT (-73.9531013359625 40.7921223556535)</t>
  </si>
  <si>
    <t>11A-PM-1013-05</t>
  </si>
  <si>
    <t>POINT (-73.9757216124349 40.7754310239649)</t>
  </si>
  <si>
    <t>27A-AM-1008-01</t>
  </si>
  <si>
    <t>POINT (-73.96641208260151 40.7888022709721)</t>
  </si>
  <si>
    <t>32F-AM-1012-06</t>
  </si>
  <si>
    <t>POINT (-73.958060992131 40.7907158878729)</t>
  </si>
  <si>
    <t>26I-PM-1010-05</t>
  </si>
  <si>
    <t>POINT (-73.9594120573719 40.7841945750598)</t>
  </si>
  <si>
    <t>21D-PM-1008-05</t>
  </si>
  <si>
    <t>POINT (-73.9665705456197 40.7823552871044)</t>
  </si>
  <si>
    <t>8H-AM-1017-01</t>
  </si>
  <si>
    <t>POINT (-73.9697277998257 40.7705198722028)</t>
  </si>
  <si>
    <t>36D-PM-1007-01</t>
  </si>
  <si>
    <t>POINT (-73.958024711869 40.7938724278575)</t>
  </si>
  <si>
    <t>42G-AM-1018-01</t>
  </si>
  <si>
    <t>POINT (-73.9514111329059 40.797508587289705)</t>
  </si>
  <si>
    <t>12H-PM-1007-08</t>
  </si>
  <si>
    <t>POINT (-73.9680833729772 40.7741871025115)</t>
  </si>
  <si>
    <t>3E-AM-1006-04</t>
  </si>
  <si>
    <t>POINT (-73.9760801742337 40.7674218954729)</t>
  </si>
  <si>
    <t>9A-AM-1013-02</t>
  </si>
  <si>
    <t>POINT (-73.9770235090023 40.774135208066)</t>
  </si>
  <si>
    <t>38E-AM-1010-04</t>
  </si>
  <si>
    <t>POINT (-73.95618876244711 40.7958187455815)</t>
  </si>
  <si>
    <t>11H-AM-1010-01</t>
  </si>
  <si>
    <t>started climbing down to me</t>
  </si>
  <si>
    <t>POINT (-73.9676514056678 40.7730853732876)</t>
  </si>
  <si>
    <t>11H-PM-1013-01</t>
  </si>
  <si>
    <t>nut in mouth</t>
  </si>
  <si>
    <t>POINT (-73.9681093100008 40.7731753915361)</t>
  </si>
  <si>
    <t>30B-AM-1007-09</t>
  </si>
  <si>
    <t>jumping b/w trees</t>
  </si>
  <si>
    <t>POINT (-73.9637279711853 40.7905198502307)</t>
  </si>
  <si>
    <t>41B-PM-1014-04</t>
  </si>
  <si>
    <t>climbing</t>
  </si>
  <si>
    <t>POINT (-73.9571233640232 40.7992458980266)</t>
  </si>
  <si>
    <t>9H-AM-1006-05</t>
  </si>
  <si>
    <t>POINT (-73.9698959071826 40.7716763799299)</t>
  </si>
  <si>
    <t>10F-PM-1019-10</t>
  </si>
  <si>
    <t>Arbor path &amp; hill w/ bushes</t>
  </si>
  <si>
    <t>POINT (-73.9708002461415 40.7726685284831)</t>
  </si>
  <si>
    <t>32G-AM-1010-02</t>
  </si>
  <si>
    <t>POINT (-73.9578924882613 40.789806297824)</t>
  </si>
  <si>
    <t>35D-PM-1013-08</t>
  </si>
  <si>
    <t>POINT (-73.9591695545875 40.7938116360767)</t>
  </si>
  <si>
    <t>4D-PM-1008-03</t>
  </si>
  <si>
    <t>ran two feet up tree trunk</t>
  </si>
  <si>
    <t>POINT (-73.9763116425885 40.7688839576487)</t>
  </si>
  <si>
    <t>25I-PM-1007-07</t>
  </si>
  <si>
    <t>25I</t>
  </si>
  <si>
    <t>playing very high in tree w/ #8</t>
  </si>
  <si>
    <t>POINT (-73.9596006938677 40.7834706440535)</t>
  </si>
  <si>
    <t>37A-PM-1013-01</t>
  </si>
  <si>
    <t>37A</t>
  </si>
  <si>
    <t>POINT (-73.96098856868342 40.7961108640319)</t>
  </si>
  <si>
    <t>17F-AM-1007-05</t>
  </si>
  <si>
    <t>POINT (-73.967042958599 40.7784370719371)</t>
  </si>
  <si>
    <t>10D-AM-1008-01</t>
  </si>
  <si>
    <t>POINT (-73.9738611257716 40.7737246779587)</t>
  </si>
  <si>
    <t>32B-AM-1017-01</t>
  </si>
  <si>
    <t>ran up a tree</t>
  </si>
  <si>
    <t>POINT (-73.9622030085794 40.7917723228749)</t>
  </si>
  <si>
    <t>6A-PM-1012-01</t>
  </si>
  <si>
    <t>POINT (-73.9785948413883 40.7718908026758)</t>
  </si>
  <si>
    <t>13C-PM-1019-04</t>
  </si>
  <si>
    <t>POINT (-73.9718597156773 40.7765858763313)</t>
  </si>
  <si>
    <t>33B-PM-1010-01</t>
  </si>
  <si>
    <t>POINT (-73.9616204569548 40.7926188605509)</t>
  </si>
  <si>
    <t>1E-PM-1007-02</t>
  </si>
  <si>
    <t>01E</t>
  </si>
  <si>
    <t>POINT (-73.9772053786965 40.7663906573332)</t>
  </si>
  <si>
    <t>22C-PM-1006-10</t>
  </si>
  <si>
    <t>POINT (-73.9666195118963 40.78392167393571)</t>
  </si>
  <si>
    <t>24A-PM-1007-02</t>
  </si>
  <si>
    <t>POINT (-73.9684758245091 40.7858531619022)</t>
  </si>
  <si>
    <t>9G-PM-1007-03</t>
  </si>
  <si>
    <t>POINT (-73.9706323458769 40.771319603426505)</t>
  </si>
  <si>
    <t>9H-PM-1018-02</t>
  </si>
  <si>
    <t>POINT (-73.9699451196396 40.7710409982701)</t>
  </si>
  <si>
    <t>4D-PM-1008-02</t>
  </si>
  <si>
    <t>POINT (-73.9761447791484 40.7690147873986)</t>
  </si>
  <si>
    <t>14E-PM-1017-05</t>
  </si>
  <si>
    <t>POINT (-73.9700879096644 40.7765899724756)</t>
  </si>
  <si>
    <t>13D-AM-1014-10</t>
  </si>
  <si>
    <t>POINT (-73.9717920322306 40.7763095393715)</t>
  </si>
  <si>
    <t>14E-AM-1008-08</t>
  </si>
  <si>
    <t>POINT (-73.9702588981432 40.776610754288)</t>
  </si>
  <si>
    <t>40G-AM-1007-01</t>
  </si>
  <si>
    <t>large tree</t>
  </si>
  <si>
    <t>POINT (-73.9533923917973 40.7961701874769)</t>
  </si>
  <si>
    <t>8A-AM-1013-06</t>
  </si>
  <si>
    <t>POINT (-73.9773096718574 40.7738053862489)</t>
  </si>
  <si>
    <t>7E-AM-1006-01</t>
  </si>
  <si>
    <t>POINT (-73.9738817388158 40.7712709366093)</t>
  </si>
  <si>
    <t>37H-AM-1018-01</t>
  </si>
  <si>
    <t>Right behind fence of the conservatory</t>
  </si>
  <si>
    <t>POINT (-73.9532838338416 40.7931112674583)</t>
  </si>
  <si>
    <t>20F-PM-1007-09</t>
  </si>
  <si>
    <t>POINT (-73.9654093844049 40.7806896368469)</t>
  </si>
  <si>
    <t>1H-AM-1012-02</t>
  </si>
  <si>
    <t>POINT (-73.9736543790582 40.7651444188432)</t>
  </si>
  <si>
    <t>32G-AM-1010-01</t>
  </si>
  <si>
    <t>POINT (-73.9568143871234 40.7899001700041)</t>
  </si>
  <si>
    <t>8H-PM-1014-09</t>
  </si>
  <si>
    <t>POINT (-73.9701596268736 40.7702106607329)</t>
  </si>
  <si>
    <t>29B-AM-1007-01</t>
  </si>
  <si>
    <t>POINT (-73.9637415893182 40.7898140363534)</t>
  </si>
  <si>
    <t>17B-PM-1012-01</t>
  </si>
  <si>
    <t>climbed a fence</t>
  </si>
  <si>
    <t>POINT (-73.971791854883 40.7802971729784)</t>
  </si>
  <si>
    <t>13E-PM-1008-11</t>
  </si>
  <si>
    <t>POINT (-73.9699763667769 40.775706073102604)</t>
  </si>
  <si>
    <t>36H-PM-1008-01</t>
  </si>
  <si>
    <t>white belly</t>
  </si>
  <si>
    <t>POINT (-73.9547959269955 40.7925162926273)</t>
  </si>
  <si>
    <t>19F-AM-1007-03</t>
  </si>
  <si>
    <t>scared</t>
  </si>
  <si>
    <t>POINT (-73.9658443548822 40.7796704898979)</t>
  </si>
  <si>
    <t>36A-PM-1013-08</t>
  </si>
  <si>
    <t>running from #7</t>
  </si>
  <si>
    <t>POINT (-73.960657061561 40.7956150744102)</t>
  </si>
  <si>
    <t>37D-PM-1014-08</t>
  </si>
  <si>
    <t>POINT (-73.9581173730857 40.7954772170549)</t>
  </si>
  <si>
    <t>32F-PM-1008-08</t>
  </si>
  <si>
    <t>POINT (-73.9586527721822 40.7908831110561)</t>
  </si>
  <si>
    <t>32C-AM-1014-03</t>
  </si>
  <si>
    <t>POINT (-73.9613862251332 40.791282169715)</t>
  </si>
  <si>
    <t>11B-PM-1014-04</t>
  </si>
  <si>
    <t>POINT (-73.9746133058077 40.776064655410906)</t>
  </si>
  <si>
    <t>22H-PM-1007-04</t>
  </si>
  <si>
    <t>22H</t>
  </si>
  <si>
    <t>POINT (-73.9623922773932 40.7814944428327)</t>
  </si>
  <si>
    <t>2H-AM-1006-03</t>
  </si>
  <si>
    <t>POINT (-73.9731457102903 40.7660255393205)</t>
  </si>
  <si>
    <t>6H-PM-1020-03</t>
  </si>
  <si>
    <t>runs from (kids kicking the fence)</t>
  </si>
  <si>
    <t>POINT (-73.9715466850324 40.7695584933538)</t>
  </si>
  <si>
    <t>34A-AM-1012-03</t>
  </si>
  <si>
    <t>34A</t>
  </si>
  <si>
    <t>POINT (-73.9621066718851 40.7942427079733)</t>
  </si>
  <si>
    <t>30B-PM-1019-04</t>
  </si>
  <si>
    <t>POINT (-73.9631045499811 40.7906180969472)</t>
  </si>
  <si>
    <t>19A-PM-1013-01</t>
  </si>
  <si>
    <t>19A</t>
  </si>
  <si>
    <t>planting acorns</t>
  </si>
  <si>
    <t>POINT (-73.9708301070924 40.7820200927465)</t>
  </si>
  <si>
    <t>33E-AM-1014-12</t>
  </si>
  <si>
    <t>sleeping</t>
  </si>
  <si>
    <t>asleep</t>
  </si>
  <si>
    <t>POINT (-73.958317581802 40.7916566683158)</t>
  </si>
  <si>
    <t>9I-AM-1014-06</t>
  </si>
  <si>
    <t>POINT (-73.96839940647311 40.7710765500799)</t>
  </si>
  <si>
    <t>9I-PM-1010-04</t>
  </si>
  <si>
    <t>POINT (-73.9689781843873 40.7709333833783)</t>
  </si>
  <si>
    <t>7B-AM-1008-12</t>
  </si>
  <si>
    <t>POINT (-73.9773529368499 40.7728750685699)</t>
  </si>
  <si>
    <t>9H-PM-1018-09</t>
  </si>
  <si>
    <t>POINT (-73.97035767623 40.7714036487747)</t>
  </si>
  <si>
    <t>1D-PM-1007-04</t>
  </si>
  <si>
    <t>POINT (-73.978392591149 40.7668993398193)</t>
  </si>
  <si>
    <t>10G-AM-1006-02</t>
  </si>
  <si>
    <t>notch on tail</t>
  </si>
  <si>
    <t>POINT (-73.9704591091677 40.7729175143429)</t>
  </si>
  <si>
    <t>13E-AM-1017-09</t>
  </si>
  <si>
    <t>POINT (-73.9705977059862 40.776041318227605)</t>
  </si>
  <si>
    <t>4G-PM-1007-01</t>
  </si>
  <si>
    <t>POINT (-73.9740381194088 40.7675912588173)</t>
  </si>
  <si>
    <t>1F-AM-1010-05</t>
  </si>
  <si>
    <t>POINT (-73.9764601882854 40.766070446642)</t>
  </si>
  <si>
    <t>36A-PM-1013-09</t>
  </si>
  <si>
    <t>POINT (-73.9612349421547 40.7959586475744)</t>
  </si>
  <si>
    <t>14D-PM-1019-07</t>
  </si>
  <si>
    <t>POINT (-73.9709817796369 40.7773554311586)</t>
  </si>
  <si>
    <t>15G-PM-1019-12</t>
  </si>
  <si>
    <t>POINT (-73.9673160165357 40.7766158001202)</t>
  </si>
  <si>
    <t>16F-AM-1008-01</t>
  </si>
  <si>
    <t>near fence</t>
  </si>
  <si>
    <t>POINT (-73.9676424599715 40.7777766106807)</t>
  </si>
  <si>
    <t>30B-AM-1007-05</t>
  </si>
  <si>
    <t>POINT (-73.9641552070803 40.7908479527923)</t>
  </si>
  <si>
    <t>17F-PM-1020-01</t>
  </si>
  <si>
    <t>POINT (-73.9672950266018 40.7782477517567)</t>
  </si>
  <si>
    <t>22B-PM-1014-07</t>
  </si>
  <si>
    <t>POINT (-73.9681722244801 40.783559826281)</t>
  </si>
  <si>
    <t>2C-PM-1013-03</t>
  </si>
  <si>
    <t>POINT (-73.978400938697 40.7677411911854)</t>
  </si>
  <si>
    <t>21F-AM-1018-06</t>
  </si>
  <si>
    <t>POINT (-73.9649827807341 40.7817322832767)</t>
  </si>
  <si>
    <t>2C-AM-1010-06</t>
  </si>
  <si>
    <t>stood still &amp; watched me then jumped on a fence and ran away</t>
  </si>
  <si>
    <t>POINT (-73.9787040192473 40.7679010247281)</t>
  </si>
  <si>
    <t>35C-PM-1013-05</t>
  </si>
  <si>
    <t>POINT (-73.9603031059614 40.7943667735668)</t>
  </si>
  <si>
    <t>32B-PM-1010-06</t>
  </si>
  <si>
    <t>POINT (-73.9629615594409 40.7924176425827)</t>
  </si>
  <si>
    <t>30B-PM-1019-03</t>
  </si>
  <si>
    <t>POINT (-73.9635689059841 40.790163434915)</t>
  </si>
  <si>
    <t>19A-PM-1013-03</t>
  </si>
  <si>
    <t>POINT (-73.9708083587471 40.7825429441583)</t>
  </si>
  <si>
    <t>8A-AM-1013-02</t>
  </si>
  <si>
    <t>playground</t>
  </si>
  <si>
    <t>POINT (-73.9772422664657 40.773436329163)</t>
  </si>
  <si>
    <t>11D-AM-1010-05</t>
  </si>
  <si>
    <t>POINT (-73.9718553361982 40.7748584798761)</t>
  </si>
  <si>
    <t>18C-PM-1018-02</t>
  </si>
  <si>
    <t>POINT (-73.9698843507358 40.7803754187581)</t>
  </si>
  <si>
    <t>16D-AM-1007-01</t>
  </si>
  <si>
    <t>POINT (-73.9703149829421 40.7785583630323)</t>
  </si>
  <si>
    <t>3B-AM-1010-10</t>
  </si>
  <si>
    <t>POINT (-73.9790896775237 40.7688048644871)</t>
  </si>
  <si>
    <t>33D-AM-1017-03</t>
  </si>
  <si>
    <t>POINT (-73.9600546294497 40.7914969165757)</t>
  </si>
  <si>
    <t>2A-PM-1019-04</t>
  </si>
  <si>
    <t>in tree!</t>
  </si>
  <si>
    <t>POINT (-73.980948293606 40.7685688850628)</t>
  </si>
  <si>
    <t>2A-AM-1010-08</t>
  </si>
  <si>
    <t>POINT (-73.9805137046778 40.769275143797)</t>
  </si>
  <si>
    <t>1B-AM-1012-11</t>
  </si>
  <si>
    <t>fighting w/ pigeons</t>
  </si>
  <si>
    <t>POINT (-73.9801985977846 40.7680159511705)</t>
  </si>
  <si>
    <t>22C-PM-1006-02</t>
  </si>
  <si>
    <t>POINT (-73.9672070423666 40.783337354891)</t>
  </si>
  <si>
    <t>16I-AM-1008-04</t>
  </si>
  <si>
    <t>tree hollow</t>
  </si>
  <si>
    <t>in hollow</t>
  </si>
  <si>
    <t>POINT (-73.9645547556826 40.776877007081)</t>
  </si>
  <si>
    <t>22C-PM-1006-01</t>
  </si>
  <si>
    <t>for food</t>
  </si>
  <si>
    <t>POINT (-73.9670850805619 40.7833747810387)</t>
  </si>
  <si>
    <t>38E-PM-1014-04</t>
  </si>
  <si>
    <t>POINT (-73.9558268731771 40.7952074193788)</t>
  </si>
  <si>
    <t>10H-AM-1014-02</t>
  </si>
  <si>
    <t>POINT (-73.9686296217893 40.771812308875)</t>
  </si>
  <si>
    <t>22G-AM-1018-01</t>
  </si>
  <si>
    <t>POINT (-73.9635317822977 40.7821352080233)</t>
  </si>
  <si>
    <t>34H-PM-1006-04</t>
  </si>
  <si>
    <t>Elm tree</t>
  </si>
  <si>
    <t>POINT (-73.9553038162633 40.790936778322305)</t>
  </si>
  <si>
    <t>30B-PM-1019-02</t>
  </si>
  <si>
    <t>POINT (-73.9636551433178 40.7901572818776)</t>
  </si>
  <si>
    <t>13F-AM-1007-01</t>
  </si>
  <si>
    <t>POINT (-73.9689723590015 40.7756860990338)</t>
  </si>
  <si>
    <t>12D-AM-1013-02</t>
  </si>
  <si>
    <t>Was on top of the edge of Bow Bridge</t>
  </si>
  <si>
    <t>jumped off</t>
  </si>
  <si>
    <t>POINT (-73.9719111470164 40.7758789855474)</t>
  </si>
  <si>
    <t>2F-AM-1006-03</t>
  </si>
  <si>
    <t>POINT (-73.9755569170561 40.7668006977526)</t>
  </si>
  <si>
    <t>9H-PM-1018-04</t>
  </si>
  <si>
    <t>POINT (-73.969553896295 40.7709884929277)</t>
  </si>
  <si>
    <t>8I-PM-1013-05</t>
  </si>
  <si>
    <t>POINT (-73.9694468044483 40.770360886038)</t>
  </si>
  <si>
    <t>9E-PM-1014-01</t>
  </si>
  <si>
    <t>Gathering/digging in grassy area b/w trees</t>
  </si>
  <si>
    <t>looked like it was smelling/digging in the ground</t>
  </si>
  <si>
    <t>indifferent (was in a grassy area with no humans nearby)</t>
  </si>
  <si>
    <t>POINT (-73.9720347089273 40.7727750272024)</t>
  </si>
  <si>
    <t>8I-AM-1006-11</t>
  </si>
  <si>
    <t>POINT (-73.9691293546408 40.77032190765491)</t>
  </si>
  <si>
    <t>32I-AM-1013-06</t>
  </si>
  <si>
    <t>POINT (-73.9552035011902 40.7889851896334)</t>
  </si>
  <si>
    <t>13F-PM-1008-03</t>
  </si>
  <si>
    <t>POINT (-73.9695305555392 40.7757541971012)</t>
  </si>
  <si>
    <t>10G-AM-1006-09</t>
  </si>
  <si>
    <t>POINT (-73.9704269630964 40.7722964640257)</t>
  </si>
  <si>
    <t>8H-AM-1017-05</t>
  </si>
  <si>
    <t>POINT (-73.97016933635001 40.7705452529783)</t>
  </si>
  <si>
    <t>15B-AM-1014-03</t>
  </si>
  <si>
    <t>running (from a dog)</t>
  </si>
  <si>
    <t>POINT (-73.97186968288 40.778926988884)</t>
  </si>
  <si>
    <t>41D-PM-1014-04</t>
  </si>
  <si>
    <t>jumping tree to tree</t>
  </si>
  <si>
    <t>POINT (-73.9548853492712 40.7984783584388)</t>
  </si>
  <si>
    <t>6C-PM-1020-04</t>
  </si>
  <si>
    <t>06C</t>
  </si>
  <si>
    <t>POINT (-73.9760880070186 40.7711057827923)</t>
  </si>
  <si>
    <t>39H-PM-1013-03</t>
  </si>
  <si>
    <t>POINT (-73.9521514669041 40.7949515182825)</t>
  </si>
  <si>
    <t>7C-PM-1020-05</t>
  </si>
  <si>
    <t>07C</t>
  </si>
  <si>
    <t>POINT (-73.9763506612375 40.771611393182)</t>
  </si>
  <si>
    <t>10F-PM-1019-04</t>
  </si>
  <si>
    <t>POINT (-73.9710951149579 40.772501245008)</t>
  </si>
  <si>
    <t>32A-PM-1013-01</t>
  </si>
  <si>
    <t>POINT (-73.9640016324897 40.7921759097124)</t>
  </si>
  <si>
    <t>13E-PM-1008-03</t>
  </si>
  <si>
    <t>hanging upside down to get a nut</t>
  </si>
  <si>
    <t>POINT (-73.9707012345661 40.7758938984066)</t>
  </si>
  <si>
    <t>36B-PM-1013-04</t>
  </si>
  <si>
    <t>POINT (-73.9601259189134 40.7955350609057)</t>
  </si>
  <si>
    <t>13E-PM-1008-09</t>
  </si>
  <si>
    <t>POINT (-73.9697526733133 40.7759529849808)</t>
  </si>
  <si>
    <t>8B-PM-1012-04</t>
  </si>
  <si>
    <t>POINT (-73.9766593636657 40.7735708178842)</t>
  </si>
  <si>
    <t>30B-AM-1007-06</t>
  </si>
  <si>
    <t>POINT (-73.9632868561794 40.7907806312915)</t>
  </si>
  <si>
    <t>5D-PM-1018-01</t>
  </si>
  <si>
    <t>POINT (-73.975673607467 40.7699044294204)</t>
  </si>
  <si>
    <t>42D-PM-1013-04</t>
  </si>
  <si>
    <t>Light Cinnamon</t>
  </si>
  <si>
    <t>carrying nut away</t>
  </si>
  <si>
    <t>POINT (-73.9553163829551 40.7988610926249)</t>
  </si>
  <si>
    <t>1E-AM-1006-02</t>
  </si>
  <si>
    <t>POINT (-73.9772569909673 40.7664804797448)</t>
  </si>
  <si>
    <t>14D-AM-1014-04</t>
  </si>
  <si>
    <t>POINT (-73.9709207551033 40.7767932008037)</t>
  </si>
  <si>
    <t>15G-PM-1019-08</t>
  </si>
  <si>
    <t>POINT (-73.9677409841969 40.7763579140639)</t>
  </si>
  <si>
    <t>38E-AM-1010-12</t>
  </si>
  <si>
    <t>running on rocks</t>
  </si>
  <si>
    <t>runs toward something</t>
  </si>
  <si>
    <t>POINT (-73.9563311167069 40.7950901563337)</t>
  </si>
  <si>
    <t>40B-PM-1014-07</t>
  </si>
  <si>
    <t>POINT (-73.9584646000078 40.7983984665955)</t>
  </si>
  <si>
    <t>28C-AM-1014-02</t>
  </si>
  <si>
    <t>POINT (-73.9643236505425 40.7887854771596)</t>
  </si>
  <si>
    <t>38B-PM-1018-01</t>
  </si>
  <si>
    <t>POINT (-73.9593374341938 40.797258337802)</t>
  </si>
  <si>
    <t>3E-AM-1006-05</t>
  </si>
  <si>
    <t>POINT (-73.9758564394842 40.7674758942811)</t>
  </si>
  <si>
    <t>14F-AM-1007-01</t>
  </si>
  <si>
    <t>POINT (-73.9693254080548 40.7761600327118)</t>
  </si>
  <si>
    <t>15B-AM-1014-01</t>
  </si>
  <si>
    <t>POINT (-73.9730420696993 40.7786151019726)</t>
  </si>
  <si>
    <t>29B-AM-1007-02</t>
  </si>
  <si>
    <t>POINT (-73.9647891228606 40.789853066039)</t>
  </si>
  <si>
    <t>27I-PM-1020-02</t>
  </si>
  <si>
    <t>POINT (-73.9580111056675 40.7854339401483)</t>
  </si>
  <si>
    <t>6A-AM-1006-05</t>
  </si>
  <si>
    <t>POINT (-73.9782120139407 40.7717154468791)</t>
  </si>
  <si>
    <t>30I-PM-1006-06</t>
  </si>
  <si>
    <t>POINT (-73.9564606426367 40.7880546572608)</t>
  </si>
  <si>
    <t>41C-AM-1017-02</t>
  </si>
  <si>
    <t>POINT (-73.9562642076935 40.7983338763074)</t>
  </si>
  <si>
    <t>33C-PM-1007-01</t>
  </si>
  <si>
    <t>POINT (-73.9613747032702 40.792048385243106)</t>
  </si>
  <si>
    <t>5B-PM-1013-01</t>
  </si>
  <si>
    <t>05B</t>
  </si>
  <si>
    <t>POINT (-73.9773858189627 40.770807701562)</t>
  </si>
  <si>
    <t>23A-AM-1018-04</t>
  </si>
  <si>
    <t>23A</t>
  </si>
  <si>
    <t>Tree</t>
  </si>
  <si>
    <t>POINT (-73.9685859705486 40.7848805065322)</t>
  </si>
  <si>
    <t>40C-AM-1017-05</t>
  </si>
  <si>
    <t>POINT (-73.9570050460867 40.7985192250745)</t>
  </si>
  <si>
    <t>31B-PM-1007-01</t>
  </si>
  <si>
    <t>chasing #2 and climbing tree w/ #2</t>
  </si>
  <si>
    <t>POINT (-73.9632337134707 40.7914682370734)</t>
  </si>
  <si>
    <t>1A-AM-1007-04</t>
  </si>
  <si>
    <t>POINT (-73.9811078442462 40.767515940567)</t>
  </si>
  <si>
    <t>33D-AM-1017-02</t>
  </si>
  <si>
    <t>POINT (-73.9594406225891 40.7918533707789)</t>
  </si>
  <si>
    <t>7E-PM-1013-03</t>
  </si>
  <si>
    <t>Ground &amp; Tree Base</t>
  </si>
  <si>
    <t>POINT (-73.9737100743183 40.7708360121735)</t>
  </si>
  <si>
    <t>3F-PM-1013-07</t>
  </si>
  <si>
    <t>POINT (-73.9749457516921 40.7676712372245)</t>
  </si>
  <si>
    <t>8F-PM-1012-08</t>
  </si>
  <si>
    <t>POINT (-73.9728871061191 40.7712983658944)</t>
  </si>
  <si>
    <t>39G-AM-1018-02</t>
  </si>
  <si>
    <t>sitting &amp; watching</t>
  </si>
  <si>
    <t>POINT (-73.9532657715601 40.7949046809422)</t>
  </si>
  <si>
    <t>39C-AM-1017-02</t>
  </si>
  <si>
    <t>POINT (-73.957259673402 40.7974442913898)</t>
  </si>
  <si>
    <t>2G-PM-1007-01</t>
  </si>
  <si>
    <t>02G</t>
  </si>
  <si>
    <t>POINT (-73.9750346778281 40.7665404404824)</t>
  </si>
  <si>
    <t>42E-PM-1012-02</t>
  </si>
  <si>
    <t>POINT (-73.9540257319561 40.798408619116)</t>
  </si>
  <si>
    <t>7B-AM-1008-08</t>
  </si>
  <si>
    <t>POINT (-73.9769700777377 40.7728489574967)</t>
  </si>
  <si>
    <t>11D-AM-1010-07</t>
  </si>
  <si>
    <t>POINT (-73.9720174997123 40.7748894266027)</t>
  </si>
  <si>
    <t>12F-PM-1007-02</t>
  </si>
  <si>
    <t>POINT (-73.9695305996721 40.7745386896959)</t>
  </si>
  <si>
    <t>14H-AM-1007-03</t>
  </si>
  <si>
    <t>POINT (-73.96660639702002 40.7756655031741)</t>
  </si>
  <si>
    <t>25I-PM-1007-08</t>
  </si>
  <si>
    <t>playing very high in tree w/ #7</t>
  </si>
  <si>
    <t>POINT (-73.9595485734618 40.7835326425693)</t>
  </si>
  <si>
    <t>17E-AM-1017-10</t>
  </si>
  <si>
    <t>Fence</t>
  </si>
  <si>
    <t>POINT (-73.9674631254594 40.7790076357696)</t>
  </si>
  <si>
    <t>9G-AM-1007-01</t>
  </si>
  <si>
    <t>POINT (-73.9703774000082 40.7717607551555)</t>
  </si>
  <si>
    <t>41C-AM-1017-04</t>
  </si>
  <si>
    <t>POINT (-73.9566571713254 40.7989855775435)</t>
  </si>
  <si>
    <t>7B-AM-1008-07</t>
  </si>
  <si>
    <t>POINT (-73.9769742179824 40.7727484521829)</t>
  </si>
  <si>
    <t>3I-PM-1013-06</t>
  </si>
  <si>
    <t>POINT (-73.9724657562746 40.7658015504376)</t>
  </si>
  <si>
    <t>17I-AM-1014-02</t>
  </si>
  <si>
    <t>standing upright</t>
  </si>
  <si>
    <t>runs from (only ran away when a grandpa chased it off)</t>
  </si>
  <si>
    <t>POINT (-73.9640534906634 40.7777383899836)</t>
  </si>
  <si>
    <t>34A-PM-1013-04</t>
  </si>
  <si>
    <t>digging &amp; burying</t>
  </si>
  <si>
    <t>POINT (-73.9627904328402 40.7939375305761)</t>
  </si>
  <si>
    <t>38G-PM-1020-06</t>
  </si>
  <si>
    <t>POINT (-73.9541837143178 40.7944340477396)</t>
  </si>
  <si>
    <t>32F-PM-1008-06</t>
  </si>
  <si>
    <t>POINT (-73.9586591455169 40.7906243901309)</t>
  </si>
  <si>
    <t>6G-AM-1008-04</t>
  </si>
  <si>
    <t>very long tail</t>
  </si>
  <si>
    <t>POINT (-73.9722737593623 40.768963018754)</t>
  </si>
  <si>
    <t>11H-AM-1010-07</t>
  </si>
  <si>
    <t>POINT (-73.9690211935346 40.773038298158)</t>
  </si>
  <si>
    <t>15F-AM-1007-10</t>
  </si>
  <si>
    <t>POINT (-73.9680855277775 40.7769251965381)</t>
  </si>
  <si>
    <t>32C-PM-1013-06</t>
  </si>
  <si>
    <t>POINT (-73.9617490680298 40.7921537849244)</t>
  </si>
  <si>
    <t>5B-PM-1013-04</t>
  </si>
  <si>
    <t>POINT (-73.97881177554011 40.7707347137469)</t>
  </si>
  <si>
    <t>16D-PM-1010-08</t>
  </si>
  <si>
    <t>POINT (-73.9698839750249 40.7781433076692)</t>
  </si>
  <si>
    <t>7G-PM-1018-02</t>
  </si>
  <si>
    <t>POINT (-73.9722265046794 40.7700916895929)</t>
  </si>
  <si>
    <t>12E-PM-1018-02</t>
  </si>
  <si>
    <t>Black+Cinnamon, White</t>
  </si>
  <si>
    <t>Black &amp; Cinnamon selected as Primary. White selected as Highlights. Made executive adjustments.</t>
  </si>
  <si>
    <t>lounging on tree upside down</t>
  </si>
  <si>
    <t>POINT (-73.9713399316534 40.7750678026757)</t>
  </si>
  <si>
    <t>20C-PM-1018-04</t>
  </si>
  <si>
    <t>POINT (-73.9679955831115 40.7818431607916)</t>
  </si>
  <si>
    <t>1E-AM-1006-04</t>
  </si>
  <si>
    <t>POINT (-73.9770985425092 40.7665926744505)</t>
  </si>
  <si>
    <t>15H-PM-1008-04</t>
  </si>
  <si>
    <t>edge of landscape</t>
  </si>
  <si>
    <t>POINT (-73.9655955841325 40.7762063860571)</t>
  </si>
  <si>
    <t>23B-PM-1012-07</t>
  </si>
  <si>
    <t>POINT (-73.967767372181 40.784702631615)</t>
  </si>
  <si>
    <t>7H-AM-1006-07</t>
  </si>
  <si>
    <t>POINT (-73.97055600791 40.7698499183436)</t>
  </si>
  <si>
    <t>13D-PM-1018-12</t>
  </si>
  <si>
    <t>POINT (-73.9711319254625 40.776032485987905)</t>
  </si>
  <si>
    <t>32F-PM-1008-02</t>
  </si>
  <si>
    <t>POINT (-73.9584106786233 40.7902777556926)</t>
  </si>
  <si>
    <t>5B-AM-1008-01</t>
  </si>
  <si>
    <t>running across ball field 5,near home plate</t>
  </si>
  <si>
    <t>POINT (-73.9773898301093 40.7708581562057)</t>
  </si>
  <si>
    <t>8D-AM-1007-02</t>
  </si>
  <si>
    <t>POINT (-73.9735547926323 40.7723420076108)</t>
  </si>
  <si>
    <t>36E-AM-1013-01</t>
  </si>
  <si>
    <t>runs from (ran into treebrush)</t>
  </si>
  <si>
    <t>POINT (-73.9568300899773 40.7935855743354)</t>
  </si>
  <si>
    <t>10A-PM-1014-02</t>
  </si>
  <si>
    <t>in the bushes beneath a tree</t>
  </si>
  <si>
    <t>POINT (-73.9761579527932 40.7755877312075)</t>
  </si>
  <si>
    <t>37A-AM-1012-01</t>
  </si>
  <si>
    <t>Drawing included on tally sheet</t>
  </si>
  <si>
    <t>scanning (drawing included)</t>
  </si>
  <si>
    <t>POINT (-73.9604954276129 40.7965682182001)</t>
  </si>
  <si>
    <t>6C-AM-1007-06</t>
  </si>
  <si>
    <t>disappeared when jogger ran by</t>
  </si>
  <si>
    <t>POINT (-73.9761527947483 40.7709607002539)</t>
  </si>
  <si>
    <t>1B-AM-1012-14</t>
  </si>
  <si>
    <t>POINT (-73.980542388615 40.7682048804794)</t>
  </si>
  <si>
    <t>34D-AM-1008-01</t>
  </si>
  <si>
    <t>staring at us</t>
  </si>
  <si>
    <t>POINT (-73.95912925497001 40.7925530280455)</t>
  </si>
  <si>
    <t>16E-AM-1014-08</t>
  </si>
  <si>
    <t>POINT (-73.9688173465755 40.7782009764626)</t>
  </si>
  <si>
    <t>35H-AM-1013-02</t>
  </si>
  <si>
    <t>35H</t>
  </si>
  <si>
    <t>Sitting on tree limb</t>
  </si>
  <si>
    <t>watching me from tree,but calm</t>
  </si>
  <si>
    <t>POINT (-73.9541500874008 40.7920329989756)</t>
  </si>
  <si>
    <t>33E-AM-1014-07</t>
  </si>
  <si>
    <t>POINT (-73.9589852989486 40.7912720015917)</t>
  </si>
  <si>
    <t>1A-PM-1014-07</t>
  </si>
  <si>
    <t>POINT (-73.9811218801005 40.7684406206185)</t>
  </si>
  <si>
    <t>7H-PM-1006-08</t>
  </si>
  <si>
    <t>in grass</t>
  </si>
  <si>
    <t>POINT (-73.9702970919317 40.7696883113413)</t>
  </si>
  <si>
    <t>37H-PM-1006-01</t>
  </si>
  <si>
    <t>from voice</t>
  </si>
  <si>
    <t>POINT (-73.95307395621312 40.7932034409546)</t>
  </si>
  <si>
    <t>23F-PM-1013-02</t>
  </si>
  <si>
    <t>indifferent (mostly,did notice me,busy eating,foraging)</t>
  </si>
  <si>
    <t>POINT (-73.9638397790384 40.7828950272904)</t>
  </si>
  <si>
    <t>12H-PM-1007-01</t>
  </si>
  <si>
    <t>POINT (-73.9678154033099 40.7742783484486)</t>
  </si>
  <si>
    <t>24A-PM-1007-04</t>
  </si>
  <si>
    <t>POINT (-73.9676434256976 40.7862336624448)</t>
  </si>
  <si>
    <t>21H-PM-1018-01</t>
  </si>
  <si>
    <t>POINT (-73.9632799339872 40.7808316436308)</t>
  </si>
  <si>
    <t>27I-AM-1007-02</t>
  </si>
  <si>
    <t>POINT (-73.9583934264026 40.785474218550405)</t>
  </si>
  <si>
    <t>17E-AM-1017-04</t>
  </si>
  <si>
    <t>Shore</t>
  </si>
  <si>
    <t>POINT (-73.9679309130266 40.779243783803906)</t>
  </si>
  <si>
    <t>35C-PM-1013-06</t>
  </si>
  <si>
    <t>POINT (-73.9596505138955 40.7940367734988)</t>
  </si>
  <si>
    <t>37G-PM-1007-01</t>
  </si>
  <si>
    <t>POINT (-73.9545214613307 40.7943801121036)</t>
  </si>
  <si>
    <t>10D-AM-1008-03</t>
  </si>
  <si>
    <t>POINT (-73.9729847109778 40.7740709049602)</t>
  </si>
  <si>
    <t>12F-PM-1007-01</t>
  </si>
  <si>
    <t>POINT (-73.9693465383617 40.7744996336934)</t>
  </si>
  <si>
    <t>18A-AM-1012-01</t>
  </si>
  <si>
    <t>POINT (-73.9719460335398 40.7810508156287)</t>
  </si>
  <si>
    <t>36C-AM-1014-01</t>
  </si>
  <si>
    <t>POINT (-73.9597557819449 40.7949918204459)</t>
  </si>
  <si>
    <t>36F-AM-1017-02</t>
  </si>
  <si>
    <t>Cinnamon on shoulders</t>
  </si>
  <si>
    <t>POINT (-73.9564079273261 40.7939340053805)</t>
  </si>
  <si>
    <t>16I-AM-1008-03</t>
  </si>
  <si>
    <t>POINT (-73.9645060433292 40.7768322057794)</t>
  </si>
  <si>
    <t>3H-PM-1014-05</t>
  </si>
  <si>
    <t>POINT (-73.9728700359494 40.7659842666881)</t>
  </si>
  <si>
    <t>14H-PM-1012-02</t>
  </si>
  <si>
    <t>POINT (-73.9670858934045 40.7753505024976)</t>
  </si>
  <si>
    <t>36C-PM-1013-04</t>
  </si>
  <si>
    <t>On rock</t>
  </si>
  <si>
    <t>POINT (-73.959516757215 40.7952545908471)</t>
  </si>
  <si>
    <t>4C-PM-1010-08</t>
  </si>
  <si>
    <t>on stone arch</t>
  </si>
  <si>
    <t>POINT (-73.9775735077285 40.7692872082165)</t>
  </si>
  <si>
    <t>20B-AM-1007-03</t>
  </si>
  <si>
    <t>POINT (-73.9700186001049 40.7826052184658)</t>
  </si>
  <si>
    <t>3D-PM-1010-07</t>
  </si>
  <si>
    <t>POINT (-73.9776445567926 40.768119107973)</t>
  </si>
  <si>
    <t>21G-AM-1014-06</t>
  </si>
  <si>
    <t>POINT (-73.9638599044346 40.7809288795308)</t>
  </si>
  <si>
    <t>6E-PM-1010-05</t>
  </si>
  <si>
    <t>06E</t>
  </si>
  <si>
    <t>white back legs</t>
  </si>
  <si>
    <t>could this squirrel be eating a white mushroom?</t>
  </si>
  <si>
    <t>POINT (-73.9744906832678 40.76999487467761)</t>
  </si>
  <si>
    <t>41G-AM-1013-02</t>
  </si>
  <si>
    <t>41G</t>
  </si>
  <si>
    <t>POINT (-73.9519081627768 40.7973148719421)</t>
  </si>
  <si>
    <t>2C-PM-1013-11</t>
  </si>
  <si>
    <t>POINT (-73.9793082679745 40.7679930598805)</t>
  </si>
  <si>
    <t>3A-PM-1017-07</t>
  </si>
  <si>
    <t>POINT (-73.9798390387307 40.7700761090896)</t>
  </si>
  <si>
    <t>13D-PM-1018-06</t>
  </si>
  <si>
    <t>cleaning</t>
  </si>
  <si>
    <t>POINT (-73.9712550584322 40.7764273475386)</t>
  </si>
  <si>
    <t>16B-AM-1014-02</t>
  </si>
  <si>
    <t>POINT (-73.9716995507598 40.7797671327739)</t>
  </si>
  <si>
    <t>15H-PM-1008-01</t>
  </si>
  <si>
    <t>Oak tree</t>
  </si>
  <si>
    <t>observant</t>
  </si>
  <si>
    <t>POINT (-73.9667474482967 40.7760643720793)</t>
  </si>
  <si>
    <t>40H-AM-1017-02</t>
  </si>
  <si>
    <t>40H</t>
  </si>
  <si>
    <t>POINT (-73.95159077962161 40.7952684235477)</t>
  </si>
  <si>
    <t>39I-PM-1013-03</t>
  </si>
  <si>
    <t>39I</t>
  </si>
  <si>
    <t>POINT (-73.9520280004414 40.7946345014466)</t>
  </si>
  <si>
    <t>25I-AM-1012-01</t>
  </si>
  <si>
    <t>on bar</t>
  </si>
  <si>
    <t>POINT (-73.9594357049738 40.7840678890949)</t>
  </si>
  <si>
    <t>16B-PM-1017-02</t>
  </si>
  <si>
    <t>POINT (-73.9716271494641 40.7796462634184)</t>
  </si>
  <si>
    <t>35A-AM-1014-08</t>
  </si>
  <si>
    <t>POINT (-73.9615817859213 40.79458396638451)</t>
  </si>
  <si>
    <t>16G-AM-1010-05</t>
  </si>
  <si>
    <t>POINT (-73.9664669369583 40.7774085361976)</t>
  </si>
  <si>
    <t>4D-PM-1008-07</t>
  </si>
  <si>
    <t>hopped over fence and chased # 6 around tree &amp; ran it to end of lawn</t>
  </si>
  <si>
    <t>POINT (-73.9765805609072 40.7692807820935)</t>
  </si>
  <si>
    <t>34A-PM-1013-03</t>
  </si>
  <si>
    <t>POINT (-73.9628349778362 40.793887005206)</t>
  </si>
  <si>
    <t>3G-AM-1008-01</t>
  </si>
  <si>
    <t>POINT (-73.9743184653765 40.7667932997)</t>
  </si>
  <si>
    <t>32D-AM-1013-03</t>
  </si>
  <si>
    <t>POINT (-73.9611446263364 40.7911003407299)</t>
  </si>
  <si>
    <t>1C-PM-1013-04</t>
  </si>
  <si>
    <t>POINT (-73.9794367096274 40.7672720598482)</t>
  </si>
  <si>
    <t>32A-AM-1018-01</t>
  </si>
  <si>
    <t>POINT (-73.9631818528816 40.7925332194132)</t>
  </si>
  <si>
    <t>17C-PM-1013-03</t>
  </si>
  <si>
    <t>in a tree</t>
  </si>
  <si>
    <t>POINT (-73.9707339200738 40.7796333355689)</t>
  </si>
  <si>
    <t>32E-PM-1017-16</t>
  </si>
  <si>
    <t>rocky outcrop</t>
  </si>
  <si>
    <t>POINT (-73.960237785199 40.7907831607574)</t>
  </si>
  <si>
    <t>12A-PM-1013-03</t>
  </si>
  <si>
    <t>chased up a tree by #4</t>
  </si>
  <si>
    <t>POINT (-73.9744726434743 40.776729630785)</t>
  </si>
  <si>
    <t>38E-PM-1014-01</t>
  </si>
  <si>
    <t>POINT (-73.9557602499712 40.7956452424385)</t>
  </si>
  <si>
    <t>23I-AM-1019-01</t>
  </si>
  <si>
    <t>23I</t>
  </si>
  <si>
    <t>eyed me warily,then went up the tree</t>
  </si>
  <si>
    <t>POINT (-73.9608399003798 40.7817704502248)</t>
  </si>
  <si>
    <t>22A-AM-1008-02</t>
  </si>
  <si>
    <t>POINT (-73.9688523924488 40.7844018035948)</t>
  </si>
  <si>
    <t>5A-PM-1010-02</t>
  </si>
  <si>
    <t>POINT (-73.9786936992465 40.7713943674666)</t>
  </si>
  <si>
    <t>21F-PM-1018-01</t>
  </si>
  <si>
    <t>POINT (-73.964572179093 40.7811208719018)</t>
  </si>
  <si>
    <t>15F-PM-1010-01</t>
  </si>
  <si>
    <t>POINT (-73.9688929282726 40.7768899536946)</t>
  </si>
  <si>
    <t>6I-PM-1013-05</t>
  </si>
  <si>
    <t>playing with #6</t>
  </si>
  <si>
    <t>POINT (-73.9704449096084 40.7689970778303)</t>
  </si>
  <si>
    <t>5C-PM-1010-12</t>
  </si>
  <si>
    <t>POINT (-73.9763894759543 40.7705523372364)</t>
  </si>
  <si>
    <t>14G-AM-1012-03</t>
  </si>
  <si>
    <t>POINT (-73.9682129261841 40.7754232358118)</t>
  </si>
  <si>
    <t>1E-AM-1006-03</t>
  </si>
  <si>
    <t>POINT (-73.9777256989362 40.766623699564)</t>
  </si>
  <si>
    <t>18C-PM-1018-06</t>
  </si>
  <si>
    <t>POINT (-73.9694066600156 40.7805662180672)</t>
  </si>
  <si>
    <t>39D-AM-1008-06</t>
  </si>
  <si>
    <t>on rock</t>
  </si>
  <si>
    <t>POINT (-73.9568544270881 40.7972517274475)</t>
  </si>
  <si>
    <t>21C-AM-1014-02</t>
  </si>
  <si>
    <t>looked at us from tree</t>
  </si>
  <si>
    <t>POINT (-73.9677096985223 40.7825358361204)</t>
  </si>
  <si>
    <t>4B-AM-1010-01</t>
  </si>
  <si>
    <t>POINT (-73.9790226400629 40.7698997653792)</t>
  </si>
  <si>
    <t>14F-PM-1012-05</t>
  </si>
  <si>
    <t>on a fallen branch</t>
  </si>
  <si>
    <t>looking at me</t>
  </si>
  <si>
    <t>POINT (-73.9689504114652 40.7766770153764)</t>
  </si>
  <si>
    <t>1B-AM-1012-06</t>
  </si>
  <si>
    <t>POINT (-73.980048119915 40.7676638655026)</t>
  </si>
  <si>
    <t>36C-PM-1013-03</t>
  </si>
  <si>
    <t>POINT (-73.9593244415072 40.794964729747)</t>
  </si>
  <si>
    <t>7A-PM-1007-02</t>
  </si>
  <si>
    <t>POINT (-73.9779874405715 40.7730765377366)</t>
  </si>
  <si>
    <t>35F-AM-1007-01</t>
  </si>
  <si>
    <t>POINT (-73.9570391901515 40.7930697207834)</t>
  </si>
  <si>
    <t>30A-PM-1020-02</t>
  </si>
  <si>
    <t>Cinnamon back. Gray &amp; Cinnamon selected as Primary. White selected as Highlights. Made executive adjustments.</t>
  </si>
  <si>
    <t>POINT (-73.9647904085226 40.7911589002217)</t>
  </si>
  <si>
    <t>39C-AM-1017-01</t>
  </si>
  <si>
    <t>POINT (-73.9573477643797 40.7971734060509)</t>
  </si>
  <si>
    <t>10G-AM-1006-06</t>
  </si>
  <si>
    <t>skinny tail</t>
  </si>
  <si>
    <t>chasing (#5)</t>
  </si>
  <si>
    <t>POINT (-73.9706929270645 40.7727841119424)</t>
  </si>
  <si>
    <t>32E-PM-1017-07</t>
  </si>
  <si>
    <t>POINT (-73.959070754026 40.7906675143413)</t>
  </si>
  <si>
    <t>16E-PM-1018-05</t>
  </si>
  <si>
    <t>approaches (very close)</t>
  </si>
  <si>
    <t>POINT (-73.9682067129876 40.7779911208015)</t>
  </si>
  <si>
    <t>1B-PM-1019-09</t>
  </si>
  <si>
    <t>Tree to ground</t>
  </si>
  <si>
    <t>POINT (-73.9803282698463 40.7680809889384)</t>
  </si>
  <si>
    <t>40D-PM-1013-04</t>
  </si>
  <si>
    <t>POINT (-73.9553263156025 40.7975592060572)</t>
  </si>
  <si>
    <t>1A-PM-1014-04</t>
  </si>
  <si>
    <t>POINT (-73.9807898224726 40.768215817511)</t>
  </si>
  <si>
    <t>40I-PM-1013-01</t>
  </si>
  <si>
    <t>eating (berries)</t>
  </si>
  <si>
    <t>POINT (-73.9507772992986 40.7949188960194)</t>
  </si>
  <si>
    <t>8H-AM-1017-02</t>
  </si>
  <si>
    <t>root bed of tree</t>
  </si>
  <si>
    <t>POINT (-73.9696762034757 40.7704883494264)</t>
  </si>
  <si>
    <t>23F-PM-1013-01</t>
  </si>
  <si>
    <t>runs from (dove into some bushes/undergrowth,only saw briefly! â†’ not because of humans tho.)</t>
  </si>
  <si>
    <t>POINT (-73.9639726817977 40.7829083461049)</t>
  </si>
  <si>
    <t>9I-PM-1010-01</t>
  </si>
  <si>
    <t>standard coloration</t>
  </si>
  <si>
    <t>POINT (-73.9690395363594 40.771128205027)</t>
  </si>
  <si>
    <t>17G-PM-1017-04</t>
  </si>
  <si>
    <t>tree &amp; ground</t>
  </si>
  <si>
    <t>POINT (-73.9667206046912 40.7779993565098)</t>
  </si>
  <si>
    <t>38I-PM-1014-01</t>
  </si>
  <si>
    <t>on the lawn East of the fountain</t>
  </si>
  <si>
    <t>scampering thru the grass!</t>
  </si>
  <si>
    <t>POINT (-73.9525699067954 40.7937125788106)</t>
  </si>
  <si>
    <t>1B-PM-1019-01</t>
  </si>
  <si>
    <t>POINT (-73.9807982742225 40.7678795985389)</t>
  </si>
  <si>
    <t>40B-AM-1019-08</t>
  </si>
  <si>
    <t>POINT (-73.958230674366 40.7989268396525)</t>
  </si>
  <si>
    <t>15G-PM-1019-02</t>
  </si>
  <si>
    <t>POINT (-73.9674033125834 40.7769132902037)</t>
  </si>
  <si>
    <t>1C-PM-1013-02</t>
  </si>
  <si>
    <t>POINT (-73.9793334416378 40.7674142089209)</t>
  </si>
  <si>
    <t>25A-AM-1013-05</t>
  </si>
  <si>
    <t>CROSS BRIDLE - INTO TREE TO AVOID DOGGO</t>
  </si>
  <si>
    <t>d.p.t.</t>
  </si>
  <si>
    <t>calm</t>
  </si>
  <si>
    <t>POINT (-73.96695298359921 40.7871864151365)</t>
  </si>
  <si>
    <t>32G-PM-1013-01</t>
  </si>
  <si>
    <t>allowed me to approach within 10 ft</t>
  </si>
  <si>
    <t>POINT (-73.9577629744539 40.789746075829804)</t>
  </si>
  <si>
    <t>15A-AM-1007-01</t>
  </si>
  <si>
    <t>tbd</t>
  </si>
  <si>
    <t>in fenced in lawn (chill)</t>
  </si>
  <si>
    <t>POINT (-73.9728069355821 40.7794458131748)</t>
  </si>
  <si>
    <t>31A-PM-1017-03</t>
  </si>
  <si>
    <t>POINT (-73.9634835346077 40.7918244310746)</t>
  </si>
  <si>
    <t>30B-AM-1007-10</t>
  </si>
  <si>
    <t>POINT (-73.9634811495245 40.790705585077)</t>
  </si>
  <si>
    <t>2H-AM-1006-01</t>
  </si>
  <si>
    <t>POINT (-73.9731880656287 40.7660026186155)</t>
  </si>
  <si>
    <t>22B-PM-1014-06</t>
  </si>
  <si>
    <t>POINT (-73.9687462566073 40.783898987005)</t>
  </si>
  <si>
    <t>2B-AM-1010-04</t>
  </si>
  <si>
    <t>POINT (-73.9801698909399 40.7683721553321)</t>
  </si>
  <si>
    <t>40B-AM-1019-05</t>
  </si>
  <si>
    <t>POINT (-73.9580111496275 40.7985365971474)</t>
  </si>
  <si>
    <t>32E-PM-1017-09</t>
  </si>
  <si>
    <t>POINT (-73.9590868748584 40.7906047630418)</t>
  </si>
  <si>
    <t>20F-AM-1014-03</t>
  </si>
  <si>
    <t>POINT (-73.9655277320465 40.7806120529369)</t>
  </si>
  <si>
    <t>9B-PM-1013-08</t>
  </si>
  <si>
    <t>Cinnamon+Black, White</t>
  </si>
  <si>
    <t>POINT (-73.9762187733662 40.7739282973004)</t>
  </si>
  <si>
    <t>3E-PM-1008-08</t>
  </si>
  <si>
    <t>POINT (-73.9756993198381 40.7681956641913)</t>
  </si>
  <si>
    <t>18G-PM-1013-03</t>
  </si>
  <si>
    <t>POINT (-73.9657721715305 40.778534830257)</t>
  </si>
  <si>
    <t>22F-AM-1007-04</t>
  </si>
  <si>
    <t>POINT (-73.9636971843665 40.7825638537362)</t>
  </si>
  <si>
    <t>6A-AM-1006-02</t>
  </si>
  <si>
    <t>POINT (-73.9782813538421 40.7715730368712)</t>
  </si>
  <si>
    <t>7I-PM-1013-02</t>
  </si>
  <si>
    <t>Construction materials</t>
  </si>
  <si>
    <t>POINT (-73.9694979297007 40.7694667408721)</t>
  </si>
  <si>
    <t>36A-AM-1018-02</t>
  </si>
  <si>
    <t>POINT (-73.9616999731028 40.7954126939561)</t>
  </si>
  <si>
    <t>10A-AM-1006-02</t>
  </si>
  <si>
    <t>POINT (-73.9762965341309 40.775112516678)</t>
  </si>
  <si>
    <t>36A-PM-1013-01</t>
  </si>
  <si>
    <t>POINT (-73.9611118778753 40.7952007875354)</t>
  </si>
  <si>
    <t>11B-PM-1014-01</t>
  </si>
  <si>
    <t>Fat!</t>
  </si>
  <si>
    <t>POINT (-73.9748709206354 40.77608025411)</t>
  </si>
  <si>
    <t>32E-AM-1007-07</t>
  </si>
  <si>
    <t>on tennis club house roof</t>
  </si>
  <si>
    <t>POINT (-73.9594708328732 40.791192982895)</t>
  </si>
  <si>
    <t>28A-PM-1007-01</t>
  </si>
  <si>
    <t>POINT (-73.9662804925774 40.7890284642399)</t>
  </si>
  <si>
    <t>5C-AM-1006-07</t>
  </si>
  <si>
    <t>POINT (-73.9763159153138 40.7705785330431)</t>
  </si>
  <si>
    <t>10G-PM-1017-07</t>
  </si>
  <si>
    <t>traveling</t>
  </si>
  <si>
    <t>POINT (-73.9707937464541 40.7725282708448)</t>
  </si>
  <si>
    <t>38F-PM-1013-01</t>
  </si>
  <si>
    <t>Cinnamon tail &amp; belly</t>
  </si>
  <si>
    <t>POINT (-73.9549337398033 40.7946552731628)</t>
  </si>
  <si>
    <t>9A-AM-1013-09</t>
  </si>
  <si>
    <t>POINT (-73.9761792189352 40.7745745517215)</t>
  </si>
  <si>
    <t>9H-AM-1006-01</t>
  </si>
  <si>
    <t>POINT (-73.9693202078293 40.771043472925)</t>
  </si>
  <si>
    <t>13F-PM-1008-01</t>
  </si>
  <si>
    <t>POINT (-73.9699517492486 40.7753169595373)</t>
  </si>
  <si>
    <t>6F-AM-1006-01</t>
  </si>
  <si>
    <t>POINT (-73.9728895595977 40.7699378332299)</t>
  </si>
  <si>
    <t>15D-AM-1007-06</t>
  </si>
  <si>
    <t>POINT (-73.9707245013626 40.7780656588337)</t>
  </si>
  <si>
    <t>8B-AM-1007-07</t>
  </si>
  <si>
    <t>holding nut</t>
  </si>
  <si>
    <t>POINT (-73.9764850086767 40.7737340720562)</t>
  </si>
  <si>
    <t>38G-PM-1020-02</t>
  </si>
  <si>
    <t>POINT (-73.953375642605 40.7947144477885)</t>
  </si>
  <si>
    <t>22D-PM-1012-06</t>
  </si>
  <si>
    <t>POINT (-73.9661892200474 40.7836798072777)</t>
  </si>
  <si>
    <t>2D-AM-1007-02</t>
  </si>
  <si>
    <t>up tree</t>
  </si>
  <si>
    <t>POINT (-73.9779983794849 40.7675452099173)</t>
  </si>
  <si>
    <t>1C-PM-1013-09</t>
  </si>
  <si>
    <t>POINT (-73.9796409671481 40.7679049871186)</t>
  </si>
  <si>
    <t>15E-PM-1008-03</t>
  </si>
  <si>
    <t>POINT (-73.9691420412059 40.7773492582138)</t>
  </si>
  <si>
    <t>33E-AM-1014-04</t>
  </si>
  <si>
    <t>POINT (-73.9591298551111 40.7919612446005)</t>
  </si>
  <si>
    <t>41B-AM-1010-05</t>
  </si>
  <si>
    <t>POINT (-73.9572530843479 40.7987460430546)</t>
  </si>
  <si>
    <t>35D-PM-1013-01</t>
  </si>
  <si>
    <t>POINT (-73.9584803513939 40.7933802077327)</t>
  </si>
  <si>
    <t>5C-PM-1010-07</t>
  </si>
  <si>
    <t>POINT (-73.97684509717 40.7709430375069)</t>
  </si>
  <si>
    <t>37I-AM-1010-04</t>
  </si>
  <si>
    <t>POINT (-73.9527924755398 40.7934366260533)</t>
  </si>
  <si>
    <t>15A-AM-1007-02</t>
  </si>
  <si>
    <t>POINT (-73.9729090336637 40.7794340052503)</t>
  </si>
  <si>
    <t>17E-AM-1017-11</t>
  </si>
  <si>
    <t>POINT (-73.9677751507448 40.7790990066658)</t>
  </si>
  <si>
    <t>5A-AM-1006-03</t>
  </si>
  <si>
    <t>POINT (-73.9790822606486 40.7714466633386)</t>
  </si>
  <si>
    <t>36F-PM-1012-07</t>
  </si>
  <si>
    <t>POINT (-73.9555583724966 40.7932879745739)</t>
  </si>
  <si>
    <t>33E-PM-1012-09</t>
  </si>
  <si>
    <t>POINT (-73.9589254878322 40.7914467650712)</t>
  </si>
  <si>
    <t>7G-AM-1010-06</t>
  </si>
  <si>
    <t>POINT (-73.9722281263634 40.7704083288013)</t>
  </si>
  <si>
    <t>9H-PM-1018-08</t>
  </si>
  <si>
    <t>POINT (-73.9701412231078 40.7714534088899)</t>
  </si>
  <si>
    <t>21C-AM-1014-01</t>
  </si>
  <si>
    <t>jumping back &amp; forth on tree</t>
  </si>
  <si>
    <t>POINT (-73.9679686793869 40.7825993867876)</t>
  </si>
  <si>
    <t>2C-AM-1010-07</t>
  </si>
  <si>
    <t>#7 &amp; #8 chased each other up diff tree</t>
  </si>
  <si>
    <t>POINT (-73.9792039071114 40.76787494712671)</t>
  </si>
  <si>
    <t>13E-PM-1008-04</t>
  </si>
  <si>
    <t>Gray &amp; Cinnamon selected as Primary. Gray selected as Highlights. Made executive adjustments.</t>
  </si>
  <si>
    <t>he took 2 steps then turned and stared at me</t>
  </si>
  <si>
    <t>POINT (-73.9705370795538 40.7761725434851)</t>
  </si>
  <si>
    <t>3D-PM-1010-02</t>
  </si>
  <si>
    <t>POINT (-73.9773692131441 40.7679771150149)</t>
  </si>
  <si>
    <t>6G-AM-1008-01</t>
  </si>
  <si>
    <t>POINT (-73.9725897240269 40.7691342079294)</t>
  </si>
  <si>
    <t>18C-PM-1018-09</t>
  </si>
  <si>
    <t>POINT (-73.9696119179789 40.7802926111865)</t>
  </si>
  <si>
    <t>21E-AM-1017-01</t>
  </si>
  <si>
    <t>Climbs small tree</t>
  </si>
  <si>
    <t>walks from</t>
  </si>
  <si>
    <t>POINT (-73.9651817987035 40.7819082838334)</t>
  </si>
  <si>
    <t>13D-PM-1018-03</t>
  </si>
  <si>
    <t>POINT (-73.9714512125212 40.7760275250114)</t>
  </si>
  <si>
    <t>3F-AM-1006-07</t>
  </si>
  <si>
    <t>close to tall tree &amp; light post</t>
  </si>
  <si>
    <t>POINT (-73.9745556229855 40.7672921040998)</t>
  </si>
  <si>
    <t>42C-AM-1007-03</t>
  </si>
  <si>
    <t>POINT (-73.9565260889843 40.79918079243371)</t>
  </si>
  <si>
    <t>14A-PM-1014-07</t>
  </si>
  <si>
    <t>POINT (-73.9739326393775 40.7779105370473)</t>
  </si>
  <si>
    <t>41E-AM-1007-04</t>
  </si>
  <si>
    <t>white haunches/tail</t>
  </si>
  <si>
    <t>rubbing belly on ground</t>
  </si>
  <si>
    <t>POINT (-73.9543044385367 40.798449857133804)</t>
  </si>
  <si>
    <t>21D-PM-1008-06</t>
  </si>
  <si>
    <t>POINT (-73.9670904869871 40.7832091658006)</t>
  </si>
  <si>
    <t>4I-AM-1006-03</t>
  </si>
  <si>
    <t>Can't tell :(</t>
  </si>
  <si>
    <t>building nest!</t>
  </si>
  <si>
    <t>POINT (-73.9719729323923 40.7668318394546)</t>
  </si>
  <si>
    <t>37C-AM-1012-03</t>
  </si>
  <si>
    <t>Cinnamon flanks</t>
  </si>
  <si>
    <t>POINT (-73.9590132705889 40.7952248279764)</t>
  </si>
  <si>
    <t>38C-PM-1014-03</t>
  </si>
  <si>
    <t>POINT (-73.9585133340331 40.7963721679474)</t>
  </si>
  <si>
    <t>2G-AM-1010-01</t>
  </si>
  <si>
    <t>POINT (-73.9748247677824 40.7667893867839)</t>
  </si>
  <si>
    <t>5B-PM-1013-02</t>
  </si>
  <si>
    <t>POINT (-73.9777998932399 40.7709815865334)</t>
  </si>
  <si>
    <t>37I-AM-1010-03</t>
  </si>
  <si>
    <t>POINT (-73.9527227282134 40.7935061484064)</t>
  </si>
  <si>
    <t>1F-PM-1019-03</t>
  </si>
  <si>
    <t>POINT (-73.9764013589865 40.7663063499207)</t>
  </si>
  <si>
    <t>12D-PM-1014-03</t>
  </si>
  <si>
    <t>POINT (-73.9717469822209 40.7753731930704)</t>
  </si>
  <si>
    <t>10I-AM-1010-02</t>
  </si>
  <si>
    <t>POINT (-73.9679457364586 40.7717350221981)</t>
  </si>
  <si>
    <t>7B-AM-1008-15</t>
  </si>
  <si>
    <t>POINT (-73.9767247593654 40.7726200054197)</t>
  </si>
  <si>
    <t>2C-AM-1010-02</t>
  </si>
  <si>
    <t>POINT (-73.9789385196073 40.7675202157155)</t>
  </si>
  <si>
    <t>5C-PM-1010-05</t>
  </si>
  <si>
    <t>POINT (-73.976864402584 40.7705663751959)</t>
  </si>
  <si>
    <t>2A-AM-1010-06</t>
  </si>
  <si>
    <t>chasing #5</t>
  </si>
  <si>
    <t>POINT (-73.9811585807616 40.768706748732)</t>
  </si>
  <si>
    <t>9F-AM-1013-01</t>
  </si>
  <si>
    <t>POINT (-73.9719109949232 40.7723138521327)</t>
  </si>
  <si>
    <t>16E-PM-1018-07</t>
  </si>
  <si>
    <t>POINT (-73.9683345414813 40.7779016280345)</t>
  </si>
  <si>
    <t>6C-PM-1020-02</t>
  </si>
  <si>
    <t>POINT (-73.9770873939997 40.7710379662106)</t>
  </si>
  <si>
    <t>2C-PM-1013-01</t>
  </si>
  <si>
    <t>POINT (-73.9785353775382 40.7674923683184)</t>
  </si>
  <si>
    <t>23I-PM-1019-02</t>
  </si>
  <si>
    <t>POINT (-73.9603597117619 40.7824399298414)</t>
  </si>
  <si>
    <t>6H-AM-1008-02</t>
  </si>
  <si>
    <t>POINT (-73.9709897849823 40.768627964006)</t>
  </si>
  <si>
    <t>6I-PM-1013-02</t>
  </si>
  <si>
    <t>Bushes</t>
  </si>
  <si>
    <t>POINT (-73.9701010964667 40.76889193145081)</t>
  </si>
  <si>
    <t>31C-PM-1010-03</t>
  </si>
  <si>
    <t>31C</t>
  </si>
  <si>
    <t>POINT (-73.9623984262936 40.7913900453449)</t>
  </si>
  <si>
    <t>29A-PM-1019-01</t>
  </si>
  <si>
    <t>29A</t>
  </si>
  <si>
    <t>POINT (-73.9652921233647 40.790440565854)</t>
  </si>
  <si>
    <t>20C-PM-1018-08</t>
  </si>
  <si>
    <t>POINT (-73.967762162893 40.7823359027165)</t>
  </si>
  <si>
    <t>22E-PM-1014-01</t>
  </si>
  <si>
    <t>22E</t>
  </si>
  <si>
    <t>POINT (-73.9656750232596 40.7833002587016)</t>
  </si>
  <si>
    <t>25I-PM-1007-03</t>
  </si>
  <si>
    <t>POINT (-73.9595717225279 40.7829872498299)</t>
  </si>
  <si>
    <t>40D-PM-1013-06</t>
  </si>
  <si>
    <t>POINT (-73.9558943880051 40.7971535141896)</t>
  </si>
  <si>
    <t>3G-AM-1008-02</t>
  </si>
  <si>
    <t>Big one! Beautiful tail</t>
  </si>
  <si>
    <t>POINT (-73.9745859998733 40.7671634885616)</t>
  </si>
  <si>
    <t>7H-AM-1006-12</t>
  </si>
  <si>
    <t>POINT (-73.9702541471417 40.7698584231797)</t>
  </si>
  <si>
    <t>3A-PM-1017-01</t>
  </si>
  <si>
    <t>POINT (-73.97980051887042 40.7691868791734)</t>
  </si>
  <si>
    <t>33B-PM-1010-09</t>
  </si>
  <si>
    <t>POINT (-73.9619609976132 40.7922824443528)</t>
  </si>
  <si>
    <t>7F-AM-1008-11</t>
  </si>
  <si>
    <t>POINT (-73.9729848996456 40.7707143294261)</t>
  </si>
  <si>
    <t>39I-PM-1013-01</t>
  </si>
  <si>
    <t>POINT (-73.9512120949478 40.7947945266515)</t>
  </si>
  <si>
    <t>39D-AM-1008-04</t>
  </si>
  <si>
    <t>POINT (-73.9562469727195 40.79685907654)</t>
  </si>
  <si>
    <t>1C-PM-1013-07</t>
  </si>
  <si>
    <t>POINT (-73.9795728289645 40.7678669804787)</t>
  </si>
  <si>
    <t>6E-PM-1010-04</t>
  </si>
  <si>
    <t>small open area but w/ 7 large oak trees</t>
  </si>
  <si>
    <t>POINT (-73.974451175321 40.7701294635264)</t>
  </si>
  <si>
    <t>39D-PM-1012-02</t>
  </si>
  <si>
    <t>POINT (-73.9566785136491 40.7963368332834)</t>
  </si>
  <si>
    <t>36E-PM-1012-01</t>
  </si>
  <si>
    <t>POINT (-73.9570891696776 40.7935448802241)</t>
  </si>
  <si>
    <t>7H-AM-1006-08</t>
  </si>
  <si>
    <t>POINT (-73.9705115189429 40.7698395577068)</t>
  </si>
  <si>
    <t>35D-AM-1019-02</t>
  </si>
  <si>
    <t>Black tail &amp; edge, Cinnamon mid, While tail edge</t>
  </si>
  <si>
    <t>very quietly searching in long grass</t>
  </si>
  <si>
    <t>POINT (-73.9589096782789 40.7939698757903)</t>
  </si>
  <si>
    <t>4D-PM-1008-12</t>
  </si>
  <si>
    <t>was chased by # 11</t>
  </si>
  <si>
    <t>POINT (-73.9763236949008 40.7686815615335)</t>
  </si>
  <si>
    <t>7F-AM-1008-05</t>
  </si>
  <si>
    <t>POINT (-73.9730454295997 40.7702909454392)</t>
  </si>
  <si>
    <t>11D-PM-1006-03</t>
  </si>
  <si>
    <t>POINT (-73.9724681269526 40.7743474675821)</t>
  </si>
  <si>
    <t>15G-AM-1008-06</t>
  </si>
  <si>
    <t>POINT (-73.9668140804066 40.7768100147333)</t>
  </si>
  <si>
    <t>11H-PM-1013-03</t>
  </si>
  <si>
    <t>planting nut</t>
  </si>
  <si>
    <t>POINT (-73.96859351775 40.7735537139641)</t>
  </si>
  <si>
    <t>33E-PM-1012-05</t>
  </si>
  <si>
    <t>POINT (-73.959019987128 40.7912546691805)</t>
  </si>
  <si>
    <t>3D-PM-1010-09</t>
  </si>
  <si>
    <t>POINT (-73.9775465365348 40.7681943707876)</t>
  </si>
  <si>
    <t>32D-AM-1013-04</t>
  </si>
  <si>
    <t>Brown legs</t>
  </si>
  <si>
    <t>POINT (-73.9604089940153 40.7910028063138)</t>
  </si>
  <si>
    <t>14D-AM-1014-15</t>
  </si>
  <si>
    <t>POINT (-73.9709534894049 40.7765964740768)</t>
  </si>
  <si>
    <t>6I-PM-1013-04</t>
  </si>
  <si>
    <t>Grass</t>
  </si>
  <si>
    <t>POINT (-73.9705509170542 40.7689416540228)</t>
  </si>
  <si>
    <t>3A-AM-1012-02</t>
  </si>
  <si>
    <t>Gray &amp; Cinnamon selected as Primary. Black &amp; Cinnamon selected as Highlights. Made executive adjustments.</t>
  </si>
  <si>
    <t>POINT (-73.9802831706033 40.7692763295564)</t>
  </si>
  <si>
    <t>32C-AM-1014-01</t>
  </si>
  <si>
    <t>POINT (-73.9612900553755 40.7912917391867)</t>
  </si>
  <si>
    <t>4D-AM-1012-01</t>
  </si>
  <si>
    <t>POINT (-73.9766653663947 40.7688767713012)</t>
  </si>
  <si>
    <t>18I-PM-1007-08</t>
  </si>
  <si>
    <t>canoodling w/ #9</t>
  </si>
  <si>
    <t>POINT (-73.964280573021 40.777830911491)</t>
  </si>
  <si>
    <t>32I-PM-1007-03</t>
  </si>
  <si>
    <t>small adult</t>
  </si>
  <si>
    <t>POINT (-73.9552146665714 40.7892909102377)</t>
  </si>
  <si>
    <t>10G-AM-1006-04</t>
  </si>
  <si>
    <t>chasing (#3)</t>
  </si>
  <si>
    <t>POINT (-73.9704024529864 40.7729256063889)</t>
  </si>
  <si>
    <t>32D-PM-1006-01</t>
  </si>
  <si>
    <t>POINT (-73.9603302382958 40.7910100435196)</t>
  </si>
  <si>
    <t>37H-AM-1018-02</t>
  </si>
  <si>
    <t>Large tree by (fence of the conservatory) about to climb up</t>
  </si>
  <si>
    <t>busy,ready to climb</t>
  </si>
  <si>
    <t>POINT (-73.9533319519277 40.7933647909449)</t>
  </si>
  <si>
    <t>30I-PM-1006-01</t>
  </si>
  <si>
    <t>sitting there</t>
  </si>
  <si>
    <t>POINT (-73.9569324958684 40.78777483742591)</t>
  </si>
  <si>
    <t>3F-PM-1013-01</t>
  </si>
  <si>
    <t>POINT (-73.9755974646331 40.7673435798289)</t>
  </si>
  <si>
    <t>41C-PM-1007-01</t>
  </si>
  <si>
    <t>POINT (-73.9565197137317 40.7986011403785)</t>
  </si>
  <si>
    <t>37E-AM-1013-01</t>
  </si>
  <si>
    <t>POINT (-73.9560396440844 40.7945080361909)</t>
  </si>
  <si>
    <t>36H-AM-1010-01</t>
  </si>
  <si>
    <t>POINT (-73.9545841828392 40.7926924268376)</t>
  </si>
  <si>
    <t>42D-AM-1014-03</t>
  </si>
  <si>
    <t>POINT (-73.9546201403481 40.7989423768656)</t>
  </si>
  <si>
    <t>12G-PM-1007-03</t>
  </si>
  <si>
    <t>bushes</t>
  </si>
  <si>
    <t>friendly</t>
  </si>
  <si>
    <t>POINT (-73.9694169352433 40.7744408293858)</t>
  </si>
  <si>
    <t>13D-PM-1018-05</t>
  </si>
  <si>
    <t>POINT (-73.9712034320741 40.7764415506669)</t>
  </si>
  <si>
    <t>22C-PM-1006-04</t>
  </si>
  <si>
    <t>POINT (-73.9671813866177 40.7838640032038)</t>
  </si>
  <si>
    <t>1A-PM-1014-06</t>
  </si>
  <si>
    <t>POINT (-73.980919134781 40.7683772453336)</t>
  </si>
  <si>
    <t>34D-PM-1007-01</t>
  </si>
  <si>
    <t>POINT (-73.9595955824812 40.7933047943534)</t>
  </si>
  <si>
    <t>15G-PM-1019-01</t>
  </si>
  <si>
    <t>POINT (-73.9674724790652 40.7768771349868)</t>
  </si>
  <si>
    <t>11I-PM-1012-06</t>
  </si>
  <si>
    <t>POINT (-73.9680522379372 40.772389813511)</t>
  </si>
  <si>
    <t>11E-PM-1012-01</t>
  </si>
  <si>
    <t>POINT (-73.9714907235676 40.774058386152)</t>
  </si>
  <si>
    <t>39D-AM-1008-02</t>
  </si>
  <si>
    <t>POINT (-73.9562105506291 40.7966991197909)</t>
  </si>
  <si>
    <t>38E-AM-1010-05</t>
  </si>
  <si>
    <t>interested in my presence</t>
  </si>
  <si>
    <t>POINT (-73.9554327683595 40.7953846381499)</t>
  </si>
  <si>
    <t>15D-AM-1007-08</t>
  </si>
  <si>
    <t>chasing #7</t>
  </si>
  <si>
    <t>POINT (-73.9699285688296 40.7774474015189)</t>
  </si>
  <si>
    <t>14E-AM-1008-21</t>
  </si>
  <si>
    <t>curious,but not expecting food</t>
  </si>
  <si>
    <t>POINT (-73.9701824376506 40.7763703306736)</t>
  </si>
  <si>
    <t>13A-AM-1017-03</t>
  </si>
  <si>
    <t>POINT (-73.9744387347626 40.7776953143835)</t>
  </si>
  <si>
    <t>41E-AM-1007-05</t>
  </si>
  <si>
    <t>man/pit bull mix wandered</t>
  </si>
  <si>
    <t>POINT (-73.954554245377 40.7983935730557)</t>
  </si>
  <si>
    <t>3C-AM-1007-02</t>
  </si>
  <si>
    <t>POINT (-73.9775278847897 40.7687881061059)</t>
  </si>
  <si>
    <t>2G-PM-1007-03</t>
  </si>
  <si>
    <t>POINT (-73.9747288122551 40.7659918747507)</t>
  </si>
  <si>
    <t>12G-AM-1012-03</t>
  </si>
  <si>
    <t>POINT (-73.96899393686472 40.7740824773353)</t>
  </si>
  <si>
    <t>6C-AM-1007-03</t>
  </si>
  <si>
    <t>another tree</t>
  </si>
  <si>
    <t>POINT (-73.9765758043111 40.7713803154032)</t>
  </si>
  <si>
    <t>3D-AM-1006-06</t>
  </si>
  <si>
    <t>did not run from humans,but ran straight to tree &amp; climbed up</t>
  </si>
  <si>
    <t>POINT (-73.9772164524209 40.7688399538756)</t>
  </si>
  <si>
    <t>19H-AM-1010-02</t>
  </si>
  <si>
    <t>near base of small tree</t>
  </si>
  <si>
    <t>ran from human with dog</t>
  </si>
  <si>
    <t>POINT (-73.9643032554205 40.7794514526463)</t>
  </si>
  <si>
    <t>26I-PM-1010-01</t>
  </si>
  <si>
    <t>POINT (-73.9588809150045 40.7847231576181)</t>
  </si>
  <si>
    <t>6B-AM-1012-02</t>
  </si>
  <si>
    <t>by bike racks at Tavern on the Green</t>
  </si>
  <si>
    <t>walking,exploring - digging in flower bed</t>
  </si>
  <si>
    <t>POINT (-73.9774928245781 40.7720464606979)</t>
  </si>
  <si>
    <t>1G-PM-1010-02</t>
  </si>
  <si>
    <t>laying on tree branch</t>
  </si>
  <si>
    <t>POINT (-73.9754527701832 40.7656088463928)</t>
  </si>
  <si>
    <t>30I-PM-1006-07</t>
  </si>
  <si>
    <t>POINT (-73.957134662576 40.7872395604122)</t>
  </si>
  <si>
    <t>8I-AM-1006-09</t>
  </si>
  <si>
    <t>very curious,looked like it expected food</t>
  </si>
  <si>
    <t>POINT (-73.969560591279 40.7705619840715)</t>
  </si>
  <si>
    <t>5G-PM-1010-05</t>
  </si>
  <si>
    <t>POINT (-73.9733820053679 40.7687330473562)</t>
  </si>
  <si>
    <t>10C-AM-1018-03</t>
  </si>
  <si>
    <t>POINT (-73.9750986553543 40.7740671171292)</t>
  </si>
  <si>
    <t>13D-PM-1018-07</t>
  </si>
  <si>
    <t>scratching</t>
  </si>
  <si>
    <t>POINT (-73.9716624574422 40.7762037110101)</t>
  </si>
  <si>
    <t>19C-PM-1018-08</t>
  </si>
  <si>
    <t>POINT (-73.9686413326172 40.7817423907284)</t>
  </si>
  <si>
    <t>6B-PM-1017-01</t>
  </si>
  <si>
    <t>POINT (-73.9773083616259 40.7710535931636)</t>
  </si>
  <si>
    <t>32C-PM-1013-07</t>
  </si>
  <si>
    <t>POINT (-73.9611300905602 40.7918743735665)</t>
  </si>
  <si>
    <t>28A-PM-1007-04</t>
  </si>
  <si>
    <t>looking at me &amp; #5</t>
  </si>
  <si>
    <t>POINT (-73.9662063642345 40.7890778665307)</t>
  </si>
  <si>
    <t>42C-PM-1013-01</t>
  </si>
  <si>
    <t>POINT (-73.9563662963703 40.7991952101949)</t>
  </si>
  <si>
    <t>32C-PM-1013-11</t>
  </si>
  <si>
    <t>POINT (-73.9618591510932 40.7921343738001)</t>
  </si>
  <si>
    <t>34E-PM-1006-02</t>
  </si>
  <si>
    <t>Black+Gray, White</t>
  </si>
  <si>
    <t>POINT (-73.9581326554206 40.7918074743129)</t>
  </si>
  <si>
    <t>7E-PM-1013-02</t>
  </si>
  <si>
    <t>POINT (-73.9735655529245 40.7716072681474)</t>
  </si>
  <si>
    <t>33B-AM-1010-05</t>
  </si>
  <si>
    <t>POINT (-73.9616693665254 40.792971019627)</t>
  </si>
  <si>
    <t>36B-PM-1013-05</t>
  </si>
  <si>
    <t>POINT (-73.9599197612389 40.7954836456006)</t>
  </si>
  <si>
    <t>1B-AM-1012-16</t>
  </si>
  <si>
    <t>POINT (-73.9806805581636 40.7681537966505)</t>
  </si>
  <si>
    <t>8F-PM-1012-06</t>
  </si>
  <si>
    <t>POINT (-73.9727698663722 40.7714335285174)</t>
  </si>
  <si>
    <t>32D-AM-1013-01</t>
  </si>
  <si>
    <t>POINT (-73.9610985171525 40.7913867116989)</t>
  </si>
  <si>
    <t>32C-PM-1013-13</t>
  </si>
  <si>
    <t>buried nut</t>
  </si>
  <si>
    <t>POINT (-73.9616770335086 40.7921648631096)</t>
  </si>
  <si>
    <t>18I-AM-1017-01</t>
  </si>
  <si>
    <t>POINT (-73.9636476467218 40.7775556986702)</t>
  </si>
  <si>
    <t>9A-AM-1013-10</t>
  </si>
  <si>
    <t>POINT (-73.9765269282059 40.7746876635248)</t>
  </si>
  <si>
    <t>37H-AM-1018-04</t>
  </si>
  <si>
    <t>was with a lot of robins</t>
  </si>
  <si>
    <t>POINT (-73.9534910562766 40.7935774443789)</t>
  </si>
  <si>
    <t>32B-PM-1010-01</t>
  </si>
  <si>
    <t>POINT (-73.9631350020634 40.791907210332)</t>
  </si>
  <si>
    <t>8I-AM-1006-03</t>
  </si>
  <si>
    <t>POINT (-73.9693772461788 40.7706875892901)</t>
  </si>
  <si>
    <t>14D-AM-1014-08</t>
  </si>
  <si>
    <t>POINT (-73.9708782966369 40.77694686696301)</t>
  </si>
  <si>
    <t>20D-PM-1014-01</t>
  </si>
  <si>
    <t>POINT (-73.96749306684312 40.781351011968)</t>
  </si>
  <si>
    <t>33B-PM-1010-07</t>
  </si>
  <si>
    <t>POINT (-73.961934398055 40.7924789548522)</t>
  </si>
  <si>
    <t>32B-PM-1010-04</t>
  </si>
  <si>
    <t>POINT (-73.9629184712372 40.7921410511633)</t>
  </si>
  <si>
    <t>7G-AM-1010-08</t>
  </si>
  <si>
    <t>POINT (-73.972112497276 40.7702759037428)</t>
  </si>
  <si>
    <t>7F-AM-1008-14</t>
  </si>
  <si>
    <t>POINT (-73.9726090882487 40.7710199108849)</t>
  </si>
  <si>
    <t>2C-AM-1010-04</t>
  </si>
  <si>
    <t>POINT (-73.9791648157033 40.767625444347)</t>
  </si>
  <si>
    <t>15C-PM-1017-05</t>
  </si>
  <si>
    <t>POINT (-73.9711582199102 40.7783674409485)</t>
  </si>
  <si>
    <t>38G-PM-1020-05</t>
  </si>
  <si>
    <t>POINT (-73.9542684235907 40.7944237164092)</t>
  </si>
  <si>
    <t>38G-PM-1020-04</t>
  </si>
  <si>
    <t>POINT (-73.9542770888881 40.79436103668531)</t>
  </si>
  <si>
    <t>6I-PM-1013-03</t>
  </si>
  <si>
    <t>Flowers, grass</t>
  </si>
  <si>
    <t>POINT (-73.9702717260829 40.768951107763)</t>
  </si>
  <si>
    <t>17E-PM-1018-02</t>
  </si>
  <si>
    <t>On the rock</t>
  </si>
  <si>
    <t>POINT (-73.9681627331154 40.7785099665602)</t>
  </si>
  <si>
    <t>39F-PM-1006-02</t>
  </si>
  <si>
    <t>POINT (-73.9542733797804 40.795578653743)</t>
  </si>
  <si>
    <t>41F-PM-1019-02</t>
  </si>
  <si>
    <t>41F</t>
  </si>
  <si>
    <t>POINT (-73.9528353702209 40.7976456178263)</t>
  </si>
  <si>
    <t>40C-PM-1006-01</t>
  </si>
  <si>
    <t>POINT (-73.95673722009802 40.797580989255)</t>
  </si>
  <si>
    <t>28B-PM-1010-02</t>
  </si>
  <si>
    <t>28B</t>
  </si>
  <si>
    <t>POINT (-73.9653739273979 40.7889762096967)</t>
  </si>
  <si>
    <t>36F-AM-1017-03</t>
  </si>
  <si>
    <t>POINT (-73.9564741038174 40.7938845572816)</t>
  </si>
  <si>
    <t>7B-AM-1008-13</t>
  </si>
  <si>
    <t>POINT (-73.9773361580792 40.7729478226715)</t>
  </si>
  <si>
    <t>7C-PM-1020-02</t>
  </si>
  <si>
    <t>POINT (-73.9752263564287 40.772084917017)</t>
  </si>
  <si>
    <t>22C-PM-1006-08</t>
  </si>
  <si>
    <t>POINT (-73.9669762657479 40.7835913293646)</t>
  </si>
  <si>
    <t>1C-PM-1013-08</t>
  </si>
  <si>
    <t>POINT (-73.9796470494747 40.7678370925485)</t>
  </si>
  <si>
    <t>2A-AM-1010-01</t>
  </si>
  <si>
    <t>POINT (-73.9806959248152 40.7684820679479)</t>
  </si>
  <si>
    <t>38C-AM-1019-10</t>
  </si>
  <si>
    <t>POINT (-73.9586077039567 40.7961896477077)</t>
  </si>
  <si>
    <t>32C-AM-1014-05</t>
  </si>
  <si>
    <t>POINT (-73.9611274898661 40.7915250069086)</t>
  </si>
  <si>
    <t>15G-PM-1019-09</t>
  </si>
  <si>
    <t>POINT (-73.9676732725672 40.7763194425467)</t>
  </si>
  <si>
    <t>3C-PM-1008-01</t>
  </si>
  <si>
    <t>walked between trees</t>
  </si>
  <si>
    <t>POINT (-73.9787608762005 40.7686062296462)</t>
  </si>
  <si>
    <t>36A-PM-1013-02</t>
  </si>
  <si>
    <t>POINT (-73.9615649773504 40.7954761311501)</t>
  </si>
  <si>
    <t>7F-AM-1008-12</t>
  </si>
  <si>
    <t>POINT (-73.9730085729495 40.7708933570327)</t>
  </si>
  <si>
    <t>9H-AM-1006-02</t>
  </si>
  <si>
    <t>POINT (-73.96971605724461 40.7711445570446)</t>
  </si>
  <si>
    <t>12G-PM-1007-07</t>
  </si>
  <si>
    <t>acorns</t>
  </si>
  <si>
    <t>POINT (-73.9685709455958 40.7744877026506)</t>
  </si>
  <si>
    <t>37D-PM-1014-07</t>
  </si>
  <si>
    <t>POINT (-73.9580021017892 40.7955140102242)</t>
  </si>
  <si>
    <t>17E-AM-1017-07</t>
  </si>
  <si>
    <t>POINT (-73.9677146741772 40.7788231332337)</t>
  </si>
  <si>
    <t>35E-AM-1020-04</t>
  </si>
  <si>
    <t>hunkered down,tail over body; sitting perfectly still</t>
  </si>
  <si>
    <t>POINT (-73.9578658632957 40.7933712188923)</t>
  </si>
  <si>
    <t>29A-PM-1019-03</t>
  </si>
  <si>
    <t>ran from,but now approaching. kind of weirding me out.</t>
  </si>
  <si>
    <t>POINT (-73.9648090698176 40.7903882097837)</t>
  </si>
  <si>
    <t>19C-PM-1018-03</t>
  </si>
  <si>
    <t>POINT (-73.9687134137786 40.7812207913391)</t>
  </si>
  <si>
    <t>39F-AM-1014-05</t>
  </si>
  <si>
    <t>up/down tree</t>
  </si>
  <si>
    <t>POINT (-73.95488263914 40.7959474571251)</t>
  </si>
  <si>
    <t>13D-AM-1014-03</t>
  </si>
  <si>
    <t>POINT (-73.9710801547498 40.7760872452093)</t>
  </si>
  <si>
    <t>16C-PM-1018-02</t>
  </si>
  <si>
    <t>POINT (-73.9704677007779 40.7786860108302)</t>
  </si>
  <si>
    <t>18G-AM-1014-01</t>
  </si>
  <si>
    <t>looking</t>
  </si>
  <si>
    <t>POINT (-73.9655233748105 40.7792737287734)</t>
  </si>
  <si>
    <t>32E-AM-1007-14</t>
  </si>
  <si>
    <t>literally fell to ground from 50 feet up</t>
  </si>
  <si>
    <t>falling</t>
  </si>
  <si>
    <t>POINT (-73.9602808042376 40.7906130788763)</t>
  </si>
  <si>
    <t>14E-AM-1008-22</t>
  </si>
  <si>
    <t>POINT (-73.970442878377 40.7763755560359)</t>
  </si>
  <si>
    <t>1E-AM-1006-05</t>
  </si>
  <si>
    <t>POINT (-73.9773495807135 40.7664559937331)</t>
  </si>
  <si>
    <t>13G-PM-1008-04</t>
  </si>
  <si>
    <t>lawn @ edge of landscaped area</t>
  </si>
  <si>
    <t>POINT (-73.9681202146851 40.7743979416812)</t>
  </si>
  <si>
    <t>10C-AM-1018-01</t>
  </si>
  <si>
    <t>POINT (-73.9745009906157 40.7741574075364)</t>
  </si>
  <si>
    <t>9B-PM-1013-05</t>
  </si>
  <si>
    <t>POINT (-73.9761632586697 40.7741085606149)</t>
  </si>
  <si>
    <t>12F-PM-1007-08</t>
  </si>
  <si>
    <t>POINT (-73.9700666654946 40.7742857042581)</t>
  </si>
  <si>
    <t>37C-PM-1013-04</t>
  </si>
  <si>
    <t>POINT (-73.9589371550945 40.7959812504467)</t>
  </si>
  <si>
    <t>6E-PM-1010-01</t>
  </si>
  <si>
    <t>along dirt path by cross-town car road. saw movement in a shrub/then caught sight a little fluffy tail</t>
  </si>
  <si>
    <t>POINT (-73.9746204802221 40.7699294840733)</t>
  </si>
  <si>
    <t>15D-AM-1007-05</t>
  </si>
  <si>
    <t>POINT (-73.9704778551644 40.7783119113627)</t>
  </si>
  <si>
    <t>5F-AM-1007-01</t>
  </si>
  <si>
    <t>POINT (-73.973230162241 40.7689824531444)</t>
  </si>
  <si>
    <t>37C-PM-1013-02</t>
  </si>
  <si>
    <t>POINT (-73.9581544682422 40.7958081306449)</t>
  </si>
  <si>
    <t>38C-AM-1019-11</t>
  </si>
  <si>
    <t>POINT (-73.9587913289229 40.7961707624534)</t>
  </si>
  <si>
    <t>1B-PM-1019-04</t>
  </si>
  <si>
    <t>POINT (-73.9802840031759 40.7678599069819)</t>
  </si>
  <si>
    <t>39A-AM-1013-01</t>
  </si>
  <si>
    <t>POINT (-73.9594676326588 40.7984457363388)</t>
  </si>
  <si>
    <t>1A-AM-1007-01</t>
  </si>
  <si>
    <t>POINT (-73.9810032206428 40.7681625634979)</t>
  </si>
  <si>
    <t>41B-AM-1010-02</t>
  </si>
  <si>
    <t>POINT (-73.9580513096783 40.79909641532)</t>
  </si>
  <si>
    <t>16E-PM-1018-02</t>
  </si>
  <si>
    <t>gets distance from people but then continues to chase #1</t>
  </si>
  <si>
    <t>POINT (-73.9678561384348 40.7782877397822)</t>
  </si>
  <si>
    <t>11A-PM-1013-04</t>
  </si>
  <si>
    <t>POINT (-73.9757313481982 40.7754704051391)</t>
  </si>
  <si>
    <t>2F-PM-1014-11</t>
  </si>
  <si>
    <t>POINT (-73.974828939898 40.7668886121909)</t>
  </si>
  <si>
    <t>17F-AM-1007-03</t>
  </si>
  <si>
    <t>POINT (-73.9673924060436 40.7788781851716)</t>
  </si>
  <si>
    <t>3E-PM-1008-06</t>
  </si>
  <si>
    <t>POINT (-73.9756017589251 40.7680335996527)</t>
  </si>
  <si>
    <t>20G-AM-1018-03</t>
  </si>
  <si>
    <t>POINT (-73.9647605121306 40.7803961531517)</t>
  </si>
  <si>
    <t>25I-PM-1007-02</t>
  </si>
  <si>
    <t>POINT (-73.9595022290348 40.783115133007406)</t>
  </si>
  <si>
    <t>35I-PM-1006-02</t>
  </si>
  <si>
    <t>35I</t>
  </si>
  <si>
    <t>POINT (-73.9537356145842 40.7917273773486)</t>
  </si>
  <si>
    <t>24I-AM-1019-01</t>
  </si>
  <si>
    <t>24I</t>
  </si>
  <si>
    <t>POINT (-73.9600204328201 40.782877291358)</t>
  </si>
  <si>
    <t>14D-AM-1014-06</t>
  </si>
  <si>
    <t>POINT (-73.9709722223794 40.7767329646325)</t>
  </si>
  <si>
    <t>27I-AM-1007-03</t>
  </si>
  <si>
    <t>had .5 of a tail</t>
  </si>
  <si>
    <t>POINT (-73.9586252875856 40.7852027586217)</t>
  </si>
  <si>
    <t>17G-PM-1017-02</t>
  </si>
  <si>
    <t>POINT (-73.9664986446294 40.778308334318)</t>
  </si>
  <si>
    <t>2F-PM-1014-01</t>
  </si>
  <si>
    <t>POINT (-73.97553219985421 40.7668311576007)</t>
  </si>
  <si>
    <t>14H-PM-1012-05</t>
  </si>
  <si>
    <t>approaches (someone was feeding it)</t>
  </si>
  <si>
    <t>POINT (-73.9666113598566 40.7752662550312)</t>
  </si>
  <si>
    <t>6I-AM-1006-01</t>
  </si>
  <si>
    <t>runs from (someone sneezed)</t>
  </si>
  <si>
    <t>POINT (-73.9706533131129 40.768902033819)</t>
  </si>
  <si>
    <t>13E-PM-1008-01</t>
  </si>
  <si>
    <t>POINT (-73.970804709441 40.7758611111219)</t>
  </si>
  <si>
    <t>35C-AM-1007-01</t>
  </si>
  <si>
    <t>(white oak)</t>
  </si>
  <si>
    <t>POINT (-73.9601918930677 40.7944134683406)</t>
  </si>
  <si>
    <t>33A-AM-1008-01</t>
  </si>
  <si>
    <t>acknowledged</t>
  </si>
  <si>
    <t>POINT (-73.9632577850183 40.793112839016)</t>
  </si>
  <si>
    <t>42B-AM-1014-01</t>
  </si>
  <si>
    <t>POINT (-73.9574077497624 40.8001185184892)</t>
  </si>
  <si>
    <t>5D-PM-1018-02</t>
  </si>
  <si>
    <t>On low fence</t>
  </si>
  <si>
    <t>POINT (-73.9760749752948 40.7703284894392)</t>
  </si>
  <si>
    <t>34F-PM-1012-01</t>
  </si>
  <si>
    <t>POINT (-73.9582534432858 40.7917772296796)</t>
  </si>
  <si>
    <t>2E-AM-1010-04</t>
  </si>
  <si>
    <t>POINT (-73.9766779585686 40.7669673778105)</t>
  </si>
  <si>
    <t>3I-PM-1013-02</t>
  </si>
  <si>
    <t>POINT (-73.9721279808683 40.7661158663901)</t>
  </si>
  <si>
    <t>7G-PM-1018-07</t>
  </si>
  <si>
    <t>POINT (-73.971685475224 40.7706668465923)</t>
  </si>
  <si>
    <t>9E-AM-1008-02</t>
  </si>
  <si>
    <t>POINT (-73.9729645190377 40.7723310150843)</t>
  </si>
  <si>
    <t>10B-AM-1006-01</t>
  </si>
  <si>
    <t>POINT (-73.9748669205206 40.7743879232016)</t>
  </si>
  <si>
    <t>23H-PM-1019-01</t>
  </si>
  <si>
    <t>23H</t>
  </si>
  <si>
    <t>POINT (-73.961335649743 40.7818876867842)</t>
  </si>
  <si>
    <t>35B-PM-1013-07</t>
  </si>
  <si>
    <t>got fed twice by grandpa,grabbed from grass and ate in tree</t>
  </si>
  <si>
    <t>approaches (grandpa with food),runs from (kid),kid was slowly creeping up on it; it eventually climbed up.</t>
  </si>
  <si>
    <t>POINT (-73.961241953418 40.7941677113011)</t>
  </si>
  <si>
    <t>14B-PM-1014-03</t>
  </si>
  <si>
    <t>POINT (-73.9728511531484 40.7782654840595)</t>
  </si>
  <si>
    <t>4D-AM-1012-02</t>
  </si>
  <si>
    <t>POINT (-73.9763852372393 40.768876248561)</t>
  </si>
  <si>
    <t>21A-AM-1019-09</t>
  </si>
  <si>
    <t>POINT (-73.9696196840065 40.7836431098335)</t>
  </si>
  <si>
    <t>2D-AM-1007-05</t>
  </si>
  <si>
    <t>POINT (-73.9775238847836 40.7675792683587)</t>
  </si>
  <si>
    <t>34C-PM-1012-03</t>
  </si>
  <si>
    <t>34C</t>
  </si>
  <si>
    <t>POINT (-73.9601968065017 40.79358318364821)</t>
  </si>
  <si>
    <t>4C-PM-1010-03</t>
  </si>
  <si>
    <t>POINT (-73.9772810073685 40.7693577540392)</t>
  </si>
  <si>
    <t>37E-AM-1013-04</t>
  </si>
  <si>
    <t>POINT (-73.9561124892063 40.7949440648632)</t>
  </si>
  <si>
    <t>32F-PM-1008-04</t>
  </si>
  <si>
    <t>POINT (-73.9580813119325 40.7905538237042)</t>
  </si>
  <si>
    <t>18H-AM-1018-02</t>
  </si>
  <si>
    <t>playing?</t>
  </si>
  <si>
    <t>POINT (-73.9645365195454 40.7781531021263)</t>
  </si>
  <si>
    <t>28B-AM-1007-01</t>
  </si>
  <si>
    <t>wresting w/ branch</t>
  </si>
  <si>
    <t>POINT (-73.9641989914569 40.789081044511)</t>
  </si>
  <si>
    <t>40E-AM-1014-04</t>
  </si>
  <si>
    <t>on rocks/bushy rocks</t>
  </si>
  <si>
    <t>hiding from bird</t>
  </si>
  <si>
    <t>POINT (-73.9555856074105 40.79694576856771)</t>
  </si>
  <si>
    <t>5D-PM-1018-06</t>
  </si>
  <si>
    <t>POINT (-73.9753818829907 40.7697840986163)</t>
  </si>
  <si>
    <t>7H-AM-1006-02</t>
  </si>
  <si>
    <t>running (along ground,up tree)</t>
  </si>
  <si>
    <t>POINT (-73.9715621134573 40.76959187175131)</t>
  </si>
  <si>
    <t>11E-PM-1012-05</t>
  </si>
  <si>
    <t>foraging (foraged,ran to tree root,munched)</t>
  </si>
  <si>
    <t>POINT (-73.9714242426496 40.7744535798123)</t>
  </si>
  <si>
    <t>13F-AM-1007-04</t>
  </si>
  <si>
    <t>POINT (-73.9697744662785 40.7755950428973)</t>
  </si>
  <si>
    <t>33I-PM-1006-04</t>
  </si>
  <si>
    <t>POINT (-73.9545037193355 40.7900225055417)</t>
  </si>
  <si>
    <t>33G-AM-1013-03</t>
  </si>
  <si>
    <t>?</t>
  </si>
  <si>
    <t>Only peeked head out</t>
  </si>
  <si>
    <t>peeking out of tree,did *not* come out</t>
  </si>
  <si>
    <t>POINT (-73.9563847867316 40.7906012261163)</t>
  </si>
  <si>
    <t>11E-PM-1012-04</t>
  </si>
  <si>
    <t>POINT (-73.9714329979305 40.7741873388945)</t>
  </si>
  <si>
    <t>39D-PM-1012-03</t>
  </si>
  <si>
    <t>POINT (-73.956926909344 40.7965323262487)</t>
  </si>
  <si>
    <t>33F-PM-1012-04</t>
  </si>
  <si>
    <t>POINT (-73.9584064203778 40.7912272455454)</t>
  </si>
  <si>
    <t>33A-PM-1018-04</t>
  </si>
  <si>
    <t>POINT (-73.9630097276366 40.79366584462511)</t>
  </si>
  <si>
    <t>37H-PM-1006-06</t>
  </si>
  <si>
    <t>POINT (-73.9532074573139 40.7934669464908)</t>
  </si>
  <si>
    <t>13C-PM-1019-03</t>
  </si>
  <si>
    <t>POINT (-73.97202898636661 40.7763749561607)</t>
  </si>
  <si>
    <t>20F-PM-1007-05</t>
  </si>
  <si>
    <t>white tail</t>
  </si>
  <si>
    <t>POINT (-73.9651177657676 40.781240810382506)</t>
  </si>
  <si>
    <t>22B-AM-1013-05</t>
  </si>
  <si>
    <t>looked down on me like her imperial subject</t>
  </si>
  <si>
    <t>POINT (-73.9684657285532 40.7840113573723)</t>
  </si>
  <si>
    <t>29B-PM-1010-04</t>
  </si>
  <si>
    <t>POINT (-73.9640588919446 40.790044098464)</t>
  </si>
  <si>
    <t>7H-AM-1006-10</t>
  </si>
  <si>
    <t>POINT (-73.9704831177035 40.7699878995692)</t>
  </si>
  <si>
    <t>7F-AM-1008-15</t>
  </si>
  <si>
    <t>POINT (-73.9724806580638 40.7710077206132)</t>
  </si>
  <si>
    <t>30D-AM-1017-01</t>
  </si>
  <si>
    <t>POINT (-73.9614902429282 40.7891282017625)</t>
  </si>
  <si>
    <t>13F-PM-1008-02</t>
  </si>
  <si>
    <t>POINT (-73.9698611971209 40.7753915552001)</t>
  </si>
  <si>
    <t>33F-PM-1012-03</t>
  </si>
  <si>
    <t>POINT (-73.9584064190878 40.7912992852442)</t>
  </si>
  <si>
    <t>3A-PM-1017-04</t>
  </si>
  <si>
    <t>POINT (-73.9801971465604 40.7697081749827)</t>
  </si>
  <si>
    <t>14F-PM-1012-04</t>
  </si>
  <si>
    <t>POINT (-73.96867781674841 40.7765625256946)</t>
  </si>
  <si>
    <t>7C-PM-1020-04</t>
  </si>
  <si>
    <t>POINT (-73.976609486498 40.7717832922535)</t>
  </si>
  <si>
    <t>37C-AM-1012-02</t>
  </si>
  <si>
    <t>Cinnamon flanks, light band across nose</t>
  </si>
  <si>
    <t>caching</t>
  </si>
  <si>
    <t>POINT (-73.9589635326362 40.7951748673846)</t>
  </si>
  <si>
    <t>25A-AM-1013-01</t>
  </si>
  <si>
    <t>White Belly</t>
  </si>
  <si>
    <t>staring at me</t>
  </si>
  <si>
    <t>POINT (-73.96763709851662 40.7869888639434)</t>
  </si>
  <si>
    <t>10G-PM-1017-09</t>
  </si>
  <si>
    <t>POINT (-73.9707498430394 40.7723724480959)</t>
  </si>
  <si>
    <t>34A-PM-1013-02</t>
  </si>
  <si>
    <t>eating upside down on tree trunk</t>
  </si>
  <si>
    <t>POINT (-73.9628525533831 40.7938449345017)</t>
  </si>
  <si>
    <t>38G-PM-1020-03</t>
  </si>
  <si>
    <t>POINT (-73.9538867186376 40.7941409434007)</t>
  </si>
  <si>
    <t>36C-AM-1014-02</t>
  </si>
  <si>
    <t>Crossing path</t>
  </si>
  <si>
    <t>POINT (-73.9588610195699 40.7945269936639)</t>
  </si>
  <si>
    <t>33I-AM-1008-05</t>
  </si>
  <si>
    <t>nearly dropped shell on my head!</t>
  </si>
  <si>
    <t>POINT (-73.9545773579075 40.7898684635744)</t>
  </si>
  <si>
    <t>12E-AM-1017-07</t>
  </si>
  <si>
    <t>POINT (-73.9716736557408 40.7749333494336)</t>
  </si>
  <si>
    <t>2C-PM-1013-12</t>
  </si>
  <si>
    <t>POINT (-73.9791085350047 40.7677025342633)</t>
  </si>
  <si>
    <t>33I-PM-1006-02</t>
  </si>
  <si>
    <t>POINT (-73.9545807749923 40.7900507537649)</t>
  </si>
  <si>
    <t>15I-PM-1012-05</t>
  </si>
  <si>
    <t>burying the food on ground</t>
  </si>
  <si>
    <t>look at us and continue hiding the food</t>
  </si>
  <si>
    <t>POINT (-73.965394655961 40.7763136791661)</t>
  </si>
  <si>
    <t>15G-AM-1008-03</t>
  </si>
  <si>
    <t>POINT (-73.9676692772518 40.7764726688908)</t>
  </si>
  <si>
    <t>12G-AM-1012-02</t>
  </si>
  <si>
    <t>POINT (-73.9690072647093 40.7737712267463)</t>
  </si>
  <si>
    <t>42H-PM-1014-05</t>
  </si>
  <si>
    <t>POINT (-73.9501762527462 40.7975534086077)</t>
  </si>
  <si>
    <t>14B-PM-1014-01</t>
  </si>
  <si>
    <t>POINT (-73.9727405679487 40.7782677554482)</t>
  </si>
  <si>
    <t>12E-AM-1017-05</t>
  </si>
  <si>
    <t>POINT (-73.9713070217071 40.7753795014815)</t>
  </si>
  <si>
    <t>2A-AM-1010-04</t>
  </si>
  <si>
    <t>POINT (-73.9807078515193 40.7683335292642)</t>
  </si>
  <si>
    <t>22B-AM-1013-01</t>
  </si>
  <si>
    <t>looked at me,standing on back feet</t>
  </si>
  <si>
    <t>POINT (-73.9684790657851 40.7838818717863)</t>
  </si>
  <si>
    <t>39H-AM-1007-03</t>
  </si>
  <si>
    <t>POINT (-73.9525752408169 40.7954915417553)</t>
  </si>
  <si>
    <t>5F-AM-1007-06</t>
  </si>
  <si>
    <t>branch</t>
  </si>
  <si>
    <t>POINT (-73.9735137178369 40.769109895294)</t>
  </si>
  <si>
    <t>32C-PM-1013-05</t>
  </si>
  <si>
    <t>POINT (-73.9615500510038 40.7920799263699)</t>
  </si>
  <si>
    <t>6G-PM-1020-03</t>
  </si>
  <si>
    <t>POINT (-73.9722261495647 40.7690542072646)</t>
  </si>
  <si>
    <t>8B-AM-1007-06</t>
  </si>
  <si>
    <t>POINT (-73.9765064169087 40.7737211426714)</t>
  </si>
  <si>
    <t>21H-AM-1017-01</t>
  </si>
  <si>
    <t>POINT (-73.9625205538171 40.7810785055136)</t>
  </si>
  <si>
    <t>6C-AM-1007-01</t>
  </si>
  <si>
    <t>vid!</t>
  </si>
  <si>
    <t>curious,but wary</t>
  </si>
  <si>
    <t>POINT (-73.97699695480242 40.7710711265211)</t>
  </si>
  <si>
    <t>36A-PM-1013-05</t>
  </si>
  <si>
    <t>POINT (-73.9608167300104 40.7954348688268)</t>
  </si>
  <si>
    <t>13E-AM-1017-03</t>
  </si>
  <si>
    <t>acknowledges</t>
  </si>
  <si>
    <t>POINT (-73.9705254801 40.7763606494306)</t>
  </si>
  <si>
    <t>11D-PM-1006-01</t>
  </si>
  <si>
    <t>POINT (-73.9732193290631 40.7748791447746)</t>
  </si>
  <si>
    <t>17C-PM-1013-02</t>
  </si>
  <si>
    <t>POINT (-73.9706586108006 40.7796357444471)</t>
  </si>
  <si>
    <t>5G-PM-1010-01</t>
  </si>
  <si>
    <t>POINT (-73.9733461334967 40.7684314285151)</t>
  </si>
  <si>
    <t>14B-PM-1014-04</t>
  </si>
  <si>
    <t>running up and down</t>
  </si>
  <si>
    <t>POINT (-73.9728339757306 40.7782891207966)</t>
  </si>
  <si>
    <t>11F-AM-1013-02</t>
  </si>
  <si>
    <t>POINT (-73.9699799501516 40.7736576286234)</t>
  </si>
  <si>
    <t>13F-PM-1008-04</t>
  </si>
  <si>
    <t>POINT (-73.9693894305786 40.7756906748026)</t>
  </si>
  <si>
    <t>39E-AM-1018-04</t>
  </si>
  <si>
    <t>39E</t>
  </si>
  <si>
    <t>POINT (-73.9556450015702 40.7967188058002)</t>
  </si>
  <si>
    <t>16H-PM-1014-03</t>
  </si>
  <si>
    <t>followed man across bridge</t>
  </si>
  <si>
    <t>POINT (-73.9655670884957 40.7763728890554)</t>
  </si>
  <si>
    <t>7G-AM-1010-01</t>
  </si>
  <si>
    <t>POINT (-73.9721642509914 40.7701179390078)</t>
  </si>
  <si>
    <t>5G-AM-1006-01</t>
  </si>
  <si>
    <t>made eye contact with me</t>
  </si>
  <si>
    <t>POINT (-73.9733882364574 40.7683078706597)</t>
  </si>
  <si>
    <t>28A-PM-1007-03</t>
  </si>
  <si>
    <t>chasing #2 took #2 food wrapper and is foraging through it</t>
  </si>
  <si>
    <t>POINT (-73.9662409997642 40.7891042935432)</t>
  </si>
  <si>
    <t>38G-PM-1020-08</t>
  </si>
  <si>
    <t>POINT (-73.9548006161673 40.7945503341011)</t>
  </si>
  <si>
    <t>39G-PM-1013-02</t>
  </si>
  <si>
    <t>POINT (-73.9530326577312 40.795692238639504)</t>
  </si>
  <si>
    <t>28D-AM-1012-03</t>
  </si>
  <si>
    <t>POINT (-73.9625383795297 40.7883862331728)</t>
  </si>
  <si>
    <t>21A-AM-1019-07</t>
  </si>
  <si>
    <t>POINT (-73.970041085185 40.783442758031306)</t>
  </si>
  <si>
    <t>22G-AM-1018-04</t>
  </si>
  <si>
    <t>POINT (-73.9632265832593 40.78169144754611)</t>
  </si>
  <si>
    <t>11D-PM-1006-05</t>
  </si>
  <si>
    <t>POINT (-73.971730277301 40.7748805439381)</t>
  </si>
  <si>
    <t>16F-PM-1013-06</t>
  </si>
  <si>
    <t>Big rock in meadow</t>
  </si>
  <si>
    <t>POINT (-73.968021326951 40.7778807692445)</t>
  </si>
  <si>
    <t>9E-AM-1008-01</t>
  </si>
  <si>
    <t>POINT (-73.9723922904119 40.7729164833027)</t>
  </si>
  <si>
    <t>39G-PM-1013-03</t>
  </si>
  <si>
    <t>POINT (-73.9538970554532 40.7955196793479)</t>
  </si>
  <si>
    <t>26A-PM-1006-01</t>
  </si>
  <si>
    <t>POINT (-73.9673103881521 40.7874267409618)</t>
  </si>
  <si>
    <t>16A-PM-1019-06</t>
  </si>
  <si>
    <t>POINT (-73.9725961508316 40.7795720444974)</t>
  </si>
  <si>
    <t>14B-PM-1014-02</t>
  </si>
  <si>
    <t>POINT (-73.9727115915422 40.7782929320632)</t>
  </si>
  <si>
    <t>32C-PM-1013-01</t>
  </si>
  <si>
    <t>POINT (-73.9620964576469 40.7917332001738)</t>
  </si>
  <si>
    <t>8H-PM-1014-08</t>
  </si>
  <si>
    <t>chasing (#7),playing?</t>
  </si>
  <si>
    <t>POINT (-73.970216605149 40.7702960667277)</t>
  </si>
  <si>
    <t>23A-AM-1018-02</t>
  </si>
  <si>
    <t>POINT (-73.9690104245067 40.7853358193723)</t>
  </si>
  <si>
    <t>8I-AM-1006-04</t>
  </si>
  <si>
    <t>POINT (-73.9692401421068 40.7707128895661)</t>
  </si>
  <si>
    <t>19C-PM-1018-06</t>
  </si>
  <si>
    <t>Climbed fence</t>
  </si>
  <si>
    <t>climbing (fence)</t>
  </si>
  <si>
    <t>POINT (-73.9689305978751 40.7818152496266)</t>
  </si>
  <si>
    <t>21H-PM-1018-02</t>
  </si>
  <si>
    <t>POINT (-73.9630381400083 40.7807571827321)</t>
  </si>
  <si>
    <t>3D-PM-1010-08</t>
  </si>
  <si>
    <t>POINT (-73.9779263114572 40.7682681855369)</t>
  </si>
  <si>
    <t>39I-PM-1013-04</t>
  </si>
  <si>
    <t>Gray &amp; Cinnamon selected as both Primary and Highlights. Made executive adjustments.</t>
  </si>
  <si>
    <t>POINT (-73.95200246546021 40.7947329828155)</t>
  </si>
  <si>
    <t>17D-AM-1008-01</t>
  </si>
  <si>
    <t>POINT (-73.9695226023739 40.7797527775804)</t>
  </si>
  <si>
    <t>7H-PM-1006-06</t>
  </si>
  <si>
    <t>playing w/ #7</t>
  </si>
  <si>
    <t>POINT (-73.9703921271418 40.770027611531404)</t>
  </si>
  <si>
    <t>6E-PM-1010-02</t>
  </si>
  <si>
    <t>POINT (-73.9746128451271 40.7700957046709)</t>
  </si>
  <si>
    <t>10A-PM-1014-03</t>
  </si>
  <si>
    <t>above my head in tree</t>
  </si>
  <si>
    <t>eating (in a tree)</t>
  </si>
  <si>
    <t>indifferent (lots of people taking its picture,didn't bother it)</t>
  </si>
  <si>
    <t>POINT (-73.9767220179725 40.7753262103123)</t>
  </si>
  <si>
    <t>10H-AM-1014-01</t>
  </si>
  <si>
    <t>POINT (-73.9698083598887 40.7720099392886)</t>
  </si>
  <si>
    <t>20C-PM-1018-02</t>
  </si>
  <si>
    <t>POINT (-73.9681874036914 40.7817948690964)</t>
  </si>
  <si>
    <t>40B-AM-1019-06</t>
  </si>
  <si>
    <t>POINT (-73.957710975899 40.7984055614047)</t>
  </si>
  <si>
    <t>13D-PM-1018-04</t>
  </si>
  <si>
    <t>POINT (-73.9711617997772 40.7761212878075)</t>
  </si>
  <si>
    <t>31D-PM-1006-03</t>
  </si>
  <si>
    <t>POINT (-73.960876728048 40.79035724537)</t>
  </si>
  <si>
    <t>12E-PM-1018-03</t>
  </si>
  <si>
    <t>POINT (-73.9713906492842 40.7750061310143)</t>
  </si>
  <si>
    <t>18I-PM-1007-07</t>
  </si>
  <si>
    <t>POINT (-73.9642111283068 40.7777713985327)</t>
  </si>
  <si>
    <t>18F-PM-1008-01</t>
  </si>
  <si>
    <t>POINT (-73.9669207809051 40.7792767850126)</t>
  </si>
  <si>
    <t>8B-AM-1007-08</t>
  </si>
  <si>
    <t>POINT (-73.976422624924 40.7735818387346)</t>
  </si>
  <si>
    <t>33E-PM-1012-04</t>
  </si>
  <si>
    <t>POINT (-73.958939037549 40.7913193931203)</t>
  </si>
  <si>
    <t>3B-AM-1010-03</t>
  </si>
  <si>
    <t>chasing #2</t>
  </si>
  <si>
    <t>POINT (-73.9790044506465 40.7689469479245)</t>
  </si>
  <si>
    <t>1D-AM-1006-01</t>
  </si>
  <si>
    <t>POINT (-73.9777978497894 40.7668620784309)</t>
  </si>
  <si>
    <t>16D-PM-1010-10</t>
  </si>
  <si>
    <t>POINT (-73.9698642668906 40.7784669316504)</t>
  </si>
  <si>
    <t>6A-PM-1012-03</t>
  </si>
  <si>
    <t>POINT (-73.9785114291288 40.7719779589449)</t>
  </si>
  <si>
    <t>8I-PM-1013-02</t>
  </si>
  <si>
    <t>POINT (-73.9695655231393 40.7698324659513)</t>
  </si>
  <si>
    <t>15E-AM-1013-03</t>
  </si>
  <si>
    <t>on fallen log</t>
  </si>
  <si>
    <t>POINT (-73.9690645326017 40.7773822116124)</t>
  </si>
  <si>
    <t>25I-PM-1007-06</t>
  </si>
  <si>
    <t>Didn't see squirrel size, or colors</t>
  </si>
  <si>
    <t>up in tree</t>
  </si>
  <si>
    <t>POINT (-73.9597462612063 40.7832801145306)</t>
  </si>
  <si>
    <t>1D-AM-1006-06</t>
  </si>
  <si>
    <t>tumbling</t>
  </si>
  <si>
    <t>POINT (-73.9784942525972 40.7672600003683)</t>
  </si>
  <si>
    <t>3F-AM-1006-06</t>
  </si>
  <si>
    <t>POINT (-73.9746238280116 40.7671491962844)</t>
  </si>
  <si>
    <t>7H-AM-1006-09</t>
  </si>
  <si>
    <t>POINT (-73.9705331808443 40.7699943571296)</t>
  </si>
  <si>
    <t>22B-AM-1013-02</t>
  </si>
  <si>
    <t>POINT (-73.968200390984 40.7837095769482)</t>
  </si>
  <si>
    <t>32A-PM-1013-08</t>
  </si>
  <si>
    <t>POINT (-73.9631648674122 40.7926529617419)</t>
  </si>
  <si>
    <t>27I-AM-1007-01</t>
  </si>
  <si>
    <t>POINT (-73.9587072763996 40.7850256219415)</t>
  </si>
  <si>
    <t>31A-PM-1017-02</t>
  </si>
  <si>
    <t>POINT (-73.96423978295472 40.7918992406575)</t>
  </si>
  <si>
    <t>8D-AM-1007-06</t>
  </si>
  <si>
    <t>POINT (-73.974084681071 40.7728197139621)</t>
  </si>
  <si>
    <t>15G-AM-1008-04</t>
  </si>
  <si>
    <t>POINT (-73.9676270670996 40.776391443152)</t>
  </si>
  <si>
    <t>15D-PM-1017-02</t>
  </si>
  <si>
    <t>POINT (-73.9703816112358 40.7773846065919)</t>
  </si>
  <si>
    <t>1B-AM-1012-13</t>
  </si>
  <si>
    <t>POINT (-73.9803895322385 40.7680730789944)</t>
  </si>
  <si>
    <t>14E-AM-1008-16</t>
  </si>
  <si>
    <t>POINT (-73.9695133370801 40.7765009796853)</t>
  </si>
  <si>
    <t>4C-PM-1010-12</t>
  </si>
  <si>
    <t>POINT (-73.9774407362587 40.7698056129554)</t>
  </si>
  <si>
    <t>11I-PM-1012-05</t>
  </si>
  <si>
    <t>POINT (-73.9681079869821 40.7723494081345)</t>
  </si>
  <si>
    <t>7F-AM-1008-03</t>
  </si>
  <si>
    <t>POINT (-73.973047824163 40.7700873791211)</t>
  </si>
  <si>
    <t>28A-PM-1007-02</t>
  </si>
  <si>
    <t>running from #3</t>
  </si>
  <si>
    <t>POINT (-73.9662864884789 40.7891062338302)</t>
  </si>
  <si>
    <t>16F-PM-1013-05</t>
  </si>
  <si>
    <t>Pine tree near utility shed</t>
  </si>
  <si>
    <t>POINT (-73.9673129010312 40.7778169845999)</t>
  </si>
  <si>
    <t>41E-PM-1013-03</t>
  </si>
  <si>
    <t>Gray on legs</t>
  </si>
  <si>
    <t>POINT (-73.9540197079615 40.798039260983)</t>
  </si>
  <si>
    <t>25I-PM-1007-04</t>
  </si>
  <si>
    <t>POINT (-73.9595613548804 40.7838057527338)</t>
  </si>
  <si>
    <t>42C-PM-1013-05</t>
  </si>
  <si>
    <t>POINT (-73.9561840935803 40.7992037821497)</t>
  </si>
  <si>
    <t>7H-AM-1006-13</t>
  </si>
  <si>
    <t>running (up tree)</t>
  </si>
  <si>
    <t>POINT (-73.9703169373939 40.7700658823854)</t>
  </si>
  <si>
    <t>34A-AM-1012-02</t>
  </si>
  <si>
    <t>chasing from tree to ground</t>
  </si>
  <si>
    <t>POINT (-73.9619985187616 40.7943277743532)</t>
  </si>
  <si>
    <t>20F-PM-1007-08</t>
  </si>
  <si>
    <t>white tail/belly</t>
  </si>
  <si>
    <t>POINT (-73.965390623703 40.7807731363782)</t>
  </si>
  <si>
    <t>8E-AM-1013-02</t>
  </si>
  <si>
    <t>POINT (-73.9735298943321 40.7714939993589)</t>
  </si>
  <si>
    <t>6B-AM-1012-01</t>
  </si>
  <si>
    <t>Started in field, crossed busy street, ran up tree</t>
  </si>
  <si>
    <t>POINT (-73.97683095561271 40.7717803706095)</t>
  </si>
  <si>
    <t>4C-PM-1010-07</t>
  </si>
  <si>
    <t>POINT (-73.9775079672882 40.7691500357424)</t>
  </si>
  <si>
    <t>14C-PM-1006-01</t>
  </si>
  <si>
    <t>POINT (-73.97157754108 40.7776249963967)</t>
  </si>
  <si>
    <t>1B-PM-1019-08</t>
  </si>
  <si>
    <t>POINT (-73.9804065254162 40.7681481183296)</t>
  </si>
  <si>
    <t>21A-AM-1019-04</t>
  </si>
  <si>
    <t>POINT (-73.9701030393506 40.7838953063625)</t>
  </si>
  <si>
    <t>38C-PM-1014-05</t>
  </si>
  <si>
    <t>chasing (#4)</t>
  </si>
  <si>
    <t>POINT (-73.9581310602492 40.7960214726964)</t>
  </si>
  <si>
    <t>36A-PM-1013-04</t>
  </si>
  <si>
    <t>ON ROCK NEAR POND</t>
  </si>
  <si>
    <t>POINT (-73.9611312355348 40.7950130863913)</t>
  </si>
  <si>
    <t>14C-PM-1006-03</t>
  </si>
  <si>
    <t>POINT (-73.9714150090362 40.7774976423922)</t>
  </si>
  <si>
    <t>2B-PM-1013-05</t>
  </si>
  <si>
    <t>climbing fence!</t>
  </si>
  <si>
    <t>snuck into bike cart!</t>
  </si>
  <si>
    <t>POINT (-73.9805517765469 40.7683044693163)</t>
  </si>
  <si>
    <t>8I-AM-1006-01</t>
  </si>
  <si>
    <t>POINT (-73.9693209851947 40.7707450042769)</t>
  </si>
  <si>
    <t>40C-PM-1006-02</t>
  </si>
  <si>
    <t>POINT (-73.9567062023419 40.797482865196)</t>
  </si>
  <si>
    <t>34B-PM-1007-01</t>
  </si>
  <si>
    <t>POINT (-73.9610388059192 40.79395293584)</t>
  </si>
  <si>
    <t>40B-AM-1019-04</t>
  </si>
  <si>
    <t>POINT (-73.9576223390082 40.79797466396471)</t>
  </si>
  <si>
    <t>31H-PM-1008-05</t>
  </si>
  <si>
    <t>POINT (-73.9575517912392 40.7889158268192)</t>
  </si>
  <si>
    <t>16F-AM-1008-02</t>
  </si>
  <si>
    <t>POINT (-73.9676539688726 40.7777229934129)</t>
  </si>
  <si>
    <t>5B-PM-1013-05</t>
  </si>
  <si>
    <t>POINT (-73.9778730762957 40.770827251547)</t>
  </si>
  <si>
    <t>4E-AM-1020-02</t>
  </si>
  <si>
    <t>foraging (on the tree itself)</t>
  </si>
  <si>
    <t>POINT (-73.9754696312232 40.768191647092)</t>
  </si>
  <si>
    <t>22C-PM-1006-11</t>
  </si>
  <si>
    <t>POINT (-73.9666945123922 40.7839956493194)</t>
  </si>
  <si>
    <t>4B-AM-1010-04</t>
  </si>
  <si>
    <t>POINT (-73.9789401448556 40.7697373141498)</t>
  </si>
  <si>
    <t>7F-AM-1008-08</t>
  </si>
  <si>
    <t>playing w/ #9</t>
  </si>
  <si>
    <t>POINT (-73.9726828460055 40.7705707694822)</t>
  </si>
  <si>
    <t>5B-PM-1013-06</t>
  </si>
  <si>
    <t>POINT (-73.9782603348665 40.7705790257951)</t>
  </si>
  <si>
    <t>2F-AM-1006-04</t>
  </si>
  <si>
    <t>Beautiful white puff at the end of its tail</t>
  </si>
  <si>
    <t>POINT (-73.97530937770001 40.7666673897583)</t>
  </si>
  <si>
    <t>42D-PM-1013-02</t>
  </si>
  <si>
    <t>Gray tail, Cinnamon feet</t>
  </si>
  <si>
    <t>chasing (chased by #1),found a nut,buried it</t>
  </si>
  <si>
    <t>POINT (-73.9544278270221 40.7987827316512)</t>
  </si>
  <si>
    <t>7F-AM-1008-10</t>
  </si>
  <si>
    <t>POINT (-73.9728836727349 40.770815850599)</t>
  </si>
  <si>
    <t>42D-AM-1014-02</t>
  </si>
  <si>
    <t>POINT (-73.9545929242174 40.7986940168685)</t>
  </si>
  <si>
    <t>14A-PM-1014-05</t>
  </si>
  <si>
    <t>POINT (-73.97346444707661 40.7782766486921)</t>
  </si>
  <si>
    <t>14F-PM-1012-09</t>
  </si>
  <si>
    <t>POINT (-73.9690362384597 40.7767162824413)</t>
  </si>
  <si>
    <t>32B-PM-1010-05</t>
  </si>
  <si>
    <t>POINT (-73.9628932797886 40.7923116396365)</t>
  </si>
  <si>
    <t>6C-AM-1007-02</t>
  </si>
  <si>
    <t>pulling things off branches</t>
  </si>
  <si>
    <t>POINT (-73.9770508584979 40.7710769301257)</t>
  </si>
  <si>
    <t>39F-PM-1006-04</t>
  </si>
  <si>
    <t>climbing down</t>
  </si>
  <si>
    <t>ran when saw me</t>
  </si>
  <si>
    <t>POINT (-73.9545425520879 40.7956853415959)</t>
  </si>
  <si>
    <t>18I-PM-1007-01</t>
  </si>
  <si>
    <t>hanging upside down</t>
  </si>
  <si>
    <t>POINT (-73.9639024988123 40.7776953065849)</t>
  </si>
  <si>
    <t>30E-AM-1008-03</t>
  </si>
  <si>
    <t>POINT (-73.9607056611532 40.7889786103871)</t>
  </si>
  <si>
    <t>21E-AM-1017-03</t>
  </si>
  <si>
    <t>POINT (-73.9655238539833 40.7815633947684)</t>
  </si>
  <si>
    <t>8C-AM-1007-01</t>
  </si>
  <si>
    <t>behind fence, safe</t>
  </si>
  <si>
    <t>POINT (-73.9746049088475 40.7728776887397)</t>
  </si>
  <si>
    <t>38A-AM-1019-02</t>
  </si>
  <si>
    <t>POINT (-73.9599202233536 40.7972599930224)</t>
  </si>
  <si>
    <t>2A-AM-1010-07</t>
  </si>
  <si>
    <t>couldn't get near</t>
  </si>
  <si>
    <t>POINT (-73.9806718258385 40.76927768969951)</t>
  </si>
  <si>
    <t>38E-AM-1010-01</t>
  </si>
  <si>
    <t>POINT (-73.9564215689843 40.7957539444068)</t>
  </si>
  <si>
    <t>21G-PM-1007-03</t>
  </si>
  <si>
    <t>POINT (-73.96426660132072 40.7810384867375)</t>
  </si>
  <si>
    <t>3F-AM-1006-04</t>
  </si>
  <si>
    <t>POINT (-73.9752029513644 40.7671734667361)</t>
  </si>
  <si>
    <t>2F-PM-1014-02</t>
  </si>
  <si>
    <t>POINT (-73.9755836827968 40.7670239327996)</t>
  </si>
  <si>
    <t>8D-PM-1007-03</t>
  </si>
  <si>
    <t>POINT (-73.9744555348544 40.7728498106357)</t>
  </si>
  <si>
    <t>22G-AM-1018-03</t>
  </si>
  <si>
    <t>POINT (-73.9635606199784 40.782206970617)</t>
  </si>
  <si>
    <t>8E-AM-1013-01</t>
  </si>
  <si>
    <t>POINT (-73.9734969320943 40.7722754599865)</t>
  </si>
  <si>
    <t>35A-PM-1013-09</t>
  </si>
  <si>
    <t>POINT (-73.9615090149261 40.7945150173918)</t>
  </si>
  <si>
    <t>8A-AM-1013-04</t>
  </si>
  <si>
    <t>POINT (-73.9770119133023 40.7732949090005)</t>
  </si>
  <si>
    <t>8D-AM-1007-05</t>
  </si>
  <si>
    <t>POINT (-73.9737060043988 40.7725660224983)</t>
  </si>
  <si>
    <t>1I-PM-1012-02</t>
  </si>
  <si>
    <t>01I</t>
  </si>
  <si>
    <t>Gray, Black, &amp; Cinnamon selected as Primary. Gray, Cinnamon, &amp; White selected as Highlights. Made executive adjustments.</t>
  </si>
  <si>
    <t>POINT (-73.9736873018042 40.7649106677138)</t>
  </si>
  <si>
    <t>35A-PM-1013-04</t>
  </si>
  <si>
    <t>In the weeds by the pool</t>
  </si>
  <si>
    <t>POINT (-73.9617519095277 40.7947179071388)</t>
  </si>
  <si>
    <t>26I-PM-1010-03</t>
  </si>
  <si>
    <t>black in tail</t>
  </si>
  <si>
    <t>POINT (-73.9594391759139 40.784115697669)</t>
  </si>
  <si>
    <t>7H-AM-1006-01</t>
  </si>
  <si>
    <t>POINT (-73.9713665249614 40.7697178648002)</t>
  </si>
  <si>
    <t>7C-PM-1020-06</t>
  </si>
  <si>
    <t>POINT (-73.9759428006237 40.7715081817329)</t>
  </si>
  <si>
    <t>16C-AM-1014-01</t>
  </si>
  <si>
    <t>POINT (-73.9710025484537 40.7792529489016)</t>
  </si>
  <si>
    <t>36I-PM-1007-11</t>
  </si>
  <si>
    <t>me!</t>
  </si>
  <si>
    <t>POINT (-73.9527196716568 40.792363826828)</t>
  </si>
  <si>
    <t>37B-AM-1018-02</t>
  </si>
  <si>
    <t>POINT (-73.9592392692535 40.7961869951798)</t>
  </si>
  <si>
    <t>8C-AM-1007-02</t>
  </si>
  <si>
    <t>peeps out from behind tree at cooing tourists</t>
  </si>
  <si>
    <t>POINT (-73.9747060143742 40.7728528164878)</t>
  </si>
  <si>
    <t>2I-AM-1006-02</t>
  </si>
  <si>
    <t>POINT (-73.9726459773995 40.7656357433691)</t>
  </si>
  <si>
    <t>41D-PM-1014-02</t>
  </si>
  <si>
    <t>POINT (-73.9560731738677 40.7980336018554)</t>
  </si>
  <si>
    <t>7I-PM-1013-04</t>
  </si>
  <si>
    <t>POINT (-73.9701408623121 40.7695511718541)</t>
  </si>
  <si>
    <t>10G-PM-1017-05</t>
  </si>
  <si>
    <t>POINT (-73.9699513151755 40.7722062991044)</t>
  </si>
  <si>
    <t>7B-AM-1008-06</t>
  </si>
  <si>
    <t>POINT (-73.9770628333002 40.7728567364852)</t>
  </si>
  <si>
    <t>14A-PM-1014-04</t>
  </si>
  <si>
    <t>POINT (-73.9736800575584 40.7783069735758)</t>
  </si>
  <si>
    <t>33G-AM-1013-01</t>
  </si>
  <si>
    <t>POINT (-73.9564632239432 40.7904807427954)</t>
  </si>
  <si>
    <t>21E-PM-1012-01</t>
  </si>
  <si>
    <t>POINT (-73.9653135277149 40.7817434070169)</t>
  </si>
  <si>
    <t>14D-PM-1019-15</t>
  </si>
  <si>
    <t>POINT (-73.9708860879459 40.7768376656119)</t>
  </si>
  <si>
    <t>37I-AM-1010-02</t>
  </si>
  <si>
    <t>POINT (-73.9530535624781 40.7929809144271)</t>
  </si>
  <si>
    <t>8E-PM-1008-06</t>
  </si>
  <si>
    <t>POINT (-73.9734654671008 40.7715988711659)</t>
  </si>
  <si>
    <t>33B-PM-1010-08</t>
  </si>
  <si>
    <t>running up tree</t>
  </si>
  <si>
    <t>POINT (-73.9619673317128 40.7924176673037)</t>
  </si>
  <si>
    <t>22C-PM-1006-13</t>
  </si>
  <si>
    <t>POINT (-73.9669782832746 40.7841166727168)</t>
  </si>
  <si>
    <t>3B-PM-1007-08</t>
  </si>
  <si>
    <t>POINT (-73.9795585338537 40.768895893226)</t>
  </si>
  <si>
    <t>2C-PM-1013-07</t>
  </si>
  <si>
    <t>POINT (-73.9790263372004 40.7683513714892)</t>
  </si>
  <si>
    <t>12G-PM-1007-02</t>
  </si>
  <si>
    <t>POINT (-73.969347812694 40.7744098063421)</t>
  </si>
  <si>
    <t>10A-AM-1006-01</t>
  </si>
  <si>
    <t>near Strawberry Fields</t>
  </si>
  <si>
    <t>eating (a peanut)</t>
  </si>
  <si>
    <t>POINT (-73.9762494239719 40.7750175306716)</t>
  </si>
  <si>
    <t>9B-PM-1013-09</t>
  </si>
  <si>
    <t>runs from (people)</t>
  </si>
  <si>
    <t>POINT (-73.9763373510536 40.7741168933928)</t>
  </si>
  <si>
    <t>42I-PM-1014-02</t>
  </si>
  <si>
    <t>POINT (-73.9498421746221 40.7969397424182)</t>
  </si>
  <si>
    <t>21A-AM-1019-01</t>
  </si>
  <si>
    <t>keeps to tree,drops down on side away from people</t>
  </si>
  <si>
    <t>POINT (-73.9695881075086 40.7842441291991)</t>
  </si>
  <si>
    <t>6C-AM-1007-08</t>
  </si>
  <si>
    <t>dropping acorns</t>
  </si>
  <si>
    <t>POINT (-73.9766342125035 40.7715437147052)</t>
  </si>
  <si>
    <t>19B-PM-1018-04</t>
  </si>
  <si>
    <t>Gray &amp; Cinnamon selected as Primary. Gray &amp; White selected as Highlights. Made executive adjustments.</t>
  </si>
  <si>
    <t>POINT (-73.969570012716 40.7816501516863)</t>
  </si>
  <si>
    <t>40D-PM-1013-07</t>
  </si>
  <si>
    <t>POINT (-73.9557399927792 40.7971563708988)</t>
  </si>
  <si>
    <t>6C-PM-1020-03</t>
  </si>
  <si>
    <t>POINT (-73.9768254058709 40.7716757945251)</t>
  </si>
  <si>
    <t>8D-AM-1007-03</t>
  </si>
  <si>
    <t>POINT (-73.9736016229655 40.77237813767141)</t>
  </si>
  <si>
    <t>8I-AM-1006-07</t>
  </si>
  <si>
    <t>White ring on short tail</t>
  </si>
  <si>
    <t>POINT (-73.9690498876944 40.7700011818847)</t>
  </si>
  <si>
    <t>4A-PM-1007-05</t>
  </si>
  <si>
    <t>At rock</t>
  </si>
  <si>
    <t>POINT (-73.9800499498034 40.770218109957305)</t>
  </si>
  <si>
    <t>5E-AM-1008-02</t>
  </si>
  <si>
    <t>trellis</t>
  </si>
  <si>
    <t>POINT (-73.974519308015 40.7691228794395)</t>
  </si>
  <si>
    <t>38E-AM-1010-10</t>
  </si>
  <si>
    <t>over a log across stream</t>
  </si>
  <si>
    <t>chillin'</t>
  </si>
  <si>
    <t>runs from leaf blower</t>
  </si>
  <si>
    <t>POINT (-73.9561600237284 40.7953143196705)</t>
  </si>
  <si>
    <t>17D-AM-1008-04</t>
  </si>
  <si>
    <t>POINT (-73.9696720362627 40.7791851598197)</t>
  </si>
  <si>
    <t>9E-AM-1008-03</t>
  </si>
  <si>
    <t>POINT (-73.9729142912203 40.7724091146678)</t>
  </si>
  <si>
    <t>39B-PM-1014-04</t>
  </si>
  <si>
    <t>runs from (meâ€”when i approached)</t>
  </si>
  <si>
    <t>POINT (-73.9583944353352 40.7979689846815)</t>
  </si>
  <si>
    <t>22F-PM-1014-07</t>
  </si>
  <si>
    <t>POINT (-73.9649465476871 40.7822708362663)</t>
  </si>
  <si>
    <t>18H-PM-1014-01</t>
  </si>
  <si>
    <t>POINT (-73.9645989003589 40.7782157459155)</t>
  </si>
  <si>
    <t>2G-PM-1007-02</t>
  </si>
  <si>
    <t>POINT (-73.9746934810667 40.7659431884158)</t>
  </si>
  <si>
    <t>14F-PM-1012-03</t>
  </si>
  <si>
    <t>POINT (-73.9691821206863 40.7763203164339)</t>
  </si>
  <si>
    <t>9I-PM-1010-06</t>
  </si>
  <si>
    <t>POINT (-73.9682688752331 40.7711934835539)</t>
  </si>
  <si>
    <t>22I-AM-1007-01</t>
  </si>
  <si>
    <t>POINT (-73.9611399573659 40.781130706026005)</t>
  </si>
  <si>
    <t>29B-PM-1010-03</t>
  </si>
  <si>
    <t>POINT (-73.9640989602986 40.7899295439265)</t>
  </si>
  <si>
    <t>11B-PM-1014-02</t>
  </si>
  <si>
    <t>POINT (-73.9746940851342 40.7760966488186)</t>
  </si>
  <si>
    <t>32E-PM-1017-06</t>
  </si>
  <si>
    <t>POINT (-73.9589698681439 40.7906520520417)</t>
  </si>
  <si>
    <t>2D-AM-1007-04</t>
  </si>
  <si>
    <t>POINT (-73.9777497645834 40.7677344709178)</t>
  </si>
  <si>
    <t>37E-PM-1006-05</t>
  </si>
  <si>
    <t>POINT (-73.9566686940197 40.794924397955)</t>
  </si>
  <si>
    <t>37B-PM-1013-02</t>
  </si>
  <si>
    <t>POINT (-73.9594332600733 40.7960622445291)</t>
  </si>
  <si>
    <t>30I-PM-1006-03</t>
  </si>
  <si>
    <t>POINT (-73.9568726508546 40.7878795081255)</t>
  </si>
  <si>
    <t>33I-PM-1006-06</t>
  </si>
  <si>
    <t>POINT (-73.9545399102352 40.7898646267709)</t>
  </si>
  <si>
    <t>18I-PM-1007-03</t>
  </si>
  <si>
    <t>stared at me</t>
  </si>
  <si>
    <t>POINT (-73.9638167248251 40.77764856793541)</t>
  </si>
  <si>
    <t>23F-PM-1013-03</t>
  </si>
  <si>
    <t>indifferent (noticed me,busy eating,foraging)</t>
  </si>
  <si>
    <t>POINT (-73.9638141923763 40.7829225326288)</t>
  </si>
  <si>
    <t>2F-PM-1014-05</t>
  </si>
  <si>
    <t>POINT (-73.9759258407288 40.7667622711142)</t>
  </si>
  <si>
    <t>1C-PM-1013-01</t>
  </si>
  <si>
    <t>POINT (-73.9790889008147 40.7676402781925)</t>
  </si>
  <si>
    <t>30B-AM-1007-08</t>
  </si>
  <si>
    <t>POINT (-73.9637824756607 40.7904737110761)</t>
  </si>
  <si>
    <t>18E-PM-1006-01</t>
  </si>
  <si>
    <t>18E</t>
  </si>
  <si>
    <t>POINT (-73.9678822983274 40.7802960985637)</t>
  </si>
  <si>
    <t>39A-PM-1014-03</t>
  </si>
  <si>
    <t>Gray &amp; Cinnamon selected as Primary. White selected as Higlights. Made executive adjustments.</t>
  </si>
  <si>
    <t>Jumped from ground onto branch</t>
  </si>
  <si>
    <t>digging?</t>
  </si>
  <si>
    <t>POINT (-73.95933730937992 40.7982428507976)</t>
  </si>
  <si>
    <t>4E-PM-1008-07</t>
  </si>
  <si>
    <t>POINT (-73.9754790964561 40.768336388516)</t>
  </si>
  <si>
    <t>15G-PM-1019-07</t>
  </si>
  <si>
    <t>POINT (-73.9677593344667 40.7763054313195)</t>
  </si>
  <si>
    <t>41E-PM-1013-01</t>
  </si>
  <si>
    <t>POINT (-73.9547031549299 40.7978867539322)</t>
  </si>
  <si>
    <t>34C-PM-1012-04</t>
  </si>
  <si>
    <t>POINT (-73.96052295327 40.7934359372871)</t>
  </si>
  <si>
    <t>19B-PM-1018-02</t>
  </si>
  <si>
    <t>POINT (-73.9703705008688 40.7818586173755)</t>
  </si>
  <si>
    <t>7E-AM-1006-05</t>
  </si>
  <si>
    <t>POINT (-73.973268329435 40.7708296517073)</t>
  </si>
  <si>
    <t>26I-AM-1010-02</t>
  </si>
  <si>
    <t>POINT (-73.95937814274122 40.7841519912635)</t>
  </si>
  <si>
    <t>3H-PM-1014-06</t>
  </si>
  <si>
    <t>POINT (-73.9730196342874 40.766022437401)</t>
  </si>
  <si>
    <t>32D-AM-1013-05</t>
  </si>
  <si>
    <t>POINT (-73.9604083891356 40.7910284106931)</t>
  </si>
  <si>
    <t>14E-AM-1008-12</t>
  </si>
  <si>
    <t>POINT (-73.9694591667705 40.7766518221998)</t>
  </si>
  <si>
    <t>36E-PM-1012-02</t>
  </si>
  <si>
    <t>on tree branch</t>
  </si>
  <si>
    <t>picking acorns off oak tree</t>
  </si>
  <si>
    <t>POINT (-73.95686109433942 40.7935959584643)</t>
  </si>
  <si>
    <t>31B-PM-1007-02</t>
  </si>
  <si>
    <t>chasing #1 and climbing tree w/ #1</t>
  </si>
  <si>
    <t>POINT (-73.9631392113757 40.7914635635784)</t>
  </si>
  <si>
    <t>19A-PM-1013-06</t>
  </si>
  <si>
    <t>POINT (-73.9706968708903 40.7821499135828)</t>
  </si>
  <si>
    <t>27B-PM-1006-02</t>
  </si>
  <si>
    <t>27B</t>
  </si>
  <si>
    <t>By large tree chasing #1</t>
  </si>
  <si>
    <t>POINT (-73.965675791028 40.7887310058451)</t>
  </si>
  <si>
    <t>15D-AM-1007-03</t>
  </si>
  <si>
    <t>POINT (-73.9701634768603 40.7778691433218)</t>
  </si>
  <si>
    <t>4E-PM-1008-02</t>
  </si>
  <si>
    <t>POINT (-73.9752699507508 40.76880691840571)</t>
  </si>
  <si>
    <t>37E-PM-1006-01</t>
  </si>
  <si>
    <t>POINT (-73.956998502609 40.7948117428147)</t>
  </si>
  <si>
    <t>21H-PM-1018-04</t>
  </si>
  <si>
    <t>POINT (-73.9624052832372 40.7809656348254)</t>
  </si>
  <si>
    <t>9A-AM-1013-05</t>
  </si>
  <si>
    <t>POINT (-73.9765417282001 40.7740994735325)</t>
  </si>
  <si>
    <t>15I-PM-1012-02</t>
  </si>
  <si>
    <t>POINT (-73.965215665278 40.7761309082202)</t>
  </si>
  <si>
    <t>36B-AM-1013-01</t>
  </si>
  <si>
    <t>POINT (-73.9604524271167 40.7956624328733)</t>
  </si>
  <si>
    <t>35A-AM-1014-02</t>
  </si>
  <si>
    <t>POINT (-73.9618486459307 40.7946365810826)</t>
  </si>
  <si>
    <t>4C-AM-1006-04</t>
  </si>
  <si>
    <t>POINT (-73.9771696835698 40.7697011100487)</t>
  </si>
  <si>
    <t>34I-AM-1012-04</t>
  </si>
  <si>
    <t>POINT (-73.9545438656122 40.7902168635009)</t>
  </si>
  <si>
    <t>4E-PM-1008-05</t>
  </si>
  <si>
    <t>POINT (-73.975836799137 40.769159342847104)</t>
  </si>
  <si>
    <t>3A-PM-1017-02</t>
  </si>
  <si>
    <t>POINT (-73.9801899519657 40.7695777009264)</t>
  </si>
  <si>
    <t>4A-AM-1007-01</t>
  </si>
  <si>
    <t>POINT (-73.97977158132 40.7706273151066)</t>
  </si>
  <si>
    <t>9B-AM-1010-02</t>
  </si>
  <si>
    <t>in bush</t>
  </si>
  <si>
    <t>froze</t>
  </si>
  <si>
    <t>POINT (-73.9763542780331 40.773653130362206)</t>
  </si>
  <si>
    <t>3G-AM-1008-03</t>
  </si>
  <si>
    <t>POINT (-73.9745709109056 40.7672225695415)</t>
  </si>
  <si>
    <t>1B-AM-1012-02</t>
  </si>
  <si>
    <t>POINT (-73.9797425262459 40.7679120246352)</t>
  </si>
  <si>
    <t>12E-AM-1017-02</t>
  </si>
  <si>
    <t>POINT (-73.9714952092767 40.7748063281815)</t>
  </si>
  <si>
    <t>15F-PM-1010-04</t>
  </si>
  <si>
    <t>on path</t>
  </si>
  <si>
    <t>POINT (-73.9682676237703 40.7772653590224)</t>
  </si>
  <si>
    <t>40D-AM-1013-02</t>
  </si>
  <si>
    <t>POINT (-73.955429970986 40.7978168629875)</t>
  </si>
  <si>
    <t>7F-PM-1012-02</t>
  </si>
  <si>
    <t>observes</t>
  </si>
  <si>
    <t>POINT (-73.9725844658514 40.7701092834201)</t>
  </si>
  <si>
    <t>32F-AM-1012-02</t>
  </si>
  <si>
    <t>Gray patches on back legs</t>
  </si>
  <si>
    <t>curious about me</t>
  </si>
  <si>
    <t>POINT (-73.9587330707463 40.7907682009641)</t>
  </si>
  <si>
    <t>2B-AM-1010-05</t>
  </si>
  <si>
    <t>POINT (-73.9802564685265 40.7681759098199)</t>
  </si>
  <si>
    <t>12A-AM-1008-01</t>
  </si>
  <si>
    <t>POINT (-73.9747959143543 40.7768078174366)</t>
  </si>
  <si>
    <t>4A-AM-1007-02</t>
  </si>
  <si>
    <t>POINT (-73.9795492724533 40.7709497471738)</t>
  </si>
  <si>
    <t>14I-PM-1018-04</t>
  </si>
  <si>
    <t>POINT (-73.9657480066074 40.7753465489231)</t>
  </si>
  <si>
    <t>9I-AM-1014-08</t>
  </si>
  <si>
    <t>POINT (-73.9686479277215 40.7705815354769)</t>
  </si>
  <si>
    <t>10H-PM-1007-01</t>
  </si>
  <si>
    <t>dark gray</t>
  </si>
  <si>
    <t>POINT (-73.9692472299565 40.7722592187215)</t>
  </si>
  <si>
    <t>2C-PM-1013-05</t>
  </si>
  <si>
    <t>POINT (-73.9787846880249 40.7682545903488)</t>
  </si>
  <si>
    <t>8B-AM-1007-04</t>
  </si>
  <si>
    <t>POINT (-73.9765046109019 40.7736674124746)</t>
  </si>
  <si>
    <t>4A-PM-1007-04</t>
  </si>
  <si>
    <t>POINT (-73.9796142848349 40.7702117898305)</t>
  </si>
  <si>
    <t>22A-PM-1017-02</t>
  </si>
  <si>
    <t>POINT (-73.9692846326638 40.7841049008492)</t>
  </si>
  <si>
    <t>8A-PM-1014-02</t>
  </si>
  <si>
    <t>POINT (-73.9767141407274 40.7737313251559)</t>
  </si>
  <si>
    <t>3E-PM-1008-09</t>
  </si>
  <si>
    <t>POINT (-73.9756345867747 40.7675540517649)</t>
  </si>
  <si>
    <t>37I-AM-1010-05</t>
  </si>
  <si>
    <t>POINT (-73.95241322956582 40.7933777553406)</t>
  </si>
  <si>
    <t>38E-PM-1014-05</t>
  </si>
  <si>
    <t>on log</t>
  </si>
  <si>
    <t>statue</t>
  </si>
  <si>
    <t>POINT (-73.9563652303243 40.7955127873968)</t>
  </si>
  <si>
    <t>10C-AM-1018-04</t>
  </si>
  <si>
    <t>POINT (-73.9743873549635 40.7745426051392)</t>
  </si>
  <si>
    <t>20G-AM-1018-01</t>
  </si>
  <si>
    <t>Tree limb</t>
  </si>
  <si>
    <t>sitting still on limb</t>
  </si>
  <si>
    <t>POINT (-73.9640741640547 40.7807274581426)</t>
  </si>
  <si>
    <t>12H-PM-1007-07</t>
  </si>
  <si>
    <t>grass field</t>
  </si>
  <si>
    <t>humans</t>
  </si>
  <si>
    <t>POINT (-73.967975586222 40.7735683044313)</t>
  </si>
  <si>
    <t>35B-AM-1010-03</t>
  </si>
  <si>
    <t>POINT (-73.9611126813593 40.7943113021522)</t>
  </si>
  <si>
    <t>17I-AM-1014-01</t>
  </si>
  <si>
    <t>Running across fence between statue &amp; swings</t>
  </si>
  <si>
    <t>POINT (-73.9639700434449 40.7775003050028)</t>
  </si>
  <si>
    <t>41B-AM-1010-10</t>
  </si>
  <si>
    <t>POINT (-73.9577758125518 40.799384716477)</t>
  </si>
  <si>
    <t>8E-PM-1008-02</t>
  </si>
  <si>
    <t>POINT (-73.9736995552241 40.7722712518637)</t>
  </si>
  <si>
    <t>17C-PM-1013-04</t>
  </si>
  <si>
    <t>POINT (-73.9701023478746 40.7803527061859)</t>
  </si>
  <si>
    <t>33F-PM-1012-01</t>
  </si>
  <si>
    <t>POINT (-73.9584661589182 40.7912068380845)</t>
  </si>
  <si>
    <t>8I-AM-1006-05</t>
  </si>
  <si>
    <t>POINT (-73.9688438058715 40.7703014325728)</t>
  </si>
  <si>
    <t>32E-PM-1017-15</t>
  </si>
  <si>
    <t>POINT (-73.9603471161869 40.7906003311747)</t>
  </si>
  <si>
    <t>15H-AM-1013-03</t>
  </si>
  <si>
    <t>POINT (-73.9665763797607 40.7761316400012)</t>
  </si>
  <si>
    <t>40D-AM-1013-03</t>
  </si>
  <si>
    <t>POINT (-73.955710327539 40.7974510797567)</t>
  </si>
  <si>
    <t>11A-PM-1013-02</t>
  </si>
  <si>
    <t>POINT (-73.9756825338299 40.7755542506699)</t>
  </si>
  <si>
    <t>24A-PM-1007-03</t>
  </si>
  <si>
    <t>POINT (-73.9684806250183 40.7858776210151)</t>
  </si>
  <si>
    <t>26I-AM-1010-01</t>
  </si>
  <si>
    <t>POINT (-73.9594045885402 40.7840886870652)</t>
  </si>
  <si>
    <t>41D-AM-1014-04</t>
  </si>
  <si>
    <t>POINT (-73.9561091686663 40.7981463047425)</t>
  </si>
  <si>
    <t>14B-PM-1014-07</t>
  </si>
  <si>
    <t>POINT (-73.9733437449715 40.7782401548362)</t>
  </si>
  <si>
    <t>19F-PM-1017-05</t>
  </si>
  <si>
    <t>POINT (-73.9652134469963 40.7803438278765)</t>
  </si>
  <si>
    <t>6H-PM-1020-02</t>
  </si>
  <si>
    <t>Fence pole</t>
  </si>
  <si>
    <t>POINT (-73.9714798196777 40.7695231949631)</t>
  </si>
  <si>
    <t>3F-AM-1006-13</t>
  </si>
  <si>
    <t>POINT (-73.9755041276839 40.7678213857557)</t>
  </si>
  <si>
    <t>31E-PM-1006-08</t>
  </si>
  <si>
    <t>POINT (-73.9601561064548 40.7900513933531)</t>
  </si>
  <si>
    <t>38C-AM-1019-05</t>
  </si>
  <si>
    <t>POINT (-73.9581241870185 40.7961057536141)</t>
  </si>
  <si>
    <t>38C-AM-1019-03</t>
  </si>
  <si>
    <t>POINT (-73.9576219570858 40.7963351225672)</t>
  </si>
  <si>
    <t>32E-AM-1007-12</t>
  </si>
  <si>
    <t>POINT (-73.9597072533787 40.79055818537861)</t>
  </si>
  <si>
    <t>40B-PM-1014-08</t>
  </si>
  <si>
    <t>POINT (-73.9575307970434 40.7983176419483)</t>
  </si>
  <si>
    <t>2E-AM-1010-05</t>
  </si>
  <si>
    <t>POINT (-73.9769106838192 40.7674414870702)</t>
  </si>
  <si>
    <t>3D-PM-1010-05</t>
  </si>
  <si>
    <t>POINT (-73.9768286349595 40.7687012827059)</t>
  </si>
  <si>
    <t>41F-PM-1019-01</t>
  </si>
  <si>
    <t>POINT (-73.9534878316472 40.7978951981698)</t>
  </si>
  <si>
    <t>16E-AM-1014-07</t>
  </si>
  <si>
    <t>POINT (-73.9689041600147 40.7781788966185)</t>
  </si>
  <si>
    <t>2I-AM-1006-01</t>
  </si>
  <si>
    <t>POINT (-73.972757765574 40.7654285510067)</t>
  </si>
  <si>
    <t>36C-AM-1014-04</t>
  </si>
  <si>
    <t>Ground then tree to eat</t>
  </si>
  <si>
    <t>POINT (-73.958719099962 40.7947587726617)</t>
  </si>
  <si>
    <t>3D-PM-1010-14</t>
  </si>
  <si>
    <t>crying out</t>
  </si>
  <si>
    <t>POINT (-73.9773696455031 40.7687241866704)</t>
  </si>
  <si>
    <t>6G-AM-1008-06</t>
  </si>
  <si>
    <t>white at end of tail</t>
  </si>
  <si>
    <t>grass</t>
  </si>
  <si>
    <t>POINT (-73.9721086069437 40.7698172190404)</t>
  </si>
  <si>
    <t>7F-AM-1008-06</t>
  </si>
  <si>
    <t>in hole in tree</t>
  </si>
  <si>
    <t>POINT (-73.9728170980779 40.770355783043705)</t>
  </si>
  <si>
    <t>2F-PM-1014-07</t>
  </si>
  <si>
    <t>POINT (-73.9750688083336 40.7665584681025)</t>
  </si>
  <si>
    <t>14F-PM-1012-08</t>
  </si>
  <si>
    <t>POINT (-73.9690540696008 40.7766014124609)</t>
  </si>
  <si>
    <t>22C-PM-1006-12</t>
  </si>
  <si>
    <t>human friendly</t>
  </si>
  <si>
    <t>POINT (-73.9668909481942 40.7841298584027)</t>
  </si>
  <si>
    <t>38I-PM-1014-03</t>
  </si>
  <si>
    <t>POINT (-73.951965247933 40.7938167628067)</t>
  </si>
  <si>
    <t>34G-PM-1006-02</t>
  </si>
  <si>
    <t>34G</t>
  </si>
  <si>
    <t>eating bread it found on ground</t>
  </si>
  <si>
    <t>POINT (-73.9562350820255 40.7913464147989)</t>
  </si>
  <si>
    <t>12E-AM-1017-06</t>
  </si>
  <si>
    <t>POINT (-73.9711751356843 40.7752422758202)</t>
  </si>
  <si>
    <t>19D-PM-1008-02</t>
  </si>
  <si>
    <t>unknown - cannot see, only hear</t>
  </si>
  <si>
    <t>POINT (-73.9685598106128 40.7807054868066)</t>
  </si>
  <si>
    <t>9H-AM-1006-03</t>
  </si>
  <si>
    <t>POINT (-73.96955603769152 40.7708835103516)</t>
  </si>
  <si>
    <t>30A-PM-1020-04</t>
  </si>
  <si>
    <t>POINT (-73.9640945609381 40.7910513041359)</t>
  </si>
  <si>
    <t>34C-PM-1012-02</t>
  </si>
  <si>
    <t>POINT (-73.96005650463 40.7934048502983)</t>
  </si>
  <si>
    <t>38F-PM-1013-02</t>
  </si>
  <si>
    <t>POINT (-73.9549133872427 40.7946871036949)</t>
  </si>
  <si>
    <t>4G-AM-1006-05</t>
  </si>
  <si>
    <t>indifferentâ€”was in front of my face (we were on a bridge)!</t>
  </si>
  <si>
    <t>POINT (-73.9730001080547 40.7678719218983)</t>
  </si>
  <si>
    <t>13A-AM-1017-05</t>
  </si>
  <si>
    <t>POINT (-73.9748318777506 40.7771821378056)</t>
  </si>
  <si>
    <t>34H-PM-1006-02</t>
  </si>
  <si>
    <t>POINT (-73.9550627447399 40.7910104700332)</t>
  </si>
  <si>
    <t>14D-AM-1014-13</t>
  </si>
  <si>
    <t>POINT (-73.9709407456459 40.776423522087)</t>
  </si>
  <si>
    <t>13D-PM-1018-11</t>
  </si>
  <si>
    <t>POINT (-73.9720365327715 40.7762329714016)</t>
  </si>
  <si>
    <t>8I-AM-1006-10</t>
  </si>
  <si>
    <t>POINT (-73.96855670754131 40.7703797723105)</t>
  </si>
  <si>
    <t>32E-PM-1017-12</t>
  </si>
  <si>
    <t>POINT (-73.9596271142953 40.7906612313673)</t>
  </si>
  <si>
    <t>10D-AM-1008-04</t>
  </si>
  <si>
    <t>POINT (-73.9730592548116 40.7740879251541)</t>
  </si>
  <si>
    <t>13D-AM-1014-07</t>
  </si>
  <si>
    <t>POINT (-73.9710907175834 40.77637391082)</t>
  </si>
  <si>
    <t>13E-AM-1017-06</t>
  </si>
  <si>
    <t>POINT (-73.9705704527481 40.7762853012151)</t>
  </si>
  <si>
    <t>2E-AM-1010-07</t>
  </si>
  <si>
    <t>POINT (-73.9771575249322 40.7673873716547)</t>
  </si>
  <si>
    <t>10B-AM-1006-04</t>
  </si>
  <si>
    <t>POINT (-73.9757912350482 40.7747598621451)</t>
  </si>
  <si>
    <t>11I-PM-1012-01</t>
  </si>
  <si>
    <t>look at humans determining</t>
  </si>
  <si>
    <t>POINT (-73.968004352343 40.7726669278308)</t>
  </si>
  <si>
    <t>8B-AM-1007-03</t>
  </si>
  <si>
    <t>POINT (-73.97653553956222 40.7735653237366)</t>
  </si>
  <si>
    <t>7I-PM-1013-07</t>
  </si>
  <si>
    <t>Under the tree</t>
  </si>
  <si>
    <t>playing,interacting with #6</t>
  </si>
  <si>
    <t>POINT (-73.9697178096275 40.769703669630104)</t>
  </si>
  <si>
    <t>31I-PM-1019-03</t>
  </si>
  <si>
    <t>POINT (-73.9558180952889 40.7886810505944)</t>
  </si>
  <si>
    <t>4B-AM-1010-05</t>
  </si>
  <si>
    <t>chasing squirrel #6</t>
  </si>
  <si>
    <t>POINT (-73.978844141973 40.7696046074378)</t>
  </si>
  <si>
    <t>14D-AM-1014-05</t>
  </si>
  <si>
    <t>POINT (-73.970962498391 40.7766899040856)</t>
  </si>
  <si>
    <t>40B-AM-1019-01</t>
  </si>
  <si>
    <t>POINT (-73.9587072373474 40.7985209579925)</t>
  </si>
  <si>
    <t>8E-PM-1008-04</t>
  </si>
  <si>
    <t>in grass by a grove of tall maples</t>
  </si>
  <si>
    <t>there's a family playing soccer</t>
  </si>
  <si>
    <t>POINT (-73.9736418085696 40.7716931127716)</t>
  </si>
  <si>
    <t>33E-AM-1014-06</t>
  </si>
  <si>
    <t>POINT (-73.9588076804698 40.7912942607296)</t>
  </si>
  <si>
    <t>1A-AM-1007-02</t>
  </si>
  <si>
    <t>POINT (-73.980777106431 40.7681635726316)</t>
  </si>
  <si>
    <t>15F-PM-1010-02</t>
  </si>
  <si>
    <t>POINT (-73.9686622009739 40.7767294380502)</t>
  </si>
  <si>
    <t>33E-PM-1012-06</t>
  </si>
  <si>
    <t>POINT (-73.9590328527128 40.7912214417577)</t>
  </si>
  <si>
    <t>22D-PM-1012-02</t>
  </si>
  <si>
    <t>No Primary Fur Color selected. Made executive adjustment based on other squirrels.</t>
  </si>
  <si>
    <t>POINT (-73.9657504643585 40.7831210813592)</t>
  </si>
  <si>
    <t>40B-PM-1014-02</t>
  </si>
  <si>
    <t>POINT (-73.9581366214863 40.7988964092722)</t>
  </si>
  <si>
    <t>20B-AM-1007-02</t>
  </si>
  <si>
    <t>POINT (-73.9698870647042 40.7826510985538)</t>
  </si>
  <si>
    <t>15E-AM-1013-04</t>
  </si>
  <si>
    <t>POINT (-73.9690168673844 40.7777612043914)</t>
  </si>
  <si>
    <t>35E-AM-1020-01</t>
  </si>
  <si>
    <t>POINT (-73.9579506263361 40.7936973555953)</t>
  </si>
  <si>
    <t>3B-AM-1010-04</t>
  </si>
  <si>
    <t>POINT (-73.9788088165392 40.7690153025878)</t>
  </si>
  <si>
    <t>32E-PM-1017-05</t>
  </si>
  <si>
    <t>POINT (-73.9590074024938 40.7907059424675)</t>
  </si>
  <si>
    <t>7H-AM-1006-16</t>
  </si>
  <si>
    <t>POINT (-73.9706988226435 40.7696684566926)</t>
  </si>
  <si>
    <t>7G-AM-1010-07</t>
  </si>
  <si>
    <t>POINT (-73.9722359401242 40.7702891474555)</t>
  </si>
  <si>
    <t>31E-PM-1006-06</t>
  </si>
  <si>
    <t>POINT (-73.9603268255317 40.7900154505092)</t>
  </si>
  <si>
    <t>17B-AM-1010-02</t>
  </si>
  <si>
    <t>POINT (-73.9710187505339 40.7797265666746)</t>
  </si>
  <si>
    <t>8H-PM-1014-07</t>
  </si>
  <si>
    <t>chasing (#8),playing?</t>
  </si>
  <si>
    <t>POINT (-73.9703076450783 40.770158422629)</t>
  </si>
  <si>
    <t>41C-AM-1017-01</t>
  </si>
  <si>
    <t>POINT (-73.95686356337902 40.7986418851147)</t>
  </si>
  <si>
    <t>7H-AM-1006-03</t>
  </si>
  <si>
    <t>on rock (large)</t>
  </si>
  <si>
    <t>POINT (-73.9711378905748 40.769621834633305)</t>
  </si>
  <si>
    <t>33I-PM-1006-08</t>
  </si>
  <si>
    <t>POINT (-73.9546337446865 40.7898772579576)</t>
  </si>
  <si>
    <t>17E-AM-1017-08</t>
  </si>
  <si>
    <t>POINT (-73.9676314068477 40.7788030406918)</t>
  </si>
  <si>
    <t>4C-PM-1010-14</t>
  </si>
  <si>
    <t>chasing #15</t>
  </si>
  <si>
    <t>POINT (-73.9775099290913 40.7697609063137)</t>
  </si>
  <si>
    <t>32C-PM-1013-04</t>
  </si>
  <si>
    <t>POINT (-73.9612854506075 40.7920830673571)</t>
  </si>
  <si>
    <t>33B-PM-1010-03</t>
  </si>
  <si>
    <t>POINT (-73.9617250054003 40.7925390432044)</t>
  </si>
  <si>
    <t>31C-PM-1010-01</t>
  </si>
  <si>
    <t>POINT (-73.9624209799704 40.7910200972752)</t>
  </si>
  <si>
    <t>9G-PM-1007-04</t>
  </si>
  <si>
    <t>POINT (-73.9707542189896 40.77170329868851)</t>
  </si>
  <si>
    <t>4C-PM-1010-16</t>
  </si>
  <si>
    <t>POINT (-73.9779760874355 40.7698230936583)</t>
  </si>
  <si>
    <t>18D-AM-1018-04</t>
  </si>
  <si>
    <t>POINT (-73.9682965197661 40.7805378963883)</t>
  </si>
  <si>
    <t>2G-AM-1010-03</t>
  </si>
  <si>
    <t>POINT (-73.9746965894947 40.7664351724309)</t>
  </si>
  <si>
    <t>40H-AM-1017-01</t>
  </si>
  <si>
    <t>base of tree</t>
  </si>
  <si>
    <t>POINT (-73.9518008149564 40.7953738093588)</t>
  </si>
  <si>
    <t>11B-PM-1014-03</t>
  </si>
  <si>
    <t>POINT (-73.9746877519291 40.7761402808083)</t>
  </si>
  <si>
    <t>21B-PM-1017-03</t>
  </si>
  <si>
    <t>POINT (-73.9693159934697 40.7831212338295)</t>
  </si>
  <si>
    <t>28D-PM-1019-02</t>
  </si>
  <si>
    <t>POINT (-73.962516494651 40.7884768989902)</t>
  </si>
  <si>
    <t>9D-AM-1008-03</t>
  </si>
  <si>
    <t>POINT (-73.9739038832156 40.7730354890554)</t>
  </si>
  <si>
    <t>39D-AM-1008-01</t>
  </si>
  <si>
    <t>POINT (-73.9562068537632 40.7967332853238)</t>
  </si>
  <si>
    <t>8C-PM-1013-03</t>
  </si>
  <si>
    <t>POINT (-73.9751056714758 40.7732060035215)</t>
  </si>
  <si>
    <t>9G-PM-1007-01</t>
  </si>
  <si>
    <t>climbing (down tree)</t>
  </si>
  <si>
    <t>POINT (-73.9710288101006 40.7715777109992)</t>
  </si>
  <si>
    <t>15H-PM-1008-05</t>
  </si>
  <si>
    <t>POINT (-73.9655925527354 40.7760049171097)</t>
  </si>
  <si>
    <t>1I-PM-1012-01</t>
  </si>
  <si>
    <t>POINT (-73.9733222531339 40.7649975371546)</t>
  </si>
  <si>
    <t>30B-AM-1007-11</t>
  </si>
  <si>
    <t>POINT (-73.9635412640983 40.7902529354639)</t>
  </si>
  <si>
    <t>1B-AM-1012-15</t>
  </si>
  <si>
    <t>POINT (-73.9806377967573 40.7681097168268)</t>
  </si>
  <si>
    <t>37H-PM-1006-05</t>
  </si>
  <si>
    <t>POINT (-73.9532804650089 40.7934579333341)</t>
  </si>
  <si>
    <t>15F-AM-1007-07</t>
  </si>
  <si>
    <t>POINT (-73.9685940262068 40.776932102013)</t>
  </si>
  <si>
    <t>24A-AM-1014-02</t>
  </si>
  <si>
    <t>Blonde? in Highlights</t>
  </si>
  <si>
    <t>POINT (-73.9682062012675 40.786498436192)</t>
  </si>
  <si>
    <t>28D-AM-1012-05</t>
  </si>
  <si>
    <t>POINT (-73.9626560807032 40.7884633049896)</t>
  </si>
  <si>
    <t>19F-PM-1017-07</t>
  </si>
  <si>
    <t>POINT (-73.9653311136561 40.78019349034301)</t>
  </si>
  <si>
    <t>1D-PM-1007-02</t>
  </si>
  <si>
    <t>POINT (-73.9782283921819 40.7667932602077)</t>
  </si>
  <si>
    <t>36B-PM-1013-01</t>
  </si>
  <si>
    <t>POINT (-73.9604094481336 40.7951451478793)</t>
  </si>
  <si>
    <t>3B-AM-1010-05</t>
  </si>
  <si>
    <t>POINT (-73.9788436368415 40.7691104998969)</t>
  </si>
  <si>
    <t>8B-PM-1012-09</t>
  </si>
  <si>
    <t>POINT (-73.975809362521 40.7734702737835)</t>
  </si>
  <si>
    <t>22H-PM-1007-03</t>
  </si>
  <si>
    <t>chased squirrel #2 away</t>
  </si>
  <si>
    <t>POINT (-73.9623621412501 40.7814673556041)</t>
  </si>
  <si>
    <t>2C-PM-1013-10</t>
  </si>
  <si>
    <t>POINT (-73.9792161469158 40.7679285436253)</t>
  </si>
  <si>
    <t>4I-AM-1006-02</t>
  </si>
  <si>
    <t>POINT (-73.9721210372896 40.7667971476099)</t>
  </si>
  <si>
    <t>35A-PM-1013-05</t>
  </si>
  <si>
    <t>POINT (-73.9618076359384 40.7947808718203)</t>
  </si>
  <si>
    <t>2B-AM-1010-08</t>
  </si>
  <si>
    <t>POINT (-73.9791826197108 40.768577844752)</t>
  </si>
  <si>
    <t>4B-PM-1018-05</t>
  </si>
  <si>
    <t>POINT (-73.9782940231149 40.7694236097224)</t>
  </si>
  <si>
    <t>15B-PM-1017-01</t>
  </si>
  <si>
    <t>POINT (-73.9728797531377 40.7786733148687)</t>
  </si>
  <si>
    <t>5F-AM-1007-03</t>
  </si>
  <si>
    <t>POINT (-73.9742010726136 40.769150169929006)</t>
  </si>
  <si>
    <t>12H-PM-1007-06</t>
  </si>
  <si>
    <t>POINT (-73.9681146830162 40.7736772279412)</t>
  </si>
  <si>
    <t>2E-PM-1014-03</t>
  </si>
  <si>
    <t>POINT (-73.9767100101318 40.7675779951996)</t>
  </si>
  <si>
    <t>3E-AM-1006-07</t>
  </si>
  <si>
    <t>burying nuts</t>
  </si>
  <si>
    <t>POINT (-73.9755562526811 40.7678821029525)</t>
  </si>
  <si>
    <t>6C-AM-1007-07</t>
  </si>
  <si>
    <t>ambling</t>
  </si>
  <si>
    <t>trucks</t>
  </si>
  <si>
    <t>POINT (-73.9764851231754 40.7715736862861)</t>
  </si>
  <si>
    <t>19D-PM-1008-03</t>
  </si>
  <si>
    <t>may be same squirrel as #1 - male</t>
  </si>
  <si>
    <t>on branch of dead tree</t>
  </si>
  <si>
    <t>POINT (-73.9682830510954 40.7810151087286)</t>
  </si>
  <si>
    <t>12G-PM-1007-01</t>
  </si>
  <si>
    <t>POINT (-73.9694344956258 40.7742869276902)</t>
  </si>
  <si>
    <t>39E-PM-1013-01</t>
  </si>
  <si>
    <t>Cinnamon head</t>
  </si>
  <si>
    <t>POINT (-73.9558118887106 40.796885713436005)</t>
  </si>
  <si>
    <t>30B-PM-1019-01</t>
  </si>
  <si>
    <t>POINT (-73.9636027664439 40.790075966587)</t>
  </si>
  <si>
    <t>9C-AM-1006-01</t>
  </si>
  <si>
    <t>POINT (-73.9745204169071 40.7736282868469)</t>
  </si>
  <si>
    <t>15C-PM-1017-04</t>
  </si>
  <si>
    <t>POINT (-73.9712265022781 40.7783790991192)</t>
  </si>
  <si>
    <t>17A-PM-1013-01</t>
  </si>
  <si>
    <t>crossing path</t>
  </si>
  <si>
    <t>POINT (-73.9718248273522 40.78019989700291)</t>
  </si>
  <si>
    <t>37G-AM-1014-06</t>
  </si>
  <si>
    <t>POINT (-73.95421186147692 40.7939171395463)</t>
  </si>
  <si>
    <t>5E-PM-1012-06</t>
  </si>
  <si>
    <t>oak tree at end of ramp from Chess House</t>
  </si>
  <si>
    <t>POINT (-73.9748367344424 40.7693513000034)</t>
  </si>
  <si>
    <t>32C-PM-1013-02</t>
  </si>
  <si>
    <t>POINT (-73.9613998967903 40.7912437235667)</t>
  </si>
  <si>
    <t>38E-PM-1014-02</t>
  </si>
  <si>
    <t>POINT (-73.955754300682 40.79568139974)</t>
  </si>
  <si>
    <t>14I-PM-1018-03</t>
  </si>
  <si>
    <t>POINT (-73.9657327332849 40.7747554568985)</t>
  </si>
  <si>
    <t>36I-PM-1007-12</t>
  </si>
  <si>
    <t>Tiny! So tiny!</t>
  </si>
  <si>
    <t>POINT (-73.9527430510248 40.7924807950552)</t>
  </si>
  <si>
    <t>14A-PM-1014-03</t>
  </si>
  <si>
    <t>POINT (-73.973598991549 40.7783020016983)</t>
  </si>
  <si>
    <t>38I-AM-1019-01</t>
  </si>
  <si>
    <t>POINT (-73.9524490779105 40.7936003219524)</t>
  </si>
  <si>
    <t>4E-PM-1008-06</t>
  </si>
  <si>
    <t>POINT (-73.9761223919286 40.7685998275864)</t>
  </si>
  <si>
    <t>15D-AM-1007-02</t>
  </si>
  <si>
    <t>POINT (-73.9701926736281 40.7778587687376)</t>
  </si>
  <si>
    <t>38E-AM-1010-08</t>
  </si>
  <si>
    <t>POINT (-73.9562362816756 40.7950457218996)</t>
  </si>
  <si>
    <t>13H-PM-1010-04</t>
  </si>
  <si>
    <t>POINT (-73.9674984567017 40.7745938268705)</t>
  </si>
  <si>
    <t>34I-PM-1010-04</t>
  </si>
  <si>
    <t>across the lawn and climb up a small tree</t>
  </si>
  <si>
    <t>POINT (-73.9541601469123 40.79078327446891)</t>
  </si>
  <si>
    <t>39D-AM-1008-05</t>
  </si>
  <si>
    <t>POINT (-73.95681084650862 40.7971727026108)</t>
  </si>
  <si>
    <t>3H-PM-1014-02</t>
  </si>
  <si>
    <t>POINT (-73.9733898487296 40.7666975131518)</t>
  </si>
  <si>
    <t>38B-AM-1019-02</t>
  </si>
  <si>
    <t>POINT (-73.9594174605642 40.7973128653773)</t>
  </si>
  <si>
    <t>41C-AM-1017-06</t>
  </si>
  <si>
    <t>POINT (-73.956806913988 40.7987736900857)</t>
  </si>
  <si>
    <t>41A-PM-1007-02</t>
  </si>
  <si>
    <t>POINT (-73.9586184232889 40.7993153832942)</t>
  </si>
  <si>
    <t>17F-PM-1020-05</t>
  </si>
  <si>
    <t>POINT (-73.9673919075839 40.7786845769177)</t>
  </si>
  <si>
    <t>20C-PM-1018-07</t>
  </si>
  <si>
    <t>POINT (-73.9679319758284 40.7821154802399)</t>
  </si>
  <si>
    <t>5A-PM-1010-03</t>
  </si>
  <si>
    <t>POINT (-73.9787723082807 40.7713655754004)</t>
  </si>
  <si>
    <t>3F-AM-1006-05</t>
  </si>
  <si>
    <t>POINT (-73.9749641575871 40.7673305056277)</t>
  </si>
  <si>
    <t>1G-AM-1006-03</t>
  </si>
  <si>
    <t>POINT (-73.9745908987975 40.7655191512308)</t>
  </si>
  <si>
    <t>14D-PM-1019-09</t>
  </si>
  <si>
    <t>POINT (-73.9708108312271 40.7773975776146)</t>
  </si>
  <si>
    <t>6I-PM-1013-01</t>
  </si>
  <si>
    <t>POINT (-73.9699780857298 40.7688706046944)</t>
  </si>
  <si>
    <t>38F-AM-1018-02</t>
  </si>
  <si>
    <t>POINT (-73.954699659637 40.7951308856929)</t>
  </si>
  <si>
    <t>10C-PM-1013-01</t>
  </si>
  <si>
    <t>POINT (-73.973998077367 40.7739029133911)</t>
  </si>
  <si>
    <t>10F-PM-1019-07</t>
  </si>
  <si>
    <t>Same tree (as #6)</t>
  </si>
  <si>
    <t>POINT (-73.97107389601 40.7723265810536)</t>
  </si>
  <si>
    <t>7G-PM-1018-01</t>
  </si>
  <si>
    <t>POINT (-73.9721263050502 40.7698763846186)</t>
  </si>
  <si>
    <t>8B-AM-1007-02</t>
  </si>
  <si>
    <t>POINT (-73.9764314091366 40.773645805795205)</t>
  </si>
  <si>
    <t>40G-PM-1013-05</t>
  </si>
  <si>
    <t>runs from (to the tree)</t>
  </si>
  <si>
    <t>POINT (-73.9529224802393 40.7961895763649)</t>
  </si>
  <si>
    <t>10I-AM-1010-04</t>
  </si>
  <si>
    <t>POINT (-73.9680237209555 40.7717022208225)</t>
  </si>
  <si>
    <t>16D-PM-1010-12</t>
  </si>
  <si>
    <t>POINT (-73.9703314162405 40.778584776139)</t>
  </si>
  <si>
    <t>16D-PM-1010-11</t>
  </si>
  <si>
    <t>POINT (-73.9701379806066 40.7785234812393)</t>
  </si>
  <si>
    <t>13G-PM-1008-02</t>
  </si>
  <si>
    <t>willow oak tree</t>
  </si>
  <si>
    <t>POINT (-73.9684058476942 40.7753959833776)</t>
  </si>
  <si>
    <t>14E-AM-1008-14</t>
  </si>
  <si>
    <t>POINT (-73.9691968748482 40.7765862996192)</t>
  </si>
  <si>
    <t>12F-PM-1007-13</t>
  </si>
  <si>
    <t>POINT (-73.9700066659086 40.7744028820163)</t>
  </si>
  <si>
    <t>21B-AM-1019-03</t>
  </si>
  <si>
    <t>POINT (-73.9689227467959 40.7837541607494)</t>
  </si>
  <si>
    <t>40A-PM-1014-02</t>
  </si>
  <si>
    <t>runs from (ran from base of tree into bushes)</t>
  </si>
  <si>
    <t>POINT (-73.9588345546879 40.7991830272008)</t>
  </si>
  <si>
    <t>4C-PM-1010-02</t>
  </si>
  <si>
    <t>POINT (-73.97720701222511 40.7694343352509)</t>
  </si>
  <si>
    <t>12F-PM-1007-06</t>
  </si>
  <si>
    <t>POINT (-73.9699876501742 40.77424826767581)</t>
  </si>
  <si>
    <t>36I-AM-1017-01</t>
  </si>
  <si>
    <t>runs from (me!)â€”from a pretty big distance</t>
  </si>
  <si>
    <t>POINT (-73.9528937660465 40.7922919074537)</t>
  </si>
  <si>
    <t>21A-AM-1019-03</t>
  </si>
  <si>
    <t>Tree &amp; ground</t>
  </si>
  <si>
    <t>POINT (-73.9698064901149 40.78425381158391)</t>
  </si>
  <si>
    <t>3D-PM-1010-11</t>
  </si>
  <si>
    <t>POINT (-73.9774630821854 40.76806266740861)</t>
  </si>
  <si>
    <t>31F-PM-1007-03</t>
  </si>
  <si>
    <t>POINT (-73.9588714413332 40.7895787115444)</t>
  </si>
  <si>
    <t>2B-PM-1013-09</t>
  </si>
  <si>
    <t>POINT (-73.9797112925048 40.7688046778472)</t>
  </si>
  <si>
    <t>21B-PM-1017-02</t>
  </si>
  <si>
    <t>stood on hind legs with front legs on the chest</t>
  </si>
  <si>
    <t>POINT (-73.9693504617353 40.7830678709405)</t>
  </si>
  <si>
    <t>29D-AM-1014-02</t>
  </si>
  <si>
    <t>POINT (-73.9627819112681 40.7886877360376)</t>
  </si>
  <si>
    <t>29C-PM-1006-01</t>
  </si>
  <si>
    <t>not too shy</t>
  </si>
  <si>
    <t>POINT (-73.96328661428412 40.78900432944361)</t>
  </si>
  <si>
    <t>29C-AM-1007-04</t>
  </si>
  <si>
    <t>POINT (-73.9637440847107 40.7891427419372)</t>
  </si>
  <si>
    <t>33I-PM-1006-03</t>
  </si>
  <si>
    <t>POINT (-73.95453837191882 40.7899711263765)</t>
  </si>
  <si>
    <t>2F-AM-1006-02</t>
  </si>
  <si>
    <t>POINT (-73.9756278240233 40.7669523701372)</t>
  </si>
  <si>
    <t>35C-PM-1013-07</t>
  </si>
  <si>
    <t>POINT (-73.9602197762862 40.7936850570022)</t>
  </si>
  <si>
    <t>5E-AM-1008-05</t>
  </si>
  <si>
    <t>POINT (-73.9743795190073 40.7692030411004)</t>
  </si>
  <si>
    <t>37G-AM-1014-01</t>
  </si>
  <si>
    <t>POINT (-73.9542332505231 40.7933475171434)</t>
  </si>
  <si>
    <t>41A-PM-1007-04</t>
  </si>
  <si>
    <t>laid down on the branch</t>
  </si>
  <si>
    <t>POINT (-73.9581389870644 40.799308112252305)</t>
  </si>
  <si>
    <t>37G-PM-1007-02</t>
  </si>
  <si>
    <t>ran under dumpster w/ nut</t>
  </si>
  <si>
    <t>POINT (-73.9544372297722 40.7942113164104)</t>
  </si>
  <si>
    <t>5H-AM-1007-01</t>
  </si>
  <si>
    <t>05H</t>
  </si>
  <si>
    <t>POINT (-73.9725669210177 40.7681496989029)</t>
  </si>
  <si>
    <t>20F-PM-1007-14</t>
  </si>
  <si>
    <t>POINT (-73.9646023053207 40.78106800440241)</t>
  </si>
  <si>
    <t>13A-PM-1014-01</t>
  </si>
  <si>
    <t>POINT (-73.9744279648953 40.7777760612191)</t>
  </si>
  <si>
    <t>37H-PM-1006-03</t>
  </si>
  <si>
    <t>POINT (-73.9533085932603 40.7934877861075)</t>
  </si>
  <si>
    <t>36A-PM-1013-03</t>
  </si>
  <si>
    <t>COULD HAVE BEEN CHIPPY, DEEP BROWN</t>
  </si>
  <si>
    <t>POINT (-73.9616972557304 40.7953872829374)</t>
  </si>
  <si>
    <t>35D-PM-1013-02</t>
  </si>
  <si>
    <t>POINT (-73.9584824361655 40.7934247634031)</t>
  </si>
  <si>
    <t>16D-PM-1010-02</t>
  </si>
  <si>
    <t>POINT (-73.969756965598 40.7786455091699)</t>
  </si>
  <si>
    <t>13H-AM-1013-01</t>
  </si>
  <si>
    <t>POINT (-73.9675268877392 40.7750409681718)</t>
  </si>
  <si>
    <t>18F-AM-1014-02</t>
  </si>
  <si>
    <t>In small tree by water</t>
  </si>
  <si>
    <t>POINT (-73.9667911565238 40.77932190109801)</t>
  </si>
  <si>
    <t>41C-AM-1017-03</t>
  </si>
  <si>
    <t>POINT (-73.9565549485301 40.7989823714955)</t>
  </si>
  <si>
    <t>35H-AM-1013-01</t>
  </si>
  <si>
    <t>Climbing up tree</t>
  </si>
  <si>
    <t>POINT (-73.9540151828782 40.7920066170587)</t>
  </si>
  <si>
    <t>17D-AM-1008-05</t>
  </si>
  <si>
    <t>POINT (-73.9696445614055 40.7791486203627)</t>
  </si>
  <si>
    <t>13E-AM-1017-01</t>
  </si>
  <si>
    <t>in middle of path</t>
  </si>
  <si>
    <t>POINT (-73.9704790263224 40.7762270645666)</t>
  </si>
  <si>
    <t>33A-PM-1018-01</t>
  </si>
  <si>
    <t>stopped to see what i would do 1st</t>
  </si>
  <si>
    <t>POINT (-73.96249054313 40.7935389038787)</t>
  </si>
  <si>
    <t>21B-AM-1019-06</t>
  </si>
  <si>
    <t>POINT (-73.9690447463294 40.78391330452901)</t>
  </si>
  <si>
    <t>11B-AM-1007-05</t>
  </si>
  <si>
    <t>POINT (-73.9743292066413 40.7756090404121)</t>
  </si>
  <si>
    <t>39G-PM-1013-01</t>
  </si>
  <si>
    <t>POINT (-73.9530257401736 40.79513974073701)</t>
  </si>
  <si>
    <t>15E-PM-1008-11</t>
  </si>
  <si>
    <t>POINT (-73.9692925815903 40.7774506065008)</t>
  </si>
  <si>
    <t>5E-PM-1012-05</t>
  </si>
  <si>
    <t>POINT (-73.9747175419546 40.7692820030878)</t>
  </si>
  <si>
    <t>5F-PM-1007-06</t>
  </si>
  <si>
    <t>jumping on fence</t>
  </si>
  <si>
    <t>POINT (-73.9738410069766 40.7691686156505)</t>
  </si>
  <si>
    <t>35C-AM-1007-02</t>
  </si>
  <si>
    <t>POINT (-73.9605362268777 40.7939470599346)</t>
  </si>
  <si>
    <t>30B-PM-1019-05</t>
  </si>
  <si>
    <t>hiding a nut</t>
  </si>
  <si>
    <t>POINT (-73.9643016116839 40.7904796216068)</t>
  </si>
  <si>
    <t>34I-PM-1010-02</t>
  </si>
  <si>
    <t>POINT (-73.9548431601579 40.7906346271566)</t>
  </si>
  <si>
    <t>10I-PM-1013-01</t>
  </si>
  <si>
    <t>POINT (-73.9681810466693 40.7720638449419)</t>
  </si>
  <si>
    <t>20G-PM-1013-02</t>
  </si>
  <si>
    <t>POINT (-73.96449741968071 40.7810020292593)</t>
  </si>
  <si>
    <t>4A-PM-1007-02</t>
  </si>
  <si>
    <t>POINT (-73.9794840520702 40.770959536980406)</t>
  </si>
  <si>
    <t>30E-AM-1008-02</t>
  </si>
  <si>
    <t>POINT (-73.9606559309874 40.7889527629826)</t>
  </si>
  <si>
    <t>2A-PM-1019-02</t>
  </si>
  <si>
    <t>POINT (-73.980897497712 40.7690578709841)</t>
  </si>
  <si>
    <t>18D-AM-1018-01</t>
  </si>
  <si>
    <t>POINT (-73.9684187207423 40.780592789876)</t>
  </si>
  <si>
    <t>9H-PM-1018-07</t>
  </si>
  <si>
    <t>POINT (-73.9693120090055 40.771096102012)</t>
  </si>
  <si>
    <t>17B-PM-1012-02</t>
  </si>
  <si>
    <t>2/3 chasing each other</t>
  </si>
  <si>
    <t>POINT (-73.9707737073771 40.7800373465838)</t>
  </si>
  <si>
    <t>6F-PM-1008-02</t>
  </si>
  <si>
    <t>POINT (-73.9730158913661 40.7701310707272)</t>
  </si>
  <si>
    <t>41E-PM-1013-04</t>
  </si>
  <si>
    <t>POINT (-73.953664715831 40.7981256393159)</t>
  </si>
  <si>
    <t>15I-PM-1012-04</t>
  </si>
  <si>
    <t>POINT (-73.9647318357023 40.7760936175332)</t>
  </si>
  <si>
    <t>20F-PM-1007-06</t>
  </si>
  <si>
    <t>POINT (-73.9651591861399 40.781183828857)</t>
  </si>
  <si>
    <t>29D-AM-1014-06</t>
  </si>
  <si>
    <t>POINT (-73.9622859117854 40.7886169186966)</t>
  </si>
  <si>
    <t>9F-PM-1014-01</t>
  </si>
  <si>
    <t>he is fed every day by a woman who calls him "chiquita"! he ran right up to her.</t>
  </si>
  <si>
    <t>POINT (-73.9719359643975 40.772699885583)</t>
  </si>
  <si>
    <t>8C-PM-1013-06</t>
  </si>
  <si>
    <t>POINT (-73.9750911996499 40.7722445210179)</t>
  </si>
  <si>
    <t>20G-PM-1013-03</t>
  </si>
  <si>
    <t>POINT (-73.9647247254127 40.7806136565784)</t>
  </si>
  <si>
    <t>13F-AM-1007-03</t>
  </si>
  <si>
    <t>POINT (-73.9699088881236 40.7752778351626)</t>
  </si>
  <si>
    <t>14F-AM-1007-04</t>
  </si>
  <si>
    <t>POINT (-73.9689051473072 40.7764511282884)</t>
  </si>
  <si>
    <t>33A-PM-1018-02</t>
  </si>
  <si>
    <t>Tree cavity [of] London Plane tree</t>
  </si>
  <si>
    <t>hanging out,watching world</t>
  </si>
  <si>
    <t>POINT (-73.9631464693769 40.793415656751)</t>
  </si>
  <si>
    <t>36C-PM-1013-02</t>
  </si>
  <si>
    <t>POINT (-73.95918804001322 40.7950071252836)</t>
  </si>
  <si>
    <t>35G-AM-1007-02</t>
  </si>
  <si>
    <t>POINT (-73.9558370309765 40.7921977208472)</t>
  </si>
  <si>
    <t>38D-PM-1006-02</t>
  </si>
  <si>
    <t>POINT (-73.957138759793 40.7955926035055)</t>
  </si>
  <si>
    <t>7A-PM-1007-01</t>
  </si>
  <si>
    <t>POINT (-73.9772420734509 40.7730025191407)</t>
  </si>
  <si>
    <t>4E-PM-1008-01</t>
  </si>
  <si>
    <t>POINT (-73.9753291616796 40.7687376032936)</t>
  </si>
  <si>
    <t>4C-PM-1010-01</t>
  </si>
  <si>
    <t>POINT (-73.9770920860805 40.7694698040083)</t>
  </si>
  <si>
    <t>38C-AM-1019-09</t>
  </si>
  <si>
    <t>Gray &amp; White selected as Primary &amp; Highlights. Made executive adjustments.</t>
  </si>
  <si>
    <t>Between ground &amp; tree</t>
  </si>
  <si>
    <t>POINT (-73.9586570546871 40.796349417475)</t>
  </si>
  <si>
    <t>37D-AM-1018-02</t>
  </si>
  <si>
    <t>POINT (-73.9579689996645 40.7949338489917)</t>
  </si>
  <si>
    <t>33B-AM-1010-03</t>
  </si>
  <si>
    <t>POINT (-73.9612759291399 40.7930468323219)</t>
  </si>
  <si>
    <t>22B-PM-1014-01</t>
  </si>
  <si>
    <t>POINT (-73.96866350179661 40.7843176732828)</t>
  </si>
  <si>
    <t>6G-AM-1008-03</t>
  </si>
  <si>
    <t>POINT (-73.972154069981 40.7690128009722)</t>
  </si>
  <si>
    <t>10D-PM-1008-01</t>
  </si>
  <si>
    <t>POINT (-73.9729979174723 40.7742904356698)</t>
  </si>
  <si>
    <t>6A-AM-1006-01</t>
  </si>
  <si>
    <t>POINT (-73.9784144867639 40.7718177667511)</t>
  </si>
  <si>
    <t>13B-PM-1008-02</t>
  </si>
  <si>
    <t>POINT (-73.9739249209875 40.7768528386853)</t>
  </si>
  <si>
    <t>40G-PM-1013-03</t>
  </si>
  <si>
    <t>POINT (-73.9530791622513 40.7959885603967)</t>
  </si>
  <si>
    <t>40B-AM-1019-07</t>
  </si>
  <si>
    <t>POINT (-73.958247706428 40.7989079136796)</t>
  </si>
  <si>
    <t>41B-PM-1014-03</t>
  </si>
  <si>
    <t>POINT (-73.9573692542155 40.7989252908321)</t>
  </si>
  <si>
    <t>40C-AM-1017-03</t>
  </si>
  <si>
    <t>chasing (#4),digging</t>
  </si>
  <si>
    <t>POINT (-73.957138794884 40.7985389822719)</t>
  </si>
  <si>
    <t>32A-AM-1018-02</t>
  </si>
  <si>
    <t>POINT (-73.9631646754647 40.7925716810884)</t>
  </si>
  <si>
    <t>5B-AM-1008-02</t>
  </si>
  <si>
    <t>POINT (-73.9774584305147 40.7708133986192)</t>
  </si>
  <si>
    <t>15I-PM-1012-06</t>
  </si>
  <si>
    <t>POINT (-73.965059909327 40.7762131886797)</t>
  </si>
  <si>
    <t>36C-AM-1014-03</t>
  </si>
  <si>
    <t>POINT (-73.9586085843149 40.7946617684536)</t>
  </si>
  <si>
    <t>33I-AM-1008-04</t>
  </si>
  <si>
    <t>POINT (-73.9546367558712 40.789840987798)</t>
  </si>
  <si>
    <t>25I-PM-1007-05</t>
  </si>
  <si>
    <t>POINT (-73.9598463837775 40.7834524724254)</t>
  </si>
  <si>
    <t>31E-PM-1006-05</t>
  </si>
  <si>
    <t>POINT (-73.9603366992925 40.789961288953904)</t>
  </si>
  <si>
    <t>4C-PM-1010-10</t>
  </si>
  <si>
    <t>POINT (-73.977641787698 40.7695830265784)</t>
  </si>
  <si>
    <t>14D-PM-1019-01</t>
  </si>
  <si>
    <t>POINT (-73.9714637683084 40.7768984561563)</t>
  </si>
  <si>
    <t>32E-AM-1007-06</t>
  </si>
  <si>
    <t>POINT (-73.9595686513629 40.7906859748696)</t>
  </si>
  <si>
    <t>34H-PM-1006-07</t>
  </si>
  <si>
    <t>POINT (-73.9549860947234 40.7911550328309)</t>
  </si>
  <si>
    <t>31F-PM-1007-05</t>
  </si>
  <si>
    <t>POINT (-73.9591070579246 40.7896776771157)</t>
  </si>
  <si>
    <t>39H-AM-1007-04</t>
  </si>
  <si>
    <t>POINT (-73.9521655419974 40.7948785497717)</t>
  </si>
  <si>
    <t>32F-AM-1012-05</t>
  </si>
  <si>
    <t>POINT (-73.9581706950566 40.7906321397269)</t>
  </si>
  <si>
    <t>30B-AM-1007-01</t>
  </si>
  <si>
    <t>POINT (-73.9640526358598 40.7907411574825)</t>
  </si>
  <si>
    <t>9F-AM-1013-02</t>
  </si>
  <si>
    <t>POINT (-73.9719879697272 40.7725625124591)</t>
  </si>
  <si>
    <t>31B-AM-1017-02</t>
  </si>
  <si>
    <t>POINT (-73.9635838951472 40.7917524619792)</t>
  </si>
  <si>
    <t>6D-AM-1008-01</t>
  </si>
  <si>
    <t>POINT (-73.9755259087781 40.7707256124181)</t>
  </si>
  <si>
    <t>14E-AM-1008-03</t>
  </si>
  <si>
    <t>POINT (-73.9695641121727 40.7769562886685)</t>
  </si>
  <si>
    <t>11H-AM-1010-06</t>
  </si>
  <si>
    <t>POINT (-73.9684834138222 40.7724289120211)</t>
  </si>
  <si>
    <t>37I-PM-1006-01</t>
  </si>
  <si>
    <t>Gray, Black</t>
  </si>
  <si>
    <t>Cinnamon+Gray, Black</t>
  </si>
  <si>
    <t>POINT (-73.9524364087437 40.792846505434)</t>
  </si>
  <si>
    <t>29B-PM-1010-01</t>
  </si>
  <si>
    <t>climbing trees</t>
  </si>
  <si>
    <t>scratching self</t>
  </si>
  <si>
    <t>POINT (-73.9639505810228 40.789573183584)</t>
  </si>
  <si>
    <t>17F-PM-1020-06</t>
  </si>
  <si>
    <t>POINT (-73.96738215574692 40.7786375267659)</t>
  </si>
  <si>
    <t>35C-PM-1013-04</t>
  </si>
  <si>
    <t>POINT (-73.9603245806655 40.7942712477697)</t>
  </si>
  <si>
    <t>35D-PM-1013-05</t>
  </si>
  <si>
    <t>POINT (-73.9587464852561 40.793496354083)</t>
  </si>
  <si>
    <t>8I-PM-1013-07</t>
  </si>
  <si>
    <t>POINT (-73.9695348385828 40.7703657361802)</t>
  </si>
  <si>
    <t>2C-PM-1013-04</t>
  </si>
  <si>
    <t>POINT (-73.9786474809514 40.7679715341109)</t>
  </si>
  <si>
    <t>31H-PM-1008-03</t>
  </si>
  <si>
    <t>no clue, way up a tree!</t>
  </si>
  <si>
    <t>throwing down acorns</t>
  </si>
  <si>
    <t>POINT (-73.9574365550758 40.7886924675052)</t>
  </si>
  <si>
    <t>40A-PM-1014-01</t>
  </si>
  <si>
    <t>stared &amp; then went back up treeâ€”then ran to different tree</t>
  </si>
  <si>
    <t>POINT (-73.9589492240754 40.798901118974)</t>
  </si>
  <si>
    <t>7B-AM-1008-14</t>
  </si>
  <si>
    <t>POINT (-73.9775067398903 40.7726566142401)</t>
  </si>
  <si>
    <t>18C-PM-1018-04</t>
  </si>
  <si>
    <t>POINT (-73.9697924026634 40.7803611152023)</t>
  </si>
  <si>
    <t>36F-PM-1012-01</t>
  </si>
  <si>
    <t>POINT (-73.9566705412766 40.7935560645735)</t>
  </si>
  <si>
    <t>15E-PM-1008-02</t>
  </si>
  <si>
    <t>POINT (-73.9691453885964 40.7770524089712)</t>
  </si>
  <si>
    <t>40B-PM-1014-03</t>
  </si>
  <si>
    <t>POINT (-73.9582800305509 40.7989473712974)</t>
  </si>
  <si>
    <t>13D-AM-1014-11</t>
  </si>
  <si>
    <t>POINT (-73.9719583492187 40.7763434967164)</t>
  </si>
  <si>
    <t>14H-PM-1012-08</t>
  </si>
  <si>
    <t>POINT (-73.9663977261879 40.775645134229)</t>
  </si>
  <si>
    <t>6G-PM-1020-04</t>
  </si>
  <si>
    <t>POINT (-73.9722472286151 40.7699550476176)</t>
  </si>
  <si>
    <t>2E-AM-1010-06</t>
  </si>
  <si>
    <t>leaping branch to branch</t>
  </si>
  <si>
    <t>POINT (-73.9766541879006 40.7674077265375)</t>
  </si>
  <si>
    <t>22H-PM-1007-02</t>
  </si>
  <si>
    <t>low branch</t>
  </si>
  <si>
    <t>watching me scratching</t>
  </si>
  <si>
    <t>POINT (-73.9622752768962 40.7814921913101)</t>
  </si>
  <si>
    <t>22F-PM-1014-04</t>
  </si>
  <si>
    <t>POINT (-73.964449990389 40.7830023160643)</t>
  </si>
  <si>
    <t>10H-AM-1014-03</t>
  </si>
  <si>
    <t>POINT (-73.9687347731861 40.7718955594385)</t>
  </si>
  <si>
    <t>22B-PM-1014-02</t>
  </si>
  <si>
    <t>POINT (-73.9687213827744 40.7843586374648)</t>
  </si>
  <si>
    <t>4F-PM-1013-01</t>
  </si>
  <si>
    <t>POINT (-73.9749251267433 40.7679111971294)</t>
  </si>
  <si>
    <t>3B-PM-1007-09</t>
  </si>
  <si>
    <t>POINT (-73.9795454787631 40.7688026892741)</t>
  </si>
  <si>
    <t>37C-PM-1013-05</t>
  </si>
  <si>
    <t>POINT (-73.9590157104896 40.7956884493421)</t>
  </si>
  <si>
    <t>41I-AM-1018-01</t>
  </si>
  <si>
    <t>cautious,observant,runs off</t>
  </si>
  <si>
    <t>POINT (-73.9500167570283 40.7966185836685)</t>
  </si>
  <si>
    <t>16D-AM-1007-03</t>
  </si>
  <si>
    <t>ran away before I could take a good look</t>
  </si>
  <si>
    <t>POINT (-73.9699135187297 40.7782354186163)</t>
  </si>
  <si>
    <t>37I-PM-1006-02</t>
  </si>
  <si>
    <t>POINT (-73.9527184914182 40.7926785904847)</t>
  </si>
  <si>
    <t>19D-AM-1007-02</t>
  </si>
  <si>
    <t>fenced area</t>
  </si>
  <si>
    <t>POINT (-73.9683370417551 40.78135983505)</t>
  </si>
  <si>
    <t>2B-AM-1010-02</t>
  </si>
  <si>
    <t>POINT (-73.9803562137049 40.7685780990634)</t>
  </si>
  <si>
    <t>14D-AM-1014-14</t>
  </si>
  <si>
    <t>POINT (-73.9708371806429 40.7764813666684)</t>
  </si>
  <si>
    <t>20F-PM-1007-02</t>
  </si>
  <si>
    <t>white on tail</t>
  </si>
  <si>
    <t>digging one hole w/ determination</t>
  </si>
  <si>
    <t>POINT (-73.96481673340891 40.7811164976329)</t>
  </si>
  <si>
    <t>18G-AM-1014-03</t>
  </si>
  <si>
    <t>POINT (-73.9651796685091 40.7785578267586)</t>
  </si>
  <si>
    <t>2B-PM-1013-03</t>
  </si>
  <si>
    <t>POINT (-73.9800896621713 40.7684379810317)</t>
  </si>
  <si>
    <t>21F-AM-1018-03</t>
  </si>
  <si>
    <t>dead</t>
  </si>
  <si>
    <t>POINT (-73.9643223016635 40.781431908715)</t>
  </si>
  <si>
    <t>5C-AM-1006-01</t>
  </si>
  <si>
    <t>POINT (-73.9771552326199 40.7706917595308)</t>
  </si>
  <si>
    <t>42C-PM-1013-02</t>
  </si>
  <si>
    <t>POINT (-73.95641731490922 40.7991558544827)</t>
  </si>
  <si>
    <t>11F-PM-1006-01</t>
  </si>
  <si>
    <t>POINT (-73.9706414863639 40.7732754837144)</t>
  </si>
  <si>
    <t>9F-PM-1014-08</t>
  </si>
  <si>
    <t>turned to face me while eating</t>
  </si>
  <si>
    <t>POINT (-73.9721656413591 40.7722869065638)</t>
  </si>
  <si>
    <t>22G-PM-1018-02</t>
  </si>
  <si>
    <t>POINT (-73.9627661465376 40.7819356810575)</t>
  </si>
  <si>
    <t>9H-PM-1018-03</t>
  </si>
  <si>
    <t>POINT (-73.9692650850957 40.7713793846002)</t>
  </si>
  <si>
    <t>40D-AM-1013-04</t>
  </si>
  <si>
    <t>POINT (-73.9555255950648 40.7977720808005)</t>
  </si>
  <si>
    <t>34I-AM-1012-02</t>
  </si>
  <si>
    <t>Short tail</t>
  </si>
  <si>
    <t>POINT (-73.9544808708211 40.7906575852286)</t>
  </si>
  <si>
    <t>11B-PM-1014-06</t>
  </si>
  <si>
    <t>POINT (-73.9746493441414 40.7750478734868)</t>
  </si>
  <si>
    <t>14D-PM-1019-05</t>
  </si>
  <si>
    <t>POINT (-73.9711810222421 40.7773445611969)</t>
  </si>
  <si>
    <t>12D-PM-1014-01</t>
  </si>
  <si>
    <t>POINT (-73.9726381234747 40.7752694815985)</t>
  </si>
  <si>
    <t>1A-PM-1014-03</t>
  </si>
  <si>
    <t>POINT (-73.9806928007664 40.768255422025)</t>
  </si>
  <si>
    <t>33E-AM-1014-08</t>
  </si>
  <si>
    <t>POINT (-73.9589600626433 40.7913690265064)</t>
  </si>
  <si>
    <t>32F-AM-1012-07</t>
  </si>
  <si>
    <t>POINT (-73.9579659543224 40.7905646887034)</t>
  </si>
  <si>
    <t>15G-AM-1008-01</t>
  </si>
  <si>
    <t>POINT (-73.9669017345324 40.7766928987073)</t>
  </si>
  <si>
    <t>13D-AM-1014-04</t>
  </si>
  <si>
    <t>POINT (-73.9710026704697 40.7761052764621)</t>
  </si>
  <si>
    <t>38D-PM-1006-04</t>
  </si>
  <si>
    <t>near drive -runners -cyclists</t>
  </si>
  <si>
    <t>POINT (-73.95757980040841 40.795701403549)</t>
  </si>
  <si>
    <t>31D-AM-1014-05</t>
  </si>
  <si>
    <t>POINT (-73.9608834102446 40.790624710005)</t>
  </si>
  <si>
    <t>33B-PM-1010-04</t>
  </si>
  <si>
    <t>POINT (-73.9618173092433 40.7925800181543)</t>
  </si>
  <si>
    <t>40F-PM-1006-03</t>
  </si>
  <si>
    <t>40F</t>
  </si>
  <si>
    <t>POINT (-73.9544763281886 40.7969645476349)</t>
  </si>
  <si>
    <t>21A-AM-1019-05</t>
  </si>
  <si>
    <t>POINT (-73.970260899173 40.783651724865)</t>
  </si>
  <si>
    <t>9A-AM-1013-03</t>
  </si>
  <si>
    <t>POINT (-73.9768411547701 40.7741377018895)</t>
  </si>
  <si>
    <t>1D-AM-1006-07</t>
  </si>
  <si>
    <t>POINT (-73.9784610031588 40.7668839966177)</t>
  </si>
  <si>
    <t>3G-PM-1013-02</t>
  </si>
  <si>
    <t>wandering,interacting with tourists</t>
  </si>
  <si>
    <t>approaches (father - son taking photos,talking about giving him planters peanuts)</t>
  </si>
  <si>
    <t>POINT (-73.9735587560787 40.7672346255151)</t>
  </si>
  <si>
    <t>42E-PM-1012-03</t>
  </si>
  <si>
    <t>POINT (-73.9538377039825 40.7980605334961)</t>
  </si>
  <si>
    <t>3H-PM-1014-01</t>
  </si>
  <si>
    <t>under a parked car</t>
  </si>
  <si>
    <t>POINT (-73.9725700261894 40.7668793330427)</t>
  </si>
  <si>
    <t>17G-PM-1017-03</t>
  </si>
  <si>
    <t>POINT (-73.9667694439895 40.7779501809095)</t>
  </si>
  <si>
    <t>35A-PM-1013-02</t>
  </si>
  <si>
    <t>POINT (-73.9618709589382 40.7944969066792)</t>
  </si>
  <si>
    <t>28A-AM-1014-01</t>
  </si>
  <si>
    <t>POINT (-73.9661108248377 40.7891945123815)</t>
  </si>
  <si>
    <t>24A-PM-1007-05</t>
  </si>
  <si>
    <t>POINT (-73.9676246014119 40.786355136088)</t>
  </si>
  <si>
    <t>18I-PM-1007-06</t>
  </si>
  <si>
    <t>POINT (-73.9636234953334 40.7775138547689)</t>
  </si>
  <si>
    <t>17B-AM-1010-03</t>
  </si>
  <si>
    <t>POINT (-73.9712636931964 40.77998098773)</t>
  </si>
  <si>
    <t>42C-PM-1013-03</t>
  </si>
  <si>
    <t>Crossing street</t>
  </si>
  <si>
    <t>POINT (-73.9562733511031 40.7993142101839)</t>
  </si>
  <si>
    <t>15D-PM-1017-05</t>
  </si>
  <si>
    <t>POINT (-73.9706041173545 40.7780152784804)</t>
  </si>
  <si>
    <t>30B-PM-1019-06</t>
  </si>
  <si>
    <t>POINT (-73.9643025171914 40.790570391517)</t>
  </si>
  <si>
    <t>34I-PM-1010-07</t>
  </si>
  <si>
    <t>POINT (-73.954530253849 40.7910247489879)</t>
  </si>
  <si>
    <t>17F-AM-1007-06</t>
  </si>
  <si>
    <t>POINT (-73.9675718059539 40.7786049141486)</t>
  </si>
  <si>
    <t>19B-PM-1018-03</t>
  </si>
  <si>
    <t>POINT (-73.9696802053043 40.7816057406125)</t>
  </si>
  <si>
    <t>10G-PM-1017-03</t>
  </si>
  <si>
    <t>POINT (-73.9702382274798 40.7721754848905)</t>
  </si>
  <si>
    <t>36F-AM-1017-05</t>
  </si>
  <si>
    <t>staying very still to avoid two very curious dogs on the ground</t>
  </si>
  <si>
    <t>petrified,frozen (tail over its back,frozen)</t>
  </si>
  <si>
    <t>POINT (-73.9567255763265 40.7936331899263)</t>
  </si>
  <si>
    <t>20B-PM-1013-07</t>
  </si>
  <si>
    <t>POINT (-73.9690551477139 40.7823685663196)</t>
  </si>
  <si>
    <t>38I-PM-1014-02</t>
  </si>
  <si>
    <t>hanging out w/ Squirrel #1</t>
  </si>
  <si>
    <t>scampering w/ squirrel #1</t>
  </si>
  <si>
    <t>POINT (-73.9525627119429 40.7938602867464)</t>
  </si>
  <si>
    <t>30I-PM-1006-05</t>
  </si>
  <si>
    <t>POINT (-73.956502663005 40.788160908881)</t>
  </si>
  <si>
    <t>30A-PM-1020-01</t>
  </si>
  <si>
    <t>POINT (-73.9651155880346 40.790694632578)</t>
  </si>
  <si>
    <t>42E-PM-1012-01</t>
  </si>
  <si>
    <t>POINT (-73.9535980341677 40.7981186822179)</t>
  </si>
  <si>
    <t>35F-PM-1012-03</t>
  </si>
  <si>
    <t>POINT (-73.9569759970802 40.79314974522941)</t>
  </si>
  <si>
    <t>16F-AM-1008-03</t>
  </si>
  <si>
    <t>road</t>
  </si>
  <si>
    <t>POINT (-73.9676112864286 40.7772792086081)</t>
  </si>
  <si>
    <t>8I-PM-1013-04</t>
  </si>
  <si>
    <t>POINT (-73.9698231469857 40.7702048311133)</t>
  </si>
  <si>
    <t>38A-PM-1013-02</t>
  </si>
  <si>
    <t>POINT (-73.9597994674082 40.797298837759)</t>
  </si>
  <si>
    <t>15D-AM-1007-04</t>
  </si>
  <si>
    <t>POINT (-73.97016305393261 40.7779553961101)</t>
  </si>
  <si>
    <t>12A-AM-1008-02</t>
  </si>
  <si>
    <t>POINT (-73.9747762992858 40.7768579078578)</t>
  </si>
  <si>
    <t>16C-AM-1014-03</t>
  </si>
  <si>
    <t>POINT (-73.9708903862176 40.7787370674642)</t>
  </si>
  <si>
    <t>5C-PM-1010-02</t>
  </si>
  <si>
    <t>POINT (-73.9773486521595 40.7708454902113)</t>
  </si>
  <si>
    <t>10G-AM-1006-11</t>
  </si>
  <si>
    <t>POINT (-73.9700779726297 40.7722086251085)</t>
  </si>
  <si>
    <t>2I-PM-1006-01</t>
  </si>
  <si>
    <t>Sitting on back of bench with food hanging from mouth</t>
  </si>
  <si>
    <t>POINT (-73.9725077933574 40.7654562710325)</t>
  </si>
  <si>
    <t>23I-PM-1019-03</t>
  </si>
  <si>
    <t>POINT (-73.9610266708075 40.7817512107392)</t>
  </si>
  <si>
    <t>16E-PM-1018-08</t>
  </si>
  <si>
    <t>POINT (-73.9685612289881 40.7778488829217)</t>
  </si>
  <si>
    <t>30B-AM-1007-07</t>
  </si>
  <si>
    <t>POINT (-73.9638312025305 40.7903826659569)</t>
  </si>
  <si>
    <t>35E-PM-1006-04</t>
  </si>
  <si>
    <t>POINT (-73.957600085245 40.7936111607879)</t>
  </si>
  <si>
    <t>37B-PM-1013-03</t>
  </si>
  <si>
    <t>White back left leg</t>
  </si>
  <si>
    <t>POINT (-73.9593909381748 40.7961036981921)</t>
  </si>
  <si>
    <t>1D-AM-1006-04</t>
  </si>
  <si>
    <t>POINT (-73.9782983634755 40.7668314364263)</t>
  </si>
  <si>
    <t>35A-AM-1014-07</t>
  </si>
  <si>
    <t>POINT (-73.9622419917579 40.794579797904)</t>
  </si>
  <si>
    <t>14A-AM-1014-01</t>
  </si>
  <si>
    <t>foraging?,crossing road</t>
  </si>
  <si>
    <t>runs from (dogs)</t>
  </si>
  <si>
    <t>POINT (-73.9738723117119 40.7786845612246)</t>
  </si>
  <si>
    <t>1B-AM-1012-05</t>
  </si>
  <si>
    <t>POINT (-73.9801651470389 40.7677698656935)</t>
  </si>
  <si>
    <t>4C-PM-1010-05</t>
  </si>
  <si>
    <t>POINT (-73.9772624834791 40.7692821918543)</t>
  </si>
  <si>
    <t>14D-AM-1014-02</t>
  </si>
  <si>
    <t>POINT (-73.9702420100291 40.7772720889907)</t>
  </si>
  <si>
    <t>10C-PM-1013-03</t>
  </si>
  <si>
    <t>POINT (-73.9744488584414 40.7741627220859)</t>
  </si>
  <si>
    <t>30A-PM-1020-03</t>
  </si>
  <si>
    <t>POINT (-73.9647151303629 40.7912681060756)</t>
  </si>
  <si>
    <t>24A-PM-1007-01</t>
  </si>
  <si>
    <t>POINT (-73.96844605680602 40.785824818871)</t>
  </si>
  <si>
    <t>16H-PM-1014-02</t>
  </si>
  <si>
    <t>POINT (-73.9655206571055 40.7764851568746)</t>
  </si>
  <si>
    <t>32F-AM-1012-04</t>
  </si>
  <si>
    <t>POINT (-73.9582904814652 40.7905915749564)</t>
  </si>
  <si>
    <t>19G-PM-1017-01</t>
  </si>
  <si>
    <t>POINT (-73.9651541395415 40.7798283208748)</t>
  </si>
  <si>
    <t>17G-PM-1017-01</t>
  </si>
  <si>
    <t>POINT (-73.9658203999388 40.7775874026824)</t>
  </si>
  <si>
    <t>2B-AM-1010-01</t>
  </si>
  <si>
    <t>POINT (-73.9801562527339 40.7687267327113)</t>
  </si>
  <si>
    <t>38A-AM-1019-03</t>
  </si>
  <si>
    <t>stood on back legs</t>
  </si>
  <si>
    <t>POINT (-73.9597192455543 40.7973316178661)</t>
  </si>
  <si>
    <t>32F-PM-1008-01</t>
  </si>
  <si>
    <t>POINT (-73.958369699409 40.7902456668332)</t>
  </si>
  <si>
    <t>21G-AM-1014-01</t>
  </si>
  <si>
    <t>POINT (-73.9641584395299 40.7816571644072)</t>
  </si>
  <si>
    <t>2H-PM-1006-03</t>
  </si>
  <si>
    <t>POINT (-73.9733905460282 40.7656337147768)</t>
  </si>
  <si>
    <t>14E-PM-1017-01</t>
  </si>
  <si>
    <t>POINT (-73.9693462354257 40.7764444385452)</t>
  </si>
  <si>
    <t>14E-AM-1008-13</t>
  </si>
  <si>
    <t>POINT (-73.9692946938852 40.7767389791452)</t>
  </si>
  <si>
    <t>32E-AM-1007-09</t>
  </si>
  <si>
    <t>POINT (-73.959874668294 40.7907004233491)</t>
  </si>
  <si>
    <t>9E-PM-1014-03</t>
  </si>
  <si>
    <t>underneath a tree</t>
  </si>
  <si>
    <t>POINT (-73.9730039581521 40.7730688398468)</t>
  </si>
  <si>
    <t>17E-PM-1018-01</t>
  </si>
  <si>
    <t>POINT (-73.9687933229572 40.7788600242549)</t>
  </si>
  <si>
    <t>32D-AM-1013-02</t>
  </si>
  <si>
    <t>POINT (-73.9612623577548 40.7911558714527)</t>
  </si>
  <si>
    <t>38E-AM-1010-03</t>
  </si>
  <si>
    <t>POINT (-73.9562442622553 40.7957285542564)</t>
  </si>
  <si>
    <t>2F-PM-1014-04</t>
  </si>
  <si>
    <t>POINT (-73.9757673193743 40.766961432261304)</t>
  </si>
  <si>
    <t>15D-PM-1017-03</t>
  </si>
  <si>
    <t>POINT (-73.9701182454818 40.7772805500871)</t>
  </si>
  <si>
    <t>18C-AM-1018-01</t>
  </si>
  <si>
    <t>POINT (-73.9695572903383 40.780822981713)</t>
  </si>
  <si>
    <t>6D-PM-1020-05</t>
  </si>
  <si>
    <t>POINT (-73.9752225195115 40.7703747669865)</t>
  </si>
  <si>
    <t>16F-PM-1013-03</t>
  </si>
  <si>
    <t>POINT (-73.96747266034902 40.7772125619715)</t>
  </si>
  <si>
    <t>8D-PM-1007-04</t>
  </si>
  <si>
    <t>POINT (-73.9736164871197 40.7725695048569)</t>
  </si>
  <si>
    <t>35B-PM-1013-01</t>
  </si>
  <si>
    <t>did not notice dog sitting a few yards away (10-20 ft)</t>
  </si>
  <si>
    <t>POINT (-73.9614373639552 40.7945051962914)</t>
  </si>
  <si>
    <t>33D-AM-1017-05</t>
  </si>
  <si>
    <t>POINT (-73.9596251284566 40.7916254797561)</t>
  </si>
  <si>
    <t>3I-AM-1010-02</t>
  </si>
  <si>
    <t>POINT (-73.9721897915211 40.76604342031321)</t>
  </si>
  <si>
    <t>19G-PM-1017-02</t>
  </si>
  <si>
    <t>patting ground</t>
  </si>
  <si>
    <t>POINT (-73.9648831611629 40.7801326414973)</t>
  </si>
  <si>
    <t>1C-PM-1013-03</t>
  </si>
  <si>
    <t>POINT (-73.9791536183194 40.7672705931866)</t>
  </si>
  <si>
    <t>15E-PM-1008-10</t>
  </si>
  <si>
    <t>POINT (-73.9697471123497 40.777316338832705)</t>
  </si>
  <si>
    <t>38A-AM-1019-04</t>
  </si>
  <si>
    <t>POINT (-73.9598875541307 40.7973415580717)</t>
  </si>
  <si>
    <t>3B-PM-1007-06</t>
  </si>
  <si>
    <t>POINT (-73.9787015184662 40.7690114585688)</t>
  </si>
  <si>
    <t>33D-PM-1006-01</t>
  </si>
  <si>
    <t>hanging on fence</t>
  </si>
  <si>
    <t>POINT (-73.9598535425706 40.7915589343685)</t>
  </si>
  <si>
    <t>37B-PM-1013-01</t>
  </si>
  <si>
    <t>Sighting was far away</t>
  </si>
  <si>
    <t>POINT (-73.9596232170232 40.795955084322905)</t>
  </si>
  <si>
    <t>9B-AM-1010-06</t>
  </si>
  <si>
    <t>POINT (-73.975198284551 40.7740343763399)</t>
  </si>
  <si>
    <t>20F-PM-1007-04</t>
  </si>
  <si>
    <t>POINT (-73.9651250402583 40.7812884929069)</t>
  </si>
  <si>
    <t>33I-AM-1008-01</t>
  </si>
  <si>
    <t>edge of park @ 98th (north)</t>
  </si>
  <si>
    <t>POINT (-73.9547398684817 40.7896483795302)</t>
  </si>
  <si>
    <t>15I-PM-1012-01</t>
  </si>
  <si>
    <t>POINT (-73.9651217998407 40.7761115392738)</t>
  </si>
  <si>
    <t>6B-PM-1017-05</t>
  </si>
  <si>
    <t>POINT (-73.9767317539505 40.7717600450632)</t>
  </si>
  <si>
    <t>9I-AM-1014-03</t>
  </si>
  <si>
    <t>POINT (-73.9691845420174 40.7707749899254)</t>
  </si>
  <si>
    <t>34G-PM-1006-01</t>
  </si>
  <si>
    <t>Skinny, thin tail</t>
  </si>
  <si>
    <t>POINT (-73.9557710118271 40.7919161185557)</t>
  </si>
  <si>
    <t>17D-AM-1008-03</t>
  </si>
  <si>
    <t>POINT (-73.96971787697882 40.7791544102422)</t>
  </si>
  <si>
    <t>9I-PM-1010-05</t>
  </si>
  <si>
    <t>POINT (-73.9686925781295 40.7705688673142)</t>
  </si>
  <si>
    <t>1B-PM-1019-10</t>
  </si>
  <si>
    <t>Dog chased up tree</t>
  </si>
  <si>
    <t>POINT (-73.97971223228342 40.7678347587435)</t>
  </si>
  <si>
    <t>8A-PM-1014-03</t>
  </si>
  <si>
    <t>POINT (-73.976716425804 40.7736889979965)</t>
  </si>
  <si>
    <t>42E-PM-1012-05</t>
  </si>
  <si>
    <t>POINT (-73.9538938706987 40.7981150065974)</t>
  </si>
  <si>
    <t>21F-AM-1018-04</t>
  </si>
  <si>
    <t>POINT (-73.9650387848001 40.7814134438394)</t>
  </si>
  <si>
    <t>16H-PM-1014-05</t>
  </si>
  <si>
    <t>POINT (-73.9657171357842 40.7773277532224)</t>
  </si>
  <si>
    <t>35C-AM-1007-04</t>
  </si>
  <si>
    <t>POINT (-73.9597593485091 40.7937528403249)</t>
  </si>
  <si>
    <t>12F-AM-1020-05</t>
  </si>
  <si>
    <t>POINT (-73.9696688162449 40.7741422177187)</t>
  </si>
  <si>
    <t>2F-PM-1014-09</t>
  </si>
  <si>
    <t>POINT (-73.975028559002 40.7667307335544)</t>
  </si>
  <si>
    <t>12D-AM-1013-01</t>
  </si>
  <si>
    <t>POINT (-73.9715375915057 40.7751212088827)</t>
  </si>
  <si>
    <t>27I-PM-1020-04</t>
  </si>
  <si>
    <t>POINT (-73.9583300280173 40.7853495002675)</t>
  </si>
  <si>
    <t>19H-AM-1010-01</t>
  </si>
  <si>
    <t>run from human w/ dog</t>
  </si>
  <si>
    <t>POINT (-73.9643664403785 40.7793670703727)</t>
  </si>
  <si>
    <t>38F-AM-1018-05</t>
  </si>
  <si>
    <t>POINT (-73.955013129397 40.7954024311542)</t>
  </si>
  <si>
    <t>2B-PM-1013-07</t>
  </si>
  <si>
    <t>POINT (-73.9794371709817 40.768387910254)</t>
  </si>
  <si>
    <t>4I-PM-1007-01</t>
  </si>
  <si>
    <t>POINT (-73.9711178122133 40.76726429584371)</t>
  </si>
  <si>
    <t>4A-AM-1007-05</t>
  </si>
  <si>
    <t>POINT (-73.9799594281222 40.7701978146968)</t>
  </si>
  <si>
    <t>POINT (-73.9582363437135 40.7987752300505)</t>
  </si>
  <si>
    <t>2C-AM-1010-01</t>
  </si>
  <si>
    <t>POINT (-73.9787736280005 40.7676126748454)</t>
  </si>
  <si>
    <t>20C-PM-1018-05</t>
  </si>
  <si>
    <t>POINT (-73.9678923667678 40.781967562623606)</t>
  </si>
  <si>
    <t>16E-PM-1018-09</t>
  </si>
  <si>
    <t>On trunk</t>
  </si>
  <si>
    <t>POINT (-73.9686370726471 40.7780382348833)</t>
  </si>
  <si>
    <t>31A-AM-1010-03</t>
  </si>
  <si>
    <t>POINT (-73.9642900903774 40.7917017168842)</t>
  </si>
  <si>
    <t>37G-PM-1007-05</t>
  </si>
  <si>
    <t>jumping around!</t>
  </si>
  <si>
    <t>POINT (-73.9546123259441 40.7941434862099)</t>
  </si>
  <si>
    <t>9I-AM-1014-07</t>
  </si>
  <si>
    <t>No real highlight, White tail?</t>
  </si>
  <si>
    <t>POINT (-73.9684092812839 40.7711445841928)</t>
  </si>
  <si>
    <t>18G-PM-1013-04</t>
  </si>
  <si>
    <t>POINT (-73.9657487923637 40.7786823090663)</t>
  </si>
  <si>
    <t>33F-PM-1012-05</t>
  </si>
  <si>
    <t>POINT (-73.95832017896151 40.7913938722521)</t>
  </si>
  <si>
    <t>5E-AM-1008-10</t>
  </si>
  <si>
    <t>up a tree</t>
  </si>
  <si>
    <t>POINT (-73.9758211560957 40.7693422860766)</t>
  </si>
  <si>
    <t>40D-PM-1013-03</t>
  </si>
  <si>
    <t>POINT (-73.9557918001972 40.7979228878042)</t>
  </si>
  <si>
    <t>40D-AM-1013-07</t>
  </si>
  <si>
    <t>POINT (-73.9559663949511 40.7974497269789)</t>
  </si>
  <si>
    <t>31D-PM-1006-02</t>
  </si>
  <si>
    <t>POINT (-73.960864328605 40.7902122634639)</t>
  </si>
  <si>
    <t>11F-AM-1013-01</t>
  </si>
  <si>
    <t>POINT (-73.9702530172652 40.7736241205021)</t>
  </si>
  <si>
    <t>40C-AM-1017-01</t>
  </si>
  <si>
    <t>chasing (#2)</t>
  </si>
  <si>
    <t>POINT (-73.9573656523498 40.7979754563974)</t>
  </si>
  <si>
    <t>16F-PM-1013-01</t>
  </si>
  <si>
    <t>POINT (-73.967334936601 40.7773289724189)</t>
  </si>
  <si>
    <t>12F-PM-1007-03</t>
  </si>
  <si>
    <t>POINT (-73.9694938608335 40.7745700102115)</t>
  </si>
  <si>
    <t>13E-PM-1008-02</t>
  </si>
  <si>
    <t>POINT (-73.9707571364399 40.7758859812524)</t>
  </si>
  <si>
    <t>37E-AM-1013-03</t>
  </si>
  <si>
    <t>POINT (-73.9561103688639 40.794914085004)</t>
  </si>
  <si>
    <t>12F-PM-1007-14</t>
  </si>
  <si>
    <t>POINT (-73.9699134052609 40.774446589038)</t>
  </si>
  <si>
    <t>19E-PM-1018-03</t>
  </si>
  <si>
    <t>Baseball field #3</t>
  </si>
  <si>
    <t>POINT (-73.9676113345824 40.7803482448467)</t>
  </si>
  <si>
    <t>5D-PM-1018-07</t>
  </si>
  <si>
    <t>POINT (-73.9761776424664 40.7695941843825)</t>
  </si>
  <si>
    <t>15I-AM-1008-06</t>
  </si>
  <si>
    <t>POINT (-73.9657040391563 40.7755567428199)</t>
  </si>
  <si>
    <t>4G-AM-1006-03</t>
  </si>
  <si>
    <t>POINT (-73.9734108731087 40.7676051392697)</t>
  </si>
  <si>
    <t>33D-AM-1017-08</t>
  </si>
  <si>
    <t>POINT (-73.9593410965431 40.7923134010383)</t>
  </si>
  <si>
    <t>40C-PM-1006-07</t>
  </si>
  <si>
    <t>POINT (-73.9569318105253 40.7973442139041)</t>
  </si>
  <si>
    <t>37A-PM-1013-02</t>
  </si>
  <si>
    <t>POINT (-73.960898739757 40.7961393097144)</t>
  </si>
  <si>
    <t>42D-AM-1014-01</t>
  </si>
  <si>
    <t>POINT (-73.955352152771 40.7988549523022)</t>
  </si>
  <si>
    <t>29D-AM-1014-05</t>
  </si>
  <si>
    <t>Rocky area</t>
  </si>
  <si>
    <t>POINT (-73.9623356369432 40.7888693815168)</t>
  </si>
  <si>
    <t>22C-PM-1006-03</t>
  </si>
  <si>
    <t>POINT (-73.9672413354558 40.7838116138235)</t>
  </si>
  <si>
    <t>14D-PM-1019-08</t>
  </si>
  <si>
    <t>POINT (-73.9709738166531 40.7774102689734)</t>
  </si>
  <si>
    <t>11I-AM-1012-01</t>
  </si>
  <si>
    <t>POINT (-73.9677500862135 40.7726060987821)</t>
  </si>
  <si>
    <t>21A-AM-1019-02</t>
  </si>
  <si>
    <t>POINT (-73.9698080328304 40.7842252948542)</t>
  </si>
  <si>
    <t>13D-PM-1018-01</t>
  </si>
  <si>
    <t>POINT (-73.9717135461165 40.776178068008306)</t>
  </si>
  <si>
    <t>40D-AM-1013-05</t>
  </si>
  <si>
    <t>POINT (-73.9556039997621 40.7977549157287)</t>
  </si>
  <si>
    <t>14D-PM-1019-06</t>
  </si>
  <si>
    <t>POINT (-73.97105314852982 40.777375706944504)</t>
  </si>
  <si>
    <t>40G-PM-1013-04</t>
  </si>
  <si>
    <t>POINT (-73.9532427699097 40.7962643767092)</t>
  </si>
  <si>
    <t>25I-AM-1012-03</t>
  </si>
  <si>
    <t>on turn, see map</t>
  </si>
  <si>
    <t>POINT (-73.9594986107981 40.7840083040604)</t>
  </si>
  <si>
    <t>33D-AM-1017-06</t>
  </si>
  <si>
    <t>runs from (ran into hole in tree trunk)</t>
  </si>
  <si>
    <t>POINT (-73.9594446018346 40.7917800352042)</t>
  </si>
  <si>
    <t>6E-AM-1014-01</t>
  </si>
  <si>
    <t>POINT (-73.9748943397482 40.7703992564272)</t>
  </si>
  <si>
    <t>33C-PM-1007-02</t>
  </si>
  <si>
    <t>POINT (-73.9614972757332 40.7921404951324)</t>
  </si>
  <si>
    <t>16D-AM-1007-05</t>
  </si>
  <si>
    <t>didn't get a good look</t>
  </si>
  <si>
    <t>POINT (-73.96975832355331 40.7787320391004)</t>
  </si>
  <si>
    <t>12F-PM-1007-07</t>
  </si>
  <si>
    <t>POINT (-73.9699124811406 40.7743016981538)</t>
  </si>
  <si>
    <t>1B-AM-1012-03</t>
  </si>
  <si>
    <t>POINT (-73.97992507822771 40.7676106598889)</t>
  </si>
  <si>
    <t>2B-PM-1013-02</t>
  </si>
  <si>
    <t>POINT (-73.9801138983722 40.7685721515635)</t>
  </si>
  <si>
    <t>17B-PM-1012-03</t>
  </si>
  <si>
    <t>POINT (-73.9707487237344 40.7800822831001)</t>
  </si>
  <si>
    <t>33E-PM-1012-08</t>
  </si>
  <si>
    <t>POINT (-73.9583688637255 40.791388958496)</t>
  </si>
  <si>
    <t>15G-PM-1019-10</t>
  </si>
  <si>
    <t>on a log</t>
  </si>
  <si>
    <t>POINT (-73.9674978826751 40.776288410765)</t>
  </si>
  <si>
    <t>14A-AM-1014-02</t>
  </si>
  <si>
    <t>POINT (-73.9735195018446 40.7787147279715)</t>
  </si>
  <si>
    <t>20F-PM-1007-07</t>
  </si>
  <si>
    <t>POINT (-73.96527464775211 40.7809326848536)</t>
  </si>
  <si>
    <t>22A-AM-1008-04</t>
  </si>
  <si>
    <t>POINT (-73.9694382427984 40.7846350692923)</t>
  </si>
  <si>
    <t>5I-AM-1010-04</t>
  </si>
  <si>
    <t>POINT (-73.9709242364673 40.7684217215595)</t>
  </si>
  <si>
    <t>29C-AM-1007-01</t>
  </si>
  <si>
    <t>POINT (-73.96371674703802 40.7892160137944)</t>
  </si>
  <si>
    <t>4C-AM-1006-01</t>
  </si>
  <si>
    <t>POINT (-73.9771847728747 40.7695971164981)</t>
  </si>
  <si>
    <t>18I-PM-1007-02</t>
  </si>
  <si>
    <t>POINT (-73.9639048209454 40.7777373345558)</t>
  </si>
  <si>
    <t>1D-AM-1006-08</t>
  </si>
  <si>
    <t>POINT (-73.9784863123685 40.7669225020831)</t>
  </si>
  <si>
    <t>14I-AM-1013-01</t>
  </si>
  <si>
    <t>POINT (-73.9662310606968 40.7747758221226)</t>
  </si>
  <si>
    <t>37E-AM-1013-02</t>
  </si>
  <si>
    <t>POINT (-73.9562323455674 40.79461806563491)</t>
  </si>
  <si>
    <t>31C-PM-1010-02</t>
  </si>
  <si>
    <t>POINT (-73.9624296435843 40.791320813687)</t>
  </si>
  <si>
    <t>4A-AM-1007-04</t>
  </si>
  <si>
    <t>POINT (-73.9792814244424 40.770503194056)</t>
  </si>
  <si>
    <t>9G-AM-1007-03</t>
  </si>
  <si>
    <t>POINT (-73.97140458915972 40.7715418333976)</t>
  </si>
  <si>
    <t>29D-PM-1010-02</t>
  </si>
  <si>
    <t>POINT (-73.9620719414292 40.788637452988)</t>
  </si>
  <si>
    <t>14B-AM-1007-02</t>
  </si>
  <si>
    <t>POINT (-73.9730813162152 40.7779315720879)</t>
  </si>
  <si>
    <t>36G-PM-1012-02</t>
  </si>
  <si>
    <t>POINT (-73.9545427611477 40.7930353817441)</t>
  </si>
  <si>
    <t>39D-PM-1012-04</t>
  </si>
  <si>
    <t>on tree trunk (descending from height of ~10 ft)</t>
  </si>
  <si>
    <t>POINT (-73.95662777215811 40.7966674587803)</t>
  </si>
  <si>
    <t>3E-AM-1006-08</t>
  </si>
  <si>
    <t>POINT (-73.9754709117681 40.7681421869407)</t>
  </si>
  <si>
    <t>3H-PM-1014-03</t>
  </si>
  <si>
    <t>POINT (-73.9734741818047 40.766328451425)</t>
  </si>
  <si>
    <t>POINT (-73.9748522796455 40.7719586621003)</t>
  </si>
  <si>
    <t>32E-AM-1007-11</t>
  </si>
  <si>
    <t>POINT (-73.9597845469964 40.7906179303448)</t>
  </si>
  <si>
    <t>14D-PM-1019-13</t>
  </si>
  <si>
    <t>POINT (-73.9708225719705 40.7772497804149)</t>
  </si>
  <si>
    <t>41E-AM-1007-03</t>
  </si>
  <si>
    <t>POINT (-73.9536198726174 40.7980135102228)</t>
  </si>
  <si>
    <t>21D-AM-1008-06</t>
  </si>
  <si>
    <t>POINT (-73.9668922014699 40.7823535653774)</t>
  </si>
  <si>
    <t>16D-PM-1010-05</t>
  </si>
  <si>
    <t>POINT (-73.9697787673802 40.7781746195436)</t>
  </si>
  <si>
    <t>30H-AM-1007-03</t>
  </si>
  <si>
    <t>30H</t>
  </si>
  <si>
    <t>POINT (-73.9575258627966 40.787715550749)</t>
  </si>
  <si>
    <t>40D-AM-1013-06</t>
  </si>
  <si>
    <t>POINT (-73.9565824187667 40.797312050952)</t>
  </si>
  <si>
    <t>37D-PM-1014-02</t>
  </si>
  <si>
    <t>POINT (-73.95799670473181 40.7948682042252)</t>
  </si>
  <si>
    <t>42H-PM-1014-01</t>
  </si>
  <si>
    <t>POINT (-73.9509628195532 40.7977775674178)</t>
  </si>
  <si>
    <t>3D-AM-1006-05</t>
  </si>
  <si>
    <t>runs from (chased by boy),wary of humans in playground</t>
  </si>
  <si>
    <t>POINT (-73.9774228454023 40.7686399839016)</t>
  </si>
  <si>
    <t>12E-AM-1017-04</t>
  </si>
  <si>
    <t>POINT (-73.9711607544742 40.774988247642)</t>
  </si>
  <si>
    <t>38E-AM-1010-06</t>
  </si>
  <si>
    <t>chasing and being chased by #7</t>
  </si>
  <si>
    <t>POINT (-73.95595201371721 40.7950536287174)</t>
  </si>
  <si>
    <t>6C-AM-1007-04</t>
  </si>
  <si>
    <t>POINT (-73.9766477027266 40.7712737417779)</t>
  </si>
  <si>
    <t>2C-PM-1013-02</t>
  </si>
  <si>
    <t>POINT (-73.9785709201168 40.7674391934208)</t>
  </si>
  <si>
    <t>33E-PM-1012-03</t>
  </si>
  <si>
    <t>POINT (-73.9589016385889 40.7911727679625)</t>
  </si>
  <si>
    <t>38C-PM-1014-01</t>
  </si>
  <si>
    <t>POINT (-73.9587678566254 40.7962656030995)</t>
  </si>
  <si>
    <t>35I-AM-1013-01</t>
  </si>
  <si>
    <t>White underbelly</t>
  </si>
  <si>
    <t>POINT (-73.9537703231359 40.7915959393814)</t>
  </si>
  <si>
    <t>8E-PM-1008-03</t>
  </si>
  <si>
    <t>in between 2 trees</t>
  </si>
  <si>
    <t>also being lured by mom &amp; baby w/ food</t>
  </si>
  <si>
    <t>POINT (-73.973394428186 40.7722933513053)</t>
  </si>
  <si>
    <t>10F-PM-1019-03</t>
  </si>
  <si>
    <t>eating (nuts)</t>
  </si>
  <si>
    <t>approaches (bad tourists w/ nuts)</t>
  </si>
  <si>
    <t>POINT (-73.9709991016317 40.772575670774806)</t>
  </si>
  <si>
    <t>21F-AM-1018-08</t>
  </si>
  <si>
    <t>POINT (-73.9642967875857 40.7815652353937)</t>
  </si>
  <si>
    <t>7G-AM-1010-03</t>
  </si>
  <si>
    <t>POINT (-73.9720050204318 40.7699419094168)</t>
  </si>
  <si>
    <t>37G-PM-1007-08</t>
  </si>
  <si>
    <t>POINT (-73.95431338448 40.7940537582585)</t>
  </si>
  <si>
    <t>33I-AM-1008-02</t>
  </si>
  <si>
    <t>edge of park @ 98th</t>
  </si>
  <si>
    <t>POINT (-73.9547785081171 40.789612183711)</t>
  </si>
  <si>
    <t>9B-AM-1010-03</t>
  </si>
  <si>
    <t>POINT (-73.975565603566 40.7738462518304)</t>
  </si>
  <si>
    <t>1D-PM-1007-05</t>
  </si>
  <si>
    <t>POINT (-73.9784685928652 40.7669924015341)</t>
  </si>
  <si>
    <t>31D-AM-1014-07</t>
  </si>
  <si>
    <t>Crossing path to tree</t>
  </si>
  <si>
    <t>POINT (-73.9609692861012 40.790502891247)</t>
  </si>
  <si>
    <t>32I-AM-1013-03</t>
  </si>
  <si>
    <t>POINT (-73.9556177490335 40.7888569161537)</t>
  </si>
  <si>
    <t>36E-AM-1013-02</t>
  </si>
  <si>
    <t>POINT (-73.9569375355884 40.7935398008612)</t>
  </si>
  <si>
    <t>5B-AM-1008-04</t>
  </si>
  <si>
    <t>POINT (-73.9773520582734 40.7708198505781)</t>
  </si>
  <si>
    <t>19A-PM-1013-04</t>
  </si>
  <si>
    <t>Also looks quite brown - minimal body highlight coloring - black edges</t>
  </si>
  <si>
    <t>POINT (-73.9705260103239 40.78263336865991)</t>
  </si>
  <si>
    <t>3I-PM-1013-08</t>
  </si>
  <si>
    <t>POINT (-73.9716402454355 40.7665133780672)</t>
  </si>
  <si>
    <t>7F-AM-1008-07</t>
  </si>
  <si>
    <t>next to the hole of #6</t>
  </si>
  <si>
    <t>POINT (-73.9727926335397 40.77037055775)</t>
  </si>
  <si>
    <t>34D-AM-1008-03</t>
  </si>
  <si>
    <t>POINT (-73.9590191655172 40.7926139425111)</t>
  </si>
  <si>
    <t>14E-AM-1008-15</t>
  </si>
  <si>
    <t>POINT (-73.9695518341907 40.7762145993937)</t>
  </si>
  <si>
    <t>8H-PM-1014-04</t>
  </si>
  <si>
    <t>POINT (-73.97037326492571 40.7701979377103)</t>
  </si>
  <si>
    <t>21D-AM-1008-04</t>
  </si>
  <si>
    <t>POINT (-73.9673949458096 40.78262185394961)</t>
  </si>
  <si>
    <t>POINT (-73.9569670900695 40.794879285681304)</t>
  </si>
  <si>
    <t>20D-AM-1007-02</t>
  </si>
  <si>
    <t>quieter</t>
  </si>
  <si>
    <t>POINT (-73.9671534029191 40.7810849804467)</t>
  </si>
  <si>
    <t>7I-PM-1013-06</t>
  </si>
  <si>
    <t>playing,interacting with #7</t>
  </si>
  <si>
    <t>POINT (-73.9698044218476 40.7697007833531)</t>
  </si>
  <si>
    <t>34B-AM-1013-01</t>
  </si>
  <si>
    <t>POINT (-73.9614218413356 40.7938945058793)</t>
  </si>
  <si>
    <t>32C-AM-1014-06</t>
  </si>
  <si>
    <t>POINT (-73.9611985783336 40.791604823372)</t>
  </si>
  <si>
    <t>42E-PM-1012-04</t>
  </si>
  <si>
    <t>POINT (-73.95385121459 40.7981257651433)</t>
  </si>
  <si>
    <t>20G-PM-1013-01</t>
  </si>
  <si>
    <t>POINT (-73.964539031099 40.7809916310012)</t>
  </si>
  <si>
    <t>40A-PM-1014-04</t>
  </si>
  <si>
    <t>runs from (ran from path to bushes)</t>
  </si>
  <si>
    <t>POINT (-73.9586085858962 40.7990326758282)</t>
  </si>
  <si>
    <t>3D-AM-1006-02</t>
  </si>
  <si>
    <t>POINT (-73.9767143644151 40.7684756941321)</t>
  </si>
  <si>
    <t>10H-AM-1014-06</t>
  </si>
  <si>
    <t>POINT (-73.9691520826028 40.7717104037783)</t>
  </si>
  <si>
    <t>17A-PM-1013-03</t>
  </si>
  <si>
    <t>grooming! &amp; scratching</t>
  </si>
  <si>
    <t>POINT (-73.9722056538718 40.7805111762703)</t>
  </si>
  <si>
    <t>28D-PM-1019-01</t>
  </si>
  <si>
    <t>POINT (-73.9628982772673 40.7884304803386)</t>
  </si>
  <si>
    <t>16A-AM-1013-02</t>
  </si>
  <si>
    <t>POINT (-73.9730181306326 40.7794601322427)</t>
  </si>
  <si>
    <t>41B-AM-1010-04</t>
  </si>
  <si>
    <t>POINT (-73.9576325087936 40.7988448745116)</t>
  </si>
  <si>
    <t>41D-AM-1014-03</t>
  </si>
  <si>
    <t>POINT (-73.9554415665082 40.7984201416018)</t>
  </si>
  <si>
    <t>1F-PM-1019-01</t>
  </si>
  <si>
    <t>POINT (-73.9768173303165 40.7661261813557)</t>
  </si>
  <si>
    <t>38C-PM-1014-10</t>
  </si>
  <si>
    <t>climbing (down from ~10')</t>
  </si>
  <si>
    <t>POINT (-73.9577009571427 40.796126044521)</t>
  </si>
  <si>
    <t>3F-AM-1006-08</t>
  </si>
  <si>
    <t>POINT (-73.9745800592393 40.767356541975)</t>
  </si>
  <si>
    <t>38D-PM-1006-03</t>
  </si>
  <si>
    <t>POINT (-73.9565645716564 40.795903994957705)</t>
  </si>
  <si>
    <t>4E-AM-1020-03</t>
  </si>
  <si>
    <t>POINT (-73.9756894776708 40.7681638218212)</t>
  </si>
  <si>
    <t>22C-PM-1006-07</t>
  </si>
  <si>
    <t>POINT (-73.9669891940463 40.7835635162331)</t>
  </si>
  <si>
    <t>22G-PM-1018-01</t>
  </si>
  <si>
    <t>POINT (-73.9630820577441 40.7821632293136)</t>
  </si>
  <si>
    <t>38B-AM-1019-04</t>
  </si>
  <si>
    <t>POINT (-73.9590632051055 40.7963146584827)</t>
  </si>
  <si>
    <t>19F-PM-1017-02</t>
  </si>
  <si>
    <t>POINT (-73.965596981561 40.7797738845824)</t>
  </si>
  <si>
    <t>3B-AM-1010-07</t>
  </si>
  <si>
    <t>together w/ #8</t>
  </si>
  <si>
    <t>POINT (-73.9787771053108 40.76935621227501)</t>
  </si>
  <si>
    <t>9C-PM-1006-02</t>
  </si>
  <si>
    <t>POINT (-73.9755371849972 40.7733561233828)</t>
  </si>
  <si>
    <t>31E-PM-1006-09</t>
  </si>
  <si>
    <t>POINT (-73.9605554843228 40.7901473714024)</t>
  </si>
  <si>
    <t>4B-AM-1010-02</t>
  </si>
  <si>
    <t>POINT (-73.9789251806378 40.7699558513225)</t>
  </si>
  <si>
    <t>19C-PM-1018-07</t>
  </si>
  <si>
    <t>POINT (-73.968906907671 40.7816278267843)</t>
  </si>
  <si>
    <t>8C-PM-1013-01</t>
  </si>
  <si>
    <t>POINT (-73.9754333866435 40.7732390916138)</t>
  </si>
  <si>
    <t>33E-AM-1014-10</t>
  </si>
  <si>
    <t>POINT (-73.9589470461357 40.7912817646361)</t>
  </si>
  <si>
    <t>11E-PM-1012-07</t>
  </si>
  <si>
    <t>POINT (-73.9715251156965 40.774621784862)</t>
  </si>
  <si>
    <t>12H-PM-1007-05</t>
  </si>
  <si>
    <t>POINT (-73.9679833225379 40.7738547093402)</t>
  </si>
  <si>
    <t>36F-PM-1012-05</t>
  </si>
  <si>
    <t>POINT (-73.956453902485 40.7936584431012)</t>
  </si>
  <si>
    <t>14A-PM-1014-02</t>
  </si>
  <si>
    <t>POINT (-73.9736997033862 40.778497952406)</t>
  </si>
  <si>
    <t>16E-AM-1014-10</t>
  </si>
  <si>
    <t>POINT (-73.9688574856542 40.7780770207023)</t>
  </si>
  <si>
    <t>14H-PM-1012-04</t>
  </si>
  <si>
    <t>POINT (-73.966824257293 40.7753405377869)</t>
  </si>
  <si>
    <t>12E-AM-1017-01</t>
  </si>
  <si>
    <t>POINT (-73.9712863172608 40.774698758184)</t>
  </si>
  <si>
    <t>11I-PM-1012-07</t>
  </si>
  <si>
    <t>burying its food into the ground</t>
  </si>
  <si>
    <t>POINT (-73.96801718943512 40.7724644426313)</t>
  </si>
  <si>
    <t>2E-PM-1014-01</t>
  </si>
  <si>
    <t>POINT (-73.9765867029226 40.7674304266107)</t>
  </si>
  <si>
    <t>18H-AM-1018-01</t>
  </si>
  <si>
    <t>Running from one tree to the other</t>
  </si>
  <si>
    <t>POINT (-73.9646174034945 40.7781287528262)</t>
  </si>
  <si>
    <t>14H-PM-1012-06</t>
  </si>
  <si>
    <t>Gray &amp; Cinnamon selected as Primary with a note that it was "hard to tell".</t>
  </si>
  <si>
    <t>POINT (-73.9663961415789 40.7750691120996)</t>
  </si>
  <si>
    <t>3D-PM-1010-04</t>
  </si>
  <si>
    <t>POINT (-73.9767849679735 40.768566516928)</t>
  </si>
  <si>
    <t>42A-PM-1014-01</t>
  </si>
  <si>
    <t>up on hind legs looking around</t>
  </si>
  <si>
    <t>came to about 10' away then ran off</t>
  </si>
  <si>
    <t>POINT (-73.957697363244 40.7997576909042)</t>
  </si>
  <si>
    <t>8B-PM-1012-05</t>
  </si>
  <si>
    <t>POINT (-73.9767369686171 40.7735074437085)</t>
  </si>
  <si>
    <t>15G-AM-1008-02</t>
  </si>
  <si>
    <t>POINT (-73.967458693983 40.7769922522105)</t>
  </si>
  <si>
    <t>9B-AM-1010-09</t>
  </si>
  <si>
    <t>food in mouth</t>
  </si>
  <si>
    <t>POINT (-73.9756870789187 40.7733646782679)</t>
  </si>
  <si>
    <t>38C-AM-1019-02</t>
  </si>
  <si>
    <t>POINT (-73.9576897478787 40.7964695328457)</t>
  </si>
  <si>
    <t>5F-PM-1007-02</t>
  </si>
  <si>
    <t>POINT (-73.9743060404813 40.7687901781431)</t>
  </si>
  <si>
    <t>3H-AM-1008-04</t>
  </si>
  <si>
    <t>POINT (-73.9723677854798 40.7667315410871)</t>
  </si>
  <si>
    <t>9E-AM-1008-04</t>
  </si>
  <si>
    <t>POINT (-73.9728654439465 40.7724853142211)</t>
  </si>
  <si>
    <t>11E-PM-1012-06</t>
  </si>
  <si>
    <t>POINT (-73.9715921982161 40.7746153066601)</t>
  </si>
  <si>
    <t>12C-PM-1017-01</t>
  </si>
  <si>
    <t>digging/burying,drinking from lake</t>
  </si>
  <si>
    <t>POINT (-73.9737247632185 40.7759469280872)</t>
  </si>
  <si>
    <t>3H-PM-1014-04</t>
  </si>
  <si>
    <t>POINT (-73.9728360875598 40.7660637295671)</t>
  </si>
  <si>
    <t>10H-PM-1007-02</t>
  </si>
  <si>
    <t>POINT (-73.9691692160865 40.7725330502929)</t>
  </si>
  <si>
    <t>38D-AM-1017-01</t>
  </si>
  <si>
    <t>POINT (-73.9567801028221 40.7960096659564)</t>
  </si>
  <si>
    <t>23B-PM-1012-03</t>
  </si>
  <si>
    <t>POINT (-73.96786208407411 40.784719027304)</t>
  </si>
  <si>
    <t>11D-PM-1006-04</t>
  </si>
  <si>
    <t>POINT (-73.9717515173863 40.7747999274418)</t>
  </si>
  <si>
    <t>11D-AM-1010-02</t>
  </si>
  <si>
    <t>POINT (-73.9724618533895 40.7745021602455)</t>
  </si>
  <si>
    <t>8I-AM-1006-06</t>
  </si>
  <si>
    <t>POINT (-73.9694681803635 40.770585795359)</t>
  </si>
  <si>
    <t>14D-AM-1014-07</t>
  </si>
  <si>
    <t>POINT (-73.9709797467807 40.7769095710679)</t>
  </si>
  <si>
    <t>1E-PM-1007-01</t>
  </si>
  <si>
    <t>people feeding squirrel</t>
  </si>
  <si>
    <t>POINT (-73.9771924901559 40.7666722729471)</t>
  </si>
  <si>
    <t>6D-AM-1008-03</t>
  </si>
  <si>
    <t>POINT (-73.9754922970511 40.7707686392991)</t>
  </si>
  <si>
    <t>14D-PM-1019-10</t>
  </si>
  <si>
    <t>POINT (-73.9704679459444 40.7773384236212)</t>
  </si>
  <si>
    <t>40F-PM-1006-01</t>
  </si>
  <si>
    <t>POINT (-73.9531263214136 40.7965675089932)</t>
  </si>
  <si>
    <t>17F-PM-1020-02</t>
  </si>
  <si>
    <t>POINT (-73.9673490137465 40.7782728130401)</t>
  </si>
  <si>
    <t>11E-AM-1013-01</t>
  </si>
  <si>
    <t>POINT (-73.9716621112698 40.7742862219469)</t>
  </si>
  <si>
    <t>18C-PM-1018-07</t>
  </si>
  <si>
    <t>POINT (-73.9695117797648 40.780267574323304)</t>
  </si>
  <si>
    <t>7F-AM-1008-04</t>
  </si>
  <si>
    <t>POINT (-73.9730284815849 40.7702462529502)</t>
  </si>
  <si>
    <t>23C-PM-1014-04</t>
  </si>
  <si>
    <t>being chased by #3 across trees</t>
  </si>
  <si>
    <t>POINT (-73.9665363265054 40.7844967881001)</t>
  </si>
  <si>
    <t>42F-AM-1019-01</t>
  </si>
  <si>
    <t>POINT (-73.9533645762606 40.7983709215535)</t>
  </si>
  <si>
    <t>11D-AM-1010-04</t>
  </si>
  <si>
    <t>POINT (-73.9719194877439 40.7748000962909)</t>
  </si>
  <si>
    <t>1D-AM-1006-05</t>
  </si>
  <si>
    <t>POINT (-73.9786310308892 40.7669349368183)</t>
  </si>
  <si>
    <t>27B-PM-1006-01</t>
  </si>
  <si>
    <t>By large tree</t>
  </si>
  <si>
    <t>POINT (-73.965738547469 40.7886962740167)</t>
  </si>
  <si>
    <t>41C-PM-1007-03</t>
  </si>
  <si>
    <t>POINT (-73.9562177305881 40.7983413276331)</t>
  </si>
  <si>
    <t>18F-PM-1008-02</t>
  </si>
  <si>
    <t>hopping around</t>
  </si>
  <si>
    <t>POINT (-73.9663124560664 40.779544003786)</t>
  </si>
  <si>
    <t>38G-PM-1020-11</t>
  </si>
  <si>
    <t>POINT (-73.9531965469704 40.7947437983977)</t>
  </si>
  <si>
    <t>2B-PM-1013-04</t>
  </si>
  <si>
    <t>POINT (-73.980033740004 40.7683608292333)</t>
  </si>
  <si>
    <t>42C-AM-1007-01</t>
  </si>
  <si>
    <t>POINT (-73.9564777440695 40.7993068355401)</t>
  </si>
  <si>
    <t>1G-AM-1006-01</t>
  </si>
  <si>
    <t>POINT (-73.9745818450109 40.7654498873627)</t>
  </si>
  <si>
    <t>15B-PM-1017-02</t>
  </si>
  <si>
    <t>digging,chewing on treeâ€”has nut in mouth!</t>
  </si>
  <si>
    <t>POINT (-73.97273103977982 40.7787016773517)</t>
  </si>
  <si>
    <t>32A-PM-1013-04</t>
  </si>
  <si>
    <t>POINT (-73.963623175585 40.7927451068919)</t>
  </si>
  <si>
    <t>30B-AM-1007-12</t>
  </si>
  <si>
    <t>POINT (-73.96367401703081 40.79035382249771)</t>
  </si>
  <si>
    <t>17E-AM-1017-09</t>
  </si>
  <si>
    <t>POINT (-73.9675309175947 40.7788649926486)</t>
  </si>
  <si>
    <t>34C-AM-1007-02</t>
  </si>
  <si>
    <t>POINT (-73.9611355303487 40.793069353224)</t>
  </si>
  <si>
    <t>32A-PM-1013-06</t>
  </si>
  <si>
    <t>POINT (-73.9632301034883 40.7925707244111)</t>
  </si>
  <si>
    <t>2C-PM-1013-06</t>
  </si>
  <si>
    <t>cleaning face &amp; tail</t>
  </si>
  <si>
    <t>POINT (-73.9788379085607 40.7683896583055)</t>
  </si>
  <si>
    <t>15D-AM-1007-01</t>
  </si>
  <si>
    <t>POINT (-73.9700785314537 40.777714111862)</t>
  </si>
  <si>
    <t>30H-AM-1007-01</t>
  </si>
  <si>
    <t>POINT (-73.9573325001041 40.7874662104558)</t>
  </si>
  <si>
    <t>15C-AM-1010-02</t>
  </si>
  <si>
    <t>POINT (-73.9708032298419 40.77842656745441)</t>
  </si>
  <si>
    <t>7H-PM-1006-07</t>
  </si>
  <si>
    <t>playing w/ #6</t>
  </si>
  <si>
    <t>POINT (-73.9700263936574 40.7699335098581)</t>
  </si>
  <si>
    <t>9H-AM-1006-06</t>
  </si>
  <si>
    <t>POINT (-73.9690638424196 40.7713869295685)</t>
  </si>
  <si>
    <t>32E-PM-1017-02</t>
  </si>
  <si>
    <t>POINT (-73.9587183039085 40.7909209137969)</t>
  </si>
  <si>
    <t>15F-AM-1007-05</t>
  </si>
  <si>
    <t>POINT (-73.9688773306324 40.7766669852358)</t>
  </si>
  <si>
    <t>16F-PM-1013-04</t>
  </si>
  <si>
    <t>POINT (-73.9676191846985 40.777641740817)</t>
  </si>
  <si>
    <t>14G-AM-1012-04</t>
  </si>
  <si>
    <t>POINT (-73.9681671864047 40.7753770538635)</t>
  </si>
  <si>
    <t>11D-PM-1006-02</t>
  </si>
  <si>
    <t>POINT (-73.9731925179247 40.7748962746181)</t>
  </si>
  <si>
    <t>1B-AM-1012-08</t>
  </si>
  <si>
    <t>POINT (-73.9801956082236 40.767836440957)</t>
  </si>
  <si>
    <t>30H-AM-1007-02</t>
  </si>
  <si>
    <t>following #1</t>
  </si>
  <si>
    <t>POINT (-73.9573119777312 40.7875347862766)</t>
  </si>
  <si>
    <t>9A-AM-1013-01</t>
  </si>
  <si>
    <t>POINT (-73.9769520212123 40.774006725863)</t>
  </si>
  <si>
    <t>8F-PM-1012-07</t>
  </si>
  <si>
    <t>gathering</t>
  </si>
  <si>
    <t>POINT (-73.9724879969884 40.771098202397)</t>
  </si>
  <si>
    <t>35B-PM-1013-03</t>
  </si>
  <si>
    <t>threatened by approaching dog (dog #1)</t>
  </si>
  <si>
    <t>POINT (-73.96132768020492 40.7943813964442)</t>
  </si>
  <si>
    <t>38F-AM-1018-06</t>
  </si>
  <si>
    <t>hopped away</t>
  </si>
  <si>
    <t>POINT (-73.95513705862011 40.7946465469021)</t>
  </si>
  <si>
    <t>31I-PM-1019-01</t>
  </si>
  <si>
    <t>POINT (-73.9563720614251 40.7879453306251)</t>
  </si>
  <si>
    <t>32E-PM-1017-11</t>
  </si>
  <si>
    <t>POINT (-73.9594204646985 40.7905923765213)</t>
  </si>
  <si>
    <t>11F-AM-1013-03</t>
  </si>
  <si>
    <t>POINT (-73.9704328573603 40.7739347247552)</t>
  </si>
  <si>
    <t>12A-PM-1013-01</t>
  </si>
  <si>
    <t>But it was kind of dark?</t>
  </si>
  <si>
    <t>POINT (-73.9747592855901 40.7763762870413)</t>
  </si>
  <si>
    <t>15C-AM-1010-03</t>
  </si>
  <si>
    <t>POINT (-73.9711865134364 40.7785039981892)</t>
  </si>
  <si>
    <t>1F-PM-1019-02</t>
  </si>
  <si>
    <t>POINT (-73.9761375729505 40.7662231892125)</t>
  </si>
  <si>
    <t>37C-AM-1012-01</t>
  </si>
  <si>
    <t>POINT (-73.9588414980489 40.7953525481367)</t>
  </si>
  <si>
    <t>5F-PM-1007-01</t>
  </si>
  <si>
    <t>POINT (-73.9743970455533 40.7687880243986)</t>
  </si>
  <si>
    <t>11H-PM-1013-04</t>
  </si>
  <si>
    <t>POINT (-73.9686551213305 40.7728617837174)</t>
  </si>
  <si>
    <t>10F-PM-1019-09</t>
  </si>
  <si>
    <t>Across Arbor path into hill w/ bushes</t>
  </si>
  <si>
    <t>POINT (-73.9708564226824 40.7726219968014)</t>
  </si>
  <si>
    <t>3B-AM-1010-06</t>
  </si>
  <si>
    <t>POINT (-73.9787552947847 40.7690779628762)</t>
  </si>
  <si>
    <t>32H-AM-1010-01</t>
  </si>
  <si>
    <t>not sure; walking-stop-walking-stop</t>
  </si>
  <si>
    <t>did seem to observe me for a moment</t>
  </si>
  <si>
    <t>POINT (-73.9565738895972 40.7900160952624)</t>
  </si>
  <si>
    <t>1A-PM-1014-01</t>
  </si>
  <si>
    <t>POINT (-73.9808517324721 40.7683154647217)</t>
  </si>
  <si>
    <t>3A-AM-1012-01</t>
  </si>
  <si>
    <t>Gray &amp; Cinnamon selected as Primary. Cinnamon &amp; White selected as Highlights. Made executive adjustments.</t>
  </si>
  <si>
    <t>POINT (-73.9801343393329 40.7691512453402)</t>
  </si>
  <si>
    <t>23B-PM-1012-04</t>
  </si>
  <si>
    <t>watching me - didn't move</t>
  </si>
  <si>
    <t>POINT (-73.9680741975294 40.7847036778165)</t>
  </si>
  <si>
    <t>8F-PM-1012-02</t>
  </si>
  <si>
    <t>POINT (-73.9721497679014 40.7716160199386)</t>
  </si>
  <si>
    <t>41B-AM-1010-03</t>
  </si>
  <si>
    <t>POINT (-73.9578981223015 40.7989967754358)</t>
  </si>
  <si>
    <t>6F-PM-1008-03</t>
  </si>
  <si>
    <t>POINT (-73.9729190572117 40.770018150905)</t>
  </si>
  <si>
    <t>6A-PM-1012-02</t>
  </si>
  <si>
    <t>POINT (-73.9785829546046 40.7719652299132)</t>
  </si>
  <si>
    <t>3H-AM-1008-06</t>
  </si>
  <si>
    <t>beauty!</t>
  </si>
  <si>
    <t>POINT (-73.9729603550254 40.7660215710657)</t>
  </si>
  <si>
    <t>11F-PM-1006-03</t>
  </si>
  <si>
    <t>POINT (-73.9704339422613 40.7740149529644)</t>
  </si>
  <si>
    <t>10G-AM-1006-03</t>
  </si>
  <si>
    <t>tuft on butt</t>
  </si>
  <si>
    <t>POINT (-73.9704592500888 40.772962887933)</t>
  </si>
  <si>
    <t>38C-PM-1014-02</t>
  </si>
  <si>
    <t>POINT (-73.958713848373 40.7963918051751)</t>
  </si>
  <si>
    <t>27I-PM-1020-03</t>
  </si>
  <si>
    <t>begging for food; on hind legs</t>
  </si>
  <si>
    <t>POINT (-73.9583762071264 40.7852226065643)</t>
  </si>
  <si>
    <t>6B-PM-1017-02</t>
  </si>
  <si>
    <t>POINT (-73.9768268467857 40.7714608041933)</t>
  </si>
  <si>
    <t>7G-AM-1010-09</t>
  </si>
  <si>
    <t>POINT (-73.972010921173 40.7701626919216)</t>
  </si>
  <si>
    <t>1D-PM-1007-07</t>
  </si>
  <si>
    <t>lying down</t>
  </si>
  <si>
    <t>POINT (-73.9777206733344 40.7668595585487)</t>
  </si>
  <si>
    <t>4C-AM-1006-03</t>
  </si>
  <si>
    <t>POINT (-73.9777879635216 40.769359455673)</t>
  </si>
  <si>
    <t>16G-AM-1010-04</t>
  </si>
  <si>
    <t>POINT (-73.9665309689616 40.7775271020244)</t>
  </si>
  <si>
    <t>33E-PM-1012-02</t>
  </si>
  <si>
    <t>POINT (-73.9588361742943 40.791115225155)</t>
  </si>
  <si>
    <t>16G-AM-1010-01</t>
  </si>
  <si>
    <t>POINT (-73.9668964315686 40.7777577990886)</t>
  </si>
  <si>
    <t>39E-AM-1018-03</t>
  </si>
  <si>
    <t>POINT (-73.9555724351776 40.7967602498249)</t>
  </si>
  <si>
    <t>31E-PM-1006-04</t>
  </si>
  <si>
    <t>POINT (-73.9596949258862 40.7900079479217)</t>
  </si>
  <si>
    <t>16A-AM-1013-01</t>
  </si>
  <si>
    <t>POINT (-73.9725947179952 40.7794481577234)</t>
  </si>
  <si>
    <t>2F-PM-1014-06</t>
  </si>
  <si>
    <t>POINT (-73.9755192076934 40.7664413570796)</t>
  </si>
  <si>
    <t>22B-AM-1013-03</t>
  </si>
  <si>
    <t>POINT (-73.9686907918759 40.7839462261858)</t>
  </si>
  <si>
    <t>2A-PM-1019-03</t>
  </si>
  <si>
    <t>POINT (-73.9809446489564 40.7685032165879)</t>
  </si>
  <si>
    <t>32E-AM-1007-03</t>
  </si>
  <si>
    <t>POINT (-73.959701727877 40.790660026971)</t>
  </si>
  <si>
    <t>13E-AM-1017-10</t>
  </si>
  <si>
    <t>POINT (-73.9708175461804 40.7759228565501)</t>
  </si>
  <si>
    <t>19D-PM-1008-01</t>
  </si>
  <si>
    <t>POINT (-73.9683598086625 40.7811150451315)</t>
  </si>
  <si>
    <t>40A-PM-1014-03</t>
  </si>
  <si>
    <t>POINT (-73.9588689820908 40.799238413797205)</t>
  </si>
  <si>
    <t>10E-PM-1007-01</t>
  </si>
  <si>
    <t>10E</t>
  </si>
  <si>
    <t>POINT (-73.9720323148189 40.7729703459618)</t>
  </si>
  <si>
    <t>10I-AM-1010-01</t>
  </si>
  <si>
    <t>POINT (-73.9683653449966 40.7719661592206)</t>
  </si>
  <si>
    <t>31F-PM-1007-02</t>
  </si>
  <si>
    <t>tree trunk</t>
  </si>
  <si>
    <t>POINT (-73.95905514734162 40.7891607060794)</t>
  </si>
  <si>
    <t>40A-AM-1010-01</t>
  </si>
  <si>
    <t>climbing up a tree</t>
  </si>
  <si>
    <t>POINT (-73.9587787592751 40.7981699014259)</t>
  </si>
  <si>
    <t>11H-PM-1013-02</t>
  </si>
  <si>
    <t>POINT (-73.9682278905989 40.7733027508057)</t>
  </si>
  <si>
    <t>35C-AM-1007-03</t>
  </si>
  <si>
    <t>POINT (-73.9604476047877 40.7938014328732)</t>
  </si>
  <si>
    <t>16E-PM-1018-03</t>
  </si>
  <si>
    <t>POINT (-73.9683066605832 40.7781213930544)</t>
  </si>
  <si>
    <t>7E-PM-1013-01</t>
  </si>
  <si>
    <t>POINT (-73.973552877209 40.7715638228207)</t>
  </si>
  <si>
    <t>15F-AM-1007-01</t>
  </si>
  <si>
    <t>POINT (-73.9684752839242 40.7765816261518)</t>
  </si>
  <si>
    <t>5A-AM-1006-04</t>
  </si>
  <si>
    <t>POINT (-73.9791141532217 40.77148888354161)</t>
  </si>
  <si>
    <t>3B-AM-1010-02</t>
  </si>
  <si>
    <t>together w/ #3</t>
  </si>
  <si>
    <t>POINT (-73.9790203973636 40.7688837114832)</t>
  </si>
  <si>
    <t>4H-AM-1006-03</t>
  </si>
  <si>
    <t>met #4 while foraging and briefly tussled</t>
  </si>
  <si>
    <t>POINT (-73.9729297485331 40.7673278541438)</t>
  </si>
  <si>
    <t>5E-PM-1012-03</t>
  </si>
  <si>
    <t>POINT (-73.9755643404768 40.7697569149388)</t>
  </si>
  <si>
    <t>7F-AM-1008-01</t>
  </si>
  <si>
    <t>under bench</t>
  </si>
  <si>
    <t>POINT (-73.9726699686943 40.7701123791223)</t>
  </si>
  <si>
    <t>35F-PM-1012-02</t>
  </si>
  <si>
    <t>POINT (-73.9569811285656 40.793091234605)</t>
  </si>
  <si>
    <t>30C-PM-1008-01</t>
  </si>
  <si>
    <t>POINT (-73.9630054996358 40.7905225147022)</t>
  </si>
  <si>
    <t>14I-PM-1018-02</t>
  </si>
  <si>
    <t>POINT (-73.9657203199746 40.775173008911)</t>
  </si>
  <si>
    <t>10G-AM-1006-08</t>
  </si>
  <si>
    <t>POINT (-73.9706949930717 40.772362045852)</t>
  </si>
  <si>
    <t>38F-PM-1013-06</t>
  </si>
  <si>
    <t>POINT (-73.9545912098958 40.7948301813102)</t>
  </si>
  <si>
    <t>13C-AM-1010-01</t>
  </si>
  <si>
    <t>POINT (-73.972087127535 40.776237268628)</t>
  </si>
  <si>
    <t>28I-PM-1007-01</t>
  </si>
  <si>
    <t>POINT (-73.95827701417 40.7856610238891)</t>
  </si>
  <si>
    <t>32C-PM-1013-08</t>
  </si>
  <si>
    <t>POINT (-73.9619856085821 40.7919516520091)</t>
  </si>
  <si>
    <t>20B-PM-1013-01</t>
  </si>
  <si>
    <t>POINT (-73.969532160039 40.7822616641357)</t>
  </si>
  <si>
    <t>40B-PM-1014-05</t>
  </si>
  <si>
    <t>POINT (-73.9587459136391 40.7982497351812)</t>
  </si>
  <si>
    <t>17F-AM-1007-01</t>
  </si>
  <si>
    <t>POINT (-73.9673803508629 40.7785245025508)</t>
  </si>
  <si>
    <t>37D-PM-1014-03</t>
  </si>
  <si>
    <t>POINT (-73.9579865329778 40.794906535675)</t>
  </si>
  <si>
    <t>10G-PM-1017-04</t>
  </si>
  <si>
    <t>POINT (-73.9699369796844 40.7720350191273)</t>
  </si>
  <si>
    <t>23C-PM-1014-01</t>
  </si>
  <si>
    <t>POINT (-73.96670731869591 40.7840581361598)</t>
  </si>
  <si>
    <t>19E-PM-1018-02</t>
  </si>
  <si>
    <t>POINT (-73.96659048700901 40.7802469052891)</t>
  </si>
  <si>
    <t>32C-PM-1013-10</t>
  </si>
  <si>
    <t>POINT (-73.96193040894 40.792045169318)</t>
  </si>
  <si>
    <t>41G-AM-1013-01</t>
  </si>
  <si>
    <t>POINT (-73.9522704511969 40.7965668878961)</t>
  </si>
  <si>
    <t>37C-AM-1012-04</t>
  </si>
  <si>
    <t>POINT (-73.9589670987899 40.7952127039287)</t>
  </si>
  <si>
    <t>25B-PM-1007-02</t>
  </si>
  <si>
    <t>25B</t>
  </si>
  <si>
    <t>POINT (-73.9668230576555 40.7870637233327)</t>
  </si>
  <si>
    <t>33D-AM-1017-04</t>
  </si>
  <si>
    <t>POINT (-73.9599911537509 40.7914452542845)</t>
  </si>
  <si>
    <t>6D-AM-1008-04</t>
  </si>
  <si>
    <t>POINT (-73.9756273257684 40.7706539186221)</t>
  </si>
  <si>
    <t>5C-PM-1010-01</t>
  </si>
  <si>
    <t>POINT (-73.9775865217038 40.7704928300008)</t>
  </si>
  <si>
    <t>3H-AM-1008-03</t>
  </si>
  <si>
    <t>building nest</t>
  </si>
  <si>
    <t>POINT (-73.9727323797981 40.7669035463955)</t>
  </si>
  <si>
    <t>5D-AM-1020-03</t>
  </si>
  <si>
    <t>POINT (-73.9756105226696 40.7696531972655)</t>
  </si>
  <si>
    <t>37E-PM-1006-07</t>
  </si>
  <si>
    <t>POINT (-73.9565151662506 40.7946647987447)</t>
  </si>
  <si>
    <t>41B-AM-1010-08</t>
  </si>
  <si>
    <t>POINT (-73.9577297187155 40.799225295679)</t>
  </si>
  <si>
    <t>22A-AM-1008-01</t>
  </si>
  <si>
    <t>POINT (-73.9698446365683 40.7842607168578)</t>
  </si>
  <si>
    <t>33G-PM-1006-02</t>
  </si>
  <si>
    <t>my favorite</t>
  </si>
  <si>
    <t>engaged w/ me</t>
  </si>
  <si>
    <t>POINT (-73.9569896638974 40.7911914507504)</t>
  </si>
  <si>
    <t>20B-PM-1013-02</t>
  </si>
  <si>
    <t>POINT (-73.969517504176 40.7820741344297)</t>
  </si>
  <si>
    <t>13H-PM-1010-06</t>
  </si>
  <si>
    <t>POINT (-73.9679156307975 40.7745269360259)</t>
  </si>
  <si>
    <t>42F-PM-1017-01</t>
  </si>
  <si>
    <t>POINT (-73.9526681107152 40.7977012009146)</t>
  </si>
  <si>
    <t>35B-AM-1010-04</t>
  </si>
  <si>
    <t>POINT (-73.9605347462123 40.7942075448387)</t>
  </si>
  <si>
    <t>3D-AM-1006-07</t>
  </si>
  <si>
    <t>running (with food in mouth)</t>
  </si>
  <si>
    <t>POINT (-73.9768544488742 40.7680069500977)</t>
  </si>
  <si>
    <t>17H-PM-1007-01</t>
  </si>
  <si>
    <t>POINT (-73.9653343572865 40.7775286924617)</t>
  </si>
  <si>
    <t>9I-AM-1014-05</t>
  </si>
  <si>
    <t>POINT (-73.9691318044969 40.7709801974696)</t>
  </si>
  <si>
    <t>22B-PM-1014-03</t>
  </si>
  <si>
    <t>POINT (-73.9686999860219 40.7844014735136)</t>
  </si>
  <si>
    <t>38A-AM-1019-01</t>
  </si>
  <si>
    <t>POINT (-73.9599419926299 40.7972774728811)</t>
  </si>
  <si>
    <t>3F-PM-1013-02</t>
  </si>
  <si>
    <t>POINT (-73.97559232564292 40.7672967972471)</t>
  </si>
  <si>
    <t>13H-PM-1010-01</t>
  </si>
  <si>
    <t>POINT (-73.9674603784345 40.774949380316805)</t>
  </si>
  <si>
    <t>34C-AM-1007-01</t>
  </si>
  <si>
    <t>POINT (-73.9600963639087 40.7934962325313)</t>
  </si>
  <si>
    <t>31A-AM-1010-02</t>
  </si>
  <si>
    <t>POINT (-73.96388775887 40.7915477304252)</t>
  </si>
  <si>
    <t>19H-AM-1010-03</t>
  </si>
  <si>
    <t>ran from human w/ dog</t>
  </si>
  <si>
    <t>POINT (-73.964274290774 40.7795319556023)</t>
  </si>
  <si>
    <t>34D-PM-1007-03</t>
  </si>
  <si>
    <t>POINT (-73.9596820155238 40.7932886803231)</t>
  </si>
  <si>
    <t>34B-AM-1013-02</t>
  </si>
  <si>
    <t>POINT (-73.9613347295946 40.7938900965153)</t>
  </si>
  <si>
    <t>13C-AM-1010-02</t>
  </si>
  <si>
    <t>POINT (-73.9721448879766 40.7762112840981)</t>
  </si>
  <si>
    <t>7E-AM-1006-04</t>
  </si>
  <si>
    <t>POINT (-73.9736489041867 40.7712143385426)</t>
  </si>
  <si>
    <t>5I-AM-1010-03</t>
  </si>
  <si>
    <t>POINT (-73.9710843362124 40.7679739601336)</t>
  </si>
  <si>
    <t>22D-PM-1012-03</t>
  </si>
  <si>
    <t>POINT (-73.9663297144622 40.7837932023685)</t>
  </si>
  <si>
    <t>17F-AM-1007-04</t>
  </si>
  <si>
    <t>POINT (-73.9674931070324 40.7783693690954)</t>
  </si>
  <si>
    <t>15H-AM-1013-01</t>
  </si>
  <si>
    <t>POINT (-73.9657958433575 40.7763496875058)</t>
  </si>
  <si>
    <t>34I-AM-1012-03</t>
  </si>
  <si>
    <t>POINT (-73.9546780963388 40.7903216522111)</t>
  </si>
  <si>
    <t>15B-AM-1014-02</t>
  </si>
  <si>
    <t>grooming,scratching</t>
  </si>
  <si>
    <t>POINT (-73.9719068478565 40.7789062312585)</t>
  </si>
  <si>
    <t>1B-PM-1019-07</t>
  </si>
  <si>
    <t>POINT (-73.9805927710872 40.7679989116642)</t>
  </si>
  <si>
    <t>36C-PM-1013-05</t>
  </si>
  <si>
    <t>"Warm brown" written in for Primary.</t>
  </si>
  <si>
    <t>Ran across path in front of people</t>
  </si>
  <si>
    <t>POINT (-73.9596083366477 40.7949526729608)</t>
  </si>
  <si>
    <t>32C-PM-1013-09</t>
  </si>
  <si>
    <t>POINT (-73.9619786450142 40.7919876274548)</t>
  </si>
  <si>
    <t>32F-PM-1008-03</t>
  </si>
  <si>
    <t>POINT (-73.9584950620879 40.7902770710643)</t>
  </si>
  <si>
    <t>8B-AM-1007-05</t>
  </si>
  <si>
    <t>POINT (-73.9766317094163 40.7734230472026)</t>
  </si>
  <si>
    <t>25I-AM-1012-02</t>
  </si>
  <si>
    <t>POINT (-73.9595222999173 40.7833202577782)</t>
  </si>
  <si>
    <t>16A-PM-1019-02</t>
  </si>
  <si>
    <t>scared by dog</t>
  </si>
  <si>
    <t>POINT (-73.9726920847792 40.7794117463889)</t>
  </si>
  <si>
    <t>21D-AM-1008-01</t>
  </si>
  <si>
    <t>POINT (-73.9663168490265 40.7825083721362)</t>
  </si>
  <si>
    <t>8I-AM-1006-02</t>
  </si>
  <si>
    <t>POINT (-73.9693876553956 40.7707232748402)</t>
  </si>
  <si>
    <t>1A-AM-1007-03</t>
  </si>
  <si>
    <t>looking in bush</t>
  </si>
  <si>
    <t>POINT (-73.9806905259671 40.7681152210858)</t>
  </si>
  <si>
    <t>1B-AM-1012-09</t>
  </si>
  <si>
    <t>POINT (-73.9801619956135 40.7678576697542)</t>
  </si>
  <si>
    <t>40E-PM-1017-03</t>
  </si>
  <si>
    <t>POINT (-73.954767265558 40.7973243644491)</t>
  </si>
  <si>
    <t>11E-PM-1012-03</t>
  </si>
  <si>
    <t>POINT (-73.9713968424625 40.7740390188527)</t>
  </si>
  <si>
    <t>31C-AM-1017-01</t>
  </si>
  <si>
    <t>POINT (-73.9621253644004 40.7912082086879)</t>
  </si>
  <si>
    <t>7I-PM-1013-03</t>
  </si>
  <si>
    <t>Trash bins</t>
  </si>
  <si>
    <t>POINT (-73.9696274291417 40.7691980808067)</t>
  </si>
  <si>
    <t>29D-PM-1010-01</t>
  </si>
  <si>
    <t>POINT (-73.9622050752008 40.7886373772305)</t>
  </si>
  <si>
    <t>26A-AM-1014-02</t>
  </si>
  <si>
    <t>POINT (-73.9674556940019 40.7875399402461)</t>
  </si>
  <si>
    <t>22A-AM-1008-06</t>
  </si>
  <si>
    <t>POINT (-73.9690079924094 40.7845473505585)</t>
  </si>
  <si>
    <t>9I-PM-1010-02</t>
  </si>
  <si>
    <t>POINT (-73.96897038807052 40.7712025611298)</t>
  </si>
  <si>
    <t>33B-PM-1010-02</t>
  </si>
  <si>
    <t>POINT (-73.9616944195776 40.7927250423024)</t>
  </si>
  <si>
    <t>3E-AM-1006-06</t>
  </si>
  <si>
    <t>POINT (-73.9758375334287 40.7676793289765)</t>
  </si>
  <si>
    <t>3F-AM-1006-10</t>
  </si>
  <si>
    <t>clueless</t>
  </si>
  <si>
    <t>POINT (-73.974382557804 40.7674812627373)</t>
  </si>
  <si>
    <t>39E-PM-1013-02</t>
  </si>
  <si>
    <t>Gray tail &amp; butt</t>
  </si>
  <si>
    <t>POINT (-73.9550131837533 40.7958617258176)</t>
  </si>
  <si>
    <t>9B-PM-1013-06</t>
  </si>
  <si>
    <t>POINT (-73.9762974698771 40.7740076116964)</t>
  </si>
  <si>
    <t>7G-AM-1010-05</t>
  </si>
  <si>
    <t>POINT (-73.9719038949487 40.7703533492482)</t>
  </si>
  <si>
    <t>22F-PM-1014-01</t>
  </si>
  <si>
    <t>POINT (-73.964868521585 40.7821064183815)</t>
  </si>
  <si>
    <t>4A-PM-1007-01</t>
  </si>
  <si>
    <t>POINT (-73.979381450452 40.770903369788705)</t>
  </si>
  <si>
    <t>14D-PM-1019-02</t>
  </si>
  <si>
    <t>POINT (-73.9714295102249 40.776954371947)</t>
  </si>
  <si>
    <t>10C-AM-1018-02</t>
  </si>
  <si>
    <t>sitting in the sun</t>
  </si>
  <si>
    <t>POINT (-73.9748635473782 40.7742591029151)</t>
  </si>
  <si>
    <t>33F-PM-1012-02</t>
  </si>
  <si>
    <t>POINT (-73.9584561537421 40.7911211164754)</t>
  </si>
  <si>
    <t>11B-AM-1007-02</t>
  </si>
  <si>
    <t>POINT (-73.974275954985 40.7754723879307)</t>
  </si>
  <si>
    <t>6B-PM-1017-07</t>
  </si>
  <si>
    <t>POINT (-73.9767590273554 40.7717561807266)</t>
  </si>
  <si>
    <t>38D-AM-1017-04</t>
  </si>
  <si>
    <t>POINT (-73.95744422055 40.7961046528557)</t>
  </si>
  <si>
    <t>13F-PM-1008-05</t>
  </si>
  <si>
    <t>POINT (-73.9693338657183 40.77570558845381)</t>
  </si>
  <si>
    <t>16I-AM-1008-02</t>
  </si>
  <si>
    <t>POINT (-73.9649823687651 40.7763395359636)</t>
  </si>
  <si>
    <t>10F-PM-1019-01</t>
  </si>
  <si>
    <t>Behind fence, tree trunk</t>
  </si>
  <si>
    <t>POINT (-73.9710221361528 40.7724939691584)</t>
  </si>
  <si>
    <t>20F-PM-1007-03</t>
  </si>
  <si>
    <t>gray on haunches white on tail</t>
  </si>
  <si>
    <t>POINT (-73.9647219419257 40.7812084402932)</t>
  </si>
  <si>
    <t>35D-PM-1013-06</t>
  </si>
  <si>
    <t>POINT (-73.9589475065438 40.7934846881536)</t>
  </si>
  <si>
    <t>38F-PM-1013-04</t>
  </si>
  <si>
    <t>POINT (-73.9548207106339 40.7946991812402)</t>
  </si>
  <si>
    <t>5C-AM-1006-04</t>
  </si>
  <si>
    <t>thin branch of tree</t>
  </si>
  <si>
    <t>relaxing</t>
  </si>
  <si>
    <t>POINT (-73.976869549792 40.7706982454723)</t>
  </si>
  <si>
    <t>14I-PM-1018-01</t>
  </si>
  <si>
    <t>Fallen branch</t>
  </si>
  <si>
    <t>POINT (-73.9658747245917 40.7754033737532)</t>
  </si>
  <si>
    <t>33B-PM-1010-06</t>
  </si>
  <si>
    <t>POINT (-73.9619016393127 40.7925160126921)</t>
  </si>
  <si>
    <t>11B-AM-1007-03</t>
  </si>
  <si>
    <t>POINT (-73.9743877909071 40.7754706115974)</t>
  </si>
  <si>
    <t>35B-AM-1010-02</t>
  </si>
  <si>
    <t>landscaped area</t>
  </si>
  <si>
    <t>POINT (-73.9612352611518 40.7944813634744)</t>
  </si>
  <si>
    <t>19H-PM-1008-01</t>
  </si>
  <si>
    <t>POINT (-73.9646495450499 40.7791203699027)</t>
  </si>
  <si>
    <t>15G-PM-1019-06</t>
  </si>
  <si>
    <t>scratching!</t>
  </si>
  <si>
    <t>POINT (-73.9675697600155 40.7766797414463)</t>
  </si>
  <si>
    <t>21D-PM-1008-03</t>
  </si>
  <si>
    <t>POINT (-73.9676529780724 40.7823206990549)</t>
  </si>
  <si>
    <t>4A-PM-1007-06</t>
  </si>
  <si>
    <t>A rock</t>
  </si>
  <si>
    <t>POINT (-73.9800271487863 40.7702554167042)</t>
  </si>
  <si>
    <t>40D-AM-1013-01</t>
  </si>
  <si>
    <t>POINT (-73.9561076824455 40.7981145780509)</t>
  </si>
  <si>
    <t>37B-AM-1018-05</t>
  </si>
  <si>
    <t>POINT (-73.9599424115626 40.7957472585327)</t>
  </si>
  <si>
    <t>20B-PM-1013-04</t>
  </si>
  <si>
    <t>chased a bird carrying massive wad of grass</t>
  </si>
  <si>
    <t>POINT (-73.9695150319891 40.782613519363)</t>
  </si>
  <si>
    <t>1F-AM-1010-04</t>
  </si>
  <si>
    <t>POINT (-73.9766195697096 40.7661907261547)</t>
  </si>
  <si>
    <t>3G-PM-1013-03</t>
  </si>
  <si>
    <t>runs from (climbed tree to run from)</t>
  </si>
  <si>
    <t>POINT (-73.97443680386752 40.7674281958115)</t>
  </si>
  <si>
    <t>7I-PM-1013-08</t>
  </si>
  <si>
    <t>POINT (-73.9700101107283 40.7696729501144)</t>
  </si>
  <si>
    <t>16E-AM-1014-01</t>
  </si>
  <si>
    <t>burying food</t>
  </si>
  <si>
    <t>POINT (-73.9685087288072 40.7779068128051)</t>
  </si>
  <si>
    <t>5F-PM-1007-05</t>
  </si>
  <si>
    <t>POINT (-73.9735533713513 40.7690605609001)</t>
  </si>
  <si>
    <t>1B-AM-1012-01</t>
  </si>
  <si>
    <t>POINT (-73.9796985410897 40.7678612835067)</t>
  </si>
  <si>
    <t>1D-AM-1006-03</t>
  </si>
  <si>
    <t>POINT (-73.9781033448468 40.7666724066213)</t>
  </si>
  <si>
    <t>33E-AM-1014-13</t>
  </si>
  <si>
    <t>Cinnamon on the tail</t>
  </si>
  <si>
    <t>POINT (-73.959127912788 40.7921197130403)</t>
  </si>
  <si>
    <t>39C-AM-1017-03</t>
  </si>
  <si>
    <t>POINT (-73.9579097104326 40.7972273394716)</t>
  </si>
  <si>
    <t>9C-PM-1006-03</t>
  </si>
  <si>
    <t>POINT (-73.9754802138871 40.773300804412)</t>
  </si>
  <si>
    <t>18C-AM-1018-02</t>
  </si>
  <si>
    <t>POINT (-73.9691424997919 40.780542852496)</t>
  </si>
  <si>
    <t>14D-PM-1019-03</t>
  </si>
  <si>
    <t>POINT (-73.9713680837672 40.77716615083641)</t>
  </si>
  <si>
    <t>35A-AM-1014-01</t>
  </si>
  <si>
    <t>POINT (-73.9617594316752 40.7946803725236)</t>
  </si>
  <si>
    <t>16H-AM-1007-01</t>
  </si>
  <si>
    <t>POINT (-73.9660267365885 40.776444395505)</t>
  </si>
  <si>
    <t>3F-AM-1006-12</t>
  </si>
  <si>
    <t>POINT (-73.9743393747021 40.7676346798325)</t>
  </si>
  <si>
    <t>5I-AM-1010-06</t>
  </si>
  <si>
    <t>POINT (-73.9703571491616 40.7678515625131)</t>
  </si>
  <si>
    <t>3I-PM-1013-01</t>
  </si>
  <si>
    <t>POINT (-73.972248505758 40.765904369300806)</t>
  </si>
  <si>
    <t>12F-AM-1020-01</t>
  </si>
  <si>
    <t>POINT (-73.9694805745522 40.7743556902843)</t>
  </si>
  <si>
    <t>8H-PM-1014-02</t>
  </si>
  <si>
    <t>froze &amp; watched me,then went back to eating</t>
  </si>
  <si>
    <t>POINT (-73.970138810251 40.770579297644)</t>
  </si>
  <si>
    <t>6G-AM-1008-05</t>
  </si>
  <si>
    <t>POINT (-73.9724947710698 40.7696619340886)</t>
  </si>
  <si>
    <t>10E-AM-1010-01</t>
  </si>
  <si>
    <t>POINT (-73.9714744574918 40.7736266158925)</t>
  </si>
  <si>
    <t>6I-PM-1013-07</t>
  </si>
  <si>
    <t>POINT (-73.9701505245419 40.768998364571004)</t>
  </si>
  <si>
    <t>33B-AM-1010-04</t>
  </si>
  <si>
    <t>POINT (-73.9613127978423 40.7929321504568)</t>
  </si>
  <si>
    <t>30B-PM-1019-09</t>
  </si>
  <si>
    <t>POINT (-73.9639828431368 40.7910151996207)</t>
  </si>
  <si>
    <t>5I-PM-1008-02</t>
  </si>
  <si>
    <t>crossing pavement in front of arsenal</t>
  </si>
  <si>
    <t>POINT (-73.9712454251679 40.7674262749891)</t>
  </si>
  <si>
    <t>2F-PM-1014-10</t>
  </si>
  <si>
    <t>POINT (-73.9749469566854 40.7667805367199)</t>
  </si>
  <si>
    <t>30H-PM-1006-01</t>
  </si>
  <si>
    <t>POINT (-73.9572383478774 40.7876857380722)</t>
  </si>
  <si>
    <t>4E-AM-1020-04</t>
  </si>
  <si>
    <t>POINT (-73.9755459090534 40.7680866624003)</t>
  </si>
  <si>
    <t>25I-PM-1007-01</t>
  </si>
  <si>
    <t>POINT (-73.9591513028486 40.7835978067328)</t>
  </si>
  <si>
    <t>35B-PM-1013-06</t>
  </si>
  <si>
    <t>chased by dog #2</t>
  </si>
  <si>
    <t>POINT (-73.9615643742864 40.7944678447843)</t>
  </si>
  <si>
    <t>21D-AM-1008-03</t>
  </si>
  <si>
    <t>POINT (-73.9664536611195 40.7827694131949)</t>
  </si>
  <si>
    <t>9G-PM-1007-02</t>
  </si>
  <si>
    <t>POINT (-73.970996228532 40.7715540712285)</t>
  </si>
  <si>
    <t>15C-AM-1010-01</t>
  </si>
  <si>
    <t>POINT (-73.9708640291801 40.7781721063527)</t>
  </si>
  <si>
    <t>11B-AM-1007-04</t>
  </si>
  <si>
    <t>POINT (-73.9744226682925 40.7755625717273)</t>
  </si>
  <si>
    <t>21B-AM-1019-07</t>
  </si>
  <si>
    <t>POINT (-73.9690241805398 40.7837967580773)</t>
  </si>
  <si>
    <t>2D-PM-1012-01</t>
  </si>
  <si>
    <t>POINT (-73.9779039082557 40.7675313108314)</t>
  </si>
  <si>
    <t>37F-AM-1010-01</t>
  </si>
  <si>
    <t>POINT (-73.9559663734409 40.7945828261377)</t>
  </si>
  <si>
    <t>3I-AM-1010-01</t>
  </si>
  <si>
    <t>POINT (-73.9721064150173 40.7667053821991)</t>
  </si>
  <si>
    <t>20B-PM-1013-03</t>
  </si>
  <si>
    <t>POINT (-73.9695468150218 40.7821142051746)</t>
  </si>
  <si>
    <t>9F-PM-1014-07</t>
  </si>
  <si>
    <t>!!!</t>
  </si>
  <si>
    <t>POINT (-73.9719901848577 40.7720525965356)</t>
  </si>
  <si>
    <t>2A-AM-1010-03</t>
  </si>
  <si>
    <t>on trunk</t>
  </si>
  <si>
    <t>POINT (-73.9810149147578 40.7683925377714)</t>
  </si>
  <si>
    <t>4C-PM-1010-17</t>
  </si>
  <si>
    <t>climbed up tree</t>
  </si>
  <si>
    <t>POINT (-73.978199543688 40.7695660563362)</t>
  </si>
  <si>
    <t>5G-PM-1010-04</t>
  </si>
  <si>
    <t>POINT (-73.9735753352129 40.7687061447032)</t>
  </si>
  <si>
    <t>3F-AM-1006-02</t>
  </si>
  <si>
    <t>POINT (-73.9751625910271 40.7671023412885)</t>
  </si>
  <si>
    <t>37B-AM-1018-06</t>
  </si>
  <si>
    <t>POINT (-73.9597048490102 40.7955846466241)</t>
  </si>
  <si>
    <t>1F-AM-1010-02</t>
  </si>
  <si>
    <t>POINT (-73.9765386965371 40.766371971273)</t>
  </si>
  <si>
    <t>12F-PM-1007-15</t>
  </si>
  <si>
    <t>POINT (-73.9698130452581 40.7745000645436)</t>
  </si>
  <si>
    <t>8H-PM-1014-01</t>
  </si>
  <si>
    <t>POINT (-73.970795746101 40.7704727212299)</t>
  </si>
  <si>
    <t>32A-AM-1018-05</t>
  </si>
  <si>
    <t>POINT (-73.9635981227569 40.7928169540326)</t>
  </si>
  <si>
    <t>19E-PM-1018-05</t>
  </si>
  <si>
    <t>POINT (-73.9665004148497 40.7805656411756)</t>
  </si>
  <si>
    <t>3D-AM-1006-01</t>
  </si>
  <si>
    <t>digging (?)</t>
  </si>
  <si>
    <t>runs from (man led his dog into the area to chase squirrel)</t>
  </si>
  <si>
    <t>POINT (-73.9769693140651 40.7684390015166)</t>
  </si>
  <si>
    <t>3H-AM-1008-02</t>
  </si>
  <si>
    <t>POINT (-73.9727187453699 40.7669595710626)</t>
  </si>
  <si>
    <t>8A-AM-1013-01</t>
  </si>
  <si>
    <t>trail</t>
  </si>
  <si>
    <t>POINT (-73.9771726831497 40.7732320781799)</t>
  </si>
  <si>
    <t>10B-AM-1006-03</t>
  </si>
  <si>
    <t>POINT (-73.9752965316933 40.7752538575789)</t>
  </si>
  <si>
    <t>5A-PM-1010-04</t>
  </si>
  <si>
    <t>POINT (-73.9789971286844 40.7707024146365)</t>
  </si>
  <si>
    <t>38C-AM-1019-06</t>
  </si>
  <si>
    <t>POINT (-73.9581007437094 40.7959403112722)</t>
  </si>
  <si>
    <t>8I-PM-1013-03</t>
  </si>
  <si>
    <t>POINT (-73.9694166642262 40.7697788641081)</t>
  </si>
  <si>
    <t>40C-PM-1006-06</t>
  </si>
  <si>
    <t>By The Road</t>
  </si>
  <si>
    <t>POINT (-73.9568524771058 40.7974664985551)</t>
  </si>
  <si>
    <t>6A-PM-1012-06</t>
  </si>
  <si>
    <t>POINT (-73.9786351029146 40.771611416400205)</t>
  </si>
  <si>
    <t>7C-PM-1020-03</t>
  </si>
  <si>
    <t>POINT (-73.9758128509653 40.7715946097064)</t>
  </si>
  <si>
    <t>32E-PM-1017-08</t>
  </si>
  <si>
    <t>POINT (-73.9590191812452 40.7906166981409)</t>
  </si>
  <si>
    <t>32A-PM-1013-02</t>
  </si>
  <si>
    <t>POINT (-73.9638812060405 40.792371494142905)</t>
  </si>
  <si>
    <t>8I-PM-1013-08</t>
  </si>
  <si>
    <t>POINT (-73.96926766598071 40.7700678919108)</t>
  </si>
  <si>
    <t>14B-AM-1007-01</t>
  </si>
  <si>
    <t>tail straight</t>
  </si>
  <si>
    <t>POINT (-73.97297865708792 40.7778238570396)</t>
  </si>
  <si>
    <t>14D-PM-1019-14</t>
  </si>
  <si>
    <t>POINT (-73.97063044051 40.7771060594808)</t>
  </si>
  <si>
    <t>4D-AM-1012-03</t>
  </si>
  <si>
    <t>POINT (-73.976658503418 40.7686868456917)</t>
  </si>
  <si>
    <t>23A-AM-1018-03</t>
  </si>
  <si>
    <t>POINT (-73.9689893412693 40.785308737683)</t>
  </si>
  <si>
    <t>34I-AM-1012-01</t>
  </si>
  <si>
    <t>POINT (-73.9544553697736 40.7912866208106)</t>
  </si>
  <si>
    <t>1C-PM-1013-10</t>
  </si>
  <si>
    <t>POINT (-73.979636950073 40.7677999753976)</t>
  </si>
  <si>
    <t>7C-PM-1020-01</t>
  </si>
  <si>
    <t>POINT (-73.9754822938869 40.7717766893833)</t>
  </si>
  <si>
    <t>10F-AM-1007-03</t>
  </si>
  <si>
    <t>POINT (-73.9708781504528 40.7724138070355)</t>
  </si>
  <si>
    <t>32D-PM-1006-05</t>
  </si>
  <si>
    <t>POINT (-73.9605163698302 40.7914179994956)</t>
  </si>
  <si>
    <t>4G-AM-1006-01</t>
  </si>
  <si>
    <t>POINT (-73.9736896363006 40.7677630862626)</t>
  </si>
  <si>
    <t>35B-PM-1013-02</t>
  </si>
  <si>
    <t>POINT (-73.96143417385 40.7945464262112)</t>
  </si>
  <si>
    <t>19H-AM-1010-04</t>
  </si>
  <si>
    <t>runs from human w/ dog</t>
  </si>
  <si>
    <t>POINT (-73.9642988690682 40.7795591281979)</t>
  </si>
  <si>
    <t>38I-AM-1019-02</t>
  </si>
  <si>
    <t>POINT (-73.9522677657659 40.7934034811368)</t>
  </si>
  <si>
    <t>31F-AM-1013-01</t>
  </si>
  <si>
    <t>POINT (-73.9596865318094 40.7893787188526)</t>
  </si>
  <si>
    <t>7H-PM-1006-01</t>
  </si>
  <si>
    <t>middle of grass</t>
  </si>
  <si>
    <t>POINT (-73.9713379914423 40.7696367609606)</t>
  </si>
  <si>
    <t>42G-AM-1018-02</t>
  </si>
  <si>
    <t>POINT (-73.951448051873 40.7973951649254)</t>
  </si>
  <si>
    <t>12E-PM-1018-05</t>
  </si>
  <si>
    <t>POINT (-73.9711673006524 40.7747979614577)</t>
  </si>
  <si>
    <t>21G-AM-1014-04</t>
  </si>
  <si>
    <t>POINT (-73.96393252683 40.7808289765857)</t>
  </si>
  <si>
    <t>POINT (-73.9765877920583 40.7660946071574)</t>
  </si>
  <si>
    <t>5G-PM-1010-02</t>
  </si>
  <si>
    <t>POINT (-73.9734605176646 40.7686218881386)</t>
  </si>
  <si>
    <t>17E-AM-1017-02</t>
  </si>
  <si>
    <t>POINT (-73.9675917702187 40.7789922281625)</t>
  </si>
  <si>
    <t>36F-PM-1012-06</t>
  </si>
  <si>
    <t>POINT (-73.9564228238736 40.7936908887644)</t>
  </si>
  <si>
    <t>38C-PM-1014-04</t>
  </si>
  <si>
    <t>POINT (-73.95795157569 40.7961254697958)</t>
  </si>
  <si>
    <t>9D-AM-1008-04</t>
  </si>
  <si>
    <t>POINT (-73.9739737592602 40.7727130476777)</t>
  </si>
  <si>
    <t>5C-PM-1010-03</t>
  </si>
  <si>
    <t>POINT (-73.9771800098131 40.7708863131336)</t>
  </si>
  <si>
    <t>31E-AM-1014-01</t>
  </si>
  <si>
    <t>POINT (-73.9596904740342 40.7897200025671)</t>
  </si>
  <si>
    <t>11G-PM-1013-02</t>
  </si>
  <si>
    <t>Near Summerstage</t>
  </si>
  <si>
    <t>POINT (-73.9697159562944 40.7730671417653)</t>
  </si>
  <si>
    <t>31E-PM-1006-07</t>
  </si>
  <si>
    <t>POINT (-73.9604482901468 40.7898646293603)</t>
  </si>
  <si>
    <t>7H-PM-1006-10</t>
  </si>
  <si>
    <t>POINT (-73.9706308500637 40.7696174874596)</t>
  </si>
  <si>
    <t>15E-PM-1008-09</t>
  </si>
  <si>
    <t>POINT (-73.9699188544459 40.7772180370053)</t>
  </si>
  <si>
    <t>8D-PM-1007-02</t>
  </si>
  <si>
    <t>POINT (-73.9737329655838 40.7726424441344)</t>
  </si>
  <si>
    <t>7C-AM-1012-01</t>
  </si>
  <si>
    <t>hopping around grass</t>
  </si>
  <si>
    <t>POINT (-73.9766348078633 40.7717715634438)</t>
  </si>
  <si>
    <t>3D-PM-1010-13</t>
  </si>
  <si>
    <t>POINT (-73.9770439076963 40.7685720141731)</t>
  </si>
  <si>
    <t>23I-PM-1019-01</t>
  </si>
  <si>
    <t>running (across branches)</t>
  </si>
  <si>
    <t>POINT (-73.9604576237503 40.7818120101394)</t>
  </si>
  <si>
    <t>15I-AM-1008-03</t>
  </si>
  <si>
    <t>POINT (-73.965019827314 40.7759864291323)</t>
  </si>
  <si>
    <t>9I-PM-1010-03</t>
  </si>
  <si>
    <t>POINT (-73.9690080105286 40.7710230515054)</t>
  </si>
  <si>
    <t>42H-PM-1014-02</t>
  </si>
  <si>
    <t>Running along stone ledge</t>
  </si>
  <si>
    <t>POINT (-73.950827557335 40.797579073666)</t>
  </si>
  <si>
    <t>4C-PM-1010-09</t>
  </si>
  <si>
    <t>POINT (-73.9776151109912 40.7694681558386)</t>
  </si>
  <si>
    <t>16D-AM-1007-04</t>
  </si>
  <si>
    <t>POINT (-73.9695685186489 40.7788293026327)</t>
  </si>
  <si>
    <t>5C-AM-1006-06</t>
  </si>
  <si>
    <t>POINT (-73.9763836740342 40.7706121151491)</t>
  </si>
  <si>
    <t>7I-PM-1013-01</t>
  </si>
  <si>
    <t>Bench</t>
  </si>
  <si>
    <t>POINT (-73.9700264128414 40.7692014637698)</t>
  </si>
  <si>
    <t>15F-AM-1007-06</t>
  </si>
  <si>
    <t>pair with #5</t>
  </si>
  <si>
    <t>POINT (-73.968891673893 40.7767001471729)</t>
  </si>
  <si>
    <t>34C-PM-1012-01</t>
  </si>
  <si>
    <t>POINT (-73.9598973337711 40.7933346360478)</t>
  </si>
  <si>
    <t>39F-AM-1014-02</t>
  </si>
  <si>
    <t>POINT (-73.9543832609857 40.7953550639701)</t>
  </si>
  <si>
    <t>4B-AM-1010-06</t>
  </si>
  <si>
    <t>running from squirrel #5</t>
  </si>
  <si>
    <t>POINT (-73.9788304714091 40.7696373635315)</t>
  </si>
  <si>
    <t>31D-AM-1014-04</t>
  </si>
  <si>
    <t>Open ground</t>
  </si>
  <si>
    <t>POINT (-73.9615516703494 40.7905219388359)</t>
  </si>
  <si>
    <t>6D-PM-1020-06</t>
  </si>
  <si>
    <t>by carousel</t>
  </si>
  <si>
    <t>POINT (-73.9751454725998 40.770291361572006)</t>
  </si>
  <si>
    <t>14E-PM-1017-02</t>
  </si>
  <si>
    <t>POINT (-73.9693719015914 40.7768710160557)</t>
  </si>
  <si>
    <t>4C-PM-1010-13</t>
  </si>
  <si>
    <t>POINT (-73.9775445441194 40.7697096533728)</t>
  </si>
  <si>
    <t>39B-PM-1014-05</t>
  </si>
  <si>
    <t>pretended to bury a nut,stuck a leaf on top to make the spot less conspicuous.</t>
  </si>
  <si>
    <t>POINT (-73.9584967368893 40.7977320341094)</t>
  </si>
  <si>
    <t>8A-AM-1013-05</t>
  </si>
  <si>
    <t>POINT (-73.9772239251936 40.7731716665766)</t>
  </si>
  <si>
    <t>38F-AM-1018-01</t>
  </si>
  <si>
    <t>POINT (-73.954499539822 40.7949716693686)</t>
  </si>
  <si>
    <t>7F-AM-1008-13</t>
  </si>
  <si>
    <t>to tree</t>
  </si>
  <si>
    <t>ran up tree 4 feet and ate leaves</t>
  </si>
  <si>
    <t>POINT (-73.9729410488021 40.7709484964577)</t>
  </si>
  <si>
    <t>13E-AM-1017-07</t>
  </si>
  <si>
    <t>POINT (-73.9706428641753 40.7762933936464)</t>
  </si>
  <si>
    <t>35I-PM-1006-01</t>
  </si>
  <si>
    <t>POINT (-73.9538251716292 40.7919360198175)</t>
  </si>
  <si>
    <t>29C-AM-1007-05</t>
  </si>
  <si>
    <t>POINT (-73.9632993246327 40.7888199519656)</t>
  </si>
  <si>
    <t>34A-AM-1012-01</t>
  </si>
  <si>
    <t>POINT (-73.9620542514749 40.7943731722138)</t>
  </si>
  <si>
    <t>33E-AM-1014-11</t>
  </si>
  <si>
    <t>POINT (-73.958932543729 40.7913445531266)</t>
  </si>
  <si>
    <t>37G-AM-1014-04</t>
  </si>
  <si>
    <t>POINT (-73.9549261242548 40.7944701994615)</t>
  </si>
  <si>
    <t>20E-AM-1014-01</t>
  </si>
  <si>
    <t>20E</t>
  </si>
  <si>
    <t>POINT (-73.9659156108069 40.7810709818696)</t>
  </si>
  <si>
    <t>15B-PM-1017-04</t>
  </si>
  <si>
    <t>on hill</t>
  </si>
  <si>
    <t>POINT (-73.972399596842 40.7788765078432)</t>
  </si>
  <si>
    <t>38C-AM-1019-08</t>
  </si>
  <si>
    <t>POINT (-73.9582150734453 40.7962862794303)</t>
  </si>
  <si>
    <t>21B-PM-1017-05</t>
  </si>
  <si>
    <t>POINT (-73.9690212174 40.7834099404107)</t>
  </si>
  <si>
    <t>41D-PM-1014-05</t>
  </si>
  <si>
    <t>POINT (-73.9553603438021 40.7985282963244)</t>
  </si>
  <si>
    <t>16A-PM-1019-03</t>
  </si>
  <si>
    <t>POINT (-73.9726056411971 40.7793467904743)</t>
  </si>
  <si>
    <t>8I-PM-1013-06</t>
  </si>
  <si>
    <t>POINT (-73.9693841004072 40.7704148658294)</t>
  </si>
  <si>
    <t>10F-PM-1019-08</t>
  </si>
  <si>
    <t>Under "Grape Arbor" structure behind Bandshell</t>
  </si>
  <si>
    <t>POINT (-73.9708628933624 40.7725630886784)</t>
  </si>
  <si>
    <t>32C-AM-1014-02</t>
  </si>
  <si>
    <t>POINT (-73.9613429184974 40.7912158057267)</t>
  </si>
  <si>
    <t>38A-PM-1013-04</t>
  </si>
  <si>
    <t>POINT (-73.9598350385541 40.7973274000224)</t>
  </si>
  <si>
    <t>14E-AM-1008-11</t>
  </si>
  <si>
    <t>POINT (-73.969784066769 40.7766940405403)</t>
  </si>
  <si>
    <t>7C-AM-1012-03</t>
  </si>
  <si>
    <t>foraging (loving the acorns!)</t>
  </si>
  <si>
    <t>POINT (-73.97635933907321 40.7717297058549)</t>
  </si>
  <si>
    <t>5D-AM-1020-04</t>
  </si>
  <si>
    <t>White selected as Primary. Black selected as Highlights. Made executive adjustments.</t>
  </si>
  <si>
    <t>POINT (-73.9759510842771 40.76928828911101)</t>
  </si>
  <si>
    <t>38F-PM-1013-03</t>
  </si>
  <si>
    <t>POINT (-73.9548648518558 40.7946730924872)</t>
  </si>
  <si>
    <t>35A-PM-1013-07</t>
  </si>
  <si>
    <t>POINT (-73.9615900833886 40.7945431292846)</t>
  </si>
  <si>
    <t>36I-PM-1007-02</t>
  </si>
  <si>
    <t>chased birds (blue jay)</t>
  </si>
  <si>
    <t>POINT (-73.9531041906469 40.7919916819219)</t>
  </si>
  <si>
    <t>3F-AM-1006-11</t>
  </si>
  <si>
    <t>POINT (-73.9743369068254 40.7675726965985)</t>
  </si>
  <si>
    <t>35A-PM-1013-11</t>
  </si>
  <si>
    <t>POINT (-73.9614599022015 40.7945181285991)</t>
  </si>
  <si>
    <t>8B-PM-1012-01</t>
  </si>
  <si>
    <t>POINT (-73.9768867959365 40.7734803954589)</t>
  </si>
  <si>
    <t>3D-PM-1010-06</t>
  </si>
  <si>
    <t>POINT (-73.9771009024581 40.7688793288864)</t>
  </si>
  <si>
    <t>3E-PM-1008-02</t>
  </si>
  <si>
    <t>POINT (-73.9762227323096 40.768453603768)</t>
  </si>
  <si>
    <t>9H-PM-1018-06</t>
  </si>
  <si>
    <t>POINT (-73.9692849074642 40.7708755098145)</t>
  </si>
  <si>
    <t>2H-PM-1006-02</t>
  </si>
  <si>
    <t>POINT (-73.97348276186 40.7656171832911)</t>
  </si>
  <si>
    <t>36F-AM-1017-01</t>
  </si>
  <si>
    <t>POINT (-73.9562946873694 40.7938593012595)</t>
  </si>
  <si>
    <t>4A-AM-1007-03</t>
  </si>
  <si>
    <t>POINT (-73.9794481602391 40.770638572864)</t>
  </si>
  <si>
    <t>3H-AM-1008-01</t>
  </si>
  <si>
    <t>teasing barking dog</t>
  </si>
  <si>
    <t>indifferent by not caring about dog</t>
  </si>
  <si>
    <t>POINT (-73.9721348050673 40.7666920046704)</t>
  </si>
  <si>
    <t>19C-PM-1018-02</t>
  </si>
  <si>
    <t>POINT (-73.968807163616 40.7812018159499)</t>
  </si>
  <si>
    <t>15C-PM-1017-01</t>
  </si>
  <si>
    <t>POINT (-73.9711001278389 40.7787466095841)</t>
  </si>
  <si>
    <t>17A-PM-1013-02</t>
  </si>
  <si>
    <t>on a little pedestal-shaped part of a tree</t>
  </si>
  <si>
    <t>POINT (-73.972179947936 40.7810042827198)</t>
  </si>
  <si>
    <t>2A-PM-1019-06</t>
  </si>
  <si>
    <t>POINT (-73.9809688694074 40.7688535974878)</t>
  </si>
  <si>
    <t>38A-AM-1019-05</t>
  </si>
  <si>
    <t>Cinnamon head, White belly</t>
  </si>
  <si>
    <t>standing on back legs</t>
  </si>
  <si>
    <t>POINT (-73.9601851468038 40.7968698151479)</t>
  </si>
  <si>
    <t>1E-PM-1007-03</t>
  </si>
  <si>
    <t>POINT (-73.9775571403892 40.7665316585198)</t>
  </si>
  <si>
    <t>38F-AM-1018-03</t>
  </si>
  <si>
    <t>POINT (-73.9550235589287 40.7951312356844)</t>
  </si>
  <si>
    <t>1B-PM-1019-02</t>
  </si>
  <si>
    <t>POINT (-73.9799302952205 40.7677207209798)</t>
  </si>
  <si>
    <t>19A-PM-1013-02</t>
  </si>
  <si>
    <t>Looks very brown, not like English red squirrels</t>
  </si>
  <si>
    <t>POINT (-73.9704121989487 40.7824040236981)</t>
  </si>
  <si>
    <t>31H-PM-1008-04</t>
  </si>
  <si>
    <t>Also way up</t>
  </si>
  <si>
    <t>POINT (-73.95728404579711 40.7886933371744)</t>
  </si>
  <si>
    <t>39D-PM-1012-01</t>
  </si>
  <si>
    <t>POINT (-73.9564599077179 40.7965185098695)</t>
  </si>
  <si>
    <t>2A-AM-1010-09</t>
  </si>
  <si>
    <t>climbing in bush</t>
  </si>
  <si>
    <t>hopping &amp; flipping around. this one was very energetic &amp; jumping aorund</t>
  </si>
  <si>
    <t>climbed a foot up a tree and watched me</t>
  </si>
  <si>
    <t>POINT (-73.9801636400744 40.7690192055926)</t>
  </si>
  <si>
    <t>37E-AM-1013-05</t>
  </si>
  <si>
    <t>unsure, just heard kuks</t>
  </si>
  <si>
    <t>POINT (-73.9561498646036 40.79492885618931)</t>
  </si>
  <si>
    <t>8H-AM-1017-03</t>
  </si>
  <si>
    <t>POINT (-73.969628583287 40.7704067797932)</t>
  </si>
  <si>
    <t>31B-PM-1007-03</t>
  </si>
  <si>
    <t>POINT (-73.962800448652 40.7915532640139)</t>
  </si>
  <si>
    <t>42I-PM-1014-01</t>
  </si>
  <si>
    <t>POINT (-73.9501457233643 40.797094356558)</t>
  </si>
  <si>
    <t>15D-PM-1017-06</t>
  </si>
  <si>
    <t>stopped and watched me before slowly moving on</t>
  </si>
  <si>
    <t>POINT (-73.9710674928906 40.7778757544025)</t>
  </si>
  <si>
    <t>13A-AM-1017-02</t>
  </si>
  <si>
    <t>POINT (-73.9744917362668 40.77783887377)</t>
  </si>
  <si>
    <t>5F-AM-1007-02</t>
  </si>
  <si>
    <t>POINT (-73.97435094238212 40.7690043677328)</t>
  </si>
  <si>
    <t>35C-PM-1013-01</t>
  </si>
  <si>
    <t>POINT (-73.9601988871514 40.7943473161329)</t>
  </si>
  <si>
    <t>2C-AM-1010-05</t>
  </si>
  <si>
    <t>right at the base of the same tree as #3</t>
  </si>
  <si>
    <t>POINT (-73.9791217510656 40.7676583475394)</t>
  </si>
  <si>
    <t>26I-PM-1010-06</t>
  </si>
  <si>
    <t>POINT (-73.9588339897601 40.7848084865431)</t>
  </si>
  <si>
    <t>19C-PM-1018-05</t>
  </si>
  <si>
    <t>POINT (-73.9690174442945 40.7817617696508)</t>
  </si>
  <si>
    <t>20F-PM-1007-10</t>
  </si>
  <si>
    <t>POINT (-73.9657764490284 40.7811923229286)</t>
  </si>
  <si>
    <t>4F-PM-1013-02</t>
  </si>
  <si>
    <t>POINT (-73.9748962681637 40.76787782717)</t>
  </si>
  <si>
    <t>5E-AM-1008-01</t>
  </si>
  <si>
    <t>on a checker table</t>
  </si>
  <si>
    <t>POINT (-73.9745141185576 40.7691479781207)</t>
  </si>
  <si>
    <t>11B-PM-1014-07</t>
  </si>
  <si>
    <t>POINT (-73.9743165321099 40.7754674678574)</t>
  </si>
  <si>
    <t>36I-PM-1007-09</t>
  </si>
  <si>
    <t>POINT (-73.9528429238071 40.7922651848867)</t>
  </si>
  <si>
    <t>1E-AM-1006-01</t>
  </si>
  <si>
    <t>POINT (-73.9775068915715 40.7664424394736)</t>
  </si>
  <si>
    <t>38C-PM-1014-08</t>
  </si>
  <si>
    <t>POINT (-73.9577919365342 40.7960853285059)</t>
  </si>
  <si>
    <t>34A-PM-1013-01</t>
  </si>
  <si>
    <t>took a chestnut</t>
  </si>
  <si>
    <t>POINT (-73.9628842960118 40.7938048572403)</t>
  </si>
  <si>
    <t>16E-PM-1018-04</t>
  </si>
  <si>
    <t>POINT (-73.9682760864462 40.7780727569417)</t>
  </si>
  <si>
    <t>17D-AM-1008-07</t>
  </si>
  <si>
    <t>POINT (-73.9687214684206 40.7792841720164)</t>
  </si>
  <si>
    <t>35C-PM-1013-08</t>
  </si>
  <si>
    <t>did not *see*</t>
  </si>
  <si>
    <t>POINT (-73.9600738985438 40.7938328798752)</t>
  </si>
  <si>
    <t>14D-PM-1019-16</t>
  </si>
  <si>
    <t>POINT (-73.9710273070712 40.7766521246153)</t>
  </si>
  <si>
    <t>35A-PM-1013-03</t>
  </si>
  <si>
    <t>POINT (-73.9618094076328 40.7944097368153)</t>
  </si>
  <si>
    <t>32B-PM-1010-02</t>
  </si>
  <si>
    <t>POINT (-73.9632238528617 40.7920328991252)</t>
  </si>
  <si>
    <t>36I-PM-1007-03</t>
  </si>
  <si>
    <t>POINT (-73.9530587825442 40.7919087309222)</t>
  </si>
  <si>
    <t>14B-AM-1007-03</t>
  </si>
  <si>
    <t>POINT (-73.973425927351 40.7781929919344)</t>
  </si>
  <si>
    <t>42C-PM-1013-06</t>
  </si>
  <si>
    <t>Between park and main drag</t>
  </si>
  <si>
    <t>POINT (-73.9566300789162 40.7993692120774)</t>
  </si>
  <si>
    <t>40E-PM-1017-01</t>
  </si>
  <si>
    <t>POINT (-73.9551923408239 40.7968302661402)</t>
  </si>
  <si>
    <t>15E-PM-1008-04</t>
  </si>
  <si>
    <t>POINT (-73.9692271132136 40.777528508844)</t>
  </si>
  <si>
    <t>32D-PM-1006-08</t>
  </si>
  <si>
    <t>stand on two feet and watching me</t>
  </si>
  <si>
    <t>POINT (-73.960642602756 40.7917265419842)</t>
  </si>
  <si>
    <t>30E-PM-1008-01</t>
  </si>
  <si>
    <t>POINT (-73.9611434082667 40.7893671772846)</t>
  </si>
  <si>
    <t>15H-PM-1008-06</t>
  </si>
  <si>
    <t>base of gingko tree</t>
  </si>
  <si>
    <t>POINT (-73.9658867660358 40.7756523577509)</t>
  </si>
  <si>
    <t>2H-PM-1006-01</t>
  </si>
  <si>
    <t>POINT (-73.9734206435334 40.7657854684194)</t>
  </si>
  <si>
    <t>12A-PM-1013-02</t>
  </si>
  <si>
    <t>POINT (-73.974596903918 40.7765498215674)</t>
  </si>
  <si>
    <t>41I-PM-1017-01</t>
  </si>
  <si>
    <t>Cinnamon oval on back</t>
  </si>
  <si>
    <t>POINT (-73.9507140045973 40.7957700986293)</t>
  </si>
  <si>
    <t>31D-AM-1014-01</t>
  </si>
  <si>
    <t>Ground then up tree</t>
  </si>
  <si>
    <t>chased by a doggo</t>
  </si>
  <si>
    <t>runs from (dogs!)</t>
  </si>
  <si>
    <t>POINT (-73.9615429203441 40.7907417648701)</t>
  </si>
  <si>
    <t>20F-PM-1007-12</t>
  </si>
  <si>
    <t>POINT (-73.9653575758687 40.7805339953372)</t>
  </si>
  <si>
    <t>33D-AM-1017-09</t>
  </si>
  <si>
    <t>POINT (-73.9595886063173 40.7918405182594)</t>
  </si>
  <si>
    <t>16D-AM-1007-06</t>
  </si>
  <si>
    <t>primary color: brown ( I marked cinnamon as closest to brown - JO)</t>
  </si>
  <si>
    <t>POINT (-73.9694185786221 40.7787189999566)</t>
  </si>
  <si>
    <t>12G-AM-1012-05</t>
  </si>
  <si>
    <t>POINT (-73.9690082314914 40.7738993942891)</t>
  </si>
  <si>
    <t>3E-PM-1008-04</t>
  </si>
  <si>
    <t>POINT (-73.9763629541474 40.7682321897044)</t>
  </si>
  <si>
    <t>5C-PM-1010-08</t>
  </si>
  <si>
    <t>POINT (-73.9768096953647 40.7708185213129)</t>
  </si>
  <si>
    <t>38B-AM-1019-03</t>
  </si>
  <si>
    <t>POINT (-73.9593895253501 40.7973085844087)</t>
  </si>
  <si>
    <t>12F-PM-1007-10</t>
  </si>
  <si>
    <t>POINT (-73.9703683510176 40.7743975363958)</t>
  </si>
  <si>
    <t>9I-AM-1014-04</t>
  </si>
  <si>
    <t>POINT (-73.9691801791373 40.7709272353572)</t>
  </si>
  <si>
    <t>11H-AM-1010-02</t>
  </si>
  <si>
    <t>POINT (-73.9681960138614 40.7726867422002)</t>
  </si>
  <si>
    <t>32C-AM-1014-04</t>
  </si>
  <si>
    <t>POINT (-73.9612658688914 40.7912119940469)</t>
  </si>
  <si>
    <t>33I-PM-1006-01</t>
  </si>
  <si>
    <t>POINT (-73.9545877741228 40.7900001210353)</t>
  </si>
  <si>
    <t>28D-AM-1012-06</t>
  </si>
  <si>
    <t>POINT (-73.9628041577934 40.78841801560551)</t>
  </si>
  <si>
    <t>41A-PM-1007-01</t>
  </si>
  <si>
    <t>POINT (-73.9587179613803 40.7992119571657)</t>
  </si>
  <si>
    <t>9B-AM-1010-04</t>
  </si>
  <si>
    <t>POINT (-73.9752915601718 40.7739329570033)</t>
  </si>
  <si>
    <t>1I-PM-1012-04</t>
  </si>
  <si>
    <t>Cinnamon &amp; White selected as Primary. Cinnamon &amp; White selected as Highlights. Made executive adjustments.</t>
  </si>
  <si>
    <t>on ledge</t>
  </si>
  <si>
    <t>POINT (-73.97296259363 40.7652601851275)</t>
  </si>
  <si>
    <t>41C-AM-1017-07</t>
  </si>
  <si>
    <t>POINT (-73.9561432836863 40.7982665347234)</t>
  </si>
  <si>
    <t>12E-AM-1017-03</t>
  </si>
  <si>
    <t>POINT (-73.971314838366 40.774951285041)</t>
  </si>
  <si>
    <t>33D-AM-1017-01</t>
  </si>
  <si>
    <t>POINT (-73.960094705031 40.7916066137699)</t>
  </si>
  <si>
    <t>7F-AM-1008-17</t>
  </si>
  <si>
    <t>POINT (-73.972967003211 40.7711848438157)</t>
  </si>
  <si>
    <t>35E-PM-1006-05</t>
  </si>
  <si>
    <t>POINT (-73.957775998085 40.7932880937406)</t>
  </si>
  <si>
    <t>38E-AM-1010-11</t>
  </si>
  <si>
    <t>edge of the stream</t>
  </si>
  <si>
    <t>POINT (-73.956289117157 40.7953393993803)</t>
  </si>
  <si>
    <t>3I-PM-1013-04</t>
  </si>
  <si>
    <t>POINT (-73.97206993774601 40.7659402627832)</t>
  </si>
  <si>
    <t>22B-PM-1014-04</t>
  </si>
  <si>
    <t>POINT (-73.9681090824978 40.7838275830328)</t>
  </si>
  <si>
    <t>10H-AM-1014-04</t>
  </si>
  <si>
    <t>POINT (-73.9687025912431 40.7719319822619)</t>
  </si>
  <si>
    <t>4I-AM-1006-01</t>
  </si>
  <si>
    <t>On top of park lamp</t>
  </si>
  <si>
    <t>POINT (-73.9712022111028 40.7672504368263)</t>
  </si>
  <si>
    <t>4B-PM-1018-04</t>
  </si>
  <si>
    <t>POINT (-73.9787312025627 40.7701071405918)</t>
  </si>
  <si>
    <t>14G-AM-1012-01</t>
  </si>
  <si>
    <t>POINT (-73.9671419119456 40.7758602486862)</t>
  </si>
  <si>
    <t>39F-AM-1014-01</t>
  </si>
  <si>
    <t>POINT (-73.9542074814296 40.7954322240004)</t>
  </si>
  <si>
    <t>38G-PM-1020-07</t>
  </si>
  <si>
    <t>POINT (-73.9543373703455 40.7943889087123)</t>
  </si>
  <si>
    <t>12F-PM-1007-11</t>
  </si>
  <si>
    <t>POINT (-73.9701808122548 40.7744632730919)</t>
  </si>
  <si>
    <t>9I-AM-1014-01</t>
  </si>
  <si>
    <t>Black on body, White Belly, White tail</t>
  </si>
  <si>
    <t>digging deeeep</t>
  </si>
  <si>
    <t>POINT (-73.9689204258063 40.7712540588951)</t>
  </si>
  <si>
    <t>22E-PM-1014-02</t>
  </si>
  <si>
    <t>POINT (-73.9656324462902 40.7834034753081)</t>
  </si>
  <si>
    <t>29D-AM-1014-03</t>
  </si>
  <si>
    <t>End of tree limb foraging</t>
  </si>
  <si>
    <t>POINT (-73.9626065672894 40.788722645116)</t>
  </si>
  <si>
    <t>21B-PM-1017-01</t>
  </si>
  <si>
    <t>paused to look at me</t>
  </si>
  <si>
    <t>POINT (-73.9692660977515 40.7830532310766)</t>
  </si>
  <si>
    <t>7G-PM-1018-06</t>
  </si>
  <si>
    <t>POINT (-73.971525123573 40.7703685359842)</t>
  </si>
  <si>
    <t>34H-PM-1006-03</t>
  </si>
  <si>
    <t>Under Tupelo Tree</t>
  </si>
  <si>
    <t>POINT (-73.9551639847466 40.790858199891)</t>
  </si>
  <si>
    <t>3F-PM-1013-05</t>
  </si>
  <si>
    <t>POINT (-73.97518067271972 40.7671940332258)</t>
  </si>
  <si>
    <t>28C-AM-1014-01</t>
  </si>
  <si>
    <t>POINT (-73.9641088172632 40.7886555184212)</t>
  </si>
  <si>
    <t>5C-PM-1010-06</t>
  </si>
  <si>
    <t>POINT (-73.9769885189342 40.7708936173356)</t>
  </si>
  <si>
    <t>23F-PM-1013-04</t>
  </si>
  <si>
    <t>Gray &amp; Cinnamon selected as Primary: "much browner, like 1/2 &amp; 1/2".</t>
  </si>
  <si>
    <t>indifferent (busy foraging)</t>
  </si>
  <si>
    <t>POINT (-73.9637983513789 40.7828712516396)</t>
  </si>
  <si>
    <t>8D-AM-1007-01</t>
  </si>
  <si>
    <t>acknowledged me though</t>
  </si>
  <si>
    <t>POINT (-73.9735383602914 40.7723124703937)</t>
  </si>
  <si>
    <t>20C-PM-1018-06</t>
  </si>
  <si>
    <t>POINT (-73.96773686460392 40.782155096483706)</t>
  </si>
  <si>
    <t>29D-AM-1014-01</t>
  </si>
  <si>
    <t>POINT (-73.9625932664956 40.7885379477349)</t>
  </si>
  <si>
    <t>14E-PM-1017-03</t>
  </si>
  <si>
    <t>POINT (-73.9705409446299 40.7764608087703)</t>
  </si>
  <si>
    <t>15E-PM-1008-06</t>
  </si>
  <si>
    <t>POINT (-73.9697109398302 40.7776218260789)</t>
  </si>
  <si>
    <t>3B-PM-1007-04</t>
  </si>
  <si>
    <t>At fence</t>
  </si>
  <si>
    <t>POINT (-73.9789687905912 40.7692693139328)</t>
  </si>
  <si>
    <t>2A-PM-1019-05</t>
  </si>
  <si>
    <t>in tall planetree</t>
  </si>
  <si>
    <t>POINT (-73.9810843611086 40.7687905493699)</t>
  </si>
  <si>
    <t>9B-AM-1010-07</t>
  </si>
  <si>
    <t>POINT (-73.9761799699276 40.774213409933)</t>
  </si>
  <si>
    <t>2E-PM-1014-04</t>
  </si>
  <si>
    <t>POINT (-73.9767835160078 40.7674030330482)</t>
  </si>
  <si>
    <t>16D-PM-1010-07</t>
  </si>
  <si>
    <t>POINT (-73.9700634278 40.7784223722453)</t>
  </si>
  <si>
    <t>2G-AM-1010-04</t>
  </si>
  <si>
    <t>POINT (-73.9752673884392 40.7662642413761)</t>
  </si>
  <si>
    <t>32H-PM-1006-03</t>
  </si>
  <si>
    <t>POINT (-73.9563473341712 40.78937123984251)</t>
  </si>
  <si>
    <t>5A-AM-1006-02</t>
  </si>
  <si>
    <t>in tall shrubs near wall next to CPW</t>
  </si>
  <si>
    <t>POINT (-73.9791767156268 40.7714445258765)</t>
  </si>
  <si>
    <t>9A-AM-1013-07</t>
  </si>
  <si>
    <t>POINT (-73.9763722433833 40.7744121430891)</t>
  </si>
  <si>
    <t>4H-PM-1006-02</t>
  </si>
  <si>
    <t>POINT (-73.9729105002306 40.7672758037086)</t>
  </si>
  <si>
    <t>13G-PM-1008-01</t>
  </si>
  <si>
    <t>POINT (-73.9683883750097 40.7754344396847)</t>
  </si>
  <si>
    <t>4D-PM-1008-09</t>
  </si>
  <si>
    <t>POINT (-73.9765306970303 40.7694956875859)</t>
  </si>
  <si>
    <t>21F-AM-1018-07</t>
  </si>
  <si>
    <t>POINT (-73.9647845655965 40.7816573808695)</t>
  </si>
  <si>
    <t>15F-AM-1007-03</t>
  </si>
  <si>
    <t>POINT (-73.9686800784941 40.7766739029138)</t>
  </si>
  <si>
    <t>21C-AM-1014-04</t>
  </si>
  <si>
    <t>High in tree, unable to tell</t>
  </si>
  <si>
    <t>POINT (-73.96735549352582 40.7827527249594)</t>
  </si>
  <si>
    <t>32E-AM-1007-02</t>
  </si>
  <si>
    <t>POINT (-73.9593624259363 40.7905522356793)</t>
  </si>
  <si>
    <t>4H-AM-1006-01</t>
  </si>
  <si>
    <t>POINT (-73.9723736494597 40.7669501343297)</t>
  </si>
  <si>
    <t>9D-AM-1008-02</t>
  </si>
  <si>
    <t>POINT (-73.9742847552668 40.7731740123046)</t>
  </si>
  <si>
    <t>12E-PM-1018-01</t>
  </si>
  <si>
    <t>POINT (-73.9712187890707 40.7750640173134)</t>
  </si>
  <si>
    <t>37G-PM-1007-06</t>
  </si>
  <si>
    <t>POINT (-73.9541056052047 40.7939863923231)</t>
  </si>
  <si>
    <t>29C-PM-1006-02</t>
  </si>
  <si>
    <t>POINT (-73.9631089011412 40.789191946875)</t>
  </si>
  <si>
    <t>41B-AM-1010-11</t>
  </si>
  <si>
    <t>eating a mushroom!</t>
  </si>
  <si>
    <t>POINT (-73.9576913492669 40.7994216061391)</t>
  </si>
  <si>
    <t>3F-PM-1013-04</t>
  </si>
  <si>
    <t>POINT (-73.9753825640019 40.7671662013861)</t>
  </si>
  <si>
    <t>11H-AM-1010-09</t>
  </si>
  <si>
    <t>POINT (-73.9682627382073 40.7730766743452)</t>
  </si>
  <si>
    <t>1B-PM-1019-05</t>
  </si>
  <si>
    <t>POINT (-73.9802983138318 40.7676540772339)</t>
  </si>
  <si>
    <t>13E-PM-1008-08</t>
  </si>
  <si>
    <t>POINT (-73.9697665830132 40.7759094917104)</t>
  </si>
  <si>
    <t>38H-AM-1019-01</t>
  </si>
  <si>
    <t>38H</t>
  </si>
  <si>
    <t>POINT (-73.9533101544112 40.7938634280159)</t>
  </si>
  <si>
    <t>29H-PM-1006-02</t>
  </si>
  <si>
    <t>POINT (-73.9576652087316 40.7875457977801)</t>
  </si>
  <si>
    <t>38C-PM-1014-07</t>
  </si>
  <si>
    <t>POINT (-73.9576094432477 40.7965342664074)</t>
  </si>
  <si>
    <t>13D-AM-1014-05</t>
  </si>
  <si>
    <t>POINT (-73.9711634340673 40.7760553338671)</t>
  </si>
  <si>
    <t>11E-PM-1012-02</t>
  </si>
  <si>
    <t>POINT (-73.9714298880357 40.77410578689)</t>
  </si>
  <si>
    <t>33B-AM-1010-02</t>
  </si>
  <si>
    <t>POINT (-73.96182136446711 40.7927648819738)</t>
  </si>
  <si>
    <t>7C-AM-1012-02</t>
  </si>
  <si>
    <t>POINT (-73.9765027953575 40.7717327360835)</t>
  </si>
  <si>
    <t>16E-AM-1014-04</t>
  </si>
  <si>
    <t>POINT (-73.9686756254868 40.7777459102651)</t>
  </si>
  <si>
    <t>35A-PM-1013-10</t>
  </si>
  <si>
    <t>POINT (-73.9614659899028 40.7945562907624)</t>
  </si>
  <si>
    <t>3F-AM-1006-14</t>
  </si>
  <si>
    <t>running from dog</t>
  </si>
  <si>
    <t>POINT (-73.9756889766089 40.7676078308589)</t>
  </si>
  <si>
    <t>32A-PM-1013-07</t>
  </si>
  <si>
    <t>POINT (-73.963209639301 40.7926138443715)</t>
  </si>
  <si>
    <t>15H-AM-1013-02</t>
  </si>
  <si>
    <t>POINT (-73.9659118189359 40.7765739928504)</t>
  </si>
  <si>
    <t>34H-PM-1006-06</t>
  </si>
  <si>
    <t>POINT (-73.9551625272308 40.791193071916)</t>
  </si>
  <si>
    <t>3F-PM-1013-06</t>
  </si>
  <si>
    <t>POINT (-73.97473113123941 40.7677319725044)</t>
  </si>
  <si>
    <t>2A-AM-1010-05</t>
  </si>
  <si>
    <t>base of tree with ~ 30 small birds all eating</t>
  </si>
  <si>
    <t>POINT (-73.9809342290598 40.7687265606227)</t>
  </si>
  <si>
    <t>38A-PM-1013-05</t>
  </si>
  <si>
    <t>POINT (-73.9596445861554 40.7971948679007)</t>
  </si>
  <si>
    <t>11I-PM-1012-02</t>
  </si>
  <si>
    <t>runs away from the ball</t>
  </si>
  <si>
    <t>POINT (-73.9681664642028 40.7724669681958)</t>
  </si>
  <si>
    <t>41E-PM-1013-02</t>
  </si>
  <si>
    <t>POINT (-73.9550350096938 40.797694218705004)</t>
  </si>
  <si>
    <t>35B-PM-1013-05</t>
  </si>
  <si>
    <t>POINT (-73.96159260312531 40.7944223235385)</t>
  </si>
  <si>
    <t>5E-PM-1012-04</t>
  </si>
  <si>
    <t>POINT (-73.9754536566013 40.7698604918771)</t>
  </si>
  <si>
    <t>13D-PM-1018-14</t>
  </si>
  <si>
    <t>climbing (down)</t>
  </si>
  <si>
    <t>POINT (-73.9711120079542 40.7760801911766)</t>
  </si>
  <si>
    <t>14H-PM-1012-07</t>
  </si>
  <si>
    <t>POINT (-73.9664054327771 40.7756180893318)</t>
  </si>
  <si>
    <t>9B-AM-1010-05</t>
  </si>
  <si>
    <t>POINT (-73.9750618008099 40.7737521167094)</t>
  </si>
  <si>
    <t>30B-PM-1019-07</t>
  </si>
  <si>
    <t>POINT (-73.96435075880082 40.7904324693292)</t>
  </si>
  <si>
    <t>32E-AM-1007-08</t>
  </si>
  <si>
    <t>tree top</t>
  </si>
  <si>
    <t>POINT (-73.9600357018376 40.7906539766881)</t>
  </si>
  <si>
    <t>5B-PM-1013-03</t>
  </si>
  <si>
    <t>POINT (-73.9778578822323 40.7705432705286)</t>
  </si>
  <si>
    <t>27I-AM-1007-04</t>
  </si>
  <si>
    <t>POINT (-73.9587439756541 40.7849006107353)</t>
  </si>
  <si>
    <t>41C-PM-1007-02</t>
  </si>
  <si>
    <t>POINT (-73.9565230963554 40.798556387711)</t>
  </si>
  <si>
    <t>39E-AM-1018-02</t>
  </si>
  <si>
    <t>POINT (-73.9556083695689 40.7965223709493)</t>
  </si>
  <si>
    <t>5E-AM-1008-07</t>
  </si>
  <si>
    <t>POINT (-73.9753585157592 40.7698398607941)</t>
  </si>
  <si>
    <t>40B-PM-1014-04</t>
  </si>
  <si>
    <t>POINT (-73.958607566971 40.7983695505584)</t>
  </si>
  <si>
    <t>32I-PM-1007-01</t>
  </si>
  <si>
    <t>chirps</t>
  </si>
  <si>
    <t>POINT (-73.9552595564798 40.7889533029466)</t>
  </si>
  <si>
    <t>29A-PM-1019-02</t>
  </si>
  <si>
    <t>POINT (-73.9651132904127 40.7905384124102)</t>
  </si>
  <si>
    <t>40G-PM-1013-01</t>
  </si>
  <si>
    <t>POINT (-73.9531953594918 40.7960413520131)</t>
  </si>
  <si>
    <t>42F-PM-1017-03</t>
  </si>
  <si>
    <t>POINT (-73.953092053256 40.7982256930243)</t>
  </si>
  <si>
    <t>4D-PM-1008-13</t>
  </si>
  <si>
    <t>POINT (-73.9772691210241 40.7690960712994)</t>
  </si>
  <si>
    <t>40I-AM-1018-02</t>
  </si>
  <si>
    <t>POINT (-73.9507699667119 40.795516603955505)</t>
  </si>
  <si>
    <t>26A-PM-1006-04</t>
  </si>
  <si>
    <t>POINT (-73.9672252136807 40.7876504743212)</t>
  </si>
  <si>
    <t>42F-PM-1017-04</t>
  </si>
  <si>
    <t>POINT (-73.9532163535175 40.7982970313067)</t>
  </si>
  <si>
    <t>21B-AM-1019-01</t>
  </si>
  <si>
    <t>POINT (-73.9693262952166 40.783260411082)</t>
  </si>
  <si>
    <t>39C-PM-1006-04</t>
  </si>
  <si>
    <t>POINT (-73.9579292340076 40.7976287835027)</t>
  </si>
  <si>
    <t>16B-PM-1017-01</t>
  </si>
  <si>
    <t>POINT (-73.9714787178201 40.7798049470745)</t>
  </si>
  <si>
    <t>37D-PM-1014-06</t>
  </si>
  <si>
    <t>POINT (-73.9578840941242 40.7955586232429)</t>
  </si>
  <si>
    <t>9A-AM-1013-06</t>
  </si>
  <si>
    <t>POINT (-73.9765016413674 40.7740672862953)</t>
  </si>
  <si>
    <t>20E-AM-1014-02</t>
  </si>
  <si>
    <t>POINT (-73.9661570478029 40.7807271518813)</t>
  </si>
  <si>
    <t>30I-PM-1006-04</t>
  </si>
  <si>
    <t>POINT (-73.9568378330302 40.7880317802766)</t>
  </si>
  <si>
    <t>11E-AM-1013-03</t>
  </si>
  <si>
    <t>POINT (-73.9715977170548 40.774217265062205)</t>
  </si>
  <si>
    <t>13D-AM-1014-01</t>
  </si>
  <si>
    <t>POINT (-73.9709912560997 40.7758965595198)</t>
  </si>
  <si>
    <t>5E-AM-1008-04</t>
  </si>
  <si>
    <t>POINT (-73.9744847446854 40.76924227444)</t>
  </si>
  <si>
    <t>32I-PM-1007-02</t>
  </si>
  <si>
    <t>different sound - happy,playful chirps</t>
  </si>
  <si>
    <t>POINT (-73.955208233231 40.7890574331084)</t>
  </si>
  <si>
    <t>1I-PM-1012-03</t>
  </si>
  <si>
    <t>Gray, Black, &amp; Cinnamon selected as Primary. Gray, Black, &amp; White selected as Highlights. Made executive adjustments.</t>
  </si>
  <si>
    <t>POINT (-73.97281464823851 40.765295171474506)</t>
  </si>
  <si>
    <t>20C-PM-1018-03</t>
  </si>
  <si>
    <t>POINT (-73.9678613185071 40.7822170887526)</t>
  </si>
  <si>
    <t>4C-AM-1006-05</t>
  </si>
  <si>
    <t>POINT (-73.9772908667333 40.7697207404744)</t>
  </si>
  <si>
    <t>20B-PM-1013-06</t>
  </si>
  <si>
    <t>POINT (-73.96908322193221 40.782343340986)</t>
  </si>
  <si>
    <t>3F-AM-1006-03</t>
  </si>
  <si>
    <t>on the path</t>
  </si>
  <si>
    <t>POINT (-73.9751615527833 40.767013871509)</t>
  </si>
  <si>
    <t>22F-PM-1014-02</t>
  </si>
  <si>
    <t>POINT (-73.9649230271173 40.7821766215675)</t>
  </si>
  <si>
    <t>4H-PM-1006-01</t>
  </si>
  <si>
    <t>POINT (-73.9728723853967 40.7670816164986)</t>
  </si>
  <si>
    <t>3B-PM-1007-05</t>
  </si>
  <si>
    <t>POINT (-73.9786940945874 40.7690820276888)</t>
  </si>
  <si>
    <t>36F-PM-1012-03</t>
  </si>
  <si>
    <t>POINT (-73.95651796713192 40.7936663940365)</t>
  </si>
  <si>
    <t>6G-PM-1020-01</t>
  </si>
  <si>
    <t>POINT (-73.9720102361126 40.7692143930301)</t>
  </si>
  <si>
    <t>21D-PM-1008-04</t>
  </si>
  <si>
    <t>i scared it</t>
  </si>
  <si>
    <t>POINT (-73.967466716152 40.7824346548278)</t>
  </si>
  <si>
    <t>9H-AM-1006-04</t>
  </si>
  <si>
    <t>POINT (-73.9698246369929 40.7711472794488)</t>
  </si>
  <si>
    <t>3E-PM-1008-01</t>
  </si>
  <si>
    <t>POINT (-73.9761879300037 40.7683918970301)</t>
  </si>
  <si>
    <t>1B-PM-1019-03</t>
  </si>
  <si>
    <t>POINT (-73.98028424040162 40.7678257384977)</t>
  </si>
  <si>
    <t>13A-AM-1017-04</t>
  </si>
  <si>
    <t>POINT (-73.9744025383371 40.7777296605765)</t>
  </si>
  <si>
    <t>22A-PM-1017-03</t>
  </si>
  <si>
    <t>POINT (-73.969370141813 40.7840721191988)</t>
  </si>
  <si>
    <t>20F-PM-1007-11</t>
  </si>
  <si>
    <t>POINT (-73.9653873284496 40.7804699882574)</t>
  </si>
  <si>
    <t>31B-PM-1007-04</t>
  </si>
  <si>
    <t>POINT (-73.9630822385425 40.7914844989865)</t>
  </si>
  <si>
    <t>40F-PM-1006-02</t>
  </si>
  <si>
    <t>POINT (-73.9538475741188 40.796479421955)</t>
  </si>
  <si>
    <t>5B-AM-1008-03</t>
  </si>
  <si>
    <t>POINT (-73.9777124331985 40.7704051056666)</t>
  </si>
  <si>
    <t>33C-AM-1012-01</t>
  </si>
  <si>
    <t>Cinnamon along tail &amp; back</t>
  </si>
  <si>
    <t>POINT (-73.9615396457996 40.7923594366783)</t>
  </si>
  <si>
    <t>34H-PM-1006-05</t>
  </si>
  <si>
    <t>white tail tip</t>
  </si>
  <si>
    <t>POINT (-73.955068474109 40.7911788152878)</t>
  </si>
  <si>
    <t>30F-PM-1007-01</t>
  </si>
  <si>
    <t>30F</t>
  </si>
  <si>
    <t>POINT (-73.9597453664295 40.7891382153733)</t>
  </si>
  <si>
    <t>34I-PM-1010-05</t>
  </si>
  <si>
    <t>POINT (-73.9546616782922 40.790974533739)</t>
  </si>
  <si>
    <t>39E-AM-1018-05</t>
  </si>
  <si>
    <t>POINT (-73.9558995737654 40.7960097734603)</t>
  </si>
  <si>
    <t>16A-PM-1019-05</t>
  </si>
  <si>
    <t>POINT (-73.9730027200009 40.7798000868804)</t>
  </si>
  <si>
    <t>12F-AM-1020-04</t>
  </si>
  <si>
    <t>POINT (-73.969720780557 40.7741105688757)</t>
  </si>
  <si>
    <t>9C-PM-1006-07</t>
  </si>
  <si>
    <t>on top of tarped sand pile</t>
  </si>
  <si>
    <t>(me)</t>
  </si>
  <si>
    <t>POINT (-73.9744080700098 40.7731515721826)</t>
  </si>
  <si>
    <t>7F-PM-1012-03</t>
  </si>
  <si>
    <t>POINT (-73.9726598256924 40.7707862446236)</t>
  </si>
  <si>
    <t>37G-AM-1014-02</t>
  </si>
  <si>
    <t>ran away &amp; disappeared</t>
  </si>
  <si>
    <t>POINT (-73.9541629063295 40.7934259301577)</t>
  </si>
  <si>
    <t>33H-AM-1019-01</t>
  </si>
  <si>
    <t>Cinnamon patches</t>
  </si>
  <si>
    <t>wrestling with child</t>
  </si>
  <si>
    <t>POINT (-73.956581233786 40.79021276908371)</t>
  </si>
  <si>
    <t>12F-AM-1020-03</t>
  </si>
  <si>
    <t>POINT (-73.9698592838836 40.7743071443959)</t>
  </si>
  <si>
    <t>37B-AM-1018-04</t>
  </si>
  <si>
    <t>POINT (-73.9598378495787 40.7956843021662)</t>
  </si>
  <si>
    <t>42F-AM-1019-02</t>
  </si>
  <si>
    <t>POINT (-73.9530811255728 40.79830691185791)</t>
  </si>
  <si>
    <t>10D-AM-1008-02</t>
  </si>
  <si>
    <t>POINT (-73.9729265300533 40.7741768291642)</t>
  </si>
  <si>
    <t>18H-PM-1014-02</t>
  </si>
  <si>
    <t>POINT (-73.964593167562 40.7780374890066)</t>
  </si>
  <si>
    <t>39E-AM-1018-01</t>
  </si>
  <si>
    <t>standing still</t>
  </si>
  <si>
    <t>POINT (-73.955258162768 40.7958147673603)</t>
  </si>
  <si>
    <t>POINT (-73.9771646835311 40.7693049165084)</t>
  </si>
  <si>
    <t>15B-PM-1017-03</t>
  </si>
  <si>
    <t>by water</t>
  </si>
  <si>
    <t>POINT (-73.9726236083428 40.778821777147506)</t>
  </si>
  <si>
    <t>18I-PM-1007-05</t>
  </si>
  <si>
    <t>jumping crazily / digging hole</t>
  </si>
  <si>
    <t>POINT (-73.9636482556874 40.7775831570186)</t>
  </si>
  <si>
    <t>16E-AM-1014-06</t>
  </si>
  <si>
    <t>POINT (-73.9688070760806 40.777968829417205)</t>
  </si>
  <si>
    <t>3B-PM-1007-02</t>
  </si>
  <si>
    <t>POINT (-73.9793101482654 40.7692600238491)</t>
  </si>
  <si>
    <t>2B-AM-1010-06</t>
  </si>
  <si>
    <t>POINT (-73.979734151564 40.7682150214703)</t>
  </si>
  <si>
    <t>9C-PM-1006-04</t>
  </si>
  <si>
    <t>POINT (-73.9747873899653 40.7731945258327)</t>
  </si>
  <si>
    <t>20A-AM-1010-01</t>
  </si>
  <si>
    <t>POINT (-73.970595860252 40.7832060751268)</t>
  </si>
  <si>
    <t>16E-PM-1018-10</t>
  </si>
  <si>
    <t>POINT (-73.9689554458632 40.7778593393957)</t>
  </si>
  <si>
    <t>1C-AM-1012-02</t>
  </si>
  <si>
    <t>POINT (-73.9794118234651 40.7674495540569)</t>
  </si>
  <si>
    <t>16E-AM-1014-05</t>
  </si>
  <si>
    <t>POINT (-73.9686358129525 40.7778035516486)</t>
  </si>
  <si>
    <t>28D-AM-1012-01</t>
  </si>
  <si>
    <t>POINT (-73.9631005470369 40.7885494057193)</t>
  </si>
  <si>
    <t>14A-PM-1014-08</t>
  </si>
  <si>
    <t>new movement flailing arms while foraging</t>
  </si>
  <si>
    <t>POINT (-73.9735833104203 40.7786318041581)</t>
  </si>
  <si>
    <t>15G-PM-1019-04</t>
  </si>
  <si>
    <t>POINT (-73.9673220504383 40.7770296345963)</t>
  </si>
  <si>
    <t>14H-PM-1012-03</t>
  </si>
  <si>
    <t>POINT (-73.9670432105975 40.7753462013506)</t>
  </si>
  <si>
    <t>13C-PM-1019-02</t>
  </si>
  <si>
    <t>POINT (-73.9720389756717 40.7763524091989)</t>
  </si>
  <si>
    <t>3C-AM-1007-01</t>
  </si>
  <si>
    <t>POINT (-73.9784872728213 40.7688122603932)</t>
  </si>
  <si>
    <t>32E-AM-1007-04</t>
  </si>
  <si>
    <t>POINT (-73.9597260014375 40.790707423031)</t>
  </si>
  <si>
    <t>21B-AM-1019-05</t>
  </si>
  <si>
    <t>POINT (-73.9685201626934 40.783329261225)</t>
  </si>
  <si>
    <t>21E-AM-1017-02</t>
  </si>
  <si>
    <t>POINT (-73.9654288151266 40.7815953970174)</t>
  </si>
  <si>
    <t>40C-PM-1006-04</t>
  </si>
  <si>
    <t>POINT (-73.9564478909357 40.7976928775417)</t>
  </si>
  <si>
    <t>42H-PM-1014-03</t>
  </si>
  <si>
    <t>POINT (-73.9506062997507 40.7976189496674)</t>
  </si>
  <si>
    <t>5A-AM-1006-01</t>
  </si>
  <si>
    <t>Oak tree near rock outcropping</t>
  </si>
  <si>
    <t>POINT (-73.97939239848742 40.7708475474583)</t>
  </si>
  <si>
    <t>32B-PM-1010-03</t>
  </si>
  <si>
    <t>POINT (-73.9632164738341 40.7921270121312)</t>
  </si>
  <si>
    <t>34A-PM-1013-05</t>
  </si>
  <si>
    <t>POINT (-73.9621297946132 40.7944058222814)</t>
  </si>
  <si>
    <t>3I-AM-1010-03</t>
  </si>
  <si>
    <t>POINT (-73.9722053355548 40.7662094993614)</t>
  </si>
  <si>
    <t>1H-PM-1013-02</t>
  </si>
  <si>
    <t>POINT (-73.9734630412566 40.7653097139415)</t>
  </si>
  <si>
    <t>42G-PM-1014-02</t>
  </si>
  <si>
    <t>POINT (-73.9517525111679 40.7974407641075)</t>
  </si>
  <si>
    <t>7B-AM-1008-05</t>
  </si>
  <si>
    <t>POINT (-73.9770313887741 40.772486925209904)</t>
  </si>
  <si>
    <t>1G-AM-1006-04</t>
  </si>
  <si>
    <t>collecting nest material</t>
  </si>
  <si>
    <t>POINT (-73.9745152462626 40.76554155159081)</t>
  </si>
  <si>
    <t>9A-AM-1013-12</t>
  </si>
  <si>
    <t>POINT (-73.9768563402344 40.7744487310786)</t>
  </si>
  <si>
    <t>16H-PM-1014-01</t>
  </si>
  <si>
    <t>POINT (-73.9657391918196 40.776502470347)</t>
  </si>
  <si>
    <t>14E-AM-1008-10</t>
  </si>
  <si>
    <t>POINT (-73.9699573485164 40.7765857838015)</t>
  </si>
  <si>
    <t>14D-AM-1014-01</t>
  </si>
  <si>
    <t>POINT (-73.9703421391442 40.7773706575356)</t>
  </si>
  <si>
    <t>21C-AM-1014-05</t>
  </si>
  <si>
    <t>POINT (-73.9672160533827 40.7830263908749)</t>
  </si>
  <si>
    <t>16A-PM-1019-01</t>
  </si>
  <si>
    <t>POINT (-73.9727230609785 40.7795341640894)</t>
  </si>
  <si>
    <t>21D-AM-1008-05</t>
  </si>
  <si>
    <t>POINT (-73.9672152696834 40.7823874581829)</t>
  </si>
  <si>
    <t>9F-AM-1013-03</t>
  </si>
  <si>
    <t>POINT (-73.9714653576023 40.7717400139502)</t>
  </si>
  <si>
    <t>20F-PM-1007-13</t>
  </si>
  <si>
    <t>POINT (-73.9650120066074 40.78059328824071)</t>
  </si>
  <si>
    <t>3E-AM-1006-03</t>
  </si>
  <si>
    <t>checkin' his stashes</t>
  </si>
  <si>
    <t>POINT (-73.9767953468937 40.7676376977667)</t>
  </si>
  <si>
    <t>38H-PM-1012-01</t>
  </si>
  <si>
    <t>POINT (-73.953123365424 40.7941113777459)</t>
  </si>
  <si>
    <t>9H-PM-1018-05</t>
  </si>
  <si>
    <t>POINT (-73.9692563597762 40.770904999952)</t>
  </si>
  <si>
    <t>14B-PM-1014-08</t>
  </si>
  <si>
    <t>White belly &amp; stripes on tail, Cinnamon face &amp; stripes on back</t>
  </si>
  <si>
    <t>POINT (-73.9730926233232 40.7781330751738)</t>
  </si>
  <si>
    <t>13E-AM-1017-13</t>
  </si>
  <si>
    <t>POINT (-73.97058379743581 40.7758494849673)</t>
  </si>
  <si>
    <t>21C-AM-1014-03</t>
  </si>
  <si>
    <t>POINT (-73.9677903197449 40.7826561917755)</t>
  </si>
  <si>
    <t>42C-PM-1013-04</t>
  </si>
  <si>
    <t>POINT (-73.9561669236168 40.7994737431277)</t>
  </si>
  <si>
    <t>32D-PM-1006-06</t>
  </si>
  <si>
    <t>POINT (-73.9604599477345 40.7915035010169)</t>
  </si>
  <si>
    <t>1A-PM-1014-05</t>
  </si>
  <si>
    <t>POINT (-73.9809876538513 40.7683223242143)</t>
  </si>
  <si>
    <t>18D-AM-1018-03</t>
  </si>
  <si>
    <t>POINT (-73.9683460607021 40.7805408447877)</t>
  </si>
  <si>
    <t>7H-AM-1006-14</t>
  </si>
  <si>
    <t>POINT (-73.97033289562 40.7701079697795)</t>
  </si>
  <si>
    <t>13H-PM-1010-08</t>
  </si>
  <si>
    <t>POINT (-73.9680204438195 40.77438823226541)</t>
  </si>
  <si>
    <t>21G-AM-1014-05</t>
  </si>
  <si>
    <t>POINT (-73.963911430308 40.7809127228847)</t>
  </si>
  <si>
    <t>23A-AM-1018-01</t>
  </si>
  <si>
    <t>POINT (-73.9690266660317 40.7853134751509)</t>
  </si>
  <si>
    <t>21D-PM-1008-01</t>
  </si>
  <si>
    <t>POINT (-73.9672063784809 40.7826070395665)</t>
  </si>
  <si>
    <t>22H-PM-1007-01</t>
  </si>
  <si>
    <t>POINT (-73.962534856258 40.7812134517411)</t>
  </si>
  <si>
    <t>5F-AM-1007-05</t>
  </si>
  <si>
    <t>POINT (-73.9739403850622 40.7693162287509)</t>
  </si>
  <si>
    <t>22F-PM-1014-08</t>
  </si>
  <si>
    <t>CLIMBED THE TREE</t>
  </si>
  <si>
    <t>POINT (-73.9649103330443 40.7823913860445)</t>
  </si>
  <si>
    <t>6E-PM-1010-03</t>
  </si>
  <si>
    <t>POINT (-73.974515099169 40.770065079988605)</t>
  </si>
  <si>
    <t>32D-PM-1006-02</t>
  </si>
  <si>
    <t>POINT (-73.9601215198114 40.7909769801241)</t>
  </si>
  <si>
    <t>39F-AM-1014-03</t>
  </si>
  <si>
    <t>POINT (-73.9545225586988 40.7956074663106)</t>
  </si>
  <si>
    <t>18G-AM-1014-02</t>
  </si>
  <si>
    <t>POINT (-73.9651206201297 40.7785279064847)</t>
  </si>
  <si>
    <t>2B-PM-1013-08</t>
  </si>
  <si>
    <t>POINT (-73.9790980124501 40.7685934093915)</t>
  </si>
  <si>
    <t>13A-PM-1014-04</t>
  </si>
  <si>
    <t>POINT (-73.9742986032935 40.7770454318226)</t>
  </si>
  <si>
    <t>4D-PM-1008-04</t>
  </si>
  <si>
    <t>POINT (-73.9763719445827 40.7689551413337)</t>
  </si>
  <si>
    <t>40A-PM-1014-05</t>
  </si>
  <si>
    <t>eating (in a tree cage thing)</t>
  </si>
  <si>
    <t>POINT (-73.9585862117341 40.7986549251083)</t>
  </si>
  <si>
    <t>12H-PM-1007-03</t>
  </si>
  <si>
    <t>POINT (-73.9677474313377 40.7742119240825)</t>
  </si>
  <si>
    <t>13D-AM-1014-02</t>
  </si>
  <si>
    <t>POINT (-73.9711666523376 40.7761513057034)</t>
  </si>
  <si>
    <t>28B-PM-1010-01</t>
  </si>
  <si>
    <t>POINT (-73.9654741695628 40.7890427851106)</t>
  </si>
  <si>
    <t>1G-PM-1010-03</t>
  </si>
  <si>
    <t>POINT (-73.9747313152152 40.7653888351839)</t>
  </si>
  <si>
    <t>39F-PM-1006-01</t>
  </si>
  <si>
    <t>carrying leaves</t>
  </si>
  <si>
    <t>POINT (-73.9541748083177 40.7952758442897)</t>
  </si>
  <si>
    <t>10B-PM-1014-04</t>
  </si>
  <si>
    <t>POINT (-73.9747963162162 40.7745023355775)</t>
  </si>
  <si>
    <t>21H-PM-1018-03</t>
  </si>
  <si>
    <t>POINT (-73.962524814515 40.7810022923615)</t>
  </si>
  <si>
    <t>5F-PM-1007-04</t>
  </si>
  <si>
    <t>POINT (-73.9736238258579 40.7688712771191)</t>
  </si>
  <si>
    <t>3I-AM-1010-05</t>
  </si>
  <si>
    <t>POINT (-73.9722530826293 40.7667138028361)</t>
  </si>
  <si>
    <t>11H-AM-1010-08</t>
  </si>
  <si>
    <t>POINT (-73.9687020800791 40.7735903424522)</t>
  </si>
  <si>
    <t>13E-AM-1017-04</t>
  </si>
  <si>
    <t>POINT (-73.9703604542938 40.7762690223294)</t>
  </si>
  <si>
    <t>4D-PM-1008-10</t>
  </si>
  <si>
    <t>climbed the fence &amp; posed for a picture</t>
  </si>
  <si>
    <t>POINT (-73.9767389132988 40.7689323691424)</t>
  </si>
  <si>
    <t>32A-AM-1018-04</t>
  </si>
  <si>
    <t>Base of tree</t>
  </si>
  <si>
    <t>POINT (-73.9630596103391 40.7925720620556)</t>
  </si>
  <si>
    <t>13D-AM-1014-09</t>
  </si>
  <si>
    <t>POINT (-73.9713257586372 40.7762719619467)</t>
  </si>
  <si>
    <t>40A-AM-1010-02</t>
  </si>
  <si>
    <t>edge of park at 108th West</t>
  </si>
  <si>
    <t>POINT (-73.9587236619579 40.7991850180434)</t>
  </si>
  <si>
    <t>29A-AM-1013-01</t>
  </si>
  <si>
    <t>climbed tree (oak)</t>
  </si>
  <si>
    <t>POINT (-73.9654409838612 40.7901338748522)</t>
  </si>
  <si>
    <t>33B-PM-1010-05</t>
  </si>
  <si>
    <t>POINT (-73.9619019299709 40.7924476439693)</t>
  </si>
  <si>
    <t>18I-PM-1007-04</t>
  </si>
  <si>
    <t>walking sitting up</t>
  </si>
  <si>
    <t>POINT (-73.9639801411692 40.7778921302618)</t>
  </si>
  <si>
    <t>32A-AM-1018-03</t>
  </si>
  <si>
    <t>POINT (-73.9631468456897 40.7926110399714)</t>
  </si>
  <si>
    <t>6C-PM-1020-01</t>
  </si>
  <si>
    <t>Across Transverse</t>
  </si>
  <si>
    <t>POINT (-73.9766693184436 40.7708879215854)</t>
  </si>
  <si>
    <t>38D-AM-1017-06</t>
  </si>
  <si>
    <t>POINT (-73.9575791421589 40.7959934459432)</t>
  </si>
  <si>
    <t>33E-AM-1014-01</t>
  </si>
  <si>
    <t>POINT (-73.959412243507 40.7917871123534)</t>
  </si>
  <si>
    <t>11D-AM-1010-08</t>
  </si>
  <si>
    <t>drinking</t>
  </si>
  <si>
    <t>POINT (-73.9724083320538 40.7744163768061)</t>
  </si>
  <si>
    <t>41B-AM-1010-01</t>
  </si>
  <si>
    <t>POINT (-73.9580681648547 40.7992010012653)</t>
  </si>
  <si>
    <t>20B-PM-1013-09</t>
  </si>
  <si>
    <t>POINT (-73.9688817006443 40.7829120321438)</t>
  </si>
  <si>
    <t>35E-AM-1020-02</t>
  </si>
  <si>
    <t>cleaning herself</t>
  </si>
  <si>
    <t>POINT (-73.9571808775915 40.7934443866725)</t>
  </si>
  <si>
    <t>9F-PM-1014-06</t>
  </si>
  <si>
    <t>running (from birds)</t>
  </si>
  <si>
    <t>POINT (-73.9716414586381 40.771760114722)</t>
  </si>
  <si>
    <t>1B-AM-1012-04</t>
  </si>
  <si>
    <t>POINT (-73.9800094828465 40.7677782585639)</t>
  </si>
  <si>
    <t>39I-PM-1013-02</t>
  </si>
  <si>
    <t>POINT (-73.9513477815203 40.7945259614138)</t>
  </si>
  <si>
    <t>21B-PM-1017-04</t>
  </si>
  <si>
    <t>POINT (-73.9689586689061 40.7839613907139)</t>
  </si>
  <si>
    <t>14E-AM-1008-18</t>
  </si>
  <si>
    <t>POINT (-73.9700158929437 40.7762359066591)</t>
  </si>
  <si>
    <t>3I-PM-1013-03</t>
  </si>
  <si>
    <t>POINT (-73.9721159387757 40.7660503188637)</t>
  </si>
  <si>
    <t>8B-PM-1012-07</t>
  </si>
  <si>
    <t>POINT (-73.9756533763813 40.7733537881363)</t>
  </si>
  <si>
    <t>31I-PM-1019-04</t>
  </si>
  <si>
    <t>POINT (-73.95637248383372 40.7882504581015)</t>
  </si>
  <si>
    <t>4D-AM-1012-04</t>
  </si>
  <si>
    <t>POINT (-73.9766342759486 40.7687518380873)</t>
  </si>
  <si>
    <t>31A-PM-1017-01</t>
  </si>
  <si>
    <t>Gray lower back, Gray &amp; Cinnamon selected as Primary with "lower back" written in next to Gray. White selected as Highlights. Made executive adjustments.</t>
  </si>
  <si>
    <t>POINT (-73.9643538221947 40.7917565604735)</t>
  </si>
  <si>
    <t>6C-AM-1007-05</t>
  </si>
  <si>
    <t>POINT (-73.9766012108307 40.7712310725379)</t>
  </si>
  <si>
    <t>23A-AM-1018-05</t>
  </si>
  <si>
    <t>POINT (-73.9684632673603 40.7848909525198)</t>
  </si>
  <si>
    <t>4F-PM-1013-03</t>
  </si>
  <si>
    <t>POINT (-73.9746063250438 40.7687654196811)</t>
  </si>
  <si>
    <t>40C-AM-1017-04</t>
  </si>
  <si>
    <t>POINT (-73.9570722262693 40.7985706143519)</t>
  </si>
  <si>
    <t>33B-AM-1010-01</t>
  </si>
  <si>
    <t>POINT (-73.9617207091245 40.7922839025935)</t>
  </si>
  <si>
    <t>25B-PM-1007-01</t>
  </si>
  <si>
    <t>POINT (-73.9668442742942 40.7870781042595)</t>
  </si>
  <si>
    <t>15E-PM-1008-08</t>
  </si>
  <si>
    <t>POINT (-73.970033345821 40.777259393859)</t>
  </si>
  <si>
    <t>35A-PM-1013-01</t>
  </si>
  <si>
    <t>POINT (-73.9619735385483 40.7944667974974)</t>
  </si>
  <si>
    <t>11B-AM-1007-01</t>
  </si>
  <si>
    <t>POINT (-73.9752079247419 40.7755376979002)</t>
  </si>
  <si>
    <t>10E-AM-1010-02</t>
  </si>
  <si>
    <t>POINT (-73.972415182837 40.773080463452)</t>
  </si>
  <si>
    <t>12G-AM-1012-04</t>
  </si>
  <si>
    <t>POINT (-73.9688293382172 40.773895802756805)</t>
  </si>
  <si>
    <t>1D-PM-1007-01</t>
  </si>
  <si>
    <t>POINT (-73.9775592228416 40.7668485329273)</t>
  </si>
  <si>
    <t>6H-PM-1020-01</t>
  </si>
  <si>
    <t>POINT (-73.9710991846972 40.7689827824241)</t>
  </si>
  <si>
    <t>12F-PM-1007-09</t>
  </si>
  <si>
    <t>POINT (-73.9698663926657 40.773999710413)</t>
  </si>
  <si>
    <t>36I-PM-1007-08</t>
  </si>
  <si>
    <t>POINT (-73.9528482858163 40.7922056218325)</t>
  </si>
  <si>
    <t>33C-PM-1007-04</t>
  </si>
  <si>
    <t>POINT (-73.9616141152539 40.7921803313341)</t>
  </si>
  <si>
    <t>2G-AM-1010-02</t>
  </si>
  <si>
    <t>POINT (-73.9744390217386 40.7663168362582)</t>
  </si>
  <si>
    <t>31B-AM-1017-01</t>
  </si>
  <si>
    <t>POINT (-73.9635140434993 40.7912807969365)</t>
  </si>
  <si>
    <t>42H-PM-1014-04</t>
  </si>
  <si>
    <t>POINT (-73.9503533343658 40.7976543603953)</t>
  </si>
  <si>
    <t>21D-PM-1008-02</t>
  </si>
  <si>
    <t>POINT (-73.9675637870968 40.7823880671728)</t>
  </si>
  <si>
    <t>37D-PM-1014-01</t>
  </si>
  <si>
    <t>eyes from a safe distance</t>
  </si>
  <si>
    <t>POINT (-73.9580906814132 40.7948404060484)</t>
  </si>
  <si>
    <t>23B-PM-1012-06</t>
  </si>
  <si>
    <t>scolding</t>
  </si>
  <si>
    <t>POINT (-73.9678831312936 40.7847605974975)</t>
  </si>
  <si>
    <t>35B-PM-1013-04</t>
  </si>
  <si>
    <t>got threatened by dog (same dog,dog #1)</t>
  </si>
  <si>
    <t>POINT (-73.9613701960898 40.7943363227822)</t>
  </si>
  <si>
    <t>17I-AM-1014-03</t>
  </si>
  <si>
    <t>Cinnamon face</t>
  </si>
  <si>
    <t>climbing (dog barked &amp; it ran up tree)</t>
  </si>
  <si>
    <t>POINT (-73.964661337306 40.7769785494935)</t>
  </si>
  <si>
    <t>19E-PM-1018-04</t>
  </si>
  <si>
    <t>POINT (-73.9665572004288 40.7804347548303)</t>
  </si>
  <si>
    <t>9B-AM-1010-08</t>
  </si>
  <si>
    <t>Cinnamon head, White (Almost Silver)</t>
  </si>
  <si>
    <t>POINT (-73.9759163300535 40.7736180793606)</t>
  </si>
  <si>
    <t>6D-PM-1020-02</t>
  </si>
  <si>
    <t>POINT (-73.9756457597888 40.7703559775625)</t>
  </si>
  <si>
    <t>23C-AM-1019-01</t>
  </si>
  <si>
    <t>Gray &amp; Cinnamon selected as Primary. Gray, Cinnamon &amp; White selected as Highlights. Made executive adjustments.</t>
  </si>
  <si>
    <t>eating (on branch)</t>
  </si>
  <si>
    <t>POINT (-73.9662895079734 40.7843300758044)</t>
  </si>
  <si>
    <t>21F-PM-1018-02</t>
  </si>
  <si>
    <t>POINT (-73.9645437409662 40.7811599933331)</t>
  </si>
  <si>
    <t>30B-AM-1007-04</t>
  </si>
  <si>
    <t>POINT (-73.9639431360458 40.7908677445466)</t>
  </si>
  <si>
    <t>19A-PM-1013-05</t>
  </si>
  <si>
    <t>POINT (-73.9704015859639 40.7825600069973)</t>
  </si>
  <si>
    <t>22D-PM-1012-07</t>
  </si>
  <si>
    <t>POINT (-73.9665871993517 40.7836775064883)</t>
  </si>
  <si>
    <t>29B-PM-1010-02</t>
  </si>
  <si>
    <t>POINT (-73.9639941227864 40.7899152327912)</t>
  </si>
  <si>
    <t>5E-PM-1012-01</t>
  </si>
  <si>
    <t>POINT (-73.9754794191553 40.7696404489025)</t>
  </si>
  <si>
    <t>2018 Central Park Squirrel Census - Data Profile</t>
  </si>
  <si>
    <t>OVERVIEW</t>
  </si>
  <si>
    <t>Metric</t>
  </si>
  <si>
    <t>Value</t>
  </si>
  <si>
    <t>Notes / Assumptions</t>
  </si>
  <si>
    <t>Total Sightings</t>
  </si>
  <si>
    <t>One row per squirrel sighting observed</t>
  </si>
  <si>
    <t>Unique Squirrel IDs</t>
  </si>
  <si>
    <t>Unique Hectares</t>
  </si>
  <si>
    <t>Park gridded into hectares (e.g., 37F)</t>
  </si>
  <si>
    <t>Census Period</t>
  </si>
  <si>
    <t>Early-Mid October 2018</t>
  </si>
  <si>
    <t>Dates formatted as MMDDYYYY numeric</t>
  </si>
  <si>
    <t>SHIFT BREAKDOWN</t>
  </si>
  <si>
    <t>Count</t>
  </si>
  <si>
    <t>Percentage</t>
  </si>
  <si>
    <t>Total</t>
  </si>
  <si>
    <t>AGE DISTRIBUTION</t>
  </si>
  <si>
    <t>Unknown (?)</t>
  </si>
  <si>
    <t>PRIMARY FUR COLOR</t>
  </si>
  <si>
    <t>Color</t>
  </si>
  <si>
    <t>Other/Blank</t>
  </si>
  <si>
    <t>LOCATION (Ground vs Above)</t>
  </si>
  <si>
    <t>BEHAVIORS &amp; ACTIVITIES (Count of TRUE)</t>
  </si>
  <si>
    <t>Behavior</t>
  </si>
  <si>
    <t>% of Sightings</t>
  </si>
  <si>
    <t>Running (P)</t>
  </si>
  <si>
    <t>Chasing (Q)</t>
  </si>
  <si>
    <t>Climbing (R)</t>
  </si>
  <si>
    <t>Eating (S)</t>
  </si>
  <si>
    <t>Foraging (T)</t>
  </si>
  <si>
    <t>Kuks (V)</t>
  </si>
  <si>
    <t>Quaas (W)</t>
  </si>
  <si>
    <t>Moans (X)</t>
  </si>
  <si>
    <t>Tail flags (Y)</t>
  </si>
  <si>
    <t>Tail twitches (Z)</t>
  </si>
  <si>
    <t>Approaches (AA)</t>
  </si>
  <si>
    <t>Indifferent (AB)</t>
  </si>
  <si>
    <t>Runs from (AC)</t>
  </si>
  <si>
    <t>Other Interactions (AD)</t>
  </si>
  <si>
    <t>DATE DISTRIBUTION (Census Days)</t>
  </si>
  <si>
    <t>Date (MMDDYYYY)</t>
  </si>
  <si>
    <t>%</t>
  </si>
  <si>
    <t>Parsed Date</t>
  </si>
  <si>
    <t>11 census days</t>
  </si>
  <si>
    <t>Day of Week</t>
  </si>
  <si>
    <t>(blank)</t>
  </si>
  <si>
    <t>Distinct count ~3018 (5 possible duplicate IDs in data)</t>
  </si>
  <si>
    <t>Source: NYC Open Data (2018 Central Park Squirrel Census) | 3,023 sightings in October 2018</t>
  </si>
  <si>
    <t>KEY INSIGHTS</t>
  </si>
  <si>
    <t>• 3,023 sightings over 11 days (Oct 6–20, 2018). Gray squirrels 81.8%; mostly adults (84.9%).</t>
  </si>
  <si>
    <t>• PM shift slightly busier (55%). ~70% on ground plane.</t>
  </si>
  <si>
    <t>• Top behaviors: Foraging (~48%), Indifferent (~48%), Eating/Running/Climbing (~22-25% each).</t>
  </si>
  <si>
    <t>• Busiest day: Oct 13 (434 sightings). Rare vocalizations (moans &lt;0.1%).</t>
  </si>
  <si>
    <t>DATA NOTES &amp; METHODOLOGY</t>
  </si>
  <si>
    <t>• All stats derived from live formulas (COUNTIF, SUMPRODUCT, DATE parsing) referencing the source table.</t>
  </si>
  <si>
    <t>• Source: NYC Open Data - 2018 Central Park Squirrel Census (https://data.cityofnewyork.us/Environment/2018-Central-Park-Squirrel-Census-Squirrel-Data/vfnx-vebw).</t>
  </si>
  <si>
    <t>• Pivots and charts provide interactive views; refresh in Excel if data changes.</t>
  </si>
  <si>
    <t>• Common behaviors: Foraging (47%), Indifferent to humans (48%), Running (24%), Eating (25%), Climbing (22%).</t>
  </si>
  <si>
    <t>TOP HECTARES (Top 5 by sightings count)</t>
  </si>
  <si>
    <t>Note: Hardcoded from analysis; add Hectare pivot for live version.</t>
  </si>
  <si>
    <t>PROFILE CONTENTS &amp; REFERENCE LIST</t>
  </si>
  <si>
    <t>(Use this list to quickly navigate or recall what was built)</t>
  </si>
  <si>
    <t>1. TITLE &amp; SOURCE</t>
  </si>
  <si>
    <t xml:space="preserve">   - Main title row with professional styling</t>
  </si>
  <si>
    <t xml:space="preserve">   - Source credit (NYC Open Data / 2018 Squirrel Census)</t>
  </si>
  <si>
    <t>2. OVERVIEW SECTION (rows 4-10)</t>
  </si>
  <si>
    <t xml:space="preserve">   - Total Sightings: 3,023 (live COUNTA formula)</t>
  </si>
  <si>
    <t xml:space="preserve">   - Unique Squirrel IDs (~3,018)</t>
  </si>
  <si>
    <t xml:space="preserve">   - Unique Hectares (339)</t>
  </si>
  <si>
    <t xml:space="preserve">   - Census Period and Shifts summary</t>
  </si>
  <si>
    <t>3. CATEGORICAL BREAKDOWN TABLES</t>
  </si>
  <si>
    <t xml:space="preserve">   - Shift Breakdown (AM/PM counts + %)</t>
  </si>
  <si>
    <t xml:space="preserve">   - Age Distribution (Adult/Juvenile/?)</t>
  </si>
  <si>
    <t xml:space="preserve">   - Primary Fur Color (Gray, Cinnamon, Black)</t>
  </si>
  <si>
    <t xml:space="preserve">   - Location (Ground Plane vs Above Ground)</t>
  </si>
  <si>
    <t xml:space="preserve">   - Behaviors &amp; Activities (14 flags: Running, Foraging, Indifferent, etc. with TRUE counts)</t>
  </si>
  <si>
    <t xml:space="preserve">   - Date Distribution (11 days, counts, %, parsed dates, weekdays)</t>
  </si>
  <si>
    <t>4. PIVOT TABLES (Cross-Tabulations)</t>
  </si>
  <si>
    <t xml:space="preserve">   - ColorByShift (at A74)</t>
  </si>
  <si>
    <t xml:space="preserve">   - ShiftByAge (at A83)</t>
  </si>
  <si>
    <t xml:space="preserve">   - AgeByLocation (at A90)</t>
  </si>
  <si>
    <t>5. CHARTS (right side, repositioned &amp; resized)</t>
  </si>
  <si>
    <t xml:space="preserve">   - ShiftPie (Pie chart)</t>
  </si>
  <si>
    <t xml:space="preserve">   - FurColorChart (Column clustered)</t>
  </si>
  <si>
    <t xml:space="preserve">   - AgePie (Pie)</t>
  </si>
  <si>
    <t xml:space="preserve">   - BehaviorsChart (Bar clustered)</t>
  </si>
  <si>
    <t xml:space="preserve">   - LocationScatterSample (XY Scatter - sample points)</t>
  </si>
  <si>
    <t>6. KEY INSIGHTS (bulleted summary)</t>
  </si>
  <si>
    <t xml:space="preserve">   - High-level findings on distributions and behaviors</t>
  </si>
  <si>
    <t>7. TOP HECTARES</t>
  </si>
  <si>
    <t xml:space="preserve">   - Top 5 hectares by sighting count (hardcoded summary)</t>
  </si>
  <si>
    <t>8. DATA NOTES &amp; METHODOLOGY</t>
  </si>
  <si>
    <t xml:space="preserve">   - Live formulas used (COUNTIF, SUMPRODUCT, DATE parsing)</t>
  </si>
  <si>
    <t xml:space="preserve">   - Source link and refresh notes</t>
  </si>
  <si>
    <t>9. FORMATTING &amp; LAYOUT IMPROVEMENTS</t>
  </si>
  <si>
    <t xml:space="preserve">   - Consistent section headers (#2F5496 blue/white)</t>
  </si>
  <si>
    <t xml:space="preserve">   - Table borders, total styling (bold + double bottom)</t>
  </si>
  <si>
    <t xml:space="preserve">   - Column widths tuned, alignment (numbers right, labels left)</t>
  </si>
  <si>
    <t xml:space="preserve">   - Charts repositioned to right, non-overlapping, resized</t>
  </si>
  <si>
    <t xml:space="preserve">   - Pivots organized in dedicated section with side-by-side layout</t>
  </si>
  <si>
    <t xml:space="preserve">   - Source data converted to Excel Table 'SquirrelData' (A1:AE3024)</t>
  </si>
  <si>
    <t>10. SUPPORTING DATA (on Squirrel_Data sheet)</t>
  </si>
  <si>
    <t xml:space="preserve">   - All analysis formulas and pivots link back to this table on the renamed sheet</t>
  </si>
  <si>
    <t xml:space="preserve">   - Total Sightings: ~1000 (live COUNTA formula)</t>
  </si>
  <si>
    <t xml:space="preserve">   - Unique Squirrel IDs (~1000)</t>
  </si>
  <si>
    <t xml:space="preserve">   - Unique Hectares (~324)</t>
  </si>
  <si>
    <t>10. SUPPORTING DATA (on Fake_Squirrel_Data sheet)</t>
  </si>
  <si>
    <t xml:space="preserve">   - Source data converted to Excel Table 'SquirrelData' (A1:AC1001)</t>
  </si>
  <si>
    <t xml:space="preserve">   - All analysis formulas link back to this table on the renamed sheet</t>
  </si>
  <si>
    <t>Source: Fake dataset based on NYC Open Data Squirrel Census | ~1000 sightings (rows 2-1001, cols A:AC)</t>
  </si>
  <si>
    <t xml:space="preserve">   - Census Period and Shifts summary (note: date values in fake data are serial numbers)</t>
  </si>
  <si>
    <t xml:space="preserve">   - Date Distribution (using actual dates from fake data)</t>
  </si>
  <si>
    <t>• ~1000 sightings (fake data rows 2-1001). Note: distributions are simulated.</t>
  </si>
  <si>
    <t>Fake Squirrel Census Data Profile (based on original structure)</t>
  </si>
  <si>
    <t>4. CHARTS (right side)</t>
  </si>
  <si>
    <t xml:space="preserve">   - ShiftPie, FurColorChart, AgePie, BehaviorsChart, LocationScatterSample</t>
  </si>
  <si>
    <t xml:space="preserve">   - High-level findings on distributions and behaviors (updated for fake data)</t>
  </si>
  <si>
    <t>7. TOP HECTARES (hardcoded example)</t>
  </si>
  <si>
    <t xml:space="preserve">   - Top 5 hectares by sighting count (example values)</t>
  </si>
  <si>
    <t>15 census days</t>
  </si>
  <si>
    <t>• Top behaviors: Foraging (~49%), Indifferent (~44%), others vary.</t>
  </si>
  <si>
    <t>• All 1000 rows have date values across 15 unique days.</t>
  </si>
  <si>
    <t>• Data columns remapped for fake dataset (e.g. ID in column AC).</t>
  </si>
  <si>
    <t>• All stats derived from live formulas (COUNTIF, SUMPRODUCT) referencing Fake_Squirrel_Data!E2:E1001 etc.</t>
  </si>
  <si>
    <t>• Date distribution now includes all 15 unique dates from the fake data (total 1000).</t>
  </si>
  <si>
    <t>(Note: Top 5 from fake data in column C; add Hectare pivot for live/dynamic version.)</t>
  </si>
  <si>
    <t>Fake Profile</t>
  </si>
  <si>
    <t>KEY DISTRIBUTION COMPARISON (% of Total)</t>
  </si>
  <si>
    <t>Category</t>
  </si>
  <si>
    <t>Profile %</t>
  </si>
  <si>
    <t>Fake Profile %</t>
  </si>
  <si>
    <t>Diff (pp)</t>
  </si>
  <si>
    <t>PM Shift</t>
  </si>
  <si>
    <t>Adult Age</t>
  </si>
  <si>
    <t>Gray Fur</t>
  </si>
  <si>
    <t>Ground Plane Location</t>
  </si>
  <si>
    <t>Foraging Behavior</t>
  </si>
  <si>
    <t>Indifferent Interaction</t>
  </si>
  <si>
    <t>Profile</t>
  </si>
  <si>
    <t>AGE COMPARISON</t>
  </si>
  <si>
    <t>Real Count</t>
  </si>
  <si>
    <t>Real % (3023)</t>
  </si>
  <si>
    <t>Fake Count</t>
  </si>
  <si>
    <t>Fake % (1000)</t>
  </si>
  <si>
    <t>PRIMARY FUR COLOR COMPARISON</t>
  </si>
  <si>
    <t>BEHAVIORS &amp; ACTIVITIES COMPARISON</t>
  </si>
  <si>
    <t>Total (sum of flags)</t>
  </si>
  <si>
    <t>36C-AM-835712-25</t>
  </si>
  <si>
    <t>06A-PM-390530-29</t>
  </si>
  <si>
    <t>36C-AM-690940-20</t>
  </si>
  <si>
    <t>31I-PM-984555-05</t>
  </si>
  <si>
    <t>39A-AM-999915-29</t>
  </si>
  <si>
    <t>25B-AM-236659-05</t>
  </si>
  <si>
    <t>12G-AM-836699-01</t>
  </si>
  <si>
    <t>18G-AM-935471-09</t>
  </si>
  <si>
    <t>40C-AM-462793-29</t>
  </si>
  <si>
    <t>18I-AM-816748-16</t>
  </si>
  <si>
    <t>22B-AM-103005-20</t>
  </si>
  <si>
    <t>40B-AM-378364-25</t>
  </si>
  <si>
    <t>18E-AM-835043-14</t>
  </si>
  <si>
    <t>25I-PM-622779-05</t>
  </si>
  <si>
    <t>08I-PM-231148-25</t>
  </si>
  <si>
    <t>19H-AM-250018-05</t>
  </si>
  <si>
    <t>06F-PM-909903-19</t>
  </si>
  <si>
    <t>24B-AM-554747-19</t>
  </si>
  <si>
    <t>38H-AM-271792-18</t>
  </si>
  <si>
    <t>08G-PM-614513-25</t>
  </si>
  <si>
    <t>12I-AM-374006-08</t>
  </si>
  <si>
    <t>14I-AM-168273-09</t>
  </si>
  <si>
    <t>16F-PM-646076-19</t>
  </si>
  <si>
    <t>36H-PM-170185-29</t>
  </si>
  <si>
    <t>22B-AM-807649-28</t>
  </si>
  <si>
    <t>40E-PM-763184-25</t>
  </si>
  <si>
    <t>01B-PM-107799-13</t>
  </si>
  <si>
    <t>09D-AM-709694-28</t>
  </si>
  <si>
    <t>29B-PM-882703-20</t>
  </si>
  <si>
    <t>02H-PM-895046-28</t>
  </si>
  <si>
    <t>22D-AM-438781-03</t>
  </si>
  <si>
    <t>16A-PM-120914-20</t>
  </si>
  <si>
    <t>06B-PM-371759-02</t>
  </si>
  <si>
    <t>14D-AM-450733-26</t>
  </si>
  <si>
    <t>06E-AM-551027-10</t>
  </si>
  <si>
    <t>02E-AM-409042-24</t>
  </si>
  <si>
    <t>41G-PM-995850-18</t>
  </si>
  <si>
    <t>12I-AM-176031-11</t>
  </si>
  <si>
    <t>37D-AM-485096-19</t>
  </si>
  <si>
    <t>42E-PM-795635-29</t>
  </si>
  <si>
    <t>03G-AM-534781-26</t>
  </si>
  <si>
    <t>19B-AM-209822-03</t>
  </si>
  <si>
    <t>10H-AM-700898-24</t>
  </si>
  <si>
    <t>34A-AM-520647-29</t>
  </si>
  <si>
    <t>09A-PM-746812-06</t>
  </si>
  <si>
    <t>16F-AM-782931-01</t>
  </si>
  <si>
    <t>09G-AM-559187-24</t>
  </si>
  <si>
    <t>14I-PM-948229-02</t>
  </si>
  <si>
    <t>39E-AM-815003-07</t>
  </si>
  <si>
    <t>15I-PM-587242-11</t>
  </si>
  <si>
    <t>20G-PM-862659-20</t>
  </si>
  <si>
    <t>42G-PM-561118-16</t>
  </si>
  <si>
    <t>09B-AM-701278-05</t>
  </si>
  <si>
    <t>16G-PM-431095-07</t>
  </si>
  <si>
    <t>16G-PM-306840-16</t>
  </si>
  <si>
    <t>17C-PM-137459-22</t>
  </si>
  <si>
    <t>19D-AM-320821-09</t>
  </si>
  <si>
    <t>30B-AM-184985-29</t>
  </si>
  <si>
    <t>15I-AM-817844-05</t>
  </si>
  <si>
    <t>15A-AM-884629-27</t>
  </si>
  <si>
    <t>14E-AM-299269-03</t>
  </si>
  <si>
    <t>41A-AM-188295-28</t>
  </si>
  <si>
    <t>30E-AM-410085-16</t>
  </si>
  <si>
    <t>41A-PM-925307-16</t>
  </si>
  <si>
    <t>22A-PM-768058-21</t>
  </si>
  <si>
    <t>27B-PM-423970-17</t>
  </si>
  <si>
    <t>13E-PM-224628-06</t>
  </si>
  <si>
    <t>21B-AM-703133-06</t>
  </si>
  <si>
    <t>32F-PM-770493-22</t>
  </si>
  <si>
    <t>04D-PM-304818-20</t>
  </si>
  <si>
    <t>29H-PM-497294-19</t>
  </si>
  <si>
    <t>19C-PM-635425-08</t>
  </si>
  <si>
    <t>27B-AM-391494-27</t>
  </si>
  <si>
    <t>41A-AM-230119-13</t>
  </si>
  <si>
    <t>08A-AM-110165-27</t>
  </si>
  <si>
    <t>31D-PM-506862-12</t>
  </si>
  <si>
    <t>31F-AM-723181-07</t>
  </si>
  <si>
    <t>15I-PM-392880-26</t>
  </si>
  <si>
    <t>07F-AM-944516-20</t>
  </si>
  <si>
    <t>17I-AM-186665-19</t>
  </si>
  <si>
    <t>33C-AM-762737-25</t>
  </si>
  <si>
    <t>05I-AM-567799-10</t>
  </si>
  <si>
    <t>02F-AM-490014-02</t>
  </si>
  <si>
    <t>39F-PM-118277-03</t>
  </si>
  <si>
    <t>36D-AM-970194-05</t>
  </si>
  <si>
    <t>29A-PM-444390-07</t>
  </si>
  <si>
    <t>06I-PM-914234-10</t>
  </si>
  <si>
    <t>18A-PM-577536-11</t>
  </si>
  <si>
    <t>34E-PM-300886-07</t>
  </si>
  <si>
    <t>16I-PM-359717-06</t>
  </si>
  <si>
    <t>06B-AM-762860-16</t>
  </si>
  <si>
    <t>10F-AM-580588-02</t>
  </si>
  <si>
    <t>31G-AM-420956-19</t>
  </si>
  <si>
    <t>22D-AM-109201-25</t>
  </si>
  <si>
    <t>42F-PM-119941-02</t>
  </si>
  <si>
    <t>33E-AM-158418-26</t>
  </si>
  <si>
    <t>36A-AM-403685-20</t>
  </si>
  <si>
    <t>31G-PM-170422-22</t>
  </si>
  <si>
    <t>20F-PM-255022-06</t>
  </si>
  <si>
    <t>40I-AM-823163-03</t>
  </si>
  <si>
    <t>31I-AM-559722-08</t>
  </si>
  <si>
    <t>23D-PM-524504-22</t>
  </si>
  <si>
    <t>23C-AM-445009-17</t>
  </si>
  <si>
    <t>30C-AM-638738-19</t>
  </si>
  <si>
    <t>29I-AM-878239-24</t>
  </si>
  <si>
    <t>19C-AM-167583-21</t>
  </si>
  <si>
    <t>09D-PM-885648-27</t>
  </si>
  <si>
    <t>15C-PM-899523-07</t>
  </si>
  <si>
    <t>40B-PM-580324-26</t>
  </si>
  <si>
    <t>10B-AM-127663-06</t>
  </si>
  <si>
    <t>02B-AM-499949-26</t>
  </si>
  <si>
    <t>14H-AM-858707-02</t>
  </si>
  <si>
    <t>42I-AM-240401-18</t>
  </si>
  <si>
    <t>31F-AM-949868-28</t>
  </si>
  <si>
    <t>21A-PM-230705-17</t>
  </si>
  <si>
    <t>35B-AM-845708-28</t>
  </si>
  <si>
    <t>16F-AM-693867-03</t>
  </si>
  <si>
    <t>01H-PM-198901-07</t>
  </si>
  <si>
    <t>06C-AM-749344-05</t>
  </si>
  <si>
    <t>26B-PM-462772-01</t>
  </si>
  <si>
    <t>28I-PM-271139-26</t>
  </si>
  <si>
    <t>41D-PM-234400-13</t>
  </si>
  <si>
    <t>33F-PM-125261-15</t>
  </si>
  <si>
    <t>17B-PM-496496-12</t>
  </si>
  <si>
    <t>32I-AM-262814-07</t>
  </si>
  <si>
    <t>07G-PM-478870-19</t>
  </si>
  <si>
    <t>32H-PM-711830-03</t>
  </si>
  <si>
    <t>16E-AM-331601-26</t>
  </si>
  <si>
    <t>06G-AM-606398-04</t>
  </si>
  <si>
    <t>29D-PM-895965-26</t>
  </si>
  <si>
    <t>03D-AM-488034-12</t>
  </si>
  <si>
    <t>21F-AM-506582-28</t>
  </si>
  <si>
    <t>02B-PM-355019-17</t>
  </si>
  <si>
    <t>39I-PM-659086-02</t>
  </si>
  <si>
    <t>28I-AM-811303-14</t>
  </si>
  <si>
    <t>14B-PM-474116-03</t>
  </si>
  <si>
    <t>25B-PM-837897-07</t>
  </si>
  <si>
    <t>21H-AM-351197-11</t>
  </si>
  <si>
    <t>09H-PM-282206-15</t>
  </si>
  <si>
    <t>15D-PM-427873-05</t>
  </si>
  <si>
    <t>35C-PM-841738-08</t>
  </si>
  <si>
    <t>36C-PM-811423-13</t>
  </si>
  <si>
    <t>12F-PM-931594-17</t>
  </si>
  <si>
    <t>33F-AM-847424-19</t>
  </si>
  <si>
    <t>35E-AM-590994-13</t>
  </si>
  <si>
    <t>20A-PM-859509-23</t>
  </si>
  <si>
    <t>06F-AM-271811-11</t>
  </si>
  <si>
    <t>35E-PM-624209-18</t>
  </si>
  <si>
    <t>05G-PM-409065-17</t>
  </si>
  <si>
    <t>18F-PM-880637-13</t>
  </si>
  <si>
    <t>09E-PM-385725-25</t>
  </si>
  <si>
    <t>18A-PM-121485-07</t>
  </si>
  <si>
    <t>36F-AM-939433-03</t>
  </si>
  <si>
    <t>22F-AM-668257-19</t>
  </si>
  <si>
    <t>37A-PM-644038-05</t>
  </si>
  <si>
    <t>16C-AM-343707-03</t>
  </si>
  <si>
    <t>12F-PM-902904-02</t>
  </si>
  <si>
    <t>28C-AM-118934-26</t>
  </si>
  <si>
    <t>38E-PM-401269-06</t>
  </si>
  <si>
    <t>12I-AM-579757-07</t>
  </si>
  <si>
    <t>10C-PM-291157-02</t>
  </si>
  <si>
    <t>01F-PM-418687-11</t>
  </si>
  <si>
    <t>37H-AM-439636-03</t>
  </si>
  <si>
    <t>05G-AM-420168-08</t>
  </si>
  <si>
    <t>11G-PM-388351-11</t>
  </si>
  <si>
    <t>22G-AM-860817-01</t>
  </si>
  <si>
    <t>33C-PM-947694-04</t>
  </si>
  <si>
    <t>16H-AM-357091-28</t>
  </si>
  <si>
    <t>04G-AM-768425-11</t>
  </si>
  <si>
    <t>09H-PM-257873-23</t>
  </si>
  <si>
    <t>23H-AM-723420-15</t>
  </si>
  <si>
    <t>39G-AM-959138-07</t>
  </si>
  <si>
    <t>03G-PM-583430-17</t>
  </si>
  <si>
    <t>14I-AM-666805-20</t>
  </si>
  <si>
    <t>35F-PM-350714-24</t>
  </si>
  <si>
    <t>06B-PM-354055-03</t>
  </si>
  <si>
    <t>14G-PM-818131-15</t>
  </si>
  <si>
    <t>14H-PM-670272-10</t>
  </si>
  <si>
    <t>36E-PM-958753-07</t>
  </si>
  <si>
    <t>09I-AM-746142-14</t>
  </si>
  <si>
    <t>42H-PM-497871-27</t>
  </si>
  <si>
    <t>33D-PM-884891-15</t>
  </si>
  <si>
    <t>38G-AM-827814-13</t>
  </si>
  <si>
    <t>33E-AM-907864-10</t>
  </si>
  <si>
    <t>04I-AM-596392-09</t>
  </si>
  <si>
    <t>07I-PM-865573-24</t>
  </si>
  <si>
    <t>03G-PM-536152-12</t>
  </si>
  <si>
    <t>07F-PM-593597-23</t>
  </si>
  <si>
    <t>08D-AM-914419-20</t>
  </si>
  <si>
    <t>34E-PM-912597-14</t>
  </si>
  <si>
    <t>03C-AM-648634-20</t>
  </si>
  <si>
    <t>09D-PM-103514-07</t>
  </si>
  <si>
    <t>10H-AM-913991-08</t>
  </si>
  <si>
    <t>28D-PM-159207-02</t>
  </si>
  <si>
    <t>06A-PM-249389-10</t>
  </si>
  <si>
    <t>37B-PM-124881-18</t>
  </si>
  <si>
    <t>29C-AM-329905-16</t>
  </si>
  <si>
    <t>17E-AM-521171-05</t>
  </si>
  <si>
    <t>06C-PM-472659-05</t>
  </si>
  <si>
    <t>38H-PM-353267-23</t>
  </si>
  <si>
    <t>41G-PM-958463-10</t>
  </si>
  <si>
    <t>21G-AM-449117-13</t>
  </si>
  <si>
    <t>21A-PM-610576-18</t>
  </si>
  <si>
    <t>20A-PM-644716-17</t>
  </si>
  <si>
    <t>04E-PM-559387-15</t>
  </si>
  <si>
    <t>02A-PM-442873-12</t>
  </si>
  <si>
    <t>23H-AM-516219-10</t>
  </si>
  <si>
    <t>09F-AM-981196-11</t>
  </si>
  <si>
    <t>16D-PM-172981-10</t>
  </si>
  <si>
    <t>17A-PM-827498-06</t>
  </si>
  <si>
    <t>20G-AM-863488-06</t>
  </si>
  <si>
    <t>08E-AM-333151-05</t>
  </si>
  <si>
    <t>03H-PM-579221-12</t>
  </si>
  <si>
    <t>19C-AM-226283-07</t>
  </si>
  <si>
    <t>09D-AM-782177-28</t>
  </si>
  <si>
    <t>03C-PM-170656-23</t>
  </si>
  <si>
    <t>06G-AM-483576-18</t>
  </si>
  <si>
    <t>22I-AM-497931-07</t>
  </si>
  <si>
    <t>02H-PM-396306-22</t>
  </si>
  <si>
    <t>32C-PM-460002-29</t>
  </si>
  <si>
    <t>37F-AM-595241-29</t>
  </si>
  <si>
    <t>16H-PM-662746-27</t>
  </si>
  <si>
    <t>04G-AM-722826-05</t>
  </si>
  <si>
    <t>21E-PM-735489-08</t>
  </si>
  <si>
    <t>15G-AM-248455-23</t>
  </si>
  <si>
    <t>32E-PM-599845-01</t>
  </si>
  <si>
    <t>01E-AM-550615-01</t>
  </si>
  <si>
    <t>17I-AM-252935-11</t>
  </si>
  <si>
    <t>22D-AM-897809-24</t>
  </si>
  <si>
    <t>21E-PM-622377-12</t>
  </si>
  <si>
    <t>12I-PM-748691-23</t>
  </si>
  <si>
    <t>14H-AM-419631-05</t>
  </si>
  <si>
    <t>06E-AM-549167-24</t>
  </si>
  <si>
    <t>09G-PM-977163-06</t>
  </si>
  <si>
    <t>37A-PM-360637-05</t>
  </si>
  <si>
    <t>14D-PM-338976-19</t>
  </si>
  <si>
    <t>13H-PM-758281-25</t>
  </si>
  <si>
    <t>23E-PM-432414-14</t>
  </si>
  <si>
    <t>40F-PM-916760-21</t>
  </si>
  <si>
    <t>11F-AM-385282-06</t>
  </si>
  <si>
    <t>21F-PM-592356-17</t>
  </si>
  <si>
    <t>39H-AM-617681-12</t>
  </si>
  <si>
    <t>01C-PM-895460-09</t>
  </si>
  <si>
    <t>42H-PM-405963-20</t>
  </si>
  <si>
    <t>04C-AM-358312-03</t>
  </si>
  <si>
    <t>30D-AM-891744-22</t>
  </si>
  <si>
    <t>38B-PM-726414-10</t>
  </si>
  <si>
    <t>39C-AM-260045-07</t>
  </si>
  <si>
    <t>34F-AM-884313-05</t>
  </si>
  <si>
    <t>14D-AM-461523-16</t>
  </si>
  <si>
    <t>26A-AM-456450-17</t>
  </si>
  <si>
    <t>01I-PM-717484-06</t>
  </si>
  <si>
    <t>28D-AM-720473-05</t>
  </si>
  <si>
    <t>38C-PM-216351-16</t>
  </si>
  <si>
    <t>08F-PM-881215-11</t>
  </si>
  <si>
    <t>28A-PM-308976-05</t>
  </si>
  <si>
    <t>30H-PM-282277-10</t>
  </si>
  <si>
    <t>24B-AM-626708-01</t>
  </si>
  <si>
    <t>35F-AM-563069-21</t>
  </si>
  <si>
    <t>31I-PM-189897-17</t>
  </si>
  <si>
    <t>06B-PM-224826-03</t>
  </si>
  <si>
    <t>11G-PM-615131-29</t>
  </si>
  <si>
    <t>02C-PM-280161-29</t>
  </si>
  <si>
    <t>04E-AM-885968-04</t>
  </si>
  <si>
    <t>37E-PM-839617-05</t>
  </si>
  <si>
    <t>33G-AM-852425-01</t>
  </si>
  <si>
    <t>09E-PM-985691-26</t>
  </si>
  <si>
    <t>22I-PM-535456-27</t>
  </si>
  <si>
    <t>30C-PM-314521-04</t>
  </si>
  <si>
    <t>33B-PM-348422-14</t>
  </si>
  <si>
    <t>39E-AM-585741-18</t>
  </si>
  <si>
    <t>12D-AM-279508-22</t>
  </si>
  <si>
    <t>28C-AM-890716-22</t>
  </si>
  <si>
    <t>42C-PM-379729-16</t>
  </si>
  <si>
    <t>04C-PM-981563-28</t>
  </si>
  <si>
    <t>32C-AM-667670-22</t>
  </si>
  <si>
    <t>13A-AM-318565-25</t>
  </si>
  <si>
    <t>09E-PM-187081-02</t>
  </si>
  <si>
    <t>39A-PM-547814-21</t>
  </si>
  <si>
    <t>23I-AM-863344-03</t>
  </si>
  <si>
    <t>32I-PM-825267-12</t>
  </si>
  <si>
    <t>08D-PM-757025-07</t>
  </si>
  <si>
    <t>09I-AM-385151-17</t>
  </si>
  <si>
    <t>22E-PM-306802-12</t>
  </si>
  <si>
    <t>09A-AM-975784-27</t>
  </si>
  <si>
    <t>07C-PM-701037-02</t>
  </si>
  <si>
    <t>35B-AM-974580-04</t>
  </si>
  <si>
    <t>14D-PM-126866-21</t>
  </si>
  <si>
    <t>29B-AM-609269-17</t>
  </si>
  <si>
    <t>05B-AM-955169-17</t>
  </si>
  <si>
    <t>14H-AM-948978-08</t>
  </si>
  <si>
    <t>30H-AM-896759-20</t>
  </si>
  <si>
    <t>01D-PM-564843-25</t>
  </si>
  <si>
    <t>17E-PM-521501-23</t>
  </si>
  <si>
    <t>14I-AM-541850-02</t>
  </si>
  <si>
    <t>10F-PM-606930-24</t>
  </si>
  <si>
    <t>01A-PM-387401-25</t>
  </si>
  <si>
    <t>21B-PM-793948-03</t>
  </si>
  <si>
    <t>31D-PM-104696-28</t>
  </si>
  <si>
    <t>33G-PM-134635-26</t>
  </si>
  <si>
    <t>15I-AM-420687-12</t>
  </si>
  <si>
    <t>39A-AM-774567-05</t>
  </si>
  <si>
    <t>40E-AM-111817-03</t>
  </si>
  <si>
    <t>16B-AM-417402-23</t>
  </si>
  <si>
    <t>10I-PM-755528-12</t>
  </si>
  <si>
    <t>16C-PM-323378-16</t>
  </si>
  <si>
    <t>35A-AM-951380-23</t>
  </si>
  <si>
    <t>10C-PM-180759-29</t>
  </si>
  <si>
    <t>28I-PM-685887-14</t>
  </si>
  <si>
    <t>38C-AM-304635-04</t>
  </si>
  <si>
    <t>26B-PM-995377-10</t>
  </si>
  <si>
    <t>32D-AM-322047-18</t>
  </si>
  <si>
    <t>15F-AM-976683-19</t>
  </si>
  <si>
    <t>16B-PM-194535-01</t>
  </si>
  <si>
    <t>32B-PM-600269-23</t>
  </si>
  <si>
    <t>23H-AM-888005-14</t>
  </si>
  <si>
    <t>22H-AM-108577-09</t>
  </si>
  <si>
    <t>39D-PM-654236-12</t>
  </si>
  <si>
    <t>37C-AM-177700-02</t>
  </si>
  <si>
    <t>22I-AM-946610-07</t>
  </si>
  <si>
    <t>24I-AM-983238-10</t>
  </si>
  <si>
    <t>38C-PM-280112-26</t>
  </si>
  <si>
    <t>04I-AM-309002-28</t>
  </si>
  <si>
    <t>22A-PM-717363-06</t>
  </si>
  <si>
    <t>33F-AM-813607-19</t>
  </si>
  <si>
    <t>25I-PM-614591-19</t>
  </si>
  <si>
    <t>05H-AM-292535-24</t>
  </si>
  <si>
    <t>07F-PM-511344-24</t>
  </si>
  <si>
    <t>37I-PM-730903-18</t>
  </si>
  <si>
    <t>06G-PM-290091-09</t>
  </si>
  <si>
    <t>07H-AM-320079-18</t>
  </si>
  <si>
    <t>08F-AM-374879-16</t>
  </si>
  <si>
    <t>29I-AM-789871-04</t>
  </si>
  <si>
    <t>07C-PM-676981-07</t>
  </si>
  <si>
    <t>07B-AM-431296-24</t>
  </si>
  <si>
    <t>42F-PM-391900-23</t>
  </si>
  <si>
    <t>12I-AM-466675-01</t>
  </si>
  <si>
    <t>06C-PM-153214-08</t>
  </si>
  <si>
    <t>34F-PM-694105-23</t>
  </si>
  <si>
    <t>39D-PM-845543-10</t>
  </si>
  <si>
    <t>38D-AM-884256-21</t>
  </si>
  <si>
    <t>01G-AM-511800-21</t>
  </si>
  <si>
    <t>15H-AM-999516-14</t>
  </si>
  <si>
    <t>02G-PM-486505-28</t>
  </si>
  <si>
    <t>17C-PM-721618-25</t>
  </si>
  <si>
    <t>05G-AM-965020-16</t>
  </si>
  <si>
    <t>07F-AM-740072-20</t>
  </si>
  <si>
    <t>15G-AM-394319-20</t>
  </si>
  <si>
    <t>18D-PM-443802-08</t>
  </si>
  <si>
    <t>37H-PM-958886-11</t>
  </si>
  <si>
    <t>36G-PM-599668-06</t>
  </si>
  <si>
    <t>32H-PM-997774-19</t>
  </si>
  <si>
    <t>19B-PM-638093-15</t>
  </si>
  <si>
    <t>42I-AM-533733-29</t>
  </si>
  <si>
    <t>31G-PM-233943-10</t>
  </si>
  <si>
    <t>08C-PM-399519-14</t>
  </si>
  <si>
    <t>21F-PM-472559-13</t>
  </si>
  <si>
    <t>16G-PM-630122-25</t>
  </si>
  <si>
    <t>28I-PM-753090-08</t>
  </si>
  <si>
    <t>42I-AM-557307-03</t>
  </si>
  <si>
    <t>10H-PM-468052-14</t>
  </si>
  <si>
    <t>09H-PM-992467-29</t>
  </si>
  <si>
    <t>22C-PM-783700-22</t>
  </si>
  <si>
    <t>07B-AM-488910-03</t>
  </si>
  <si>
    <t>38E-AM-705632-15</t>
  </si>
  <si>
    <t>13I-AM-455923-22</t>
  </si>
  <si>
    <t>14D-PM-111809-18</t>
  </si>
  <si>
    <t>35G-AM-773056-09</t>
  </si>
  <si>
    <t>31E-PM-230306-02</t>
  </si>
  <si>
    <t>35H-PM-683439-22</t>
  </si>
  <si>
    <t>15A-AM-294080-09</t>
  </si>
  <si>
    <t>12E-PM-156632-08</t>
  </si>
  <si>
    <t>36E-PM-166533-20</t>
  </si>
  <si>
    <t>06I-PM-171889-16</t>
  </si>
  <si>
    <t>37A-AM-725799-23</t>
  </si>
  <si>
    <t>28D-PM-109275-04</t>
  </si>
  <si>
    <t>22C-PM-738466-15</t>
  </si>
  <si>
    <t>19D-AM-509189-01</t>
  </si>
  <si>
    <t>40D-PM-737462-11</t>
  </si>
  <si>
    <t>42A-PM-985890-13</t>
  </si>
  <si>
    <t>41E-AM-402079-17</t>
  </si>
  <si>
    <t>39F-PM-524817-26</t>
  </si>
  <si>
    <t>31C-PM-459225-14</t>
  </si>
  <si>
    <t>18G-PM-511832-07</t>
  </si>
  <si>
    <t>23A-PM-642118-14</t>
  </si>
  <si>
    <t>41I-PM-666713-24</t>
  </si>
  <si>
    <t>09I-AM-580910-12</t>
  </si>
  <si>
    <t>08H-AM-529067-08</t>
  </si>
  <si>
    <t>34A-AM-354031-09</t>
  </si>
  <si>
    <t>17E-AM-582977-14</t>
  </si>
  <si>
    <t>14E-PM-881527-24</t>
  </si>
  <si>
    <t>34E-PM-355516-16</t>
  </si>
  <si>
    <t>06C-PM-573220-05</t>
  </si>
  <si>
    <t>33C-PM-115091-21</t>
  </si>
  <si>
    <t>10I-PM-355665-18</t>
  </si>
  <si>
    <t>17E-AM-436644-11</t>
  </si>
  <si>
    <t>13H-AM-474924-03</t>
  </si>
  <si>
    <t>39F-PM-389112-18</t>
  </si>
  <si>
    <t>26B-PM-271277-12</t>
  </si>
  <si>
    <t>08F-PM-749689-18</t>
  </si>
  <si>
    <t>40F-AM-390429-20</t>
  </si>
  <si>
    <t>40E-PM-545729-07</t>
  </si>
  <si>
    <t>39C-PM-603982-28</t>
  </si>
  <si>
    <t>03E-PM-764393-15</t>
  </si>
  <si>
    <t>37F-AM-380400-11</t>
  </si>
  <si>
    <t>23D-PM-819713-27</t>
  </si>
  <si>
    <t>09F-AM-655476-18</t>
  </si>
  <si>
    <t>17F-AM-398232-04</t>
  </si>
  <si>
    <t>05H-AM-823624-27</t>
  </si>
  <si>
    <t>32H-AM-232667-17</t>
  </si>
  <si>
    <t>38E-AM-590320-17</t>
  </si>
  <si>
    <t>28I-AM-991581-16</t>
  </si>
  <si>
    <t>19G-PM-456691-25</t>
  </si>
  <si>
    <t>25I-PM-510343-23</t>
  </si>
  <si>
    <t>40D-PM-876654-01</t>
  </si>
  <si>
    <t>07A-AM-947122-25</t>
  </si>
  <si>
    <t>08G-PM-702126-09</t>
  </si>
  <si>
    <t>33F-AM-208484-16</t>
  </si>
  <si>
    <t>08C-AM-101083-13</t>
  </si>
  <si>
    <t>37I-AM-889743-22</t>
  </si>
  <si>
    <t>10C-PM-423498-13</t>
  </si>
  <si>
    <t>02C-AM-552517-26</t>
  </si>
  <si>
    <t>15A-AM-327827-17</t>
  </si>
  <si>
    <t>37G-PM-277284-29</t>
  </si>
  <si>
    <t>38H-PM-813136-01</t>
  </si>
  <si>
    <t>12C-AM-826746-05</t>
  </si>
  <si>
    <t>24I-AM-918148-07</t>
  </si>
  <si>
    <t>09A-PM-440399-18</t>
  </si>
  <si>
    <t>40E-PM-542501-02</t>
  </si>
  <si>
    <t>37D-PM-313630-13</t>
  </si>
  <si>
    <t>08F-AM-717769-21</t>
  </si>
  <si>
    <t>42D-PM-175018-26</t>
  </si>
  <si>
    <t>24B-PM-754529-08</t>
  </si>
  <si>
    <t>06H-PM-310743-22</t>
  </si>
  <si>
    <t>01C-AM-456816-16</t>
  </si>
  <si>
    <t>05H-PM-671960-10</t>
  </si>
  <si>
    <t>36D-PM-199332-14</t>
  </si>
  <si>
    <t>22D-PM-430007-19</t>
  </si>
  <si>
    <t>17E-PM-149987-20</t>
  </si>
  <si>
    <t>14C-PM-528718-28</t>
  </si>
  <si>
    <t>19E-AM-655976-03</t>
  </si>
  <si>
    <t>35D-AM-208406-09</t>
  </si>
  <si>
    <t>41C-AM-759409-04</t>
  </si>
  <si>
    <t>06C-PM-880882-24</t>
  </si>
  <si>
    <t>34G-AM-911139-09</t>
  </si>
  <si>
    <t>18H-AM-406688-20</t>
  </si>
  <si>
    <t>21F-AM-786066-03</t>
  </si>
  <si>
    <t>08B-PM-527209-12</t>
  </si>
  <si>
    <t>05D-PM-250161-14</t>
  </si>
  <si>
    <t>22I-AM-896425-10</t>
  </si>
  <si>
    <t>13H-AM-611889-24</t>
  </si>
  <si>
    <t>17C-PM-919072-15</t>
  </si>
  <si>
    <t>21H-PM-916327-26</t>
  </si>
  <si>
    <t>24B-AM-106242-18</t>
  </si>
  <si>
    <t>39B-PM-736904-16</t>
  </si>
  <si>
    <t>09G-AM-368500-15</t>
  </si>
  <si>
    <t>21B-PM-709668-13</t>
  </si>
  <si>
    <t>07B-AM-601109-20</t>
  </si>
  <si>
    <t>04B-AM-983654-16</t>
  </si>
  <si>
    <t>34B-PM-974630-27</t>
  </si>
  <si>
    <t>14C-AM-880248-22</t>
  </si>
  <si>
    <t>42G-AM-813839-13</t>
  </si>
  <si>
    <t>28I-AM-846256-09</t>
  </si>
  <si>
    <t>09C-PM-203467-13</t>
  </si>
  <si>
    <t>41F-PM-441977-09</t>
  </si>
  <si>
    <t>02G-PM-974756-07</t>
  </si>
  <si>
    <t>25I-AM-204992-04</t>
  </si>
  <si>
    <t>33E-PM-279675-26</t>
  </si>
  <si>
    <t>35A-AM-742627-16</t>
  </si>
  <si>
    <t>06I-AM-183940-22</t>
  </si>
  <si>
    <t>40E-PM-336729-23</t>
  </si>
  <si>
    <t>22G-PM-213570-25</t>
  </si>
  <si>
    <t>21A-AM-426727-17</t>
  </si>
  <si>
    <t>17I-AM-181468-18</t>
  </si>
  <si>
    <t>30C-PM-898449-26</t>
  </si>
  <si>
    <t>34E-PM-137880-12</t>
  </si>
  <si>
    <t>06F-PM-206360-25</t>
  </si>
  <si>
    <t>12C-AM-819968-23</t>
  </si>
  <si>
    <t>02F-AM-870878-12</t>
  </si>
  <si>
    <t>42C-AM-357034-13</t>
  </si>
  <si>
    <t>10G-AM-147266-27</t>
  </si>
  <si>
    <t>28A-AM-289287-03</t>
  </si>
  <si>
    <t>20C-PM-684944-25</t>
  </si>
  <si>
    <t>23B-PM-176844-10</t>
  </si>
  <si>
    <t>27I-AM-461040-03</t>
  </si>
  <si>
    <t>03C-AM-689804-22</t>
  </si>
  <si>
    <t>37C-PM-836205-27</t>
  </si>
  <si>
    <t>10E-PM-564657-13</t>
  </si>
  <si>
    <t>17E-PM-301961-06</t>
  </si>
  <si>
    <t>28C-PM-626025-05</t>
  </si>
  <si>
    <t>25A-AM-517541-07</t>
  </si>
  <si>
    <t>21G-PM-583338-16</t>
  </si>
  <si>
    <t>14F-AM-784440-12</t>
  </si>
  <si>
    <t>01B-PM-413323-23</t>
  </si>
  <si>
    <t>06E-PM-335603-26</t>
  </si>
  <si>
    <t>05D-PM-340655-29</t>
  </si>
  <si>
    <t>26A-AM-319973-29</t>
  </si>
  <si>
    <t>31F-AM-935551-09</t>
  </si>
  <si>
    <t>17G-PM-948036-21</t>
  </si>
  <si>
    <t>03C-AM-700790-16</t>
  </si>
  <si>
    <t>36H-AM-167345-19</t>
  </si>
  <si>
    <t>14I-PM-927307-02</t>
  </si>
  <si>
    <t>13F-PM-170793-12</t>
  </si>
  <si>
    <t>41F-AM-367053-18</t>
  </si>
  <si>
    <t>27A-AM-114866-06</t>
  </si>
  <si>
    <t>06G-AM-976836-27</t>
  </si>
  <si>
    <t>02H-PM-344734-16</t>
  </si>
  <si>
    <t>09E-PM-428141-13</t>
  </si>
  <si>
    <t>38D-AM-148500-02</t>
  </si>
  <si>
    <t>41C-PM-622881-12</t>
  </si>
  <si>
    <t>18C-PM-374272-19</t>
  </si>
  <si>
    <t>34A-AM-987675-28</t>
  </si>
  <si>
    <t>17I-AM-590010-16</t>
  </si>
  <si>
    <t>32D-PM-279037-07</t>
  </si>
  <si>
    <t>23H-PM-703546-21</t>
  </si>
  <si>
    <t>20A-AM-211302-16</t>
  </si>
  <si>
    <t>20F-PM-804600-06</t>
  </si>
  <si>
    <t>15B-PM-809649-01</t>
  </si>
  <si>
    <t>41F-AM-684352-26</t>
  </si>
  <si>
    <t>12B-AM-574392-14</t>
  </si>
  <si>
    <t>06H-PM-968773-06</t>
  </si>
  <si>
    <t>23H-PM-804259-12</t>
  </si>
  <si>
    <t>15G-PM-581981-18</t>
  </si>
  <si>
    <t>21G-AM-133033-03</t>
  </si>
  <si>
    <t>03E-PM-101378-08</t>
  </si>
  <si>
    <t>05G-PM-205461-23</t>
  </si>
  <si>
    <t>06B-AM-814968-01</t>
  </si>
  <si>
    <t>39B-AM-395761-15</t>
  </si>
  <si>
    <t>12H-PM-813695-21</t>
  </si>
  <si>
    <t>08B-AM-385907-17</t>
  </si>
  <si>
    <t>19A-AM-574040-11</t>
  </si>
  <si>
    <t>42I-PM-280940-25</t>
  </si>
  <si>
    <t>40H-AM-769587-25</t>
  </si>
  <si>
    <t>31D-AM-996681-13</t>
  </si>
  <si>
    <t>41E-PM-273808-21</t>
  </si>
  <si>
    <t>28A-AM-502867-16</t>
  </si>
  <si>
    <t>10G-PM-970895-28</t>
  </si>
  <si>
    <t>31D-PM-441140-27</t>
  </si>
  <si>
    <t>08H-AM-927266-02</t>
  </si>
  <si>
    <t>04F-AM-265189-11</t>
  </si>
  <si>
    <t>32C-AM-308130-26</t>
  </si>
  <si>
    <t>38C-PM-659178-13</t>
  </si>
  <si>
    <t>19B-AM-441572-18</t>
  </si>
  <si>
    <t>42H-PM-128063-15</t>
  </si>
  <si>
    <t>14I-AM-616817-15</t>
  </si>
  <si>
    <t>30I-AM-625651-20</t>
  </si>
  <si>
    <t>22I-AM-233823-20</t>
  </si>
  <si>
    <t>19E-PM-632070-17</t>
  </si>
  <si>
    <t>38F-AM-767900-08</t>
  </si>
  <si>
    <t>33C-AM-433019-13</t>
  </si>
  <si>
    <t>18C-PM-943087-25</t>
  </si>
  <si>
    <t>38E-PM-687465-29</t>
  </si>
  <si>
    <t>40G-AM-903309-06</t>
  </si>
  <si>
    <t>17D-AM-216435-22</t>
  </si>
  <si>
    <t>10F-AM-146233-07</t>
  </si>
  <si>
    <t>42E-PM-835333-27</t>
  </si>
  <si>
    <t>02E-PM-442192-21</t>
  </si>
  <si>
    <t>34A-PM-405383-12</t>
  </si>
  <si>
    <t>37H-PM-328088-04</t>
  </si>
  <si>
    <t>05B-AM-159269-07</t>
  </si>
  <si>
    <t>02B-PM-190868-27</t>
  </si>
  <si>
    <t>38E-PM-948327-03</t>
  </si>
  <si>
    <t>08B-PM-721671-15</t>
  </si>
  <si>
    <t>08G-AM-611357-21</t>
  </si>
  <si>
    <t>12I-AM-541856-13</t>
  </si>
  <si>
    <t>31B-PM-329297-15</t>
  </si>
  <si>
    <t>16D-PM-305446-15</t>
  </si>
  <si>
    <t>24I-AM-345954-26</t>
  </si>
  <si>
    <t>40I-AM-850707-04</t>
  </si>
  <si>
    <t>13G-AM-274115-03</t>
  </si>
  <si>
    <t>31D-AM-719140-25</t>
  </si>
  <si>
    <t>32G-AM-296062-11</t>
  </si>
  <si>
    <t>16D-AM-706151-26</t>
  </si>
  <si>
    <t>02A-AM-640993-28</t>
  </si>
  <si>
    <t>02F-AM-962447-25</t>
  </si>
  <si>
    <t>23E-PM-439003-10</t>
  </si>
  <si>
    <t>38H-PM-254161-07</t>
  </si>
  <si>
    <t>03D-PM-438084-29</t>
  </si>
  <si>
    <t>31G-PM-842886-21</t>
  </si>
  <si>
    <t>07D-PM-103877-24</t>
  </si>
  <si>
    <t>09B-PM-708544-29</t>
  </si>
  <si>
    <t>08G-AM-131818-13</t>
  </si>
  <si>
    <t>09E-AM-148555-01</t>
  </si>
  <si>
    <t>02E-PM-485198-01</t>
  </si>
  <si>
    <t>33F-PM-976098-26</t>
  </si>
  <si>
    <t>30C-AM-622126-09</t>
  </si>
  <si>
    <t>13E-AM-673709-29</t>
  </si>
  <si>
    <t>02D-AM-483382-28</t>
  </si>
  <si>
    <t>35E-PM-117077-24</t>
  </si>
  <si>
    <t>32I-AM-183335-22</t>
  </si>
  <si>
    <t>08F-PM-544451-20</t>
  </si>
  <si>
    <t>32D-PM-693791-20</t>
  </si>
  <si>
    <t>38B-AM-157477-01</t>
  </si>
  <si>
    <t>09G-AM-703035-18</t>
  </si>
  <si>
    <t>26B-PM-392517-14</t>
  </si>
  <si>
    <t>23A-AM-565386-17</t>
  </si>
  <si>
    <t>33B-AM-428520-28</t>
  </si>
  <si>
    <t>06G-PM-527445-07</t>
  </si>
  <si>
    <t>06D-AM-639693-28</t>
  </si>
  <si>
    <t>18F-PM-463920-08</t>
  </si>
  <si>
    <t>32B-PM-647835-16</t>
  </si>
  <si>
    <t>18F-AM-982091-12</t>
  </si>
  <si>
    <t>13E-PM-324059-28</t>
  </si>
  <si>
    <t>19H-PM-901284-05</t>
  </si>
  <si>
    <t>16I-AM-938093-06</t>
  </si>
  <si>
    <t>39C-AM-187942-23</t>
  </si>
  <si>
    <t>22F-AM-868180-17</t>
  </si>
  <si>
    <t>22B-PM-347610-09</t>
  </si>
  <si>
    <t>14E-PM-354686-22</t>
  </si>
  <si>
    <t>08F-AM-180684-09</t>
  </si>
  <si>
    <t>06B-PM-176730-16</t>
  </si>
  <si>
    <t>22H-AM-770179-02</t>
  </si>
  <si>
    <t>09F-AM-369548-13</t>
  </si>
  <si>
    <t>36B-PM-114674-12</t>
  </si>
  <si>
    <t>07C-AM-710211-10</t>
  </si>
  <si>
    <t>22B-PM-291735-19</t>
  </si>
  <si>
    <t>10I-PM-991751-06</t>
  </si>
  <si>
    <t>08G-AM-588835-07</t>
  </si>
  <si>
    <t>08I-PM-662270-14</t>
  </si>
  <si>
    <t>11G-AM-991674-13</t>
  </si>
  <si>
    <t>21G-PM-619892-05</t>
  </si>
  <si>
    <t>04I-PM-662568-29</t>
  </si>
  <si>
    <t>29B-PM-160706-10</t>
  </si>
  <si>
    <t>39F-AM-315342-20</t>
  </si>
  <si>
    <t>07D-PM-667696-23</t>
  </si>
  <si>
    <t>24A-AM-237559-06</t>
  </si>
  <si>
    <t>01G-PM-932888-03</t>
  </si>
  <si>
    <t>30D-PM-964420-13</t>
  </si>
  <si>
    <t>37D-AM-537983-27</t>
  </si>
  <si>
    <t>40I-AM-964384-17</t>
  </si>
  <si>
    <t>37G-AM-605465-03</t>
  </si>
  <si>
    <t>42D-AM-264857-19</t>
  </si>
  <si>
    <t>05G-AM-682964-20</t>
  </si>
  <si>
    <t>06A-PM-632661-12</t>
  </si>
  <si>
    <t>14F-PM-286983-08</t>
  </si>
  <si>
    <t>18E-AM-912846-11</t>
  </si>
  <si>
    <t>01I-PM-708160-29</t>
  </si>
  <si>
    <t>20F-PM-557359-14</t>
  </si>
  <si>
    <t>20E-PM-452518-06</t>
  </si>
  <si>
    <t>20E-AM-264500-04</t>
  </si>
  <si>
    <t>01C-PM-791047-22</t>
  </si>
  <si>
    <t>01I-PM-225074-25</t>
  </si>
  <si>
    <t>08F-PM-393996-21</t>
  </si>
  <si>
    <t>28C-AM-360346-02</t>
  </si>
  <si>
    <t>17I-PM-920015-10</t>
  </si>
  <si>
    <t>35I-PM-278350-27</t>
  </si>
  <si>
    <t>23H-AM-392009-02</t>
  </si>
  <si>
    <t>36I-AM-587045-14</t>
  </si>
  <si>
    <t>36E-PM-528737-10</t>
  </si>
  <si>
    <t>04H-PM-755056-08</t>
  </si>
  <si>
    <t>34D-AM-213209-16</t>
  </si>
  <si>
    <t>15D-AM-563437-10</t>
  </si>
  <si>
    <t>32F-AM-118409-22</t>
  </si>
  <si>
    <t>31G-AM-523691-17</t>
  </si>
  <si>
    <t>33I-AM-890103-14</t>
  </si>
  <si>
    <t>35I-AM-716196-19</t>
  </si>
  <si>
    <t>05F-AM-150756-15</t>
  </si>
  <si>
    <t>11C-PM-276031-13</t>
  </si>
  <si>
    <t>22E-AM-783440-01</t>
  </si>
  <si>
    <t>18C-AM-700635-14</t>
  </si>
  <si>
    <t>34E-PM-547427-25</t>
  </si>
  <si>
    <t>15B-AM-672381-09</t>
  </si>
  <si>
    <t>18D-AM-991856-03</t>
  </si>
  <si>
    <t>30B-PM-284588-12</t>
  </si>
  <si>
    <t>09B-AM-137487-04</t>
  </si>
  <si>
    <t>38C-PM-140849-23</t>
  </si>
  <si>
    <t>19H-PM-870018-17</t>
  </si>
  <si>
    <t>08D-PM-753408-19</t>
  </si>
  <si>
    <t>29H-PM-936131-17</t>
  </si>
  <si>
    <t>01D-AM-976902-02</t>
  </si>
  <si>
    <t>01E-PM-506923-05</t>
  </si>
  <si>
    <t>06A-PM-981455-08</t>
  </si>
  <si>
    <t>17F-AM-590486-27</t>
  </si>
  <si>
    <t>01A-PM-907463-13</t>
  </si>
  <si>
    <t>38I-PM-991417-14</t>
  </si>
  <si>
    <t>06H-PM-867839-11</t>
  </si>
  <si>
    <t>39E-PM-641007-23</t>
  </si>
  <si>
    <t>28A-AM-100056-22</t>
  </si>
  <si>
    <t>38A-PM-770712-15</t>
  </si>
  <si>
    <t>15G-AM-934252-12</t>
  </si>
  <si>
    <t>22A-AM-955505-29</t>
  </si>
  <si>
    <t>02I-PM-362865-14</t>
  </si>
  <si>
    <t>39G-PM-575521-22</t>
  </si>
  <si>
    <t>08H-PM-545185-03</t>
  </si>
  <si>
    <t>37F-PM-801916-24</t>
  </si>
  <si>
    <t>08H-AM-864743-11</t>
  </si>
  <si>
    <t>12E-AM-533099-04</t>
  </si>
  <si>
    <t>42F-AM-251944-24</t>
  </si>
  <si>
    <t>22C-PM-173072-24</t>
  </si>
  <si>
    <t>20C-AM-748207-17</t>
  </si>
  <si>
    <t>04G-PM-853646-20</t>
  </si>
  <si>
    <t>22I-PM-144537-22</t>
  </si>
  <si>
    <t>40E-PM-733542-10</t>
  </si>
  <si>
    <t>36G-PM-523959-24</t>
  </si>
  <si>
    <t>32I-PM-172941-14</t>
  </si>
  <si>
    <t>38C-AM-263277-25</t>
  </si>
  <si>
    <t>18D-AM-117645-22</t>
  </si>
  <si>
    <t>21E-PM-565075-18</t>
  </si>
  <si>
    <t>03D-AM-937166-23</t>
  </si>
  <si>
    <t>25A-PM-785791-26</t>
  </si>
  <si>
    <t>09I-PM-685202-27</t>
  </si>
  <si>
    <t>17G-PM-977292-12</t>
  </si>
  <si>
    <t>05G-AM-321714-20</t>
  </si>
  <si>
    <t>21G-PM-200513-29</t>
  </si>
  <si>
    <t>32H-PM-762588-21</t>
  </si>
  <si>
    <t>21H-AM-220354-10</t>
  </si>
  <si>
    <t>20C-AM-206500-12</t>
  </si>
  <si>
    <t>33B-AM-695196-07</t>
  </si>
  <si>
    <t>17G-PM-345377-25</t>
  </si>
  <si>
    <t>03E-PM-652073-06</t>
  </si>
  <si>
    <t>16G-AM-444901-27</t>
  </si>
  <si>
    <t>37E-PM-985922-10</t>
  </si>
  <si>
    <t>13C-AM-361372-09</t>
  </si>
  <si>
    <t>16C-AM-900484-03</t>
  </si>
  <si>
    <t>19C-PM-303940-08</t>
  </si>
  <si>
    <t>02D-PM-974733-24</t>
  </si>
  <si>
    <t>37H-AM-870997-17</t>
  </si>
  <si>
    <t>12H-AM-849567-11</t>
  </si>
  <si>
    <t>08A-AM-331673-16</t>
  </si>
  <si>
    <t>20C-AM-347067-06</t>
  </si>
  <si>
    <t>28B-PM-538687-28</t>
  </si>
  <si>
    <t>36I-AM-474154-10</t>
  </si>
  <si>
    <t>19H-AM-729910-09</t>
  </si>
  <si>
    <t>32G-AM-826231-27</t>
  </si>
  <si>
    <t>17G-PM-649079-15</t>
  </si>
  <si>
    <t>42A-PM-877574-18</t>
  </si>
  <si>
    <t>02C-AM-561614-02</t>
  </si>
  <si>
    <t>39A-PM-127134-22</t>
  </si>
  <si>
    <t>16E-PM-272193-10</t>
  </si>
  <si>
    <t>07E-PM-353107-15</t>
  </si>
  <si>
    <t>05D-AM-662505-19</t>
  </si>
  <si>
    <t>11I-AM-623253-28</t>
  </si>
  <si>
    <t>04A-PM-823707-13</t>
  </si>
  <si>
    <t>05E-AM-660477-24</t>
  </si>
  <si>
    <t>42A-AM-294549-02</t>
  </si>
  <si>
    <t>41F-PM-913716-27</t>
  </si>
  <si>
    <t>41I-PM-381781-25</t>
  </si>
  <si>
    <t>10C-AM-946837-26</t>
  </si>
  <si>
    <t>01F-PM-919988-01</t>
  </si>
  <si>
    <t>12I-AM-300633-05</t>
  </si>
  <si>
    <t>05E-AM-721300-22</t>
  </si>
  <si>
    <t>09E-PM-103654-13</t>
  </si>
  <si>
    <t>06E-AM-926860-20</t>
  </si>
  <si>
    <t>35F-AM-754102-21</t>
  </si>
  <si>
    <t>31G-PM-799909-20</t>
  </si>
  <si>
    <t>12B-PM-165355-08</t>
  </si>
  <si>
    <t>20E-PM-582312-18</t>
  </si>
  <si>
    <t>10I-AM-737723-11</t>
  </si>
  <si>
    <t>25A-PM-354559-11</t>
  </si>
  <si>
    <t>18A-PM-906743-24</t>
  </si>
  <si>
    <t>41D-PM-940910-09</t>
  </si>
  <si>
    <t>11D-PM-633026-17</t>
  </si>
  <si>
    <t>05F-AM-948664-17</t>
  </si>
  <si>
    <t>03A-AM-367618-19</t>
  </si>
  <si>
    <t>02H-PM-166024-17</t>
  </si>
  <si>
    <t>01B-AM-367766-18</t>
  </si>
  <si>
    <t>05C-PM-459510-15</t>
  </si>
  <si>
    <t>16F-PM-717472-29</t>
  </si>
  <si>
    <t>05E-AM-460377-10</t>
  </si>
  <si>
    <t>10E-AM-780583-10</t>
  </si>
  <si>
    <t>32F-PM-305180-26</t>
  </si>
  <si>
    <t>28A-PM-143026-14</t>
  </si>
  <si>
    <t>21E-AM-552423-19</t>
  </si>
  <si>
    <t>05G-PM-505632-16</t>
  </si>
  <si>
    <t>18I-AM-825783-15</t>
  </si>
  <si>
    <t>33C-PM-420595-24</t>
  </si>
  <si>
    <t>01A-PM-968573-05</t>
  </si>
  <si>
    <t>22F-AM-648290-17</t>
  </si>
  <si>
    <t>23F-AM-559369-05</t>
  </si>
  <si>
    <t>17G-AM-594090-06</t>
  </si>
  <si>
    <t>38H-AM-446819-07</t>
  </si>
  <si>
    <t>09D-AM-107826-07</t>
  </si>
  <si>
    <t>40E-AM-775053-17</t>
  </si>
  <si>
    <t>21G-AM-759414-17</t>
  </si>
  <si>
    <t>15B-PM-621228-27</t>
  </si>
  <si>
    <t>06I-PM-730273-18</t>
  </si>
  <si>
    <t>36A-PM-630796-01</t>
  </si>
  <si>
    <t>13I-AM-189059-02</t>
  </si>
  <si>
    <t>06B-AM-197475-16</t>
  </si>
  <si>
    <t>30I-AM-734936-09</t>
  </si>
  <si>
    <t>21D-PM-570640-21</t>
  </si>
  <si>
    <t>31G-AM-119734-20</t>
  </si>
  <si>
    <t>17I-AM-936987-21</t>
  </si>
  <si>
    <t>20D-PM-902689-03</t>
  </si>
  <si>
    <t>13D-AM-327926-26</t>
  </si>
  <si>
    <t>19A-PM-527900-15</t>
  </si>
  <si>
    <t>01A-PM-361894-04</t>
  </si>
  <si>
    <t>23H-AM-401984-17</t>
  </si>
  <si>
    <t>22E-AM-421471-04</t>
  </si>
  <si>
    <t>38D-AM-659107-22</t>
  </si>
  <si>
    <t>03C-PM-566966-25</t>
  </si>
  <si>
    <t>16D-PM-665992-26</t>
  </si>
  <si>
    <t>13A-PM-946811-28</t>
  </si>
  <si>
    <t>22A-AM-473705-27</t>
  </si>
  <si>
    <t>06F-AM-536850-15</t>
  </si>
  <si>
    <t>08F-AM-866032-07</t>
  </si>
  <si>
    <t>36F-AM-174210-05</t>
  </si>
  <si>
    <t>37H-PM-839919-23</t>
  </si>
  <si>
    <t>26A-PM-148392-01</t>
  </si>
  <si>
    <t>38H-PM-343746-25</t>
  </si>
  <si>
    <t>06C-PM-975495-18</t>
  </si>
  <si>
    <t>12E-AM-407479-24</t>
  </si>
  <si>
    <t>37E-AM-660881-24</t>
  </si>
  <si>
    <t>15A-AM-372018-07</t>
  </si>
  <si>
    <t>30E-PM-153948-25</t>
  </si>
  <si>
    <t>04D-PM-195987-27</t>
  </si>
  <si>
    <t>13F-AM-547717-25</t>
  </si>
  <si>
    <t>01G-AM-651834-11</t>
  </si>
  <si>
    <t>12A-PM-200804-12</t>
  </si>
  <si>
    <t>10H-AM-948928-19</t>
  </si>
  <si>
    <t>39I-PM-797706-15</t>
  </si>
  <si>
    <t>40C-PM-650008-16</t>
  </si>
  <si>
    <t>39A-PM-530818-11</t>
  </si>
  <si>
    <t>37G-AM-115050-10</t>
  </si>
  <si>
    <t>25A-AM-282387-05</t>
  </si>
  <si>
    <t>33E-PM-228470-23</t>
  </si>
  <si>
    <t>09C-AM-246712-29</t>
  </si>
  <si>
    <t>36I-PM-554887-13</t>
  </si>
  <si>
    <t>35E-PM-684814-02</t>
  </si>
  <si>
    <t>15E-PM-746155-24</t>
  </si>
  <si>
    <t>20B-PM-480391-21</t>
  </si>
  <si>
    <t>02A-AM-971038-29</t>
  </si>
  <si>
    <t>35F-PM-368210-25</t>
  </si>
  <si>
    <t>40A-PM-876827-23</t>
  </si>
  <si>
    <t>22I-AM-551104-08</t>
  </si>
  <si>
    <t>12I-PM-400201-13</t>
  </si>
  <si>
    <t>33D-PM-388708-22</t>
  </si>
  <si>
    <t>06D-AM-985032-10</t>
  </si>
  <si>
    <t>10D-AM-128941-24</t>
  </si>
  <si>
    <t>11C-AM-619357-11</t>
  </si>
  <si>
    <t>35E-PM-269645-03</t>
  </si>
  <si>
    <t>22H-AM-518908-21</t>
  </si>
  <si>
    <t>17C-AM-706703-20</t>
  </si>
  <si>
    <t>17E-PM-968445-17</t>
  </si>
  <si>
    <t>01E-PM-743300-26</t>
  </si>
  <si>
    <t>12C-PM-220198-17</t>
  </si>
  <si>
    <t>11A-PM-776819-22</t>
  </si>
  <si>
    <t>14H-PM-505770-12</t>
  </si>
  <si>
    <t>36B-AM-309176-27</t>
  </si>
  <si>
    <t>36I-AM-800375-02</t>
  </si>
  <si>
    <t>21F-AM-352570-19</t>
  </si>
  <si>
    <t>13B-PM-629593-29</t>
  </si>
  <si>
    <t>26A-PM-341290-23</t>
  </si>
  <si>
    <t>12B-PM-273403-07</t>
  </si>
  <si>
    <t>16C-AM-246388-26</t>
  </si>
  <si>
    <t>36F-AM-211045-11</t>
  </si>
  <si>
    <t>18E-PM-882842-14</t>
  </si>
  <si>
    <t>04B-AM-997339-04</t>
  </si>
  <si>
    <t>23A-PM-674203-08</t>
  </si>
  <si>
    <t>26A-AM-390088-02</t>
  </si>
  <si>
    <t>38E-AM-764504-11</t>
  </si>
  <si>
    <t>33B-AM-138459-20</t>
  </si>
  <si>
    <t>31E-PM-655029-07</t>
  </si>
  <si>
    <t>37H-AM-698915-24</t>
  </si>
  <si>
    <t>04I-AM-999804-14</t>
  </si>
  <si>
    <t>01A-PM-693465-24</t>
  </si>
  <si>
    <t>14B-AM-760951-26</t>
  </si>
  <si>
    <t>02I-PM-942827-19</t>
  </si>
  <si>
    <t>30I-PM-391199-05</t>
  </si>
  <si>
    <t>11B-PM-417629-26</t>
  </si>
  <si>
    <t>17C-PM-757767-11</t>
  </si>
  <si>
    <t>34C-PM-690709-04</t>
  </si>
  <si>
    <t>32B-AM-614126-20</t>
  </si>
  <si>
    <t>17C-PM-486259-22</t>
  </si>
  <si>
    <t>23A-PM-318102-29</t>
  </si>
  <si>
    <t>22A-PM-286516-10</t>
  </si>
  <si>
    <t>12I-PM-842941-24</t>
  </si>
  <si>
    <t>23E-AM-319055-23</t>
  </si>
  <si>
    <t>09C-PM-598535-20</t>
  </si>
  <si>
    <t>14H-AM-797063-29</t>
  </si>
  <si>
    <t>36I-PM-832581-03</t>
  </si>
  <si>
    <t>06E-AM-738471-29</t>
  </si>
  <si>
    <t>06I-PM-427414-10</t>
  </si>
  <si>
    <t>05D-PM-941411-17</t>
  </si>
  <si>
    <t>05F-AM-281410-18</t>
  </si>
  <si>
    <t>05I-PM-557767-24</t>
  </si>
  <si>
    <t>05E-AM-299439-14</t>
  </si>
  <si>
    <t>40B-PM-314740-16</t>
  </si>
  <si>
    <t>01E-AM-648606-27</t>
  </si>
  <si>
    <t>05E-PM-507011-01</t>
  </si>
  <si>
    <t>41D-PM-709472-29</t>
  </si>
  <si>
    <t>39C-AM-753077-15</t>
  </si>
  <si>
    <t>36I-PM-121747-20</t>
  </si>
  <si>
    <t>02E-PM-319842-14</t>
  </si>
  <si>
    <t>11G-PM-786920-19</t>
  </si>
  <si>
    <t>13G-PM-527047-02</t>
  </si>
  <si>
    <t>14C-PM-778403-01</t>
  </si>
  <si>
    <t>20E-PM-558538-05</t>
  </si>
  <si>
    <t>05I-AM-907361-27</t>
  </si>
  <si>
    <t>06A-AM-135500-17</t>
  </si>
  <si>
    <t>32G-AM-268560-18</t>
  </si>
  <si>
    <t>11G-PM-387604-28</t>
  </si>
  <si>
    <t>14E-AM-477150-09</t>
  </si>
  <si>
    <t>28I-PM-759077-28</t>
  </si>
  <si>
    <t>12G-PM-756734-03</t>
  </si>
  <si>
    <t>15E-PM-477282-01</t>
  </si>
  <si>
    <t>10A-PM-244499-27</t>
  </si>
  <si>
    <t>33I-AM-582316-21</t>
  </si>
  <si>
    <t>08I-PM-987103-05</t>
  </si>
  <si>
    <t>20C-AM-779631-21</t>
  </si>
  <si>
    <t>34H-PM-903063-16</t>
  </si>
  <si>
    <t>41F-AM-616663-12</t>
  </si>
  <si>
    <t>23F-AM-197932-04</t>
  </si>
  <si>
    <t>03C-AM-804990-09</t>
  </si>
  <si>
    <t>03H-AM-833551-01</t>
  </si>
  <si>
    <t>37G-AM-542276-21</t>
  </si>
  <si>
    <t>03D-AM-776196-24</t>
  </si>
  <si>
    <t>40I-PM-331602-09</t>
  </si>
  <si>
    <t>12A-AM-267452-27</t>
  </si>
  <si>
    <t>09H-PM-439879-19</t>
  </si>
  <si>
    <t>03I-AM-898001-15</t>
  </si>
  <si>
    <t>04F-PM-854723-15</t>
  </si>
  <si>
    <t>19F-AM-609548-28</t>
  </si>
  <si>
    <t>37G-AM-252721-20</t>
  </si>
  <si>
    <t>01D-PM-982564-18</t>
  </si>
  <si>
    <t>41I-AM-913435-08</t>
  </si>
  <si>
    <t>37H-AM-214432-19</t>
  </si>
  <si>
    <t>42H-AM-464630-26</t>
  </si>
  <si>
    <t>40G-PM-544912-29</t>
  </si>
  <si>
    <t>08C-AM-141274-02</t>
  </si>
  <si>
    <t>33H-PM-665970-16</t>
  </si>
  <si>
    <t>16E-AM-245213-18</t>
  </si>
  <si>
    <t>36H-AM-130401-28</t>
  </si>
  <si>
    <t>42B-PM-705978-06</t>
  </si>
  <si>
    <t>06E-AM-761990-06</t>
  </si>
  <si>
    <t>18C-AM-573530-06</t>
  </si>
  <si>
    <t>22F-PM-899848-08</t>
  </si>
  <si>
    <t>16C-AM-477181-24</t>
  </si>
  <si>
    <t>34D-PM-556660-09</t>
  </si>
  <si>
    <t>19D-PM-636299-18</t>
  </si>
  <si>
    <t>38A-PM-881654-06</t>
  </si>
  <si>
    <t>08I-AM-415414-28</t>
  </si>
  <si>
    <t>32G-PM-139587-25</t>
  </si>
  <si>
    <t>06C-PM-430449-29</t>
  </si>
  <si>
    <t>01B-AM-415795-05</t>
  </si>
  <si>
    <t>34G-PM-299953-10</t>
  </si>
  <si>
    <t>01A-AM-929984-15</t>
  </si>
  <si>
    <t>01C-AM-748226-15</t>
  </si>
  <si>
    <t>40C-AM-568077-01</t>
  </si>
  <si>
    <t>03E-AM-193758-21</t>
  </si>
  <si>
    <t>31G-PM-913383-07</t>
  </si>
  <si>
    <t>33C-PM-906696-18</t>
  </si>
  <si>
    <t>15H-PM-446495-12</t>
  </si>
  <si>
    <t>03D-PM-603015-08</t>
  </si>
  <si>
    <t>27I-PM-797757-06</t>
  </si>
  <si>
    <t>38D-AM-129218-02</t>
  </si>
  <si>
    <t>41A-PM-799493-04</t>
  </si>
  <si>
    <t>07I-PM-101316-21</t>
  </si>
  <si>
    <t>18I-PM-973356-09</t>
  </si>
  <si>
    <t>36A-AM-821580-29</t>
  </si>
  <si>
    <t>32C-AM-597960-24</t>
  </si>
  <si>
    <t>10H-PM-308343-16</t>
  </si>
  <si>
    <t>32E-AM-273707-02</t>
  </si>
  <si>
    <t>40D-PM-281181-19</t>
  </si>
  <si>
    <t>03D-PM-279869-16</t>
  </si>
  <si>
    <t>23F-AM-685175-13</t>
  </si>
  <si>
    <t>14G-AM-613604-23</t>
  </si>
  <si>
    <t>35H-PM-489821-24</t>
  </si>
  <si>
    <t>21D-PM-770181-21</t>
  </si>
  <si>
    <t>34G-AM-264727-17</t>
  </si>
  <si>
    <t>22D-PM-204319-17</t>
  </si>
  <si>
    <t>23B-AM-884560-03</t>
  </si>
  <si>
    <t>17C-PM-579129-13</t>
  </si>
  <si>
    <t>17D-AM-346635-06</t>
  </si>
  <si>
    <t>41I-PM-973621-21</t>
  </si>
  <si>
    <t>14E-PM-316988-13</t>
  </si>
  <si>
    <t>33C-AM-285517-07</t>
  </si>
  <si>
    <t>40D-PM-239972-14</t>
  </si>
  <si>
    <t>16A-PM-333041-04</t>
  </si>
  <si>
    <t>29I-AM-995072-07</t>
  </si>
  <si>
    <t>39G-PM-958515-13</t>
  </si>
  <si>
    <t>25I-PM-588684-04</t>
  </si>
  <si>
    <t>30F-PM-479015-20</t>
  </si>
  <si>
    <t>26B-AM-972231-25</t>
  </si>
  <si>
    <t>03I-AM-868880-15</t>
  </si>
  <si>
    <t>10F-AM-139459-06</t>
  </si>
  <si>
    <t>41F-PM-405399-22</t>
  </si>
  <si>
    <t>06I-PM-152195-09</t>
  </si>
  <si>
    <t>37G-PM-479919-07</t>
  </si>
  <si>
    <t>03A-PM-236365-27</t>
  </si>
  <si>
    <t>11G-AM-512453-01</t>
  </si>
  <si>
    <t>04I-PM-982961-12</t>
  </si>
  <si>
    <t>20C-PM-773589-27</t>
  </si>
  <si>
    <t>29H-PM-703135-15</t>
  </si>
  <si>
    <t>06G-AM-418862-15</t>
  </si>
  <si>
    <t>26I-PM-605818-16</t>
  </si>
  <si>
    <t>37I-PM-742836-01</t>
  </si>
  <si>
    <t>24A-PM-959228-03</t>
  </si>
  <si>
    <t>38I-PM-343083-28</t>
  </si>
  <si>
    <t>13I-PM-436795-07</t>
  </si>
  <si>
    <t>13E-AM-107076-28</t>
  </si>
  <si>
    <t>24B-PM-940350-26</t>
  </si>
  <si>
    <t>07C-PM-359040-01</t>
  </si>
  <si>
    <t>09D-PM-479647-15</t>
  </si>
  <si>
    <t>05F-PM-109319-11</t>
  </si>
  <si>
    <t>09A-PM-512525-29</t>
  </si>
  <si>
    <t>07I-PM-849656-23</t>
  </si>
  <si>
    <t>07H-PM-103468-19</t>
  </si>
  <si>
    <t>40G-PM-243723-22</t>
  </si>
  <si>
    <t>16G-PM-769842-26</t>
  </si>
  <si>
    <t>41B-AM-981253-28</t>
  </si>
  <si>
    <t>38E-AM-156733-18</t>
  </si>
  <si>
    <t>21E-PM-764536-24</t>
  </si>
  <si>
    <t>38E-AM-190909-20</t>
  </si>
  <si>
    <t>07G-AM-980706-27</t>
  </si>
  <si>
    <t>12H-AM-182439-19</t>
  </si>
  <si>
    <t>09F-AM-105041-15</t>
  </si>
  <si>
    <t>16C-PM-582006-14</t>
  </si>
  <si>
    <t>03D-AM-926959-03</t>
  </si>
  <si>
    <t>08D-PM-978780-25</t>
  </si>
  <si>
    <t>01B-PM-775150-19</t>
  </si>
  <si>
    <t>13E-PM-398942-08</t>
  </si>
  <si>
    <t>21E-PM-749761-25</t>
  </si>
  <si>
    <t>08I-PM-232208-12</t>
  </si>
  <si>
    <t>18C-AM-846834-11</t>
  </si>
  <si>
    <t>20B-PM-516637-18</t>
  </si>
  <si>
    <t>40C-AM-553132-14</t>
  </si>
  <si>
    <t>23F-PM-164124-12</t>
  </si>
  <si>
    <t>14E-PM-773998-23</t>
  </si>
  <si>
    <t>13A-AM-297556-08</t>
  </si>
  <si>
    <t>20A-PM-124193-08</t>
  </si>
  <si>
    <t>41E-PM-371382-28</t>
  </si>
  <si>
    <t>30E-AM-120410-05</t>
  </si>
  <si>
    <t>13D-PM-966593-10</t>
  </si>
  <si>
    <t>15I-PM-172858-23</t>
  </si>
  <si>
    <t>05E-PM-340899-04</t>
  </si>
  <si>
    <t>02D-AM-299879-06</t>
  </si>
  <si>
    <t>34F-AM-156536-27</t>
  </si>
  <si>
    <t>05E-AM-957646-18</t>
  </si>
  <si>
    <t>22A-AM-934421-08</t>
  </si>
  <si>
    <t>08B-PM-181107-27</t>
  </si>
  <si>
    <t>14B-PM-775078-27</t>
  </si>
  <si>
    <t>02E-AM-495414-20</t>
  </si>
  <si>
    <t>14C-PM-895839-17</t>
  </si>
  <si>
    <t>32B-PM-838034-02</t>
  </si>
  <si>
    <t>02A-PM-590012-29</t>
  </si>
  <si>
    <t>12F-PM-175947-19</t>
  </si>
  <si>
    <t>05C-AM-658788-27</t>
  </si>
  <si>
    <t>40B-PM-629547-17</t>
  </si>
  <si>
    <t>20F-PM-703940-02</t>
  </si>
  <si>
    <t>31F-PM-122783-04</t>
  </si>
  <si>
    <t>41E-AM-132389-09</t>
  </si>
  <si>
    <t>05D-PM-525337-22</t>
  </si>
  <si>
    <t>12F-PM-660393-29</t>
  </si>
  <si>
    <t>04I-AM-514858-28</t>
  </si>
  <si>
    <t>19C-AM-991703-21</t>
  </si>
  <si>
    <t>03D-PM-522136-26</t>
  </si>
  <si>
    <t>07C-PM-151944-20</t>
  </si>
  <si>
    <t>34I-PM-223452-17</t>
  </si>
  <si>
    <t>04C-PM-828282-09</t>
  </si>
  <si>
    <t>04E-PM-792984-08</t>
  </si>
  <si>
    <t>14H-PM-976836-05</t>
  </si>
  <si>
    <t>35A-PM-153445-16</t>
  </si>
  <si>
    <t>13G-PM-407336-21</t>
  </si>
  <si>
    <t>31F-AM-773606-11</t>
  </si>
  <si>
    <t>13C-AM-150111-15</t>
  </si>
  <si>
    <t>02E-AM-218423-05</t>
  </si>
  <si>
    <t>20B-PM-271954-06</t>
  </si>
  <si>
    <t>13F-PM-554134-29</t>
  </si>
  <si>
    <t>11E-AM-897101-20</t>
  </si>
  <si>
    <t>13E-PM-741144-14</t>
  </si>
  <si>
    <t>35B-PM-893667-27</t>
  </si>
  <si>
    <t>14I-AM-281385-02</t>
  </si>
  <si>
    <t>04E-AM-937624-04</t>
  </si>
  <si>
    <t>13D-AM-111593-01</t>
  </si>
  <si>
    <t>06F-PM-127885-18</t>
  </si>
  <si>
    <t>15G-PM-502507-19</t>
  </si>
  <si>
    <t>05E-AM-287542-12</t>
  </si>
  <si>
    <t>35A-PM-486712-28</t>
  </si>
  <si>
    <t>07B-AM-169668-04</t>
  </si>
  <si>
    <t>34H-AM-231916-18</t>
  </si>
  <si>
    <t>35D-AM-918301-29</t>
  </si>
  <si>
    <t>15G-PM-920843-16</t>
  </si>
  <si>
    <t>17B-PM-922134-06</t>
  </si>
  <si>
    <t>17B-AM-622459-28</t>
  </si>
  <si>
    <t>38I-AM-991910-24</t>
  </si>
  <si>
    <t>15F-AM-629064-10</t>
  </si>
  <si>
    <t>09F-PM-511940-27</t>
  </si>
  <si>
    <t>07D-PM-769460-04</t>
  </si>
  <si>
    <t>34A-AM-422866-29</t>
  </si>
  <si>
    <t>14E-AM-599270-13</t>
  </si>
  <si>
    <t>03D-AM-703756-21</t>
  </si>
  <si>
    <t>02E-PM-777078-18</t>
  </si>
  <si>
    <t>12D-AM-775000-25</t>
  </si>
  <si>
    <t>37B-AM-207644-09</t>
  </si>
  <si>
    <t>03A-AM-499596-13</t>
  </si>
  <si>
    <t>03B-PM-359876-26</t>
  </si>
  <si>
    <t>05A-PM-653867-25</t>
  </si>
  <si>
    <t>23B-AM-754272-18</t>
  </si>
  <si>
    <t>40D-PM-783897-21</t>
  </si>
  <si>
    <t>16C-PM-862996-22</t>
  </si>
  <si>
    <t>15A-AM-189661-24</t>
  </si>
  <si>
    <t>15G-PM-823344-10</t>
  </si>
  <si>
    <t>05D-AM-248283-09</t>
  </si>
  <si>
    <t>01D-PM-133971-08</t>
  </si>
  <si>
    <t>40E-AM-729211-15</t>
  </si>
  <si>
    <t>06G-AM-641516-28</t>
  </si>
  <si>
    <t>09C-PM-854932-17</t>
  </si>
  <si>
    <t>39B-PM-194845-09</t>
  </si>
  <si>
    <t>11B-PM-140503-21</t>
  </si>
  <si>
    <t>18H-PM-732413-11</t>
  </si>
  <si>
    <t>04B-AM-268925-04</t>
  </si>
  <si>
    <t>16E-AM-386847-24</t>
  </si>
  <si>
    <t>16A-PM-331640-07</t>
  </si>
  <si>
    <t>42H-PM-165555-23</t>
  </si>
  <si>
    <t>14F-PM-150933-27</t>
  </si>
  <si>
    <t>11F-AM-684763-03</t>
  </si>
  <si>
    <t>21E-PM-123241-03</t>
  </si>
  <si>
    <t>22C-AM-434976-14</t>
  </si>
  <si>
    <t>13B-AM-272588-05</t>
  </si>
  <si>
    <t>08I-AM-381511-12</t>
  </si>
  <si>
    <t>15G-PM-332101-24</t>
  </si>
  <si>
    <t>16D-AM-842646-02</t>
  </si>
  <si>
    <t>33G-PM-760247-04</t>
  </si>
  <si>
    <t>22A-PM-149348-11</t>
  </si>
  <si>
    <t>05C-AM-201132-08</t>
  </si>
  <si>
    <t>22B-AM-300596-05</t>
  </si>
  <si>
    <t>08C-PM-708677-15</t>
  </si>
  <si>
    <t>04C-PM-642710-25</t>
  </si>
  <si>
    <t>06E-PM-389199-11</t>
  </si>
  <si>
    <t>01G-PM-368614-06</t>
  </si>
  <si>
    <t>21G-PM-800894-12</t>
  </si>
  <si>
    <t>22I-PM-563513-04</t>
  </si>
  <si>
    <t>15I-PM-357261-11</t>
  </si>
  <si>
    <t>13B-AM-855051-02</t>
  </si>
  <si>
    <t>13C-AM-475594-13</t>
  </si>
  <si>
    <t>09C-AM-926410-09</t>
  </si>
  <si>
    <t>35A-PM-140564-16</t>
  </si>
  <si>
    <t>06E-AM-656036-27</t>
  </si>
  <si>
    <t>03H-AM-263403-03</t>
  </si>
  <si>
    <t>35A-AM-406524-16</t>
  </si>
  <si>
    <t>32E-AM-284914-17</t>
  </si>
  <si>
    <t>41E-AM-199899-11</t>
  </si>
  <si>
    <t>31D-PM-976660-19</t>
  </si>
  <si>
    <t>06I-PM-485406-27</t>
  </si>
  <si>
    <t>19D-AM-741105-27</t>
  </si>
  <si>
    <t>04C-AM-592351-09</t>
  </si>
  <si>
    <t>02D-AM-815404-26</t>
  </si>
  <si>
    <t>09B-PM-380645-03</t>
  </si>
  <si>
    <t>34D-PM-249462-12</t>
  </si>
  <si>
    <t>17D-PM-403400-09</t>
  </si>
  <si>
    <t>34I-AM-338286-01</t>
  </si>
  <si>
    <t>33F-AM-629982-18</t>
  </si>
  <si>
    <t>14F-PM-810574-08</t>
  </si>
  <si>
    <t>18I-PM-514878-11</t>
  </si>
  <si>
    <t>23B-PM-530864-27</t>
  </si>
  <si>
    <t>04E-AM-831742-27</t>
  </si>
  <si>
    <t>09H-AM-473965-19</t>
  </si>
  <si>
    <t>07E-AM-259098-23</t>
  </si>
  <si>
    <t>39E-PM-550244-02</t>
  </si>
  <si>
    <t>06A-AM-401998-19</t>
  </si>
  <si>
    <t>07F-PM-296920-16</t>
  </si>
  <si>
    <t>10A-AM-647372-27</t>
  </si>
  <si>
    <t>02G-PM-921692-26</t>
  </si>
  <si>
    <t>03B-PM-640902-29</t>
  </si>
  <si>
    <t>02F-AM-639512-07</t>
  </si>
  <si>
    <t>03F-AM-209950-12</t>
  </si>
  <si>
    <t>40C-PM-795660-29</t>
  </si>
  <si>
    <t>09F-AM-651788-14</t>
  </si>
  <si>
    <t>22G-PM-680718-02</t>
  </si>
  <si>
    <t>13F-PM-160293-09</t>
  </si>
  <si>
    <t>37H-PM-720755-16</t>
  </si>
  <si>
    <t>02A-PM-586713-02</t>
  </si>
  <si>
    <t>42E-PM-449570-23</t>
  </si>
  <si>
    <t>18I-PM-594515-23</t>
  </si>
  <si>
    <t>40F-PM-145876-08</t>
  </si>
  <si>
    <t>09C-AM-537543-21</t>
  </si>
  <si>
    <t>30B-PM-929734-11</t>
  </si>
  <si>
    <t>32I-AM-858005-13</t>
  </si>
  <si>
    <t>10F-PM-634119-09</t>
  </si>
  <si>
    <t>20C-AM-984975-05</t>
  </si>
  <si>
    <t>03D-PM-401366-14</t>
  </si>
  <si>
    <t>32C-PM-273888-27</t>
  </si>
  <si>
    <t>12A-PM-818706-17</t>
  </si>
  <si>
    <t>40B-PM-619245-13</t>
  </si>
  <si>
    <t>33C-PM-104999-27</t>
  </si>
  <si>
    <t>09A-AM-888162-01</t>
  </si>
  <si>
    <t>05B-AM-556050-15</t>
  </si>
  <si>
    <t>16A-AM-850612-27</t>
  </si>
  <si>
    <t>35B-AM-823103-08</t>
  </si>
  <si>
    <t>15E-PM-128008-13</t>
  </si>
  <si>
    <t>33B-PM-474315-09</t>
  </si>
  <si>
    <t>01B-PM-580607-20</t>
  </si>
  <si>
    <t>15E-PM-279594-05</t>
  </si>
  <si>
    <t>22A-PM-523538-21</t>
  </si>
  <si>
    <t>18F-PM-506033-11</t>
  </si>
  <si>
    <t>38I-PM-802490-11</t>
  </si>
  <si>
    <t>15C-PM-734304-22</t>
  </si>
  <si>
    <t>39H-AM-186300-21</t>
  </si>
  <si>
    <t>13A-AM-485672-29</t>
  </si>
  <si>
    <t>05E-PM-895846-06</t>
  </si>
  <si>
    <t>18D-AM-338046-27</t>
  </si>
  <si>
    <t>08A-AM-438934-10</t>
  </si>
  <si>
    <t>41E-PM-181119-05</t>
  </si>
  <si>
    <t>10G-PM-478720-15</t>
  </si>
  <si>
    <t>21D-PM-640088-05</t>
  </si>
  <si>
    <t>04E-AM-221747-06</t>
  </si>
  <si>
    <t>16H-AM-127492-17</t>
  </si>
  <si>
    <t>11E-PM-367377-04</t>
  </si>
  <si>
    <t>40D-PM-635735-21</t>
  </si>
  <si>
    <t>28B-PM-635286-02</t>
  </si>
  <si>
    <t>10G-PM-913508-04</t>
  </si>
  <si>
    <t>03I-PM-717976-22</t>
  </si>
  <si>
    <t>07H-AM-351006-14</t>
  </si>
  <si>
    <t>26I-AM-364131-08</t>
  </si>
  <si>
    <t>17G-AM-188191-03</t>
  </si>
  <si>
    <t>09A-AM-421197-29</t>
  </si>
  <si>
    <t>34D-AM-209273-18</t>
  </si>
  <si>
    <t>09I-PM-738838-12</t>
  </si>
  <si>
    <t>30A-AM-280686-20</t>
  </si>
  <si>
    <t>07I-PM-680147-26</t>
  </si>
  <si>
    <t>14I-AM-592033-01</t>
  </si>
  <si>
    <t>32E-PM-179086-23</t>
  </si>
  <si>
    <t>11G-AM-857230-28</t>
  </si>
  <si>
    <t>26A-PM-947463-03</t>
  </si>
  <si>
    <t>15E-PM-160833-04</t>
  </si>
  <si>
    <t>39E-PM-772081-12</t>
  </si>
  <si>
    <t>09A-PM-762804-10</t>
  </si>
  <si>
    <t>04H-AM-850695-25</t>
  </si>
  <si>
    <t>10G-AM-640017-17</t>
  </si>
  <si>
    <t>21A-PM-809490-06</t>
  </si>
  <si>
    <t>34I-PM-195245-05</t>
  </si>
  <si>
    <t>38C-PM-437575-08</t>
  </si>
  <si>
    <t>02F-PM-955377-09</t>
  </si>
  <si>
    <t>32E-PM-298157-14</t>
  </si>
  <si>
    <t>12G-AM-537683-14</t>
  </si>
  <si>
    <t>32F-PM-364673-14</t>
  </si>
  <si>
    <t>15H-PM-942746-22</t>
  </si>
  <si>
    <t>22F-PM-258004-12</t>
  </si>
  <si>
    <t>32F-PM-732886-25</t>
  </si>
  <si>
    <t>15B-PM-274031-22</t>
  </si>
  <si>
    <t>13D-AM-516165-18</t>
  </si>
  <si>
    <t>10I-PM-212230-02</t>
  </si>
  <si>
    <t>19H-PM-643606-08</t>
  </si>
  <si>
    <t>13C-PM-610699-01</t>
  </si>
  <si>
    <t>09G-PM-399240-08</t>
  </si>
  <si>
    <t>07A-PM-317320-05</t>
  </si>
  <si>
    <t>16D-AM-840396-14</t>
  </si>
  <si>
    <t>04C-AM-365891-17</t>
  </si>
  <si>
    <t>02F-AM-188744-20</t>
  </si>
  <si>
    <t>42H-PM-104430-20</t>
  </si>
  <si>
    <t>01B-PM-205635-02</t>
  </si>
  <si>
    <t>42C-PM-422555-27</t>
  </si>
  <si>
    <t>12I-AM-240035-18</t>
  </si>
  <si>
    <t>12A-AM-445175-16</t>
  </si>
  <si>
    <t>35D-PM-440278-27</t>
  </si>
  <si>
    <t>03D-PM-307529-02</t>
  </si>
  <si>
    <t>21C-PM-851149-02</t>
  </si>
  <si>
    <t>15H-AM-320593-01</t>
  </si>
  <si>
    <t>12F-AM-635308-06</t>
  </si>
  <si>
    <t>38C-PM-260533-17</t>
  </si>
  <si>
    <t>12D-PM-418138-17</t>
  </si>
  <si>
    <t>13C-AM-731125-11</t>
  </si>
  <si>
    <t>39E-PM-178661-20</t>
  </si>
  <si>
    <t>17B-PM-250274-14</t>
  </si>
  <si>
    <t>25I-PM-666520-06</t>
  </si>
  <si>
    <t>35E-AM-985474-17</t>
  </si>
  <si>
    <t>21B-PM-126354-18</t>
  </si>
  <si>
    <t>14F-PM-606212-15</t>
  </si>
  <si>
    <t>05F-AM-325314-23</t>
  </si>
  <si>
    <t>34A-PM-333094-18</t>
  </si>
  <si>
    <t>38A-PM-760441-23</t>
  </si>
  <si>
    <t>07A-PM-863593-19</t>
  </si>
  <si>
    <t>38F-PM-454398-01</t>
  </si>
  <si>
    <t>32B-AM-170081-28</t>
  </si>
  <si>
    <t>36C-PM-421631-01</t>
  </si>
  <si>
    <t>40A-PM-519592-29</t>
  </si>
  <si>
    <t>21A-AM-184636-15</t>
  </si>
  <si>
    <t>15F-AM-495025-18</t>
  </si>
  <si>
    <t>35B-AM-718741-07</t>
  </si>
  <si>
    <t>03B-PM-773741-29</t>
  </si>
  <si>
    <t>15D-PM-231057-20</t>
  </si>
  <si>
    <t>08D-AM-560882-29</t>
  </si>
  <si>
    <t>22A-PM-176420-09</t>
  </si>
  <si>
    <t>22H-AM-286737-13</t>
  </si>
  <si>
    <t>38A-AM-713956-24</t>
  </si>
  <si>
    <t>15B-AM-278805-20</t>
  </si>
  <si>
    <t>21G-PM-523694-26</t>
  </si>
  <si>
    <t>09C-PM-604407-19</t>
  </si>
  <si>
    <t>33E-AM-724147-11</t>
  </si>
  <si>
    <t>20F-PM-227816-21</t>
  </si>
  <si>
    <t>32A-PM-845461-28</t>
  </si>
  <si>
    <t>18I-AM-900015-11</t>
  </si>
  <si>
    <t>07H-AM-940289-25</t>
  </si>
  <si>
    <t>08I-PM-711047-23</t>
  </si>
  <si>
    <t>22C-PM-940248-21</t>
  </si>
  <si>
    <t>14C-PM-618532-11</t>
  </si>
  <si>
    <t>07B-AM-462632-11</t>
  </si>
  <si>
    <t>14H-AM-834948-09</t>
  </si>
  <si>
    <t>08B-PM-722400-26</t>
  </si>
  <si>
    <t>14A-PM-285545-27</t>
  </si>
  <si>
    <t>09A-AM-704903-19</t>
  </si>
  <si>
    <t>04D-PM-128687-13</t>
  </si>
  <si>
    <t>35E-PM-587268-18</t>
  </si>
  <si>
    <t>14D-AM-937608-04</t>
  </si>
  <si>
    <t>14D-PM-392429-07</t>
  </si>
  <si>
    <t>02B-AM-900651-24</t>
  </si>
  <si>
    <t>01B-PM-275078-11</t>
  </si>
  <si>
    <t>10G-PM-736949-15</t>
  </si>
  <si>
    <t>37G-AM-920902-20</t>
  </si>
  <si>
    <t>01G-PM-203833-17</t>
  </si>
  <si>
    <t>25I-AM-145380-08</t>
  </si>
  <si>
    <t>35B-AM-990153-06</t>
  </si>
  <si>
    <t>22F-PM-434004-02</t>
  </si>
  <si>
    <t>12C-PM-698137-28</t>
  </si>
  <si>
    <t>11B-PM-191588-10</t>
  </si>
  <si>
    <t>36I-PM-449442-13</t>
  </si>
  <si>
    <t>38D-PM-837711-15</t>
  </si>
  <si>
    <t>12F-PM-775521-03</t>
  </si>
  <si>
    <t>40C-PM-702547-18</t>
  </si>
  <si>
    <t>21G-AM-756445-20</t>
  </si>
  <si>
    <t>20G-AM-319251-15</t>
  </si>
  <si>
    <t>07E-AM-512085-28</t>
  </si>
  <si>
    <t>36B-PM-927492-23</t>
  </si>
  <si>
    <t>34G-PM-121462-03</t>
  </si>
  <si>
    <t>02C-AM-483334-23</t>
  </si>
  <si>
    <t>22C-PM-969151-02</t>
  </si>
  <si>
    <t>33I-PM-808334-12</t>
  </si>
  <si>
    <t>03I-AM-998927-26</t>
  </si>
  <si>
    <t>20B-AM-584623-16</t>
  </si>
  <si>
    <t>18D-PM-600146-03</t>
  </si>
  <si>
    <t>29C-PM-622843-29</t>
  </si>
  <si>
    <t>32B-AM-567859-04</t>
  </si>
  <si>
    <t>08H-AM-796967-24</t>
  </si>
  <si>
    <t>31B-AM-571022-24</t>
  </si>
  <si>
    <t>31C-AM-318164-26</t>
  </si>
  <si>
    <t>23B-AM-975893-05</t>
  </si>
  <si>
    <t>14D-PM-625011-12</t>
  </si>
  <si>
    <t>31E-PM-158323-20</t>
  </si>
  <si>
    <t>13D-AM-229923-22</t>
  </si>
  <si>
    <t>05E-AM-620910-06</t>
  </si>
  <si>
    <t>13E-AM-881732-28</t>
  </si>
  <si>
    <t>06D-PM-651626-14</t>
  </si>
  <si>
    <t>20C-PM-602911-09</t>
  </si>
  <si>
    <t>12F-AM-124727-10</t>
  </si>
  <si>
    <t>15D-AM-580293-11</t>
  </si>
  <si>
    <t>36F-AM-934664-05</t>
  </si>
  <si>
    <t>17E-AM-938569-20</t>
  </si>
  <si>
    <t>30B-AM-188589-06</t>
  </si>
  <si>
    <t>15I-AM-193335-23</t>
  </si>
  <si>
    <t>40G-AM-320148-10</t>
  </si>
  <si>
    <t>33E-AM-188437-11</t>
  </si>
  <si>
    <t>04C-AM-290118-18</t>
  </si>
  <si>
    <t>09H-PM-898104-07</t>
  </si>
  <si>
    <t>16B-PM-773463-21</t>
  </si>
  <si>
    <t>13C-AM-984594-18</t>
  </si>
  <si>
    <t>37C-PM-854542-18</t>
  </si>
  <si>
    <t>32A-PM-473378-01</t>
  </si>
  <si>
    <t>09G-PM-342118-10</t>
  </si>
  <si>
    <t>14D-PM-682507-27</t>
  </si>
  <si>
    <t>31E-PM-981735-22</t>
  </si>
  <si>
    <t>11A-PM-357183-23</t>
  </si>
  <si>
    <t>14A-AM-577584-14</t>
  </si>
  <si>
    <t>20G-PM-967856-25</t>
  </si>
  <si>
    <t>19C-PM-771380-23</t>
  </si>
  <si>
    <t>30B-PM-396965-20</t>
  </si>
  <si>
    <t>10I-AM-539216-20</t>
  </si>
  <si>
    <t>03D-PM-885657-26</t>
  </si>
  <si>
    <t>04B-AM-191551-08</t>
  </si>
  <si>
    <t>03F-AM-577804-16</t>
  </si>
  <si>
    <t>32E-AM-536395-27</t>
  </si>
  <si>
    <t>03I-PM-478652-17</t>
  </si>
  <si>
    <t>22F-AM-558407-18</t>
  </si>
  <si>
    <t>08D-PM-797418-13</t>
  </si>
  <si>
    <t>06G-AM-681067-15</t>
  </si>
  <si>
    <t>07H-AM-267257-25</t>
  </si>
  <si>
    <t>30B-PM-571426-06</t>
  </si>
  <si>
    <t>41E-PM-675330-09</t>
  </si>
  <si>
    <t>40C-PM-964618-08</t>
  </si>
  <si>
    <t>05I-AM-265955-22</t>
  </si>
  <si>
    <t>22A-PM-152215-20</t>
  </si>
  <si>
    <t>04G-AM-886012-05</t>
  </si>
  <si>
    <t>27I-PM-780231-07</t>
  </si>
  <si>
    <t>21B-AM-470631-04</t>
  </si>
  <si>
    <t>06B-AM-933568-22</t>
  </si>
  <si>
    <t>22C-AM-132548-11</t>
  </si>
  <si>
    <t>15E-AM-681566-04</t>
  </si>
  <si>
    <t>39H-PM-640513-17</t>
  </si>
  <si>
    <t>21D-PM-821688-12</t>
  </si>
  <si>
    <t>39B-AM-546559-02</t>
  </si>
  <si>
    <t>23B-PM-950440-06</t>
  </si>
  <si>
    <t>11F-PM-676220-06</t>
  </si>
  <si>
    <t>19E-PM-645169-22</t>
  </si>
  <si>
    <t>21B-PM-300802-15</t>
  </si>
  <si>
    <t>32D-PM-585126-13</t>
  </si>
  <si>
    <t>42C-AM-907273-04</t>
  </si>
  <si>
    <t>17E-PM-630959-09</t>
  </si>
  <si>
    <t>38A-AM-656052-28</t>
  </si>
  <si>
    <t>07C-PM-418034-17</t>
  </si>
  <si>
    <t>39F-AM-489952-13</t>
  </si>
  <si>
    <t>37E-PM-367299-15</t>
  </si>
  <si>
    <t>35A-AM-853977-10</t>
  </si>
  <si>
    <t>21B-AM-490419-09</t>
  </si>
  <si>
    <t>03F-PM-744711-20</t>
  </si>
  <si>
    <t>19D-AM-144566-10</t>
  </si>
  <si>
    <t>40C-AM-495927-20</t>
  </si>
  <si>
    <t>05C-AM-898623-14</t>
  </si>
  <si>
    <t>14E-AM-349104-11</t>
  </si>
  <si>
    <t>39G-PM-103779-23</t>
  </si>
  <si>
    <t>31E-AM-734966-17</t>
  </si>
  <si>
    <t>37G-PM-361752-02</t>
  </si>
  <si>
    <t>33E-PM-107317-01</t>
  </si>
  <si>
    <t>20B-AM-624447-28</t>
  </si>
  <si>
    <t>08H-PM-298737-07</t>
  </si>
  <si>
    <t>32I-AM-315221-06</t>
  </si>
  <si>
    <t>06D-AM-512613-14</t>
  </si>
  <si>
    <t>35C-AM-342141-23</t>
  </si>
  <si>
    <t>02B-AM-816089-12</t>
  </si>
  <si>
    <t>34E-PM-409421-14</t>
  </si>
  <si>
    <t>36F-PM-160715-09</t>
  </si>
  <si>
    <t>39F-PM-261864-02</t>
  </si>
  <si>
    <t>08I-PM-179569-05</t>
  </si>
  <si>
    <t>08D-PM-989433-23</t>
  </si>
  <si>
    <t>14E-PM-855083-14</t>
  </si>
  <si>
    <t>21G-AM-325019-13</t>
  </si>
  <si>
    <t>20A-AM-832718-15</t>
  </si>
  <si>
    <t>15D-PM-567106-20</t>
  </si>
  <si>
    <t>07H-AM-582706-15</t>
  </si>
  <si>
    <t>01B-PM-650334-19</t>
  </si>
  <si>
    <t>12E-PM-252598-13</t>
  </si>
  <si>
    <t>16E-AM-143798-10</t>
  </si>
  <si>
    <t>14E-AM-813345-11</t>
  </si>
  <si>
    <t>34H-AM-871480-29</t>
  </si>
  <si>
    <t>04E-PM-519861-19</t>
  </si>
  <si>
    <t>09I-AM-232040-09</t>
  </si>
  <si>
    <t>23F-AM-420668-10</t>
  </si>
  <si>
    <t>12F-AM-522933-24</t>
  </si>
  <si>
    <t>29A-AM-580519-15</t>
  </si>
  <si>
    <t>14F-AM-760179-17</t>
  </si>
  <si>
    <t>31H-AM-856899-08</t>
  </si>
  <si>
    <t>06D-AM-608155-13</t>
  </si>
  <si>
    <t>02G-AM-146935-14</t>
  </si>
  <si>
    <t>13B-AM-831967-23</t>
  </si>
  <si>
    <t>09I-PM-498396-17</t>
  </si>
  <si>
    <t>18A-AM-916945-14</t>
  </si>
  <si>
    <t>12E-PM-642167-11</t>
  </si>
  <si>
    <t>15D-PM-423977-13</t>
  </si>
  <si>
    <t>37G-AM-779885-03</t>
  </si>
  <si>
    <t>34I-AM-804029-18</t>
  </si>
  <si>
    <t>05C-AM-252762-06</t>
  </si>
  <si>
    <t>21F-PM-854899-03</t>
  </si>
  <si>
    <t>34I-PM-289586-26</t>
  </si>
  <si>
    <t>29D-PM-177383-25</t>
  </si>
  <si>
    <t>25A-AM-444120-05</t>
  </si>
  <si>
    <t>22B-AM-959440-10</t>
  </si>
  <si>
    <t>32F-AM-818548-17</t>
  </si>
  <si>
    <t>05E-AM-817160-13</t>
  </si>
  <si>
    <t>08B-AM-450441-29</t>
  </si>
  <si>
    <t>13E-AM-444286-08</t>
  </si>
  <si>
    <t>37G-PM-980966-02</t>
  </si>
  <si>
    <t>07G-PM-404861-04</t>
  </si>
  <si>
    <t>22I-AM-495752-25</t>
  </si>
  <si>
    <t>04A-AM-838637-24</t>
  </si>
  <si>
    <t>40C-PM-189642-21</t>
  </si>
  <si>
    <t>42C-AM-170013-07</t>
  </si>
  <si>
    <t>08I-PM-379899-25</t>
  </si>
  <si>
    <t>38F-PM-216562-04</t>
  </si>
  <si>
    <t>08E-AM-938945-25</t>
  </si>
  <si>
    <t>08D-AM-461590-22</t>
  </si>
  <si>
    <t>11H-AM-551124-28</t>
  </si>
  <si>
    <t>25B-PM-899158-19</t>
  </si>
  <si>
    <t>19A-PM-707796-18</t>
  </si>
  <si>
    <t>19F-AM-276756-07</t>
  </si>
  <si>
    <t>25I-AM-601182-11</t>
  </si>
  <si>
    <t>37H-PM-309290-23</t>
  </si>
  <si>
    <t>15G-AM-410152-03</t>
  </si>
  <si>
    <t>11B-PM-180119-05</t>
  </si>
  <si>
    <t>07H-AM-781408-20</t>
  </si>
  <si>
    <t>33D-AM-606628-29</t>
  </si>
  <si>
    <t>34I-PM-439609-19</t>
  </si>
  <si>
    <t>40B-PM-733381-03</t>
  </si>
  <si>
    <t>20A-AM-506484-27</t>
  </si>
  <si>
    <t>12D-AM-982188-17</t>
  </si>
  <si>
    <t>19C-AM-170050-23</t>
  </si>
  <si>
    <t>04B-AM-518050-21</t>
  </si>
  <si>
    <t>38I-AM-315350-13</t>
  </si>
  <si>
    <t>02C-AM-816097-03</t>
  </si>
  <si>
    <t>39H-PM-324595-16</t>
  </si>
  <si>
    <t>30B-PM-150420-12</t>
  </si>
  <si>
    <t>42H-PM-770200-09</t>
  </si>
  <si>
    <t>22C-PM-620047-04</t>
  </si>
  <si>
    <t>10D-AM-905912-20</t>
  </si>
  <si>
    <t>17A-PM-116945-26</t>
  </si>
  <si>
    <t>05C-AM-639520-07</t>
  </si>
  <si>
    <t>02E-AM-832211-12</t>
  </si>
  <si>
    <t>34F-AM-617863-28</t>
  </si>
  <si>
    <t>14H-PM-909687-22</t>
  </si>
  <si>
    <t>42F-PM-856168-14</t>
  </si>
  <si>
    <t>37D-PM-974323-05</t>
  </si>
  <si>
    <t>37E-PM-480929-21</t>
  </si>
  <si>
    <t>01D-PM-535305-24</t>
  </si>
  <si>
    <t>15G-AM-670120-07</t>
  </si>
  <si>
    <t>29D-AM-875926-22</t>
  </si>
  <si>
    <t>12E-AM-440177-26</t>
  </si>
  <si>
    <t>35B-AM-900683-11</t>
  </si>
  <si>
    <t>06C-PM-405289-13</t>
  </si>
  <si>
    <t>06G-AM-185480-16</t>
  </si>
  <si>
    <t>16H-AM-282909-21</t>
  </si>
  <si>
    <t>33H-PM-907637-17</t>
  </si>
  <si>
    <t>11D-AM-943391-05</t>
  </si>
  <si>
    <t>02G-PM-609125-10</t>
  </si>
  <si>
    <t>15C-AM-560991-11</t>
  </si>
  <si>
    <t>13H-AM-206177-07</t>
  </si>
  <si>
    <t>29A-PM-319885-04</t>
  </si>
  <si>
    <t>15G-AM-784388-19</t>
  </si>
  <si>
    <t>10G-AM-422036-28</t>
  </si>
  <si>
    <t>12A-AM-245875-28</t>
  </si>
  <si>
    <t>22B-PM-488829-10</t>
  </si>
  <si>
    <t>03G-AM-771013-02</t>
  </si>
  <si>
    <t>07A-PM-120674-28</t>
  </si>
  <si>
    <t>13E-PM-666633-17</t>
  </si>
  <si>
    <t>06E-PM-263686-25</t>
  </si>
  <si>
    <t>21D-AM-183521-07</t>
  </si>
  <si>
    <t>36A-AM-743918-03</t>
  </si>
  <si>
    <t>08E-AM-293220-22</t>
  </si>
  <si>
    <t>16I-AM-379335-04</t>
  </si>
  <si>
    <t>32E-PM-222033-19</t>
  </si>
  <si>
    <t>33D-PM-217415-23</t>
  </si>
  <si>
    <t>39F-PM-983876-27</t>
  </si>
  <si>
    <t>19C-PM-145252-17</t>
  </si>
  <si>
    <t>27I-PM-243165-06</t>
  </si>
  <si>
    <t>08I-PM-999820-09</t>
  </si>
  <si>
    <t>32F-PM-972523-10</t>
  </si>
  <si>
    <t>32A-PM-571326-01</t>
  </si>
  <si>
    <t>01G-PM-977866-29</t>
  </si>
  <si>
    <t>09A-PM-929122-06</t>
  </si>
  <si>
    <t>04D-AM-825800-22</t>
  </si>
  <si>
    <t>01I-AM-783454-08</t>
  </si>
  <si>
    <t>14D-AM-104509-15</t>
  </si>
  <si>
    <t>26B-PM-400821-06</t>
  </si>
  <si>
    <t>32I-PM-791295-23</t>
  </si>
  <si>
    <t>39E-AM-610122-29</t>
  </si>
  <si>
    <t>22F-PM-612543-11</t>
  </si>
  <si>
    <t>32E-PM-248867-29</t>
  </si>
  <si>
    <t>26I-PM-140492-08</t>
  </si>
  <si>
    <t>28A-PM-707230-20</t>
  </si>
  <si>
    <t>28D-PM-339854-07</t>
  </si>
  <si>
    <t>03F-PM-981216-28</t>
  </si>
  <si>
    <t>07I-AM-159289-09</t>
  </si>
  <si>
    <t>01F-PM-617654-08</t>
  </si>
  <si>
    <t>31A-PM-960801-26</t>
  </si>
  <si>
    <t>15C-AM-467181-12</t>
  </si>
  <si>
    <t>03G-PM-177214-26</t>
  </si>
  <si>
    <t>08C-PM-494230-17</t>
  </si>
  <si>
    <t>36I-AM-990194-06</t>
  </si>
  <si>
    <t>08D-PM-545044-05</t>
  </si>
  <si>
    <t>33E-PM-856770-16</t>
  </si>
  <si>
    <t>11D-PM-960830-18</t>
  </si>
  <si>
    <t>11D-PM-299192-15</t>
  </si>
  <si>
    <t>03D-AM-162681-04</t>
  </si>
  <si>
    <t>02A-AM-631658-05</t>
  </si>
  <si>
    <t>10G-PM-506888-05</t>
  </si>
  <si>
    <t>29B-AM-808294-18</t>
  </si>
  <si>
    <t>02I-PM-173905-20</t>
  </si>
  <si>
    <t>33E-PM-933153-26</t>
  </si>
  <si>
    <t>31C-AM-555446-13</t>
  </si>
  <si>
    <t>05D-PM-928816-25</t>
  </si>
  <si>
    <t>32F-PM-983385-22</t>
  </si>
  <si>
    <t>33E-PM-808634-17</t>
  </si>
  <si>
    <t>38G-PM-763257-06</t>
  </si>
  <si>
    <t>42H-PM-324269-21</t>
  </si>
  <si>
    <t>07C-AM-329005-12</t>
  </si>
  <si>
    <t>13D-PM-471012-05</t>
  </si>
  <si>
    <t>33E-PM-842723-23</t>
  </si>
  <si>
    <t>11H-PM-654686-29</t>
  </si>
  <si>
    <t>22F-AM-912120-13</t>
  </si>
  <si>
    <t>03E-AM-574755-18</t>
  </si>
  <si>
    <t>09A-AM-775393-23</t>
  </si>
  <si>
    <t>01G-AM-234979-20</t>
  </si>
  <si>
    <t>32H-AM-323376-20</t>
  </si>
  <si>
    <t>11D-PM-173221-18</t>
  </si>
  <si>
    <t>21E-PM-817779-27</t>
  </si>
  <si>
    <t>32D-AM-768838-13</t>
  </si>
  <si>
    <t>33D-AM-307976-02</t>
  </si>
  <si>
    <t>40B-AM-606343-14</t>
  </si>
  <si>
    <t>39D-PM-736213-24</t>
  </si>
  <si>
    <t>40F-PM-108273-27</t>
  </si>
  <si>
    <t>06D-PM-801760-23</t>
  </si>
  <si>
    <t>09H-AM-139708-09</t>
  </si>
  <si>
    <t>39G-PM-806920-02</t>
  </si>
  <si>
    <t>30B-PM-411919-04</t>
  </si>
  <si>
    <t>31H-AM-143436-17</t>
  </si>
  <si>
    <t>38G-PM-264010-23</t>
  </si>
  <si>
    <t>09F-AM-764129-04</t>
  </si>
  <si>
    <t>41D-PM-199819-02</t>
  </si>
  <si>
    <t>19F-PM-698016-23</t>
  </si>
  <si>
    <t>33E-PM-903717-16</t>
  </si>
  <si>
    <t>16F-AM-933793-14</t>
  </si>
  <si>
    <t>02F-PM-655635-12</t>
  </si>
  <si>
    <t>29C-PM-502202-19</t>
  </si>
  <si>
    <t>23B-AM-142779-03</t>
  </si>
  <si>
    <t>01G-PM-419858-11</t>
  </si>
  <si>
    <t>21F-AM-464355-17</t>
  </si>
  <si>
    <t>35D-AM-738192-07</t>
  </si>
  <si>
    <t>03F-PM-210962-25</t>
  </si>
  <si>
    <t>16C-AM-906137-19</t>
  </si>
  <si>
    <t>07G-PM-588784-09</t>
  </si>
  <si>
    <t>03A-PM-142125-05</t>
  </si>
  <si>
    <t>01D-PM-474197-02</t>
  </si>
  <si>
    <t>02C-AM-530542-16</t>
  </si>
  <si>
    <t>36C-PM-198226-01</t>
  </si>
  <si>
    <t>13D-AM-285142-12</t>
  </si>
  <si>
    <t>22G-PM-202643-15</t>
  </si>
  <si>
    <t>14F-PM-478052-01</t>
  </si>
  <si>
    <t>14D-PM-649098-27</t>
  </si>
  <si>
    <t>35B-PM-225640-07</t>
  </si>
  <si>
    <t>07H-AM-590785-29</t>
  </si>
  <si>
    <t>22C-PM-481424-16</t>
  </si>
  <si>
    <t>07C-AM-421391-14</t>
  </si>
  <si>
    <t>13E-AM-962394-02</t>
  </si>
  <si>
    <t>16G-AM-834818-08</t>
  </si>
  <si>
    <t>14D-PM-289684-25</t>
  </si>
  <si>
    <t>38E-PM-125394-16</t>
  </si>
  <si>
    <t>28D-AM-153269-04</t>
  </si>
  <si>
    <t>14F-PM-167975-28</t>
  </si>
  <si>
    <t>03B-PM-617184-04</t>
  </si>
  <si>
    <t>32A-AM-908902-25</t>
  </si>
  <si>
    <t>07G-AM-487612-01</t>
  </si>
  <si>
    <t>42G-AM-979159-18</t>
  </si>
  <si>
    <t>14F-PM-735091-14</t>
  </si>
  <si>
    <t>39H-AM-304999-27</t>
  </si>
  <si>
    <t>23C-PM-698193-07</t>
  </si>
  <si>
    <t>05F-PM-436802-25</t>
  </si>
  <si>
    <t>12D-AM-396948-14</t>
  </si>
  <si>
    <t>40D-PM-151243-15</t>
  </si>
  <si>
    <t>20A-PM-221118-05</t>
  </si>
  <si>
    <t>36I-PM-538264-10</t>
  </si>
  <si>
    <t>20C-AM-230218-28</t>
  </si>
  <si>
    <t>07E-AM-859990-16</t>
  </si>
  <si>
    <t>12E-AM-507107-23</t>
  </si>
  <si>
    <t>09C-AM-862692-10</t>
  </si>
  <si>
    <t>21A-PM-577293-09</t>
  </si>
  <si>
    <t>14D-PM-280529-20</t>
  </si>
  <si>
    <t>35A-PM-609957-11</t>
  </si>
  <si>
    <t>10A-PM-826708-17</t>
  </si>
  <si>
    <t>13A-PM-907272-25</t>
  </si>
  <si>
    <t>27A-AM-315695-20</t>
  </si>
  <si>
    <t>12H-PM-654083-26</t>
  </si>
  <si>
    <t>22H-PM-756343-22</t>
  </si>
  <si>
    <t>21A-PM-766862-02</t>
  </si>
  <si>
    <t>22F-PM-209267-17</t>
  </si>
  <si>
    <t>03B-AM-503570-20</t>
  </si>
  <si>
    <t>41A-PM-298735-24</t>
  </si>
  <si>
    <t>05B-PM-517076-17</t>
  </si>
  <si>
    <t>13D-AM-565404-04</t>
  </si>
  <si>
    <t>32A-PM-142769-04</t>
  </si>
  <si>
    <t>01I-PM-152084-03</t>
  </si>
  <si>
    <t>38G-PM-473277-22</t>
  </si>
  <si>
    <t>21B-AM-803227-18</t>
  </si>
  <si>
    <t>04E-AM-281652-20</t>
  </si>
  <si>
    <t>04D-AM-962687-05</t>
  </si>
  <si>
    <t>17E-PM-632860-09</t>
  </si>
  <si>
    <t>17E-AM-657365-23</t>
  </si>
  <si>
    <t>13D-PM-437370-24</t>
  </si>
  <si>
    <t>01F-PM-602606-09</t>
  </si>
  <si>
    <t>15I-PM-408365-21</t>
  </si>
  <si>
    <t>23B-PM-447511-02</t>
  </si>
  <si>
    <t>31F-PM-978041-25</t>
  </si>
  <si>
    <t>33B-AM-116049-13</t>
  </si>
  <si>
    <t>05A-AM-560894-28</t>
  </si>
  <si>
    <t>18I-PM-129236-16</t>
  </si>
  <si>
    <t>19A-PM-863461-16</t>
  </si>
  <si>
    <t>33B-PM-257079-10</t>
  </si>
  <si>
    <t>32I-PM-896574-19</t>
  </si>
  <si>
    <t>32B-PM-788586-29</t>
  </si>
  <si>
    <t>22F-PM-389668-18</t>
  </si>
  <si>
    <t>08I-AM-770658-08</t>
  </si>
  <si>
    <t>13F-PM-744426-21</t>
  </si>
  <si>
    <t>26I-PM-585341-19</t>
  </si>
  <si>
    <t>14F-PM-661076-25</t>
  </si>
  <si>
    <t>05B-PM-686303-03</t>
  </si>
  <si>
    <t>11B-PM-236715-15</t>
  </si>
  <si>
    <t>10A-AM-247801-23</t>
  </si>
  <si>
    <t>15G-PM-488343-16</t>
  </si>
  <si>
    <t>19D-AM-534500-19</t>
  </si>
  <si>
    <t>01D-PM-446202-06</t>
  </si>
  <si>
    <t>17E-PM-636092-12</t>
  </si>
  <si>
    <t>13E-PM-767292-03</t>
  </si>
  <si>
    <t>10G-AM-445174-14</t>
  </si>
  <si>
    <t>35E-PM-982873-24</t>
  </si>
  <si>
    <t>07G-AM-510420-05</t>
  </si>
  <si>
    <t>28A-PM-127364-04</t>
  </si>
  <si>
    <t>32E-AM-645336-22</t>
  </si>
  <si>
    <t>40D-PM-333980-28</t>
  </si>
  <si>
    <t>06A-AM-915628-08</t>
  </si>
  <si>
    <t>32E-AM-797527-21</t>
  </si>
  <si>
    <t>30B-AM-921039-28</t>
  </si>
  <si>
    <t>17F-PM-406456-02</t>
  </si>
  <si>
    <t>06C-PM-230205-08</t>
  </si>
  <si>
    <t>11D-PM-790434-23</t>
  </si>
  <si>
    <t>18C-AM-322364-09</t>
  </si>
  <si>
    <t>09G-PM-442794-21</t>
  </si>
  <si>
    <t>14D-AM-872734-27</t>
  </si>
  <si>
    <t>02E-PM-700983-20</t>
  </si>
  <si>
    <t>20A-PM-886270-01</t>
  </si>
  <si>
    <t>35D-PM-403541-08</t>
  </si>
  <si>
    <t>32I-AM-549135-10</t>
  </si>
  <si>
    <t>08H-AM-470209-16</t>
  </si>
  <si>
    <t>34A-AM-689786-04</t>
  </si>
  <si>
    <t>34A-PM-732402-29</t>
  </si>
  <si>
    <t>35D-AM-330888-03</t>
  </si>
  <si>
    <t>37A-AM-591018-08</t>
  </si>
  <si>
    <t>30B-PM-135389-07</t>
  </si>
  <si>
    <t>32E-AM-672551-25</t>
  </si>
  <si>
    <t>01E-AM-318711-26</t>
  </si>
  <si>
    <t>29B-AM-119984-27</t>
  </si>
  <si>
    <t>30B-AM-432188-11</t>
  </si>
  <si>
    <t>41B-PM-418950-29</t>
  </si>
  <si>
    <t>32E-PM-302824-14</t>
  </si>
  <si>
    <t>09I-AM-427940-18</t>
  </si>
  <si>
    <t>34A-PM-355965-24</t>
  </si>
  <si>
    <t>35E-AM-761304-23</t>
  </si>
  <si>
    <t>02A-AM-975227-13</t>
  </si>
  <si>
    <t>17E-AM-326468-08</t>
  </si>
  <si>
    <t>14D-AM-657390-22</t>
  </si>
  <si>
    <t>32F-PM-463227-04</t>
  </si>
  <si>
    <t>39G-PM-516928-06</t>
  </si>
  <si>
    <t>30C-PM-381335-19</t>
  </si>
  <si>
    <t>03G-PM-244331-07</t>
  </si>
  <si>
    <t>14E-PM-256588-28</t>
  </si>
  <si>
    <t>06H-PM-961062-09</t>
  </si>
  <si>
    <t>41A-AM-254944-21</t>
  </si>
  <si>
    <t>38B-AM-394935-13</t>
  </si>
  <si>
    <t>04E-PM-397660-19</t>
  </si>
  <si>
    <t>11B-PM-322580-01</t>
  </si>
  <si>
    <t>32F-AM-370239-25</t>
  </si>
  <si>
    <t>03D-PM-992819-21</t>
  </si>
  <si>
    <t>40B-PM-783602-18</t>
  </si>
  <si>
    <t>38E-PM-714363-23</t>
  </si>
  <si>
    <t>14H-AM-580474-05</t>
  </si>
  <si>
    <t>10H-PM-226394-26</t>
  </si>
  <si>
    <t>33D-AM-169309-03</t>
  </si>
  <si>
    <t>13E-PM-683710-02</t>
  </si>
  <si>
    <t>01I-PM-121045-10</t>
  </si>
  <si>
    <t>31I-PM-641349-19</t>
  </si>
  <si>
    <t>18G-PM-660030-29</t>
  </si>
  <si>
    <t>22E-AM-356152-17</t>
  </si>
  <si>
    <t>11E-AM-325650-13</t>
  </si>
  <si>
    <t>11G-AM-904656-23</t>
  </si>
  <si>
    <t>33E-AM-466737-11</t>
  </si>
  <si>
    <t>35C-AM-390682-28</t>
  </si>
  <si>
    <t>40B-AM-975571-20</t>
  </si>
  <si>
    <t>08B-AM-882476-24</t>
  </si>
  <si>
    <t>08I-PM-111690-20</t>
  </si>
  <si>
    <t>37H-PM-496530-10</t>
  </si>
  <si>
    <t>38B-PM-621819-03</t>
  </si>
  <si>
    <t>06G-AM-769716-06</t>
  </si>
  <si>
    <t>03F-PM-864870-29</t>
  </si>
  <si>
    <t>42D-PM-406996-23</t>
  </si>
  <si>
    <t>31E-AM-798035-05</t>
  </si>
  <si>
    <t>12E-AM-337909-09</t>
  </si>
  <si>
    <t>06B-AM-433151-22</t>
  </si>
  <si>
    <t>05E-PM-763497-14</t>
  </si>
  <si>
    <t>40C-AM-184970-17</t>
  </si>
  <si>
    <t>17G-PM-620155-11</t>
  </si>
  <si>
    <t>09I-PM-130278-11</t>
  </si>
  <si>
    <t>18I-PM-891226-19</t>
  </si>
  <si>
    <t>19D-PM-753345-14</t>
  </si>
  <si>
    <t>07C-PM-696187-16</t>
  </si>
  <si>
    <t>13E-AM-219718-01</t>
  </si>
  <si>
    <t>03F-PM-953473-09</t>
  </si>
  <si>
    <t>14D-AM-440920-23</t>
  </si>
  <si>
    <t>36C-PM-219028-20</t>
  </si>
  <si>
    <t>21D-PM-415817-08</t>
  </si>
  <si>
    <t>08I-PM-346740-08</t>
  </si>
  <si>
    <t>01I-PM-362321-11</t>
  </si>
  <si>
    <t>18C-AM-736778-19</t>
  </si>
  <si>
    <t>02F-PM-583626-10</t>
  </si>
  <si>
    <t>38G-PM-585895-15</t>
  </si>
  <si>
    <t>37C-PM-636519-19</t>
  </si>
  <si>
    <t>33E-PM-572768-23</t>
  </si>
  <si>
    <t>22C-AM-283219-03</t>
  </si>
  <si>
    <t>29B-PM-885195-16</t>
  </si>
  <si>
    <t>04E-AM-245205-16</t>
  </si>
  <si>
    <t>11E-AM-818237-17</t>
  </si>
  <si>
    <t>21B-AM-216315-28</t>
  </si>
  <si>
    <t>07H-AM-222511-09</t>
  </si>
  <si>
    <t>35A-AM-376981-19</t>
  </si>
  <si>
    <t>21D-AM-321600-29</t>
  </si>
  <si>
    <t>04D-AM-322104-18</t>
  </si>
  <si>
    <t>13D-PM-553245-26</t>
  </si>
  <si>
    <t>42G-PM-102469-12</t>
  </si>
  <si>
    <t>34F-PM-672842-06</t>
  </si>
  <si>
    <t>42H-AM-385005-18</t>
  </si>
  <si>
    <t>19H-AM-598511-24</t>
  </si>
  <si>
    <t>02F-PM-812972-01</t>
  </si>
  <si>
    <t>18A-AM-491845-14</t>
  </si>
  <si>
    <t>08B-PM-957932-13</t>
  </si>
  <si>
    <t>39I-PM-303080-06</t>
  </si>
  <si>
    <t>38H-AM-843941-25</t>
  </si>
  <si>
    <t>10A-PM-743933-05</t>
  </si>
  <si>
    <t>34F-PM-363480-21</t>
  </si>
  <si>
    <t>25I-AM-278989-14</t>
  </si>
  <si>
    <t>05E-AM-396579-02</t>
  </si>
  <si>
    <t>05F-PM-980574-29</t>
  </si>
  <si>
    <t>09G-AM-627056-10</t>
  </si>
  <si>
    <t>33E-PM-295149-19</t>
  </si>
  <si>
    <t>37H-PM-417072-29</t>
  </si>
  <si>
    <t>34F-PM-568341-11</t>
  </si>
  <si>
    <t>09B-AM-398588-07</t>
  </si>
  <si>
    <t>40E-PM-874088-14</t>
  </si>
  <si>
    <t>18D-AM-750774-04</t>
  </si>
  <si>
    <t>17A-AM-154711-20</t>
  </si>
  <si>
    <t>12B-AM-989424-25</t>
  </si>
  <si>
    <t>35D-PM-975122-17</t>
  </si>
  <si>
    <t>35I-AM-998202-14</t>
  </si>
  <si>
    <t>34H-PM-919884-26</t>
  </si>
  <si>
    <t>35A-PM-228013-26</t>
  </si>
  <si>
    <t>33D-PM-324895-21</t>
  </si>
  <si>
    <t>39C-PM-899323-15</t>
  </si>
  <si>
    <t>38E-AM-395645-25</t>
  </si>
  <si>
    <t>39D-PM-901586-22</t>
  </si>
  <si>
    <t>13C-PM-176682-12</t>
  </si>
  <si>
    <t>35A-AM-760810-28</t>
  </si>
  <si>
    <t>14B-PM-622678-05</t>
  </si>
  <si>
    <t>01E-AM-933223-26</t>
  </si>
  <si>
    <t>03A-PM-811039-06</t>
  </si>
  <si>
    <t>32E-AM-929871-12</t>
  </si>
  <si>
    <t>14D-AM-896613-13</t>
  </si>
  <si>
    <t>09H-PM-825606-08</t>
  </si>
  <si>
    <t>36H-PM-390539-29</t>
  </si>
  <si>
    <t>03E-PM-527425-23</t>
  </si>
  <si>
    <t>09C-AM-166920-13</t>
  </si>
  <si>
    <t>02B-PM-735728-13</t>
  </si>
  <si>
    <t>32D-PM-549790-28</t>
  </si>
  <si>
    <t>02H-PM-640940-14</t>
  </si>
  <si>
    <t>05I-PM-371860-17</t>
  </si>
  <si>
    <t>38C-PM-300879-15</t>
  </si>
  <si>
    <t>03H-AM-179792-02</t>
  </si>
  <si>
    <t>14E-PM-910584-28</t>
  </si>
  <si>
    <t>01C-PM-784360-06</t>
  </si>
  <si>
    <t>10B-AM-211036-26</t>
  </si>
  <si>
    <t>12F-AM-137861-07</t>
  </si>
  <si>
    <t>09I-PM-768089-27</t>
  </si>
  <si>
    <t>11B-PM-519623-27</t>
  </si>
  <si>
    <t>17I-PM-712382-03</t>
  </si>
  <si>
    <t>34G-AM-666999-15</t>
  </si>
  <si>
    <t>07H-PM-454741-06</t>
  </si>
  <si>
    <t>12H-AM-200637-03</t>
  </si>
  <si>
    <t>17E-AM-178191-06</t>
  </si>
  <si>
    <t>33I-PM-286922-29</t>
  </si>
  <si>
    <t>07I-PM-304967-29</t>
  </si>
  <si>
    <t>17G-PM-562294-10</t>
  </si>
  <si>
    <t>22H-PM-744862-10</t>
  </si>
  <si>
    <t>06G-PM-960022-03</t>
  </si>
  <si>
    <t>09H-AM-664569-14</t>
  </si>
  <si>
    <t>06F-AM-963058-21</t>
  </si>
  <si>
    <t>20F-AM-682523-21</t>
  </si>
  <si>
    <t>14B-AM-559976-13</t>
  </si>
  <si>
    <t>32A-PM-943112-26</t>
  </si>
  <si>
    <t>05A-PM-829652-12</t>
  </si>
  <si>
    <t>02F-PM-387021-05</t>
  </si>
  <si>
    <t>09B-AM-964549-13</t>
  </si>
  <si>
    <t>17G-AM-626700-24</t>
  </si>
  <si>
    <t>03B-AM-979269-14</t>
  </si>
  <si>
    <t>21G-PM-421628-13</t>
  </si>
  <si>
    <t>02B-PM-677963-16</t>
  </si>
  <si>
    <t>07H-PM-710021-09</t>
  </si>
  <si>
    <t>01B-PM-962416-20</t>
  </si>
  <si>
    <t>32C-AM-689551-26</t>
  </si>
  <si>
    <t>21H-AM-555740-26</t>
  </si>
  <si>
    <t>09A-AM-771755-18</t>
  </si>
  <si>
    <t>22H-PM-162088-03</t>
  </si>
  <si>
    <t>42C-PM-840425-11</t>
  </si>
  <si>
    <t>05F-PM-323617-08</t>
  </si>
  <si>
    <t>42C-PM-870931-11</t>
  </si>
  <si>
    <t>35E-PM-898609-20</t>
  </si>
  <si>
    <t>12H-AM-459462-14</t>
  </si>
  <si>
    <t>09A-AM-121823-07</t>
  </si>
  <si>
    <t>09H-PM-205312-29</t>
  </si>
  <si>
    <t>33G-PM-568523-28</t>
  </si>
  <si>
    <t>35F-PM-518144-03</t>
  </si>
  <si>
    <t>07A-PM-966817-03</t>
  </si>
  <si>
    <t>15I-AM-824383-04</t>
  </si>
  <si>
    <t>38B-PM-716429-23</t>
  </si>
  <si>
    <t>33D-PM-467985-23</t>
  </si>
  <si>
    <t>03A-PM-464478-05</t>
  </si>
  <si>
    <t>15G-AM-889870-16</t>
  </si>
  <si>
    <t>40A-AM-892599-21</t>
  </si>
  <si>
    <t>16D-PM-806663-28</t>
  </si>
  <si>
    <t>07B-PM-837853-25</t>
  </si>
  <si>
    <t>12A-AM-690598-06</t>
  </si>
  <si>
    <t>04D-AM-188950-19</t>
  </si>
  <si>
    <t>33E-PM-409589-22</t>
  </si>
  <si>
    <t>03D-AM-529914-25</t>
  </si>
  <si>
    <t>09D-AM-593740-07</t>
  </si>
  <si>
    <t>21G-AM-992160-10</t>
  </si>
  <si>
    <t>20B-AM-467148-04</t>
  </si>
  <si>
    <t>42D-AM-154236-07</t>
  </si>
  <si>
    <t>28A-PM-438853-06</t>
  </si>
  <si>
    <t>07B-AM-734548-11</t>
  </si>
  <si>
    <t>16A-PM-409494-09</t>
  </si>
  <si>
    <t>01E-AM-748085-26</t>
  </si>
  <si>
    <t>05A-PM-663784-23</t>
  </si>
  <si>
    <t>05C-AM-217221-19</t>
  </si>
  <si>
    <t>10D-AM-224717-01</t>
  </si>
  <si>
    <t>37B-PM-780345-16</t>
  </si>
  <si>
    <t>09A-AM-172406-15</t>
  </si>
  <si>
    <t>03H-PM-595762-10</t>
  </si>
  <si>
    <t>01B-AM-404783-25</t>
  </si>
  <si>
    <t>02C-PM-240978-13</t>
  </si>
  <si>
    <t>15C-PM-707405-07</t>
  </si>
  <si>
    <t>14D-AM-852185-14</t>
  </si>
  <si>
    <t>15I-PM-206390-17</t>
  </si>
  <si>
    <t>05D-AM-455212-26</t>
  </si>
  <si>
    <t>13D-PM-927418-02</t>
  </si>
  <si>
    <t>42I-PM-105220-04</t>
  </si>
  <si>
    <t>40B-PM-774909-03</t>
  </si>
  <si>
    <t>15E-AM-157593-14</t>
  </si>
  <si>
    <t>15E-PM-968618-08</t>
  </si>
  <si>
    <t>03E-PM-644982-09</t>
  </si>
  <si>
    <t>14D-PM-469135-03</t>
  </si>
  <si>
    <t>05I-PM-214153-01</t>
  </si>
  <si>
    <t>22I-AM-876047-09</t>
  </si>
  <si>
    <t>40B-AM-692251-12</t>
  </si>
  <si>
    <t>10B-PM-665120-16</t>
  </si>
  <si>
    <t>28D-AM-122365-08</t>
  </si>
  <si>
    <t>02H-PM-841357-14</t>
  </si>
  <si>
    <t>03I-AM-912901-09</t>
  </si>
  <si>
    <t>32F-AM-979794-22</t>
  </si>
  <si>
    <t>10F-AM-967471-19</t>
  </si>
  <si>
    <t>10A-PM-711786-21</t>
  </si>
  <si>
    <t>09E-AM-986090-14</t>
  </si>
  <si>
    <t>16D-PM-160390-27</t>
  </si>
  <si>
    <t>17E-AM-561465-12</t>
  </si>
  <si>
    <t>14G-PM-960563-20</t>
  </si>
  <si>
    <t>14I-AM-163734-05</t>
  </si>
  <si>
    <t>07D-AM-153184-11</t>
  </si>
  <si>
    <t>07I-AM-191964-15</t>
  </si>
  <si>
    <t>33I-PM-321996-15</t>
  </si>
  <si>
    <t>40A-AM-977473-22</t>
  </si>
  <si>
    <t>10B-PM-653868-12</t>
  </si>
  <si>
    <t>04C-AM-812152-23</t>
  </si>
  <si>
    <t>11E-PM-769987-28</t>
  </si>
  <si>
    <t>33F-PM-885995-15</t>
  </si>
  <si>
    <t>35A-PM-638732-02</t>
  </si>
  <si>
    <t>38B-PM-379891-16</t>
  </si>
  <si>
    <t>41D-PM-764589-21</t>
  </si>
  <si>
    <t>39I-PM-837200-16</t>
  </si>
  <si>
    <t>07H-PM-479843-11</t>
  </si>
  <si>
    <t>41B-AM-944236-06</t>
  </si>
  <si>
    <t>38A-AM-394512-01</t>
  </si>
  <si>
    <t>22F-PM-395060-18</t>
  </si>
  <si>
    <t>29C-PM-363277-02</t>
  </si>
  <si>
    <t>12H-PM-731891-11</t>
  </si>
  <si>
    <t>03B-PM-478945-04</t>
  </si>
  <si>
    <t>35B-AM-259742-27</t>
  </si>
  <si>
    <t>36A-AM-414981-07</t>
  </si>
  <si>
    <t>17E-PM-232181-20</t>
  </si>
  <si>
    <t>03C-PM-208473-03</t>
  </si>
  <si>
    <t>02G-PM-689059-28</t>
  </si>
  <si>
    <t>11I-AM-273044-20</t>
  </si>
  <si>
    <t>29C-AM-824002-01</t>
  </si>
  <si>
    <t>02E-PM-864658-27</t>
  </si>
  <si>
    <t>33A-PM-733772-14</t>
  </si>
  <si>
    <t>16A-AM-415102-22</t>
  </si>
  <si>
    <t>05I-AM-142491-16</t>
  </si>
  <si>
    <t>04I-PM-689469-29</t>
  </si>
  <si>
    <t>22C-PM-853187-17</t>
  </si>
  <si>
    <t>29B-PM-899529-29</t>
  </si>
  <si>
    <t>08B-AM-262182-13</t>
  </si>
  <si>
    <t>40C-PM-609944-13</t>
  </si>
  <si>
    <t>06A-PM-780077-06</t>
  </si>
  <si>
    <t>40F-AM-466223-09</t>
  </si>
  <si>
    <t>11F-PM-445011-16</t>
  </si>
  <si>
    <t>36B-AM-750580-21</t>
  </si>
  <si>
    <t>05I-PM-936349-12</t>
  </si>
  <si>
    <t>14B-PM-336548-24</t>
  </si>
  <si>
    <t>35F-AM-453194-01</t>
  </si>
  <si>
    <t>07E-PM-130985-11</t>
  </si>
  <si>
    <t>40D-AM-215950-26</t>
  </si>
  <si>
    <t>35A-PM-662466-24</t>
  </si>
  <si>
    <t>06F-PM-176682-09</t>
  </si>
  <si>
    <t>08F-AM-148577-12</t>
  </si>
  <si>
    <t>15D-PM-676221-16</t>
  </si>
  <si>
    <t>14E-AM-901911-16</t>
  </si>
  <si>
    <t>16G-PM-446676-01</t>
  </si>
  <si>
    <t>32E-PM-281423-06</t>
  </si>
  <si>
    <t>21A-PM-247245-25</t>
  </si>
  <si>
    <t>36D-PM-139800-11</t>
  </si>
  <si>
    <t>22B-AM-782784-20</t>
  </si>
  <si>
    <t>15F-AM-563440-23</t>
  </si>
  <si>
    <t>21A-PM-989522-02</t>
  </si>
  <si>
    <t>09E-PM-906311-25</t>
  </si>
  <si>
    <t>11E-AM-892510-23</t>
  </si>
  <si>
    <t>22I-AM-931893-26</t>
  </si>
  <si>
    <t>13D-PM-983324-27</t>
  </si>
  <si>
    <t>21G-PM-127941-09</t>
  </si>
  <si>
    <t>39C-PM-316100-05</t>
  </si>
  <si>
    <t>42F-AM-256497-22</t>
  </si>
  <si>
    <t>32C-PM-749069-12</t>
  </si>
  <si>
    <t>37I-PM-763867-12</t>
  </si>
  <si>
    <t>21F-AM-484405-06</t>
  </si>
  <si>
    <t>11B-PM-289923-27</t>
  </si>
  <si>
    <t>02C-PM-423638-15</t>
  </si>
  <si>
    <t>16H-PM-794079-25</t>
  </si>
  <si>
    <t>16E-PM-458672-03</t>
  </si>
  <si>
    <t>08H-PM-175529-25</t>
  </si>
  <si>
    <t>09I-PM-515165-21</t>
  </si>
  <si>
    <t>38I-PM-117909-08</t>
  </si>
  <si>
    <t>Chart Data - Age Distribution %</t>
  </si>
  <si>
    <t>Real %</t>
  </si>
  <si>
    <t>Fake %</t>
  </si>
  <si>
    <t>Chart Data - Primary Fur Color %</t>
  </si>
  <si>
    <t>Chart Data - Behaviors &amp; Activities %</t>
  </si>
  <si>
    <t>DATA SHEETS</t>
  </si>
  <si>
    <t>Squirrel_Data</t>
  </si>
  <si>
    <t>Fake_Squirrel_Data</t>
  </si>
  <si>
    <t>COMPARISON SHEET</t>
  </si>
  <si>
    <t>DATA GENERATION NOTES</t>
  </si>
  <si>
    <t>KEY TAKEAWAY</t>
  </si>
  <si>
    <t>2018 Central Park Squirrel Census Data Workbook - README</t>
  </si>
  <si>
    <t>ANALYSIS SHEETS (PROFILES)</t>
  </si>
  <si>
    <t>Real Data</t>
  </si>
  <si>
    <t>Fake Data</t>
  </si>
  <si>
    <t>HOW TO USE</t>
  </si>
  <si>
    <t>1. Start here (Readme) for orientation.</t>
  </si>
  <si>
    <t>3. Go to Comparison sheet for side-by-side tables, diffs, and the three summary charts.</t>
  </si>
  <si>
    <t>4. Inspect raw data sheets to see records or extend analyses (note: synthetic sheets have slightly different column order).</t>
  </si>
  <si>
    <t>SOURCE</t>
  </si>
  <si>
    <t>NYC Open Data - 2018 Central Park Squirrel Census - Squirrel Data</t>
  </si>
  <si>
    <t xml:space="preserve">  • Original real dataset from NYC Open Data (2018 Central Park Squirrel Census).</t>
  </si>
  <si>
    <t xml:space="preserve">  • Synthetic dataset using pure random (uniform) randomization. ~1,000 rows, columns A-AC.</t>
  </si>
  <si>
    <t xml:space="preserve">  • Values chosen independently without regard to real frequencies. Used to show unrealistic distributions.</t>
  </si>
  <si>
    <t xml:space="preserve">  • Synthetic dataset generated with weighted random sampling based on real data distributions. ~1,000 rows, columns A-AC.</t>
  </si>
  <si>
    <t xml:space="preserve">  • Method: For each field, extract unique values + frequency weights; use random.choices(uniques, weights=weights, k=1000).</t>
  </si>
  <si>
    <t xml:space="preserve">  • Produces data whose marginal distributions closely mirror the real data.</t>
  </si>
  <si>
    <t xml:space="preserve">  • Full descriptive analysis of real Squirrel_Data. Overview metrics, shift/age/fur color/location/behavior/date breakdowns (counts &amp; %), top hectares, key insights.</t>
  </si>
  <si>
    <t xml:space="preserve">  • All metrics use live formulas referencing the Squirrel_Data table.</t>
  </si>
  <si>
    <t xml:space="preserve">  • Identical analysis structure on Fake_Squirrel_Data.</t>
  </si>
  <si>
    <t xml:space="preserve">  • Highlights how pure random data creates unrealistic profiles (e.g., ~33% adult vs. 85% real; balanced colors vs. 82% Gray dominant).</t>
  </si>
  <si>
    <t xml:space="preserve">  • Dashboard comparing the three profiles side-by-side.</t>
  </si>
  <si>
    <t xml:space="preserve">  • Detailed tables: AGE COMPARISON, PRIMARY FUR COLOR COMPARISON, BEHAVIORS &amp; ACTIVITIES (counts, standardized %, diffs).</t>
  </si>
  <si>
    <t xml:space="preserve">  • Direct import from NYC Open Data. Observed squirrel sightings, Oct 2018. Used as ground truth.</t>
  </si>
  <si>
    <t xml:space="preserve">  • Pure random / uniform randomization. Every value chosen independently (no weights). Results in unrealistic distributions (near-equal shares, extreme rates).</t>
  </si>
  <si>
    <t xml:space="preserve">      - Extract unique values from real data for each field.</t>
  </si>
  <si>
    <t xml:space="preserve">      - Compute weights = frequency of value / total observations.</t>
  </si>
  <si>
    <t>(Full URL: https://data.cityofnewyork.us/Environment/2018-Central-Park-Squirrel-Census-Squirrel-Data/vfnx-vebw)</t>
  </si>
  <si>
    <t xml:space="preserve">  • Identical analysis on Empirical_Random_Squirrel_Data.</t>
  </si>
  <si>
    <t>2. Explore individual Profiles (Profile, Fake Profile, Empirical Random Profile) for detailed breakdowns, tables, and insights.</t>
  </si>
  <si>
    <t>Profile vs Fake Profile vs Empirical Random Profile Comparison</t>
  </si>
  <si>
    <t>Emp. Random %</t>
  </si>
  <si>
    <t>Diff (ER vs Real)</t>
  </si>
  <si>
    <t>Emp. Random Count</t>
  </si>
  <si>
    <t>Emp. Random % (1000)</t>
  </si>
  <si>
    <t>Emp. Rand. %</t>
  </si>
  <si>
    <t>This workbook contains the original 2018 Central Park Squirrel Census data from NYC Open Data (~3,023 squirrel sightings), two synthetic datasets (Fake: pure random; Empirical Random: weighted sampling to match real distributions), detailed profile analyses for each, and a comparison dashboard. Purpose: demonstrate realistic vs. unrealistic synthetic data generation techniques and their impact on analysis results.</t>
  </si>
  <si>
    <t>Empirical_Random_Squirrel_Data</t>
  </si>
  <si>
    <t>Empirical Random Profile</t>
  </si>
  <si>
    <t xml:space="preserve">  • Metrics and breakdowns closely match the real Profile due to weighted generation (much closer fidelity than Fake).</t>
  </si>
  <si>
    <t xml:space="preserve">  • Key Distribution Comparison table: % for Real / Fake / Emp. Random + percentage point diffs vs. real (PM Shift, Adult, Gray Fur, Ground Location, key Behaviors).</t>
  </si>
  <si>
    <t xml:space="preserve">  • Three column charts visualizing % distributions for Age, Primary Fur Color, and Behaviors across Real, Fake, Empirical Random profiles.</t>
  </si>
  <si>
    <t>Empirical Random Data</t>
  </si>
  <si>
    <t xml:space="preserve">  • Python weighted random sampling (as described above).</t>
  </si>
  <si>
    <t xml:space="preserve">      - Sample: random.choices(uniques, weights=weights, k=1000).</t>
  </si>
  <si>
    <t>When generating synthetic data, using distribution-weighted sampling (Empirical Random) produces far more realistic results than pure random sampling (Fake). This is clearly visible in the Comparison sheet: Empirical Random profiles and charts align closely with Real; Fake shows large deviations.</t>
  </si>
  <si>
    <t xml:space="preserve">  • ~3,023 sightings with location (X/Y, Lat/Long), demographics (Age, Primary Fur Color), behaviors (Running, Foraging, etc.), interactions, vocalizations. Columns A-AE. Excel Table: SquirrelData. Ground truth for distributions.</t>
  </si>
  <si>
    <t xml:space="preserve">  • Note: Internal sheet names use underscores (e.g. Empirical_Random_Squirrel_Data).</t>
  </si>
  <si>
    <t>Empirical Random Squirrel Census Data Profile (based on original structure)</t>
  </si>
  <si>
    <t>Source: Empirical Random dataset based on NYC Open Data Squirrel Census | ~1000 sightings (rows 2-1001, cols A:AC)</t>
  </si>
  <si>
    <t>Distinct count (live formula; ~1000 for this synthetic dataset)</t>
  </si>
  <si>
    <t>• Data columns remapped for Empirical Random dataset (e.g. ID in column AC).</t>
  </si>
  <si>
    <t>• All stats derived from live formulas (COUNTIF, SUMPRODUCT) referencing Empirical_Random_Squirrel_Data etc.</t>
  </si>
  <si>
    <t>• Date distribution now includes all 15 unique dates from the Empirical Random data (total 1000).</t>
  </si>
  <si>
    <t xml:space="preserve">   - Census Period and Shifts summary (note: date values in synthetic data are serial numbers)</t>
  </si>
  <si>
    <t xml:space="preserve">   - High-level findings on distributions and behaviors (updated for Empirical Random data)</t>
  </si>
  <si>
    <t>10. SUPPORTING DATA (on Empirical_Random_Squirrel_Data sheet)</t>
  </si>
  <si>
    <t>(Note: Top 5 from Empirical Random data in column C; add Hectare pivot for live/dynamic version.)</t>
  </si>
  <si>
    <t>• ~1000 sightings (Empirical Random data rows 2-1001). Note: distributions are simulated to match real.</t>
  </si>
  <si>
    <t xml:space="preserve">   - Date Distribution (using actual dates from Empirical Random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</si>
</sst>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m/dd/yyyy"/>
  </numFmts>
  <fonts count="4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8"/>
      <color theme="0"/>
      <name val="Calibri"/>
      <family val="2"/>
    </font>
    <font>
      <b/>
      <sz val="14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6"/>
      <color rgb="FFFFFFFF"/>
      <name val="Calibri"/>
      <family val="2"/>
    </font>
    <font>
      <b/>
      <sz val="12"/>
      <color rgb="FF2F5496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u/>
      <sz val="10"/>
      <color rgb="FF0563C1"/>
      <name val="Calibri"/>
      <family val="2"/>
    </font>
    <font>
      <i/>
      <sz val="9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name val="Calibri"/>
      <family val="2"/>
    </font>
    <font>
      <i/>
      <sz val="10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F5496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0C0C0"/>
      </top>
      <bottom/>
      <diagonal/>
    </border>
    <border>
      <left/>
      <right/>
      <top/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/>
      <diagonal/>
    </border>
    <border>
      <left style="thin">
        <color rgb="FFC0C0C0"/>
      </left>
      <right/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/>
      <diagonal/>
    </border>
    <border>
      <left/>
      <right style="thin">
        <color rgb="FFC0C0C0"/>
      </right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/>
      <top/>
      <bottom style="double">
        <color rgb="FF2F5496"/>
      </bottom>
      <diagonal/>
    </border>
    <border>
      <left/>
      <right/>
      <top/>
      <bottom style="double">
        <color rgb="FF2F5496"/>
      </bottom>
      <diagonal/>
    </border>
    <border>
      <left/>
      <right style="thin">
        <color rgb="FFC0C0C0"/>
      </right>
      <top/>
      <bottom style="double">
        <color rgb="FF2F5496"/>
      </bottom>
      <diagonal/>
    </border>
    <border>
      <left style="thin">
        <color rgb="FFC0C0C0"/>
      </left>
      <right/>
      <top style="thin">
        <color rgb="FFC0C0C0"/>
      </top>
      <bottom style="double">
        <color rgb="FF2F5496"/>
      </bottom>
      <diagonal/>
    </border>
    <border>
      <left/>
      <right style="thin">
        <color rgb="FFC0C0C0"/>
      </right>
      <top style="thin">
        <color rgb="FFC0C0C0"/>
      </top>
      <bottom style="double">
        <color rgb="FF2F5496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100">
    <xf numFmtId="0" fontId="0" fillId="0" borderId="0" xfId="0"/>
    <xf numFmtId="0" fontId="19" fillId="33" borderId="0" xfId="0" applyFont="1" applyFill="1"/>
    <xf numFmtId="0" fontId="19" fillId="33" borderId="0" xfId="0" applyFont="1" applyFill="1" applyAlignment="1">
      <alignment horizontal="left"/>
    </xf>
    <xf numFmtId="0" fontId="20" fillId="33" borderId="0" xfId="0" applyFont="1" applyFill="1"/>
    <xf numFmtId="3" fontId="0" fillId="0" borderId="0" xfId="0" applyNumberFormat="1"/>
    <xf numFmtId="16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23" fillId="0" borderId="0" xfId="0" applyFont="1"/>
    <xf numFmtId="0" fontId="0" fillId="0" borderId="0" xfId="0" applyAlignment="1">
      <alignment wrapText="1"/>
    </xf>
    <xf numFmtId="0" fontId="19" fillId="33" borderId="0" xfId="0" applyFont="1" applyFill="1" applyAlignment="1">
      <alignment wrapText="1"/>
    </xf>
    <xf numFmtId="0" fontId="23" fillId="0" borderId="0" xfId="0" applyFont="1" applyAlignment="1">
      <alignment horizontal="left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6" fillId="0" borderId="14" xfId="0" applyFont="1" applyBorder="1"/>
    <xf numFmtId="164" fontId="0" fillId="0" borderId="11" xfId="0" applyNumberFormat="1" applyBorder="1"/>
    <xf numFmtId="165" fontId="0" fillId="0" borderId="10" xfId="0" applyNumberFormat="1" applyBorder="1"/>
    <xf numFmtId="165" fontId="0" fillId="0" borderId="0" xfId="0" applyNumberFormat="1"/>
    <xf numFmtId="0" fontId="22" fillId="0" borderId="11" xfId="0" applyFont="1" applyBorder="1"/>
    <xf numFmtId="3" fontId="0" fillId="0" borderId="15" xfId="0" applyNumberFormat="1" applyBorder="1"/>
    <xf numFmtId="3" fontId="0" fillId="0" borderId="16" xfId="0" applyNumberFormat="1" applyBorder="1"/>
    <xf numFmtId="3" fontId="0" fillId="0" borderId="17" xfId="0" applyNumberFormat="1" applyBorder="1"/>
    <xf numFmtId="0" fontId="25" fillId="0" borderId="0" xfId="0" applyFont="1"/>
    <xf numFmtId="0" fontId="27" fillId="0" borderId="0" xfId="0" applyFont="1" applyAlignment="1">
      <alignment wrapText="1"/>
    </xf>
    <xf numFmtId="0" fontId="28" fillId="0" borderId="0" xfId="0" applyFont="1" applyAlignment="1">
      <alignment wrapText="1"/>
    </xf>
    <xf numFmtId="0" fontId="20" fillId="33" borderId="10" xfId="0" applyFont="1" applyFill="1" applyBorder="1"/>
    <xf numFmtId="0" fontId="20" fillId="33" borderId="15" xfId="0" applyFont="1" applyFill="1" applyBorder="1"/>
    <xf numFmtId="3" fontId="0" fillId="0" borderId="10" xfId="0" applyNumberFormat="1" applyBorder="1" applyAlignment="1">
      <alignment horizontal="right"/>
    </xf>
    <xf numFmtId="0" fontId="0" fillId="0" borderId="15" xfId="0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16" xfId="0" applyBorder="1" applyAlignment="1">
      <alignment horizontal="right"/>
    </xf>
    <xf numFmtId="0" fontId="21" fillId="0" borderId="0" xfId="0" applyFont="1" applyAlignment="1">
      <alignment horizontal="right"/>
    </xf>
    <xf numFmtId="164" fontId="0" fillId="0" borderId="15" xfId="0" applyNumberFormat="1" applyBorder="1" applyAlignment="1">
      <alignment horizontal="right"/>
    </xf>
    <xf numFmtId="164" fontId="0" fillId="0" borderId="16" xfId="0" applyNumberFormat="1" applyBorder="1" applyAlignment="1">
      <alignment horizontal="right"/>
    </xf>
    <xf numFmtId="3" fontId="0" fillId="0" borderId="11" xfId="0" applyNumberFormat="1" applyBorder="1" applyAlignment="1">
      <alignment horizontal="right"/>
    </xf>
    <xf numFmtId="164" fontId="0" fillId="0" borderId="17" xfId="0" applyNumberFormat="1" applyBorder="1" applyAlignment="1">
      <alignment horizontal="right"/>
    </xf>
    <xf numFmtId="164" fontId="0" fillId="0" borderId="10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20" fillId="33" borderId="0" xfId="0" applyFont="1" applyFill="1" applyAlignment="1">
      <alignment horizontal="left"/>
    </xf>
    <xf numFmtId="0" fontId="25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9" fillId="33" borderId="0" xfId="0" applyFont="1" applyFill="1" applyAlignment="1">
      <alignment horizontal="left" wrapText="1"/>
    </xf>
    <xf numFmtId="0" fontId="28" fillId="0" borderId="0" xfId="0" applyFont="1" applyAlignment="1">
      <alignment horizontal="left" wrapText="1"/>
    </xf>
    <xf numFmtId="0" fontId="23" fillId="0" borderId="0" xfId="0" applyFont="1" applyAlignment="1">
      <alignment horizontal="left" wrapText="1"/>
    </xf>
    <xf numFmtId="0" fontId="16" fillId="34" borderId="18" xfId="0" applyFont="1" applyFill="1" applyBorder="1" applyAlignment="1">
      <alignment horizontal="left"/>
    </xf>
    <xf numFmtId="0" fontId="16" fillId="34" borderId="20" xfId="0" applyFont="1" applyFill="1" applyBorder="1" applyAlignment="1">
      <alignment horizontal="right"/>
    </xf>
    <xf numFmtId="0" fontId="29" fillId="33" borderId="0" xfId="0" applyFont="1" applyFill="1" applyAlignment="1">
      <alignment horizontal="centerContinuous"/>
    </xf>
    <xf numFmtId="0" fontId="30" fillId="33" borderId="0" xfId="0" applyFont="1" applyFill="1" applyAlignment="1">
      <alignment horizontal="left"/>
    </xf>
    <xf numFmtId="3" fontId="16" fillId="34" borderId="19" xfId="0" applyNumberFormat="1" applyFont="1" applyFill="1" applyBorder="1" applyAlignment="1">
      <alignment horizontal="right"/>
    </xf>
    <xf numFmtId="164" fontId="16" fillId="34" borderId="20" xfId="0" applyNumberFormat="1" applyFont="1" applyFill="1" applyBorder="1" applyAlignment="1">
      <alignment horizontal="right"/>
    </xf>
    <xf numFmtId="164" fontId="16" fillId="34" borderId="19" xfId="0" applyNumberFormat="1" applyFont="1" applyFill="1" applyBorder="1" applyAlignment="1">
      <alignment horizontal="right"/>
    </xf>
    <xf numFmtId="14" fontId="0" fillId="0" borderId="0" xfId="0" applyNumberFormat="1"/>
    <xf numFmtId="165" fontId="22" fillId="0" borderId="11" xfId="0" applyNumberFormat="1" applyFont="1" applyBorder="1"/>
    <xf numFmtId="0" fontId="18" fillId="0" borderId="0" xfId="0" applyFont="1" applyAlignment="1">
      <alignment wrapText="1"/>
    </xf>
    <xf numFmtId="0" fontId="26" fillId="33" borderId="0" xfId="0" applyFont="1" applyFill="1" applyAlignment="1">
      <alignment horizontal="left" wrapText="1"/>
    </xf>
    <xf numFmtId="0" fontId="20" fillId="33" borderId="12" xfId="0" applyFont="1" applyFill="1" applyBorder="1" applyAlignment="1">
      <alignment horizontal="left"/>
    </xf>
    <xf numFmtId="0" fontId="16" fillId="34" borderId="21" xfId="0" applyFont="1" applyFill="1" applyBorder="1"/>
    <xf numFmtId="3" fontId="16" fillId="34" borderId="22" xfId="0" applyNumberFormat="1" applyFont="1" applyFill="1" applyBorder="1"/>
    <xf numFmtId="0" fontId="20" fillId="33" borderId="12" xfId="0" applyFont="1" applyFill="1" applyBorder="1"/>
    <xf numFmtId="3" fontId="20" fillId="33" borderId="15" xfId="0" applyNumberFormat="1" applyFont="1" applyFill="1" applyBorder="1"/>
    <xf numFmtId="0" fontId="19" fillId="33" borderId="12" xfId="0" applyFont="1" applyFill="1" applyBorder="1"/>
    <xf numFmtId="0" fontId="23" fillId="0" borderId="14" xfId="0" applyFont="1" applyBorder="1" applyAlignment="1">
      <alignment horizontal="left" wrapText="1"/>
    </xf>
    <xf numFmtId="0" fontId="31" fillId="35" borderId="14" xfId="0" applyFont="1" applyFill="1" applyBorder="1" applyAlignment="1">
      <alignment horizontal="left"/>
    </xf>
    <xf numFmtId="0" fontId="31" fillId="35" borderId="13" xfId="0" applyFont="1" applyFill="1" applyBorder="1" applyAlignment="1">
      <alignment horizontal="left"/>
    </xf>
    <xf numFmtId="0" fontId="31" fillId="35" borderId="13" xfId="0" applyFont="1" applyFill="1" applyBorder="1" applyAlignment="1">
      <alignment horizontal="left" wrapText="1"/>
    </xf>
    <xf numFmtId="0" fontId="31" fillId="35" borderId="14" xfId="0" applyFont="1" applyFill="1" applyBorder="1" applyAlignment="1">
      <alignment horizontal="left" wrapText="1"/>
    </xf>
    <xf numFmtId="3" fontId="16" fillId="0" borderId="11" xfId="0" applyNumberFormat="1" applyFont="1" applyBorder="1"/>
    <xf numFmtId="164" fontId="16" fillId="0" borderId="11" xfId="0" applyNumberFormat="1" applyFont="1" applyBorder="1"/>
    <xf numFmtId="0" fontId="16" fillId="34" borderId="0" xfId="0" applyFont="1" applyFill="1" applyAlignment="1">
      <alignment horizontal="left"/>
    </xf>
    <xf numFmtId="3" fontId="16" fillId="34" borderId="0" xfId="0" applyNumberFormat="1" applyFont="1" applyFill="1" applyAlignment="1">
      <alignment horizontal="right"/>
    </xf>
    <xf numFmtId="0" fontId="16" fillId="34" borderId="0" xfId="0" applyFont="1" applyFill="1" applyAlignment="1">
      <alignment horizontal="right"/>
    </xf>
    <xf numFmtId="164" fontId="32" fillId="0" borderId="0" xfId="0" applyNumberFormat="1" applyFont="1"/>
    <xf numFmtId="9" fontId="0" fillId="0" borderId="0" xfId="42" applyFont="1" applyBorder="1"/>
    <xf numFmtId="9" fontId="0" fillId="0" borderId="0" xfId="42" applyFont="1"/>
    <xf numFmtId="9" fontId="20" fillId="33" borderId="10" xfId="42" applyFont="1" applyFill="1" applyBorder="1"/>
    <xf numFmtId="0" fontId="33" fillId="33" borderId="0" xfId="0" applyFont="1" applyFill="1" applyAlignment="1">
      <alignment horizontal="centerContinuous"/>
    </xf>
    <xf numFmtId="0" fontId="22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34" fillId="33" borderId="0" xfId="0" applyFont="1" applyFill="1" applyAlignment="1">
      <alignment horizontal="left"/>
    </xf>
    <xf numFmtId="0" fontId="35" fillId="0" borderId="0" xfId="0" applyFont="1" applyAlignment="1">
      <alignment wrapText="1"/>
    </xf>
    <xf numFmtId="0" fontId="36" fillId="33" borderId="0" xfId="0" applyFont="1" applyFill="1" applyAlignment="1">
      <alignment wrapText="1"/>
    </xf>
    <xf numFmtId="0" fontId="37" fillId="0" borderId="0" xfId="0" applyFont="1" applyAlignment="1">
      <alignment wrapText="1"/>
    </xf>
    <xf numFmtId="0" fontId="38" fillId="0" borderId="0" xfId="0" applyFont="1" applyAlignment="1">
      <alignment wrapText="1"/>
    </xf>
    <xf numFmtId="0" fontId="39" fillId="0" borderId="0" xfId="0" applyFont="1" applyAlignment="1">
      <alignment wrapText="1"/>
    </xf>
    <xf numFmtId="0" fontId="41" fillId="0" borderId="0" xfId="0" applyFont="1" applyAlignment="1">
      <alignment wrapText="1"/>
    </xf>
    <xf numFmtId="0" fontId="40" fillId="0" borderId="0" xfId="43" applyFont="1" applyAlignment="1">
      <alignment wrapText="1"/>
    </xf>
    <xf numFmtId="0" fontId="0" fillId="0" borderId="0" xfId="0" applyAlignment="1">
      <alignment horizontal="centerContinuous" wrapText="1"/>
    </xf>
    <xf numFmtId="0" fontId="20" fillId="0" borderId="0" xfId="0" applyFont="1" applyAlignment="1">
      <alignment wrapText="1"/>
    </xf>
    <xf numFmtId="0" fontId="42" fillId="0" borderId="0" xfId="0" applyFont="1" applyAlignment="1">
      <alignment wrapText="1"/>
    </xf>
    <xf numFmtId="0" fontId="43" fillId="0" borderId="0" xfId="0" applyFont="1" applyAlignment="1">
      <alignment wrapText="1"/>
    </xf>
    <xf numFmtId="0" fontId="44" fillId="0" borderId="0" xfId="0" applyFont="1" applyAlignment="1">
      <alignment wrapText="1"/>
    </xf>
    <xf numFmtId="0" fontId="45" fillId="0" borderId="0" xfId="0" applyFont="1" applyAlignment="1">
      <alignment wrapText="1"/>
    </xf>
    <xf numFmtId="0" fontId="36" fillId="36" borderId="0" xfId="0" applyFont="1" applyFill="1" applyAlignment="1">
      <alignment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Distribution %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Comparison!$A$48:$A$50</c:f>
              <c:strCache>
                <c:ptCount val="3"/>
                <c:pt idx="0">
                  <c:v>Adult</c:v>
                </c:pt>
                <c:pt idx="1">
                  <c:v>Juvenile</c:v>
                </c:pt>
                <c:pt idx="2">
                  <c:v>Unknown (?)</c:v>
                </c:pt>
              </c:strCache>
            </c:strRef>
          </c:cat>
          <c:val>
            <c:numRef>
              <c:f>Comparison!$B$48:$B$50</c:f>
              <c:numCache>
                <c:formatCode>0%</c:formatCode>
                <c:ptCount val="3"/>
                <c:pt idx="0">
                  <c:v>0.84948726430697985</c:v>
                </c:pt>
                <c:pt idx="1">
                  <c:v>0.10916308303010255</c:v>
                </c:pt>
                <c:pt idx="2">
                  <c:v>1.3231888852133643E-3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79-4872-8B1B-83152D4015B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Comparison!$A$48:$A$50</c:f>
              <c:strCache>
                <c:ptCount val="3"/>
                <c:pt idx="0">
                  <c:v>Adult</c:v>
                </c:pt>
                <c:pt idx="1">
                  <c:v>Juvenile</c:v>
                </c:pt>
                <c:pt idx="2">
                  <c:v>Unknown (?)</c:v>
                </c:pt>
              </c:strCache>
            </c:strRef>
          </c:cat>
          <c:val>
            <c:numRef>
              <c:f>Comparison!$C$48:$C$50</c:f>
              <c:numCache>
                <c:formatCode>0.0%</c:formatCode>
                <c:ptCount val="3"/>
                <c:pt idx="0">
                  <c:v>0.33</c:v>
                </c:pt>
                <c:pt idx="1">
                  <c:v>0.33700000000000002</c:v>
                </c:pt>
                <c:pt idx="2">
                  <c:v>0.33300000000000002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79-4872-8B1B-83152D4015B8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Comparison!$A$48:$A$50</c:f>
              <c:strCache>
                <c:ptCount val="3"/>
                <c:pt idx="0">
                  <c:v>Adult</c:v>
                </c:pt>
                <c:pt idx="1">
                  <c:v>Juvenile</c:v>
                </c:pt>
                <c:pt idx="2">
                  <c:v>Unknown (?)</c:v>
                </c:pt>
              </c:strCache>
            </c:strRef>
          </c:cat>
          <c:val>
            <c:numRef>
              <c:f>Comparison!$D$48:$D$50</c:f>
              <c:numCache>
                <c:formatCode>0%</c:formatCode>
                <c:ptCount val="3"/>
                <c:pt idx="0">
                  <c:v>0.88</c:v>
                </c:pt>
                <c:pt idx="1">
                  <c:v>0.11799999999999999</c:v>
                </c:pt>
                <c:pt idx="2">
                  <c:v>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79-4872-8B1B-83152D401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8905040"/>
        <c:axId val="2108898320"/>
      </c:barChart>
      <c:catAx>
        <c:axId val="2108905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898320"/>
        <c:crosses val="autoZero"/>
        <c:auto val="1"/>
        <c:lblAlgn val="ctr"/>
        <c:lblOffset val="100"/>
        <c:noMultiLvlLbl val="0"/>
      </c:catAx>
      <c:valAx>
        <c:axId val="2108898320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90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Primary Fur Color %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Comparison!$A$54:$A$57</c:f>
              <c:strCache>
                <c:ptCount val="4"/>
                <c:pt idx="0">
                  <c:v>Gray</c:v>
                </c:pt>
                <c:pt idx="1">
                  <c:v>Cinnamon</c:v>
                </c:pt>
                <c:pt idx="2">
                  <c:v>Black</c:v>
                </c:pt>
                <c:pt idx="3">
                  <c:v>Other/Blank</c:v>
                </c:pt>
              </c:strCache>
            </c:strRef>
          </c:cat>
          <c:val>
            <c:numRef>
              <c:f>Comparison!$B$54:$B$57</c:f>
              <c:numCache>
                <c:formatCode>0%</c:formatCode>
                <c:ptCount val="4"/>
                <c:pt idx="0">
                  <c:v>0.81806152828316248</c:v>
                </c:pt>
                <c:pt idx="1">
                  <c:v>0.12967251075090969</c:v>
                </c:pt>
                <c:pt idx="2">
                  <c:v>3.407211379424413E-2</c:v>
                </c:pt>
                <c:pt idx="3">
                  <c:v>1.8193847171683757E-2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4F-4940-A239-68D66ED54A3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Comparison!$A$54:$A$57</c:f>
              <c:strCache>
                <c:ptCount val="4"/>
                <c:pt idx="0">
                  <c:v>Gray</c:v>
                </c:pt>
                <c:pt idx="1">
                  <c:v>Cinnamon</c:v>
                </c:pt>
                <c:pt idx="2">
                  <c:v>Black</c:v>
                </c:pt>
                <c:pt idx="3">
                  <c:v>Other/Blank</c:v>
                </c:pt>
              </c:strCache>
            </c:strRef>
          </c:cat>
          <c:val>
            <c:numRef>
              <c:f>Comparison!$C$54:$C$57</c:f>
              <c:numCache>
                <c:formatCode>0.0%</c:formatCode>
                <c:ptCount val="4"/>
                <c:pt idx="0">
                  <c:v>0.33200000000000002</c:v>
                </c:pt>
                <c:pt idx="1">
                  <c:v>0.34599999999999997</c:v>
                </c:pt>
                <c:pt idx="2">
                  <c:v>0.32200000000000001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4F-4940-A239-68D66ED54A32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Comparison!$A$54:$A$57</c:f>
              <c:strCache>
                <c:ptCount val="4"/>
                <c:pt idx="0">
                  <c:v>Gray</c:v>
                </c:pt>
                <c:pt idx="1">
                  <c:v>Cinnamon</c:v>
                </c:pt>
                <c:pt idx="2">
                  <c:v>Black</c:v>
                </c:pt>
                <c:pt idx="3">
                  <c:v>Other/Blank</c:v>
                </c:pt>
              </c:strCache>
            </c:strRef>
          </c:cat>
          <c:val>
            <c:numRef>
              <c:f>Comparison!$D$54:$D$57</c:f>
              <c:numCache>
                <c:formatCode>0%</c:formatCode>
                <c:ptCount val="4"/>
                <c:pt idx="0">
                  <c:v>0.83</c:v>
                </c:pt>
                <c:pt idx="1">
                  <c:v>0.13800000000000001</c:v>
                </c:pt>
                <c:pt idx="2">
                  <c:v>3.2000000000000001E-2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4F-4940-A239-68D66ED54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8915600"/>
        <c:axId val="2108899280"/>
      </c:barChart>
      <c:catAx>
        <c:axId val="2108915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Color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899280"/>
        <c:crosses val="autoZero"/>
        <c:auto val="1"/>
        <c:lblAlgn val="ctr"/>
        <c:lblOffset val="100"/>
        <c:noMultiLvlLbl val="0"/>
      </c:catAx>
      <c:valAx>
        <c:axId val="2108899280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91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Behaviors &amp; Activities %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Comparison!$B$60</c:f>
              <c:strCache>
                <c:ptCount val="1"/>
                <c:pt idx="0">
                  <c:v>Real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Comparison!$A$61:$A$71</c:f>
              <c:strCache>
                <c:ptCount val="11"/>
                <c:pt idx="0">
                  <c:v>Running</c:v>
                </c:pt>
                <c:pt idx="1">
                  <c:v>Chasing</c:v>
                </c:pt>
                <c:pt idx="2">
                  <c:v>Climbing</c:v>
                </c:pt>
                <c:pt idx="3">
                  <c:v>Eating</c:v>
                </c:pt>
                <c:pt idx="4">
                  <c:v>Foraging</c:v>
                </c:pt>
                <c:pt idx="5">
                  <c:v>Kuks</c:v>
                </c:pt>
                <c:pt idx="6">
                  <c:v>Quaas</c:v>
                </c:pt>
                <c:pt idx="7">
                  <c:v>Moans</c:v>
                </c:pt>
                <c:pt idx="8">
                  <c:v>Tail flags</c:v>
                </c:pt>
                <c:pt idx="9">
                  <c:v>Tail twitches</c:v>
                </c:pt>
                <c:pt idx="10">
                  <c:v>Approaches</c:v>
                </c:pt>
              </c:strCache>
            </c:strRef>
          </c:cat>
          <c:val>
            <c:numRef>
              <c:f>Comparison!$B$61:$B$71</c:f>
              <c:numCache>
                <c:formatCode>0%</c:formatCode>
                <c:ptCount val="11"/>
                <c:pt idx="0">
                  <c:v>0.21766457161759842</c:v>
                </c:pt>
                <c:pt idx="1">
                  <c:v>0.25140588819053922</c:v>
                </c:pt>
                <c:pt idx="2">
                  <c:v>0.47469401257029442</c:v>
                </c:pt>
                <c:pt idx="3">
                  <c:v>3.3741316572940785E-2</c:v>
                </c:pt>
                <c:pt idx="4">
                  <c:v>1.6539861065167052E-2</c:v>
                </c:pt>
                <c:pt idx="5">
                  <c:v>9.9239166391002311E-4</c:v>
                </c:pt>
                <c:pt idx="6">
                  <c:v>5.127356930201786E-2</c:v>
                </c:pt>
                <c:pt idx="7">
                  <c:v>0.14356599404565001</c:v>
                </c:pt>
                <c:pt idx="8">
                  <c:v>5.8881905391994706E-2</c:v>
                </c:pt>
                <c:pt idx="9">
                  <c:v>0.4809791597750579</c:v>
                </c:pt>
                <c:pt idx="10">
                  <c:v>0.22428051604366522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0C-4647-A807-669CFABC096E}"/>
            </c:ext>
          </c:extLst>
        </c:ser>
        <c:ser>
          <c:idx val="1"/>
          <c:order val="1"/>
          <c:tx>
            <c:strRef>
              <c:f>Comparison!$C$60</c:f>
              <c:strCache>
                <c:ptCount val="1"/>
                <c:pt idx="0">
                  <c:v>Fake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Comparison!$A$61:$A$71</c:f>
              <c:strCache>
                <c:ptCount val="11"/>
                <c:pt idx="0">
                  <c:v>Running</c:v>
                </c:pt>
                <c:pt idx="1">
                  <c:v>Chasing</c:v>
                </c:pt>
                <c:pt idx="2">
                  <c:v>Climbing</c:v>
                </c:pt>
                <c:pt idx="3">
                  <c:v>Eating</c:v>
                </c:pt>
                <c:pt idx="4">
                  <c:v>Foraging</c:v>
                </c:pt>
                <c:pt idx="5">
                  <c:v>Kuks</c:v>
                </c:pt>
                <c:pt idx="6">
                  <c:v>Quaas</c:v>
                </c:pt>
                <c:pt idx="7">
                  <c:v>Moans</c:v>
                </c:pt>
                <c:pt idx="8">
                  <c:v>Tail flags</c:v>
                </c:pt>
                <c:pt idx="9">
                  <c:v>Tail twitches</c:v>
                </c:pt>
                <c:pt idx="10">
                  <c:v>Approaches</c:v>
                </c:pt>
              </c:strCache>
            </c:strRef>
          </c:cat>
          <c:val>
            <c:numRef>
              <c:f>Comparison!$C$61:$C$71</c:f>
              <c:numCache>
                <c:formatCode>0.0%</c:formatCode>
                <c:ptCount val="11"/>
                <c:pt idx="0">
                  <c:v>0.49</c:v>
                </c:pt>
                <c:pt idx="1">
                  <c:v>0.51300000000000001</c:v>
                </c:pt>
                <c:pt idx="2">
                  <c:v>0.501</c:v>
                </c:pt>
                <c:pt idx="3">
                  <c:v>0.51</c:v>
                </c:pt>
                <c:pt idx="4">
                  <c:v>0.497</c:v>
                </c:pt>
                <c:pt idx="5">
                  <c:v>0.47899999999999998</c:v>
                </c:pt>
                <c:pt idx="6">
                  <c:v>0.51300000000000001</c:v>
                </c:pt>
                <c:pt idx="7">
                  <c:v>0.49199999999999999</c:v>
                </c:pt>
                <c:pt idx="8">
                  <c:v>0.505</c:v>
                </c:pt>
                <c:pt idx="9">
                  <c:v>0.503</c:v>
                </c:pt>
                <c:pt idx="10">
                  <c:v>0.48299999999999998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0C-4647-A807-669CFABC096E}"/>
            </c:ext>
          </c:extLst>
        </c:ser>
        <c:ser>
          <c:idx val="2"/>
          <c:order val="2"/>
          <c:tx>
            <c:strRef>
              <c:f>Comparison!$D$60</c:f>
              <c:strCache>
                <c:ptCount val="1"/>
                <c:pt idx="0">
                  <c:v>Emp. Rand.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Comparison!$A$61:$A$71</c:f>
              <c:strCache>
                <c:ptCount val="11"/>
                <c:pt idx="0">
                  <c:v>Running</c:v>
                </c:pt>
                <c:pt idx="1">
                  <c:v>Chasing</c:v>
                </c:pt>
                <c:pt idx="2">
                  <c:v>Climbing</c:v>
                </c:pt>
                <c:pt idx="3">
                  <c:v>Eating</c:v>
                </c:pt>
                <c:pt idx="4">
                  <c:v>Foraging</c:v>
                </c:pt>
                <c:pt idx="5">
                  <c:v>Kuks</c:v>
                </c:pt>
                <c:pt idx="6">
                  <c:v>Quaas</c:v>
                </c:pt>
                <c:pt idx="7">
                  <c:v>Moans</c:v>
                </c:pt>
                <c:pt idx="8">
                  <c:v>Tail flags</c:v>
                </c:pt>
                <c:pt idx="9">
                  <c:v>Tail twitches</c:v>
                </c:pt>
                <c:pt idx="10">
                  <c:v>Approaches</c:v>
                </c:pt>
              </c:strCache>
            </c:strRef>
          </c:cat>
          <c:val>
            <c:numRef>
              <c:f>Comparison!$D$61:$D$71</c:f>
              <c:numCache>
                <c:formatCode>0%</c:formatCode>
                <c:ptCount val="11"/>
                <c:pt idx="0">
                  <c:v>0.23100000000000001</c:v>
                </c:pt>
                <c:pt idx="1">
                  <c:v>0.248</c:v>
                </c:pt>
                <c:pt idx="2">
                  <c:v>0.436</c:v>
                </c:pt>
                <c:pt idx="3">
                  <c:v>3.5000000000000003E-2</c:v>
                </c:pt>
                <c:pt idx="4">
                  <c:v>1.7000000000000001E-2</c:v>
                </c:pt>
                <c:pt idx="5">
                  <c:v>0</c:v>
                </c:pt>
                <c:pt idx="6">
                  <c:v>0.05</c:v>
                </c:pt>
                <c:pt idx="7">
                  <c:v>0.14299999999999999</c:v>
                </c:pt>
                <c:pt idx="8">
                  <c:v>4.8000000000000001E-2</c:v>
                </c:pt>
                <c:pt idx="9">
                  <c:v>0.48499999999999999</c:v>
                </c:pt>
                <c:pt idx="10">
                  <c:v>0.217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0C-4647-A807-669CFABC0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8918000"/>
        <c:axId val="2108917520"/>
      </c:barChart>
      <c:catAx>
        <c:axId val="2108918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Behavior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917520"/>
        <c:crosses val="autoZero"/>
        <c:auto val="1"/>
        <c:lblAlgn val="ctr"/>
        <c:lblOffset val="100"/>
        <c:noMultiLvlLbl val="0"/>
      </c:catAx>
      <c:valAx>
        <c:axId val="2108917520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91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Primary Fur Color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Profile!$B$26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Profile!$A$27:$A$29</c:f>
              <c:strCache>
                <c:ptCount val="3"/>
                <c:pt idx="0">
                  <c:v>Gray</c:v>
                </c:pt>
                <c:pt idx="1">
                  <c:v>Cinnamon</c:v>
                </c:pt>
                <c:pt idx="2">
                  <c:v>Black</c:v>
                </c:pt>
              </c:strCache>
            </c:strRef>
          </c:cat>
          <c:val>
            <c:numRef>
              <c:f>Profile!$B$27:$B$29</c:f>
              <c:numCache>
                <c:formatCode>#,##0</c:formatCode>
                <c:ptCount val="3"/>
                <c:pt idx="0">
                  <c:v>2473</c:v>
                </c:pt>
                <c:pt idx="1">
                  <c:v>392</c:v>
                </c:pt>
                <c:pt idx="2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1-4A3D-B3F0-FB5FD0FEE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6978960"/>
        <c:axId val="2106973680"/>
      </c:barChart>
      <c:catAx>
        <c:axId val="210697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973680"/>
        <c:crosses val="autoZero"/>
        <c:auto val="1"/>
        <c:lblAlgn val="ctr"/>
        <c:lblOffset val="100"/>
        <c:noMultiLvlLbl val="0"/>
      </c:catAx>
      <c:valAx>
        <c:axId val="210697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97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Behaviors &amp; Activities Observed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Profile!$B$41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Profile!$A$42:$A$54</c:f>
              <c:strCache>
                <c:ptCount val="13"/>
                <c:pt idx="0">
                  <c:v>Running (P)</c:v>
                </c:pt>
                <c:pt idx="1">
                  <c:v>Chasing (Q)</c:v>
                </c:pt>
                <c:pt idx="2">
                  <c:v>Climbing (R)</c:v>
                </c:pt>
                <c:pt idx="3">
                  <c:v>Eating (S)</c:v>
                </c:pt>
                <c:pt idx="4">
                  <c:v>Foraging (T)</c:v>
                </c:pt>
                <c:pt idx="5">
                  <c:v>Kuks (V)</c:v>
                </c:pt>
                <c:pt idx="6">
                  <c:v>Quaas (W)</c:v>
                </c:pt>
                <c:pt idx="7">
                  <c:v>Moans (X)</c:v>
                </c:pt>
                <c:pt idx="8">
                  <c:v>Tail flags (Y)</c:v>
                </c:pt>
                <c:pt idx="9">
                  <c:v>Tail twitches (Z)</c:v>
                </c:pt>
                <c:pt idx="10">
                  <c:v>Approaches (AA)</c:v>
                </c:pt>
                <c:pt idx="11">
                  <c:v>Indifferent (AB)</c:v>
                </c:pt>
                <c:pt idx="12">
                  <c:v>Runs from (AC)</c:v>
                </c:pt>
              </c:strCache>
            </c:strRef>
          </c:cat>
          <c:val>
            <c:numRef>
              <c:f>Profile!$B$42:$B$54</c:f>
              <c:numCache>
                <c:formatCode>#,##0</c:formatCode>
                <c:ptCount val="13"/>
                <c:pt idx="0">
                  <c:v>730</c:v>
                </c:pt>
                <c:pt idx="1">
                  <c:v>279</c:v>
                </c:pt>
                <c:pt idx="2">
                  <c:v>658</c:v>
                </c:pt>
                <c:pt idx="3">
                  <c:v>760</c:v>
                </c:pt>
                <c:pt idx="4">
                  <c:v>1435</c:v>
                </c:pt>
                <c:pt idx="5">
                  <c:v>102</c:v>
                </c:pt>
                <c:pt idx="6">
                  <c:v>50</c:v>
                </c:pt>
                <c:pt idx="7">
                  <c:v>3</c:v>
                </c:pt>
                <c:pt idx="8">
                  <c:v>155</c:v>
                </c:pt>
                <c:pt idx="9">
                  <c:v>434</c:v>
                </c:pt>
                <c:pt idx="10">
                  <c:v>178</c:v>
                </c:pt>
                <c:pt idx="11">
                  <c:v>1454</c:v>
                </c:pt>
                <c:pt idx="12">
                  <c:v>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D2-46D1-92EF-C8026BFD5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6975600"/>
        <c:axId val="2106980400"/>
      </c:barChart>
      <c:catAx>
        <c:axId val="2106975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980400"/>
        <c:crosses val="autoZero"/>
        <c:auto val="1"/>
        <c:lblAlgn val="ctr"/>
        <c:lblOffset val="100"/>
        <c:noMultiLvlLbl val="0"/>
      </c:catAx>
      <c:valAx>
        <c:axId val="210698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Squirrels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97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 vs PM Sightings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Profile!$B$12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6D-49AC-9041-C25E7F4833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6D-49AC-9041-C25E7F4833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Profile!$A$13:$A$14</c:f>
              <c:strCache>
                <c:ptCount val="2"/>
                <c:pt idx="0">
                  <c:v>AM</c:v>
                </c:pt>
                <c:pt idx="1">
                  <c:v>PM</c:v>
                </c:pt>
              </c:strCache>
            </c:strRef>
          </c:cat>
          <c:val>
            <c:numRef>
              <c:f>Profile!$B$13:$B$14</c:f>
              <c:numCache>
                <c:formatCode>#,##0</c:formatCode>
                <c:ptCount val="2"/>
                <c:pt idx="0">
                  <c:v>1347</c:v>
                </c:pt>
                <c:pt idx="1">
                  <c:v>1676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ED-41F4-A242-5A7287360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Profile!$B$18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94F-4118-92C6-3A033EF832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94F-4118-92C6-3A033EF832F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94F-4118-92C6-3A033EF832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Profile!$A$19:$A$21</c:f>
              <c:strCache>
                <c:ptCount val="3"/>
                <c:pt idx="0">
                  <c:v>Adult</c:v>
                </c:pt>
                <c:pt idx="1">
                  <c:v>Juvenile</c:v>
                </c:pt>
                <c:pt idx="2">
                  <c:v>Unknown (?)</c:v>
                </c:pt>
              </c:strCache>
            </c:strRef>
          </c:cat>
          <c:val>
            <c:numRef>
              <c:f>Profile!$B$19:$B$21</c:f>
              <c:numCache>
                <c:formatCode>#,##0</c:formatCode>
                <c:ptCount val="3"/>
                <c:pt idx="0">
                  <c:v>2568</c:v>
                </c:pt>
                <c:pt idx="1">
                  <c:v>330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78-45B0-A1FF-B005F5DB3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Primary Fur Color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'Fake Profile'!$B$26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'Fake Profile'!$A$27:$A$29</c:f>
              <c:strCache>
                <c:ptCount val="3"/>
                <c:pt idx="0">
                  <c:v>Gray</c:v>
                </c:pt>
                <c:pt idx="1">
                  <c:v>Cinnamon</c:v>
                </c:pt>
                <c:pt idx="2">
                  <c:v>Black</c:v>
                </c:pt>
              </c:strCache>
            </c:strRef>
          </c:cat>
          <c:val>
            <c:numRef>
              <c:f>'Fake Profile'!$B$27:$B$29</c:f>
              <c:numCache>
                <c:formatCode>#,##0</c:formatCode>
                <c:ptCount val="3"/>
                <c:pt idx="0">
                  <c:v>332</c:v>
                </c:pt>
                <c:pt idx="1">
                  <c:v>346</c:v>
                </c:pt>
                <c:pt idx="2">
                  <c:v>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C3-4A01-AE2C-3EFE70F07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6978960"/>
        <c:axId val="2106973680"/>
      </c:barChart>
      <c:catAx>
        <c:axId val="210697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973680"/>
        <c:crosses val="autoZero"/>
        <c:auto val="1"/>
        <c:lblAlgn val="ctr"/>
        <c:lblOffset val="100"/>
        <c:noMultiLvlLbl val="0"/>
      </c:catAx>
      <c:valAx>
        <c:axId val="210697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97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Behaviors &amp; Activities Observed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'Fake Profile'!$B$41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'Fake Profile'!$A$42:$A$54</c:f>
              <c:strCache>
                <c:ptCount val="13"/>
                <c:pt idx="0">
                  <c:v>Running (P)</c:v>
                </c:pt>
                <c:pt idx="1">
                  <c:v>Chasing (Q)</c:v>
                </c:pt>
                <c:pt idx="2">
                  <c:v>Climbing (R)</c:v>
                </c:pt>
                <c:pt idx="3">
                  <c:v>Eating (S)</c:v>
                </c:pt>
                <c:pt idx="4">
                  <c:v>Foraging (T)</c:v>
                </c:pt>
                <c:pt idx="5">
                  <c:v>Kuks (V)</c:v>
                </c:pt>
                <c:pt idx="6">
                  <c:v>Quaas (W)</c:v>
                </c:pt>
                <c:pt idx="7">
                  <c:v>Moans (X)</c:v>
                </c:pt>
                <c:pt idx="8">
                  <c:v>Tail flags (Y)</c:v>
                </c:pt>
                <c:pt idx="9">
                  <c:v>Tail twitches (Z)</c:v>
                </c:pt>
                <c:pt idx="10">
                  <c:v>Approaches (AA)</c:v>
                </c:pt>
                <c:pt idx="11">
                  <c:v>Indifferent (AB)</c:v>
                </c:pt>
                <c:pt idx="12">
                  <c:v>Runs from (AC)</c:v>
                </c:pt>
              </c:strCache>
            </c:strRef>
          </c:cat>
          <c:val>
            <c:numRef>
              <c:f>'Fake Profile'!$B$42:$B$54</c:f>
              <c:numCache>
                <c:formatCode>#,##0</c:formatCode>
                <c:ptCount val="13"/>
                <c:pt idx="0">
                  <c:v>491</c:v>
                </c:pt>
                <c:pt idx="1">
                  <c:v>471</c:v>
                </c:pt>
                <c:pt idx="2">
                  <c:v>490</c:v>
                </c:pt>
                <c:pt idx="3">
                  <c:v>513</c:v>
                </c:pt>
                <c:pt idx="4">
                  <c:v>501</c:v>
                </c:pt>
                <c:pt idx="5">
                  <c:v>510</c:v>
                </c:pt>
                <c:pt idx="6">
                  <c:v>497</c:v>
                </c:pt>
                <c:pt idx="7">
                  <c:v>479</c:v>
                </c:pt>
                <c:pt idx="8">
                  <c:v>513</c:v>
                </c:pt>
                <c:pt idx="9">
                  <c:v>492</c:v>
                </c:pt>
                <c:pt idx="10">
                  <c:v>505</c:v>
                </c:pt>
                <c:pt idx="11">
                  <c:v>503</c:v>
                </c:pt>
                <c:pt idx="12">
                  <c:v>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3-4088-91EA-56D1615BC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6975600"/>
        <c:axId val="2106980400"/>
      </c:barChart>
      <c:catAx>
        <c:axId val="2106975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980400"/>
        <c:crosses val="autoZero"/>
        <c:auto val="1"/>
        <c:lblAlgn val="ctr"/>
        <c:lblOffset val="100"/>
        <c:noMultiLvlLbl val="0"/>
      </c:catAx>
      <c:valAx>
        <c:axId val="210698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Squirrels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97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 vs PM Sightings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'Fake Profile'!$B$12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23-4FE9-AEEF-B57E60A7018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D23-4FE9-AEEF-B57E60A701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'Fake Profile'!$A$13:$A$14</c:f>
              <c:strCache>
                <c:ptCount val="2"/>
                <c:pt idx="0">
                  <c:v>AM</c:v>
                </c:pt>
                <c:pt idx="1">
                  <c:v>PM</c:v>
                </c:pt>
              </c:strCache>
            </c:strRef>
          </c:cat>
          <c:val>
            <c:numRef>
              <c:f>'Fake Profile'!$B$13:$B$14</c:f>
              <c:numCache>
                <c:formatCode>#,##0</c:formatCode>
                <c:ptCount val="2"/>
                <c:pt idx="0">
                  <c:v>473</c:v>
                </c:pt>
                <c:pt idx="1">
                  <c:v>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23-4FE9-AEEF-B57E60A70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'Fake Profile'!$B$18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74-4830-8E31-14C5CD806D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774-4830-8E31-14C5CD806D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774-4830-8E31-14C5CD806D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'Fake Profile'!$A$19:$A$21</c:f>
              <c:strCache>
                <c:ptCount val="3"/>
                <c:pt idx="0">
                  <c:v>Adult</c:v>
                </c:pt>
                <c:pt idx="1">
                  <c:v>Juvenile</c:v>
                </c:pt>
                <c:pt idx="2">
                  <c:v>Unknown (?)</c:v>
                </c:pt>
              </c:strCache>
            </c:strRef>
          </c:cat>
          <c:val>
            <c:numRef>
              <c:f>'Fake Profile'!$B$19:$B$21</c:f>
              <c:numCache>
                <c:formatCode>#,##0</c:formatCode>
                <c:ptCount val="3"/>
                <c:pt idx="0">
                  <c:v>330</c:v>
                </c:pt>
                <c:pt idx="1">
                  <c:v>337</c:v>
                </c:pt>
                <c:pt idx="2">
                  <c:v>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74-4830-8E31-14C5CD806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Primary Fur Color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'Empirical Random Profile'!$B$26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'Empirical Random Profile'!$A$27:$A$29</c:f>
              <c:strCache>
                <c:ptCount val="3"/>
                <c:pt idx="0">
                  <c:v>Gray</c:v>
                </c:pt>
                <c:pt idx="1">
                  <c:v>Cinnamon</c:v>
                </c:pt>
                <c:pt idx="2">
                  <c:v>Black</c:v>
                </c:pt>
              </c:strCache>
            </c:strRef>
          </c:cat>
          <c:val>
            <c:numRef>
              <c:f>'Empirical Random Profile'!$B$27:$B$29</c:f>
              <c:numCache>
                <c:formatCode>#,##0</c:formatCode>
                <c:ptCount val="3"/>
                <c:pt idx="0">
                  <c:v>830</c:v>
                </c:pt>
                <c:pt idx="1">
                  <c:v>138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C-45E7-8085-381FD4506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6978960"/>
        <c:axId val="2106973680"/>
      </c:barChart>
      <c:catAx>
        <c:axId val="210697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973680"/>
        <c:crosses val="autoZero"/>
        <c:auto val="1"/>
        <c:lblAlgn val="ctr"/>
        <c:lblOffset val="100"/>
        <c:noMultiLvlLbl val="0"/>
      </c:catAx>
      <c:valAx>
        <c:axId val="210697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97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Behaviors &amp; Activities Observed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'Empirical Random Profile'!$B$41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'Empirical Random Profile'!$A$42:$A$54</c:f>
              <c:strCache>
                <c:ptCount val="13"/>
                <c:pt idx="0">
                  <c:v>Running (P)</c:v>
                </c:pt>
                <c:pt idx="1">
                  <c:v>Chasing (Q)</c:v>
                </c:pt>
                <c:pt idx="2">
                  <c:v>Climbing (R)</c:v>
                </c:pt>
                <c:pt idx="3">
                  <c:v>Eating (S)</c:v>
                </c:pt>
                <c:pt idx="4">
                  <c:v>Foraging (T)</c:v>
                </c:pt>
                <c:pt idx="5">
                  <c:v>Kuks (V)</c:v>
                </c:pt>
                <c:pt idx="6">
                  <c:v>Quaas (W)</c:v>
                </c:pt>
                <c:pt idx="7">
                  <c:v>Moans (X)</c:v>
                </c:pt>
                <c:pt idx="8">
                  <c:v>Tail flags (Y)</c:v>
                </c:pt>
                <c:pt idx="9">
                  <c:v>Tail twitches (Z)</c:v>
                </c:pt>
                <c:pt idx="10">
                  <c:v>Approaches (AA)</c:v>
                </c:pt>
                <c:pt idx="11">
                  <c:v>Indifferent (AB)</c:v>
                </c:pt>
                <c:pt idx="12">
                  <c:v>Runs from (AC)</c:v>
                </c:pt>
              </c:strCache>
            </c:strRef>
          </c:cat>
          <c:val>
            <c:numRef>
              <c:f>'Empirical Random Profile'!$B$42:$B$54</c:f>
              <c:numCache>
                <c:formatCode>#,##0</c:formatCode>
                <c:ptCount val="13"/>
                <c:pt idx="0">
                  <c:v>261</c:v>
                </c:pt>
                <c:pt idx="1">
                  <c:v>91</c:v>
                </c:pt>
                <c:pt idx="2">
                  <c:v>231</c:v>
                </c:pt>
                <c:pt idx="3">
                  <c:v>248</c:v>
                </c:pt>
                <c:pt idx="4">
                  <c:v>436</c:v>
                </c:pt>
                <c:pt idx="5">
                  <c:v>35</c:v>
                </c:pt>
                <c:pt idx="6">
                  <c:v>17</c:v>
                </c:pt>
                <c:pt idx="7">
                  <c:v>0</c:v>
                </c:pt>
                <c:pt idx="8">
                  <c:v>50</c:v>
                </c:pt>
                <c:pt idx="9">
                  <c:v>143</c:v>
                </c:pt>
                <c:pt idx="10">
                  <c:v>48</c:v>
                </c:pt>
                <c:pt idx="11">
                  <c:v>485</c:v>
                </c:pt>
                <c:pt idx="12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A9-4AD3-BDD7-613F89761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6975600"/>
        <c:axId val="2106980400"/>
      </c:barChart>
      <c:catAx>
        <c:axId val="2106975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980400"/>
        <c:crosses val="autoZero"/>
        <c:auto val="1"/>
        <c:lblAlgn val="ctr"/>
        <c:lblOffset val="100"/>
        <c:noMultiLvlLbl val="0"/>
      </c:catAx>
      <c:valAx>
        <c:axId val="210698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Squirrels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97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 vs PM Sightings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'Empirical Random Profile'!$B$12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BD-4AE1-9B5A-FC41BB7FA0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0BD-4AE1-9B5A-FC41BB7FA0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'Empirical Random Profile'!$A$13:$A$14</c:f>
              <c:strCache>
                <c:ptCount val="2"/>
                <c:pt idx="0">
                  <c:v>AM</c:v>
                </c:pt>
                <c:pt idx="1">
                  <c:v>PM</c:v>
                </c:pt>
              </c:strCache>
            </c:strRef>
          </c:cat>
          <c:val>
            <c:numRef>
              <c:f>'Empirical Random Profile'!$B$13:$B$14</c:f>
              <c:numCache>
                <c:formatCode>#,##0</c:formatCode>
                <c:ptCount val="2"/>
                <c:pt idx="0">
                  <c:v>441</c:v>
                </c:pt>
                <c:pt idx="1">
                  <c:v>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BD-4AE1-9B5A-FC41BB7FA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'Empirical Random Profile'!$B$18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49-4245-AB57-AD740B79DC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49-4245-AB57-AD740B79DCA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149-4245-AB57-AD740B79DC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'Empirical Random Profile'!$A$19:$A$21</c:f>
              <c:strCache>
                <c:ptCount val="3"/>
                <c:pt idx="0">
                  <c:v>Adult</c:v>
                </c:pt>
                <c:pt idx="1">
                  <c:v>Juvenile</c:v>
                </c:pt>
                <c:pt idx="2">
                  <c:v>Unknown (?)</c:v>
                </c:pt>
              </c:strCache>
            </c:strRef>
          </c:cat>
          <c:val>
            <c:numRef>
              <c:f>'Empirical Random Profile'!$B$19:$B$21</c:f>
              <c:numCache>
                <c:formatCode>#,##0</c:formatCode>
                <c:ptCount val="3"/>
                <c:pt idx="0">
                  <c:v>880</c:v>
                </c:pt>
                <c:pt idx="1">
                  <c:v>118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49-4245-AB57-AD740B79D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73</xdr:row>
      <xdr:rowOff>0</xdr:rowOff>
    </xdr:from>
    <xdr:to>
      <xdr:col>6</xdr:col>
      <xdr:colOff>0</xdr:colOff>
      <xdr:row>97</xdr:row>
      <xdr:rowOff>0</xdr:rowOff>
    </xdr:to>
    <xdr:graphicFrame macro="">
      <xdr:nvGraphicFramePr>
        <xdr:cNvPr id="2" name="AgeComparison">
          <a:extLst>
            <a:ext uri="{FF2B5EF4-FFF2-40B4-BE49-F238E27FC236}">
              <a16:creationId xmlns:a16="http://schemas.microsoft.com/office/drawing/2014/main" id="{749A9713-AB54-13E7-2550-D7620C43E0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98</xdr:row>
      <xdr:rowOff>182878</xdr:rowOff>
    </xdr:from>
    <xdr:to>
      <xdr:col>6</xdr:col>
      <xdr:colOff>0</xdr:colOff>
      <xdr:row>122</xdr:row>
      <xdr:rowOff>182878</xdr:rowOff>
    </xdr:to>
    <xdr:graphicFrame macro="">
      <xdr:nvGraphicFramePr>
        <xdr:cNvPr id="3" name="FurColorComparison">
          <a:extLst>
            <a:ext uri="{FF2B5EF4-FFF2-40B4-BE49-F238E27FC236}">
              <a16:creationId xmlns:a16="http://schemas.microsoft.com/office/drawing/2014/main" id="{73820976-F0FF-7D57-324C-00B0CE3C6F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124</xdr:row>
      <xdr:rowOff>182879</xdr:rowOff>
    </xdr:from>
    <xdr:to>
      <xdr:col>9</xdr:col>
      <xdr:colOff>0</xdr:colOff>
      <xdr:row>161</xdr:row>
      <xdr:rowOff>182879</xdr:rowOff>
    </xdr:to>
    <xdr:graphicFrame macro="">
      <xdr:nvGraphicFramePr>
        <xdr:cNvPr id="4" name="BehaviorsComparison">
          <a:extLst>
            <a:ext uri="{FF2B5EF4-FFF2-40B4-BE49-F238E27FC236}">
              <a16:creationId xmlns:a16="http://schemas.microsoft.com/office/drawing/2014/main" id="{5EDAC4E1-FA2B-1D6B-FCDC-0C3850732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19</xdr:row>
      <xdr:rowOff>38100</xdr:rowOff>
    </xdr:from>
    <xdr:to>
      <xdr:col>12</xdr:col>
      <xdr:colOff>0</xdr:colOff>
      <xdr:row>38</xdr:row>
      <xdr:rowOff>15240</xdr:rowOff>
    </xdr:to>
    <xdr:graphicFrame macro="">
      <xdr:nvGraphicFramePr>
        <xdr:cNvPr id="2" name="FurColorChart">
          <a:extLst>
            <a:ext uri="{FF2B5EF4-FFF2-40B4-BE49-F238E27FC236}">
              <a16:creationId xmlns:a16="http://schemas.microsoft.com/office/drawing/2014/main" id="{8C0D5A9E-1E40-37DD-788D-501DAE530C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594360</xdr:colOff>
      <xdr:row>18</xdr:row>
      <xdr:rowOff>160020</xdr:rowOff>
    </xdr:from>
    <xdr:to>
      <xdr:col>20</xdr:col>
      <xdr:colOff>543560</xdr:colOff>
      <xdr:row>37</xdr:row>
      <xdr:rowOff>182880</xdr:rowOff>
    </xdr:to>
    <xdr:graphicFrame macro="">
      <xdr:nvGraphicFramePr>
        <xdr:cNvPr id="3" name="BehaviorsChart">
          <a:extLst>
            <a:ext uri="{FF2B5EF4-FFF2-40B4-BE49-F238E27FC236}">
              <a16:creationId xmlns:a16="http://schemas.microsoft.com/office/drawing/2014/main" id="{2ED4D10C-8584-859A-9DBA-3F92F2E5BD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</xdr:row>
      <xdr:rowOff>0</xdr:rowOff>
    </xdr:from>
    <xdr:to>
      <xdr:col>11</xdr:col>
      <xdr:colOff>701040</xdr:colOff>
      <xdr:row>17</xdr:row>
      <xdr:rowOff>0</xdr:rowOff>
    </xdr:to>
    <xdr:graphicFrame macro="">
      <xdr:nvGraphicFramePr>
        <xdr:cNvPr id="4" name="ShiftPie">
          <a:extLst>
            <a:ext uri="{FF2B5EF4-FFF2-40B4-BE49-F238E27FC236}">
              <a16:creationId xmlns:a16="http://schemas.microsoft.com/office/drawing/2014/main" id="{0E77985B-85DC-49FF-DE95-168B0A5D8C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3</xdr:row>
      <xdr:rowOff>15240</xdr:rowOff>
    </xdr:from>
    <xdr:to>
      <xdr:col>20</xdr:col>
      <xdr:colOff>601980</xdr:colOff>
      <xdr:row>16</xdr:row>
      <xdr:rowOff>175260</xdr:rowOff>
    </xdr:to>
    <xdr:graphicFrame macro="">
      <xdr:nvGraphicFramePr>
        <xdr:cNvPr id="6" name="AgePie">
          <a:extLst>
            <a:ext uri="{FF2B5EF4-FFF2-40B4-BE49-F238E27FC236}">
              <a16:creationId xmlns:a16="http://schemas.microsoft.com/office/drawing/2014/main" id="{51D34672-69E2-9D15-20A3-0F6FBD85E5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18</xdr:row>
      <xdr:rowOff>175260</xdr:rowOff>
    </xdr:from>
    <xdr:to>
      <xdr:col>12</xdr:col>
      <xdr:colOff>30480</xdr:colOff>
      <xdr:row>37</xdr:row>
      <xdr:rowOff>182880</xdr:rowOff>
    </xdr:to>
    <xdr:graphicFrame macro="">
      <xdr:nvGraphicFramePr>
        <xdr:cNvPr id="2" name="FurColorChart">
          <a:extLst>
            <a:ext uri="{FF2B5EF4-FFF2-40B4-BE49-F238E27FC236}">
              <a16:creationId xmlns:a16="http://schemas.microsoft.com/office/drawing/2014/main" id="{6C0FDC0A-3926-4191-90C6-282FCEECA8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594360</xdr:colOff>
      <xdr:row>18</xdr:row>
      <xdr:rowOff>160020</xdr:rowOff>
    </xdr:from>
    <xdr:to>
      <xdr:col>20</xdr:col>
      <xdr:colOff>543560</xdr:colOff>
      <xdr:row>37</xdr:row>
      <xdr:rowOff>109220</xdr:rowOff>
    </xdr:to>
    <xdr:graphicFrame macro="">
      <xdr:nvGraphicFramePr>
        <xdr:cNvPr id="3" name="BehaviorsChart">
          <a:extLst>
            <a:ext uri="{FF2B5EF4-FFF2-40B4-BE49-F238E27FC236}">
              <a16:creationId xmlns:a16="http://schemas.microsoft.com/office/drawing/2014/main" id="{8BABC56A-E664-442E-A148-04426A9ED5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</xdr:row>
      <xdr:rowOff>0</xdr:rowOff>
    </xdr:from>
    <xdr:to>
      <xdr:col>11</xdr:col>
      <xdr:colOff>701040</xdr:colOff>
      <xdr:row>17</xdr:row>
      <xdr:rowOff>0</xdr:rowOff>
    </xdr:to>
    <xdr:graphicFrame macro="">
      <xdr:nvGraphicFramePr>
        <xdr:cNvPr id="4" name="ShiftPie">
          <a:extLst>
            <a:ext uri="{FF2B5EF4-FFF2-40B4-BE49-F238E27FC236}">
              <a16:creationId xmlns:a16="http://schemas.microsoft.com/office/drawing/2014/main" id="{55430E3E-0D75-43A6-9906-F2078610F0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</xdr:row>
      <xdr:rowOff>175260</xdr:rowOff>
    </xdr:from>
    <xdr:to>
      <xdr:col>20</xdr:col>
      <xdr:colOff>601980</xdr:colOff>
      <xdr:row>17</xdr:row>
      <xdr:rowOff>0</xdr:rowOff>
    </xdr:to>
    <xdr:graphicFrame macro="">
      <xdr:nvGraphicFramePr>
        <xdr:cNvPr id="5" name="AgePie">
          <a:extLst>
            <a:ext uri="{FF2B5EF4-FFF2-40B4-BE49-F238E27FC236}">
              <a16:creationId xmlns:a16="http://schemas.microsoft.com/office/drawing/2014/main" id="{A458B1F8-ED46-4E86-A91F-3D114FDB07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18</xdr:row>
      <xdr:rowOff>160020</xdr:rowOff>
    </xdr:from>
    <xdr:to>
      <xdr:col>11</xdr:col>
      <xdr:colOff>716280</xdr:colOff>
      <xdr:row>37</xdr:row>
      <xdr:rowOff>182880</xdr:rowOff>
    </xdr:to>
    <xdr:graphicFrame macro="">
      <xdr:nvGraphicFramePr>
        <xdr:cNvPr id="2" name="FurColorChart">
          <a:extLst>
            <a:ext uri="{FF2B5EF4-FFF2-40B4-BE49-F238E27FC236}">
              <a16:creationId xmlns:a16="http://schemas.microsoft.com/office/drawing/2014/main" id="{C33EE5FE-1BCB-4DAA-8C2F-D72B990F1C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594360</xdr:colOff>
      <xdr:row>18</xdr:row>
      <xdr:rowOff>160020</xdr:rowOff>
    </xdr:from>
    <xdr:to>
      <xdr:col>21</xdr:col>
      <xdr:colOff>15240</xdr:colOff>
      <xdr:row>38</xdr:row>
      <xdr:rowOff>0</xdr:rowOff>
    </xdr:to>
    <xdr:graphicFrame macro="">
      <xdr:nvGraphicFramePr>
        <xdr:cNvPr id="3" name="BehaviorsChart">
          <a:extLst>
            <a:ext uri="{FF2B5EF4-FFF2-40B4-BE49-F238E27FC236}">
              <a16:creationId xmlns:a16="http://schemas.microsoft.com/office/drawing/2014/main" id="{4CEC46F2-D164-474B-9C61-C3C8878209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</xdr:row>
      <xdr:rowOff>0</xdr:rowOff>
    </xdr:from>
    <xdr:to>
      <xdr:col>11</xdr:col>
      <xdr:colOff>701040</xdr:colOff>
      <xdr:row>17</xdr:row>
      <xdr:rowOff>0</xdr:rowOff>
    </xdr:to>
    <xdr:graphicFrame macro="">
      <xdr:nvGraphicFramePr>
        <xdr:cNvPr id="4" name="ShiftPie">
          <a:extLst>
            <a:ext uri="{FF2B5EF4-FFF2-40B4-BE49-F238E27FC236}">
              <a16:creationId xmlns:a16="http://schemas.microsoft.com/office/drawing/2014/main" id="{3F4DD991-1C99-4ADE-8CAF-36D9EEBA36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601980</xdr:colOff>
      <xdr:row>3</xdr:row>
      <xdr:rowOff>7620</xdr:rowOff>
    </xdr:from>
    <xdr:to>
      <xdr:col>21</xdr:col>
      <xdr:colOff>7620</xdr:colOff>
      <xdr:row>17</xdr:row>
      <xdr:rowOff>7620</xdr:rowOff>
    </xdr:to>
    <xdr:graphicFrame macro="">
      <xdr:nvGraphicFramePr>
        <xdr:cNvPr id="5" name="AgePie">
          <a:extLst>
            <a:ext uri="{FF2B5EF4-FFF2-40B4-BE49-F238E27FC236}">
              <a16:creationId xmlns:a16="http://schemas.microsoft.com/office/drawing/2014/main" id="{F4645F35-EB93-491B-8815-82A40C4823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6A8A18-9E2D-499B-BFBB-78C99D9D8B0A}" name="SquirrelData" displayName="SquirrelData" ref="A1:AE3024" totalsRowShown="0">
  <autoFilter ref="A1:AE3024" xr:uid="{186A8A18-9E2D-499B-BFBB-78C99D9D8B0A}"/>
  <tableColumns count="31">
    <tableColumn id="1" xr3:uid="{44973DA0-770D-44F0-ADA5-F5FBE6D8BF9B}" name="X"/>
    <tableColumn id="2" xr3:uid="{DE47C198-D456-4C09-86D1-9C0793BACD2D}" name="Y"/>
    <tableColumn id="3" xr3:uid="{6D0F20DE-25AC-467C-B9D7-F3051DC945A0}" name="Unique Squirrel ID"/>
    <tableColumn id="4" xr3:uid="{822908E3-6787-4E72-96C2-8E0BB5D7DD38}" name="Hectare"/>
    <tableColumn id="5" xr3:uid="{41F919CE-C62F-42C2-AFCD-D6CCCD8A5BCB}" name="Shift"/>
    <tableColumn id="6" xr3:uid="{7DC0FE06-A152-4F7D-8E77-14E53D019436}" name="Date"/>
    <tableColumn id="7" xr3:uid="{316DD30A-560F-4BC8-984E-3D64DCA11EE7}" name="Hectare Squirrel Number"/>
    <tableColumn id="8" xr3:uid="{F23BBBA8-AA3C-4098-BE1D-DA89051E318E}" name="Age"/>
    <tableColumn id="9" xr3:uid="{93678718-9C9D-46CC-8AF3-5737B1EA695B}" name="Primary Fur Color"/>
    <tableColumn id="10" xr3:uid="{D3FD2996-24BD-43AE-AD6D-1F58D8B59C35}" name="Highlight Fur Color"/>
    <tableColumn id="11" xr3:uid="{9E72AAE7-4FF4-4EF3-81CD-A2C4D704717A}" name="Combination of Primary and Highlight Color"/>
    <tableColumn id="12" xr3:uid="{F4411543-7F81-4AD9-8C4E-FECC13936D61}" name="Color notes"/>
    <tableColumn id="13" xr3:uid="{A9C6B9EF-EB17-47D3-9696-D3E3DB98C624}" name="Location"/>
    <tableColumn id="14" xr3:uid="{EACA269D-EAFA-44E5-BE22-3FB4BE21280A}" name="Above Ground Sighter Measurement"/>
    <tableColumn id="15" xr3:uid="{4AD5B1E3-D5E7-4E82-BD5B-7C9439879F18}" name="Specific Location"/>
    <tableColumn id="16" xr3:uid="{17E7675C-AE7F-4653-974F-115E20C443D4}" name="Running"/>
    <tableColumn id="17" xr3:uid="{64F5C8BC-F553-47D5-9479-D8C5BA9C8E76}" name="Chasing"/>
    <tableColumn id="18" xr3:uid="{9E152AA4-0663-4DD5-80F3-A42BB0148304}" name="Climbing"/>
    <tableColumn id="19" xr3:uid="{CF6A0CDD-582A-454E-8E81-B76A871E2BE2}" name="Eating"/>
    <tableColumn id="20" xr3:uid="{0D316FCD-51F1-4D12-AAF1-4B42BC3A1211}" name="Foraging"/>
    <tableColumn id="21" xr3:uid="{F03C3DBC-2E3E-4182-8A29-49E6CBC5999A}" name="Other Activities"/>
    <tableColumn id="22" xr3:uid="{AD6FE158-3C8C-464B-807D-B52871C88023}" name="Kuks"/>
    <tableColumn id="23" xr3:uid="{CD23B78A-74C8-43DC-9361-2D8AE38B8D8A}" name="Quaas"/>
    <tableColumn id="24" xr3:uid="{CE067C0E-A686-417C-BC9A-C70AE1FB55C4}" name="Moans"/>
    <tableColumn id="25" xr3:uid="{0E6A1849-06B0-4C50-8921-A4940FFCE826}" name="Tail flags"/>
    <tableColumn id="26" xr3:uid="{8946917D-2DC0-4572-9411-DED9BE0BAC24}" name="Tail twitches"/>
    <tableColumn id="27" xr3:uid="{469AB6DB-8594-496E-901F-5F73F015659A}" name="Approaches"/>
    <tableColumn id="28" xr3:uid="{F028D083-886D-415C-BE31-1F24ABD1D8CD}" name="Indifferent"/>
    <tableColumn id="29" xr3:uid="{B0D46F64-B7C6-46FE-80DF-5419A5CCAC98}" name="Runs from"/>
    <tableColumn id="30" xr3:uid="{D83541FF-83D6-45F8-86C9-4A48CD11494E}" name="Other Interactions"/>
    <tableColumn id="31" xr3:uid="{A6DAA33B-F7B4-409E-94C8-EE6E44C0B8A8}" name="Lat/Lo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EB4C8FC-39C7-4F70-9374-14BE56F4D3C7}">
  <we:reference id="wa200011056" version="1.0.0.2" store="en-US" storeType="OMEX"/>
  <we:alternateReferences>
    <we:reference id="WA200011056" version="1.0.0.2" store="" storeType="OMEX"/>
  </we:alternateReferences>
  <we:properties>
    <we:property name="grokConversationBinding" value="{&quot;responseId&quot;:&quot;c81a413b-f3bf-94a4-af6b-22c16a8b84f3&quot;,&quot;title&quot;:&quot;Redo Poor README Content&quot;}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51CC3-9184-478E-9E84-BC3BCFFA5CE9}">
  <dimension ref="A1:B68"/>
  <sheetViews>
    <sheetView tabSelected="1" topLeftCell="A24" workbookViewId="0">
      <selection activeCell="B47" sqref="B47"/>
    </sheetView>
  </sheetViews>
  <sheetFormatPr defaultColWidth="151.88671875" defaultRowHeight="14.4" x14ac:dyDescent="0.3"/>
  <cols>
    <col min="1" max="1" width="144.77734375" bestFit="1" customWidth="1"/>
    <col min="2" max="2" width="152" bestFit="1" customWidth="1"/>
  </cols>
  <sheetData>
    <row r="1" spans="1:2" ht="21" x14ac:dyDescent="0.4">
      <c r="A1" s="85" t="s">
        <v>9544</v>
      </c>
      <c r="B1" s="93"/>
    </row>
    <row r="2" spans="1:2" x14ac:dyDescent="0.3">
      <c r="A2" s="9"/>
      <c r="B2" s="9"/>
    </row>
    <row r="3" spans="1:2" ht="15.6" x14ac:dyDescent="0.3">
      <c r="A3" s="86" t="s">
        <v>7386</v>
      </c>
      <c r="B3" s="9"/>
    </row>
    <row r="4" spans="1:2" ht="43.2" x14ac:dyDescent="0.3">
      <c r="A4" s="96" t="s">
        <v>9579</v>
      </c>
      <c r="B4" s="9"/>
    </row>
    <row r="5" spans="1:2" x14ac:dyDescent="0.3">
      <c r="A5" s="94"/>
      <c r="B5" s="9"/>
    </row>
    <row r="6" spans="1:2" x14ac:dyDescent="0.3">
      <c r="A6" s="87" t="s">
        <v>9538</v>
      </c>
      <c r="B6" s="9"/>
    </row>
    <row r="7" spans="1:2" x14ac:dyDescent="0.3">
      <c r="A7" s="88" t="s">
        <v>9539</v>
      </c>
      <c r="B7" s="9"/>
    </row>
    <row r="8" spans="1:2" x14ac:dyDescent="0.3">
      <c r="A8" s="90" t="s">
        <v>9554</v>
      </c>
      <c r="B8" s="9"/>
    </row>
    <row r="9" spans="1:2" ht="27.6" x14ac:dyDescent="0.3">
      <c r="A9" s="90" t="s">
        <v>9589</v>
      </c>
      <c r="B9" s="9"/>
    </row>
    <row r="10" spans="1:2" x14ac:dyDescent="0.3">
      <c r="A10" s="84"/>
      <c r="B10" s="9"/>
    </row>
    <row r="11" spans="1:2" x14ac:dyDescent="0.3">
      <c r="A11" s="88" t="s">
        <v>9540</v>
      </c>
      <c r="B11" s="9"/>
    </row>
    <row r="12" spans="1:2" x14ac:dyDescent="0.3">
      <c r="A12" s="90" t="s">
        <v>9555</v>
      </c>
      <c r="B12" s="9"/>
    </row>
    <row r="13" spans="1:2" x14ac:dyDescent="0.3">
      <c r="A13" s="90" t="s">
        <v>9556</v>
      </c>
      <c r="B13" s="9"/>
    </row>
    <row r="14" spans="1:2" x14ac:dyDescent="0.3">
      <c r="A14" s="94"/>
      <c r="B14" s="9"/>
    </row>
    <row r="15" spans="1:2" x14ac:dyDescent="0.3">
      <c r="A15" s="88" t="s">
        <v>9580</v>
      </c>
      <c r="B15" s="9"/>
    </row>
    <row r="16" spans="1:2" x14ac:dyDescent="0.3">
      <c r="A16" s="90" t="s">
        <v>9557</v>
      </c>
      <c r="B16" s="9"/>
    </row>
    <row r="17" spans="1:2" x14ac:dyDescent="0.3">
      <c r="A17" s="90" t="s">
        <v>9558</v>
      </c>
      <c r="B17" s="9"/>
    </row>
    <row r="18" spans="1:2" x14ac:dyDescent="0.3">
      <c r="A18" s="90" t="s">
        <v>9559</v>
      </c>
      <c r="B18" s="9"/>
    </row>
    <row r="19" spans="1:2" x14ac:dyDescent="0.3">
      <c r="A19" s="9"/>
      <c r="B19" s="83"/>
    </row>
    <row r="20" spans="1:2" x14ac:dyDescent="0.3">
      <c r="A20" s="87" t="s">
        <v>9545</v>
      </c>
      <c r="B20" s="9"/>
    </row>
    <row r="21" spans="1:2" x14ac:dyDescent="0.3">
      <c r="A21" s="95" t="s">
        <v>7524</v>
      </c>
      <c r="B21" s="9"/>
    </row>
    <row r="22" spans="1:2" x14ac:dyDescent="0.3">
      <c r="A22" s="90" t="s">
        <v>9560</v>
      </c>
      <c r="B22" s="9"/>
    </row>
    <row r="23" spans="1:2" x14ac:dyDescent="0.3">
      <c r="A23" s="90" t="s">
        <v>9561</v>
      </c>
      <c r="B23" s="9"/>
    </row>
    <row r="24" spans="1:2" x14ac:dyDescent="0.3">
      <c r="A24" s="9"/>
      <c r="B24" s="9"/>
    </row>
    <row r="25" spans="1:2" x14ac:dyDescent="0.3">
      <c r="A25" s="88" t="s">
        <v>7512</v>
      </c>
      <c r="B25" s="9"/>
    </row>
    <row r="26" spans="1:2" x14ac:dyDescent="0.3">
      <c r="A26" s="90" t="s">
        <v>9562</v>
      </c>
      <c r="B26" s="9"/>
    </row>
    <row r="27" spans="1:2" x14ac:dyDescent="0.3">
      <c r="A27" s="90" t="s">
        <v>9563</v>
      </c>
      <c r="B27" s="9"/>
    </row>
    <row r="28" spans="1:2" x14ac:dyDescent="0.3">
      <c r="A28" s="84"/>
      <c r="B28" s="83"/>
    </row>
    <row r="29" spans="1:2" x14ac:dyDescent="0.3">
      <c r="A29" s="88" t="s">
        <v>9581</v>
      </c>
      <c r="B29" s="9"/>
    </row>
    <row r="30" spans="1:2" x14ac:dyDescent="0.3">
      <c r="A30" s="97" t="s">
        <v>9571</v>
      </c>
      <c r="B30" s="9"/>
    </row>
    <row r="31" spans="1:2" x14ac:dyDescent="0.3">
      <c r="A31" s="90" t="s">
        <v>9582</v>
      </c>
      <c r="B31" s="9"/>
    </row>
    <row r="32" spans="1:2" x14ac:dyDescent="0.3">
      <c r="A32" s="9"/>
      <c r="B32" s="9"/>
    </row>
    <row r="33" spans="1:2" x14ac:dyDescent="0.3">
      <c r="A33" s="87" t="s">
        <v>9541</v>
      </c>
      <c r="B33" s="9"/>
    </row>
    <row r="34" spans="1:2" x14ac:dyDescent="0.3">
      <c r="A34" s="90" t="s">
        <v>9564</v>
      </c>
      <c r="B34" s="9"/>
    </row>
    <row r="35" spans="1:2" x14ac:dyDescent="0.3">
      <c r="A35" s="97" t="s">
        <v>9583</v>
      </c>
      <c r="B35" s="9"/>
    </row>
    <row r="36" spans="1:2" x14ac:dyDescent="0.3">
      <c r="A36" s="97" t="s">
        <v>9565</v>
      </c>
      <c r="B36" s="9"/>
    </row>
    <row r="37" spans="1:2" x14ac:dyDescent="0.3">
      <c r="A37" s="98" t="s">
        <v>9584</v>
      </c>
      <c r="B37" s="9"/>
    </row>
    <row r="38" spans="1:2" x14ac:dyDescent="0.3">
      <c r="A38" s="84"/>
      <c r="B38" s="9"/>
    </row>
    <row r="39" spans="1:2" x14ac:dyDescent="0.3">
      <c r="A39" s="87" t="s">
        <v>9542</v>
      </c>
      <c r="B39" s="9"/>
    </row>
    <row r="40" spans="1:2" x14ac:dyDescent="0.3">
      <c r="A40" s="89" t="s">
        <v>9546</v>
      </c>
      <c r="B40" s="9"/>
    </row>
    <row r="41" spans="1:2" x14ac:dyDescent="0.3">
      <c r="A41" s="90" t="s">
        <v>9566</v>
      </c>
      <c r="B41" s="9"/>
    </row>
    <row r="42" spans="1:2" x14ac:dyDescent="0.3">
      <c r="A42" s="9"/>
      <c r="B42" s="9"/>
    </row>
    <row r="43" spans="1:2" x14ac:dyDescent="0.3">
      <c r="A43" s="89" t="s">
        <v>9547</v>
      </c>
      <c r="B43" s="9"/>
    </row>
    <row r="44" spans="1:2" x14ac:dyDescent="0.3">
      <c r="A44" s="90" t="s">
        <v>9567</v>
      </c>
      <c r="B44" s="9"/>
    </row>
    <row r="45" spans="1:2" x14ac:dyDescent="0.3">
      <c r="A45" s="9"/>
      <c r="B45" s="9"/>
    </row>
    <row r="46" spans="1:2" x14ac:dyDescent="0.3">
      <c r="A46" s="89" t="s">
        <v>9585</v>
      </c>
      <c r="B46" s="9"/>
    </row>
    <row r="47" spans="1:2" x14ac:dyDescent="0.3">
      <c r="A47" s="90" t="s">
        <v>9586</v>
      </c>
      <c r="B47" s="9"/>
    </row>
    <row r="48" spans="1:2" x14ac:dyDescent="0.3">
      <c r="A48" s="90" t="s">
        <v>9568</v>
      </c>
      <c r="B48" s="9"/>
    </row>
    <row r="49" spans="1:2" x14ac:dyDescent="0.3">
      <c r="A49" s="90" t="s">
        <v>9569</v>
      </c>
      <c r="B49" s="9"/>
    </row>
    <row r="50" spans="1:2" x14ac:dyDescent="0.3">
      <c r="A50" s="90" t="s">
        <v>9587</v>
      </c>
      <c r="B50" s="9"/>
    </row>
    <row r="51" spans="1:2" x14ac:dyDescent="0.3">
      <c r="A51" s="90"/>
      <c r="B51" s="9"/>
    </row>
    <row r="52" spans="1:2" x14ac:dyDescent="0.3">
      <c r="A52" s="90" t="s">
        <v>9590</v>
      </c>
      <c r="B52" s="9"/>
    </row>
    <row r="53" spans="1:2" x14ac:dyDescent="0.3">
      <c r="A53" s="9"/>
      <c r="B53" s="9"/>
    </row>
    <row r="54" spans="1:2" x14ac:dyDescent="0.3">
      <c r="A54" s="87" t="s">
        <v>9548</v>
      </c>
      <c r="B54" s="9"/>
    </row>
    <row r="55" spans="1:2" x14ac:dyDescent="0.3">
      <c r="A55" s="90" t="s">
        <v>9549</v>
      </c>
      <c r="B55" s="9"/>
    </row>
    <row r="56" spans="1:2" x14ac:dyDescent="0.3">
      <c r="A56" s="90" t="s">
        <v>9572</v>
      </c>
      <c r="B56" s="9"/>
    </row>
    <row r="57" spans="1:2" x14ac:dyDescent="0.3">
      <c r="A57" s="90" t="s">
        <v>9550</v>
      </c>
      <c r="B57" s="9"/>
    </row>
    <row r="58" spans="1:2" x14ac:dyDescent="0.3">
      <c r="A58" s="90" t="s">
        <v>9551</v>
      </c>
      <c r="B58" s="9"/>
    </row>
    <row r="59" spans="1:2" x14ac:dyDescent="0.3">
      <c r="A59" s="83"/>
      <c r="B59" s="9"/>
    </row>
    <row r="60" spans="1:2" x14ac:dyDescent="0.3">
      <c r="A60" s="99" t="s">
        <v>9543</v>
      </c>
      <c r="B60" s="9"/>
    </row>
    <row r="61" spans="1:2" ht="27.6" x14ac:dyDescent="0.3">
      <c r="A61" s="90" t="s">
        <v>9588</v>
      </c>
      <c r="B61" s="9"/>
    </row>
    <row r="62" spans="1:2" x14ac:dyDescent="0.3">
      <c r="A62" s="9"/>
      <c r="B62" s="9"/>
    </row>
    <row r="63" spans="1:2" x14ac:dyDescent="0.3">
      <c r="A63" s="87" t="s">
        <v>9552</v>
      </c>
      <c r="B63" s="9"/>
    </row>
    <row r="64" spans="1:2" x14ac:dyDescent="0.3">
      <c r="A64" s="90" t="s">
        <v>9553</v>
      </c>
      <c r="B64" s="9"/>
    </row>
    <row r="65" spans="1:2" x14ac:dyDescent="0.3">
      <c r="A65" s="92" t="str">
        <f>HYPERLINK("https://data.cityofnewyork.us/Environment/2018-Central-Park-Squirrel-Census-Squirrel-Data/vfnx-vebw", "Open in NYC Open Data")</f>
        <v>Open in NYC Open Data</v>
      </c>
      <c r="B65" s="9"/>
    </row>
    <row r="66" spans="1:2" x14ac:dyDescent="0.3">
      <c r="A66" s="91" t="s">
        <v>9570</v>
      </c>
      <c r="B66" s="9"/>
    </row>
    <row r="67" spans="1:2" x14ac:dyDescent="0.3">
      <c r="A67" s="84"/>
      <c r="B67" s="9"/>
    </row>
    <row r="68" spans="1:2" x14ac:dyDescent="0.3">
      <c r="A68" s="28"/>
      <c r="B68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97DFE-183C-489A-AF79-D896D8DD920E}">
  <dimension ref="A1:I72"/>
  <sheetViews>
    <sheetView zoomScale="70" zoomScaleNormal="70" workbookViewId="0">
      <selection activeCell="H51" sqref="H51"/>
    </sheetView>
  </sheetViews>
  <sheetFormatPr defaultRowHeight="14.4" x14ac:dyDescent="0.3"/>
  <cols>
    <col min="1" max="1" width="67.77734375" customWidth="1"/>
    <col min="2" max="2" width="37.44140625" bestFit="1" customWidth="1"/>
    <col min="3" max="3" width="39.77734375" bestFit="1" customWidth="1"/>
    <col min="4" max="4" width="15" customWidth="1"/>
    <col min="5" max="5" width="24.33203125" customWidth="1"/>
    <col min="6" max="6" width="12.77734375" customWidth="1"/>
    <col min="7" max="7" width="15.5546875" customWidth="1"/>
    <col min="8" max="8" width="17.77734375" customWidth="1"/>
    <col min="9" max="9" width="13.6640625" customWidth="1"/>
  </cols>
  <sheetData>
    <row r="1" spans="1:9" ht="18" x14ac:dyDescent="0.35">
      <c r="A1" s="82" t="s">
        <v>9573</v>
      </c>
    </row>
    <row r="3" spans="1:9" ht="15.6" x14ac:dyDescent="0.3">
      <c r="A3" s="1" t="s">
        <v>7513</v>
      </c>
    </row>
    <row r="4" spans="1:9" x14ac:dyDescent="0.3">
      <c r="A4" s="3" t="s">
        <v>7514</v>
      </c>
      <c r="B4" s="3" t="s">
        <v>7515</v>
      </c>
      <c r="C4" s="3" t="s">
        <v>7516</v>
      </c>
      <c r="D4" s="3" t="s">
        <v>7517</v>
      </c>
      <c r="E4" s="3" t="s">
        <v>9574</v>
      </c>
      <c r="F4" s="3" t="s">
        <v>9575</v>
      </c>
    </row>
    <row r="5" spans="1:9" x14ac:dyDescent="0.3">
      <c r="A5" t="s">
        <v>7518</v>
      </c>
      <c r="B5" s="5">
        <f>Profile!C14</f>
        <v>0.55441614290439956</v>
      </c>
      <c r="C5" s="5">
        <f>'Fake Profile'!C14</f>
        <v>0.52700000000000002</v>
      </c>
      <c r="D5" s="78">
        <f t="shared" ref="D5:D10" si="0">B5-C5</f>
        <v>2.7416142904399532E-2</v>
      </c>
      <c r="E5" s="5">
        <f>'Empirical Random Profile'!C14</f>
        <v>0.55900000000000005</v>
      </c>
      <c r="F5" s="5">
        <f t="shared" ref="F5:F10" si="1">B5-E5</f>
        <v>-4.5838570956004965E-3</v>
      </c>
    </row>
    <row r="6" spans="1:9" x14ac:dyDescent="0.3">
      <c r="A6" t="s">
        <v>7519</v>
      </c>
      <c r="B6" s="5">
        <f>Profile!C19</f>
        <v>0.84948726430697985</v>
      </c>
      <c r="C6" s="5">
        <f>'Fake Profile'!C19</f>
        <v>0.33</v>
      </c>
      <c r="D6" s="78">
        <f t="shared" si="0"/>
        <v>0.51948726430697989</v>
      </c>
      <c r="E6" s="5">
        <f>'Empirical Random Profile'!C19</f>
        <v>0.88</v>
      </c>
      <c r="F6" s="5">
        <f t="shared" si="1"/>
        <v>-3.0512735693020154E-2</v>
      </c>
    </row>
    <row r="7" spans="1:9" x14ac:dyDescent="0.3">
      <c r="A7" t="s">
        <v>7520</v>
      </c>
      <c r="B7" s="5">
        <f>Profile!C27</f>
        <v>0.81806152828316248</v>
      </c>
      <c r="C7" s="5">
        <f>'Fake Profile'!C27</f>
        <v>0.33200000000000002</v>
      </c>
      <c r="D7" s="78">
        <f t="shared" si="0"/>
        <v>0.48606152828316246</v>
      </c>
      <c r="E7" s="5">
        <f>'Empirical Random Profile'!C27</f>
        <v>0.83</v>
      </c>
      <c r="F7" s="5">
        <f t="shared" si="1"/>
        <v>-1.1938471716837484E-2</v>
      </c>
    </row>
    <row r="8" spans="1:9" x14ac:dyDescent="0.3">
      <c r="A8" t="s">
        <v>7521</v>
      </c>
      <c r="B8" s="5">
        <f>Profile!C35</f>
        <v>0.69996692027786966</v>
      </c>
      <c r="C8" s="5">
        <f>'Fake Profile'!C35</f>
        <v>0.47899999999999998</v>
      </c>
      <c r="D8" s="78">
        <f t="shared" si="0"/>
        <v>0.22096692027786968</v>
      </c>
      <c r="E8" s="5">
        <f>'Empirical Random Profile'!C35</f>
        <v>0.71199999999999997</v>
      </c>
      <c r="F8" s="5">
        <f t="shared" si="1"/>
        <v>-1.2033079722130302E-2</v>
      </c>
    </row>
    <row r="9" spans="1:9" x14ac:dyDescent="0.3">
      <c r="A9" t="s">
        <v>7522</v>
      </c>
      <c r="B9" s="5">
        <f>Profile!C46</f>
        <v>0.47469401257029442</v>
      </c>
      <c r="C9" s="5">
        <f>'Fake Profile'!C46</f>
        <v>0.501</v>
      </c>
      <c r="D9" s="78">
        <f t="shared" si="0"/>
        <v>-2.630598742970558E-2</v>
      </c>
      <c r="E9" s="5">
        <f>'Empirical Random Profile'!C46</f>
        <v>0.436</v>
      </c>
      <c r="F9" s="5">
        <f t="shared" si="1"/>
        <v>3.8694012570294423E-2</v>
      </c>
    </row>
    <row r="10" spans="1:9" x14ac:dyDescent="0.3">
      <c r="A10" t="s">
        <v>7523</v>
      </c>
      <c r="B10" s="5">
        <f>Profile!C53</f>
        <v>0.4809791597750579</v>
      </c>
      <c r="C10" s="5">
        <f>'Fake Profile'!C53</f>
        <v>0.503</v>
      </c>
      <c r="D10" s="78">
        <f t="shared" si="0"/>
        <v>-2.2020840224942106E-2</v>
      </c>
      <c r="E10" s="5">
        <f>'Empirical Random Profile'!C53</f>
        <v>0.48499999999999999</v>
      </c>
      <c r="F10" s="5">
        <f t="shared" si="1"/>
        <v>-4.0208402249420905E-3</v>
      </c>
    </row>
    <row r="11" spans="1:9" x14ac:dyDescent="0.3">
      <c r="A11" s="8"/>
    </row>
    <row r="12" spans="1:9" ht="15.6" x14ac:dyDescent="0.3">
      <c r="A12" s="1" t="s">
        <v>7525</v>
      </c>
    </row>
    <row r="13" spans="1:9" x14ac:dyDescent="0.3">
      <c r="A13" s="65" t="s">
        <v>7</v>
      </c>
      <c r="B13" s="29" t="s">
        <v>7526</v>
      </c>
      <c r="C13" s="29" t="s">
        <v>7527</v>
      </c>
      <c r="D13" s="29" t="s">
        <v>7528</v>
      </c>
      <c r="E13" s="29" t="s">
        <v>7529</v>
      </c>
      <c r="F13" s="29" t="s">
        <v>7517</v>
      </c>
      <c r="G13" s="3" t="s">
        <v>9576</v>
      </c>
      <c r="H13" s="3" t="s">
        <v>9577</v>
      </c>
      <c r="I13" s="3" t="s">
        <v>9575</v>
      </c>
    </row>
    <row r="14" spans="1:9" x14ac:dyDescent="0.3">
      <c r="A14" s="13" t="s">
        <v>48</v>
      </c>
      <c r="B14" s="4">
        <f>Profile!B19</f>
        <v>2568</v>
      </c>
      <c r="C14" s="5">
        <f>B14/3023</f>
        <v>0.84948726430697985</v>
      </c>
      <c r="D14" s="4">
        <f>'Fake Profile'!B19</f>
        <v>330</v>
      </c>
      <c r="E14" s="5">
        <f>D14/1000</f>
        <v>0.33</v>
      </c>
      <c r="F14" s="5">
        <f>C14-E14</f>
        <v>0.51948726430697989</v>
      </c>
      <c r="G14" s="4">
        <f>'Empirical Random Profile'!B19</f>
        <v>880</v>
      </c>
      <c r="H14" s="5">
        <f>G14/1000</f>
        <v>0.88</v>
      </c>
      <c r="I14" s="5">
        <f>C14-H14</f>
        <v>-3.0512735693020154E-2</v>
      </c>
    </row>
    <row r="15" spans="1:9" x14ac:dyDescent="0.3">
      <c r="A15" s="13" t="s">
        <v>105</v>
      </c>
      <c r="B15" s="4">
        <f>Profile!B20</f>
        <v>330</v>
      </c>
      <c r="C15" s="5">
        <f>B15/3023</f>
        <v>0.10916308303010255</v>
      </c>
      <c r="D15" s="4">
        <f>'Fake Profile'!B20</f>
        <v>337</v>
      </c>
      <c r="E15" s="5">
        <f>D15/1000</f>
        <v>0.33700000000000002</v>
      </c>
      <c r="F15" s="5">
        <f>C15-E15</f>
        <v>-0.22783691696989747</v>
      </c>
      <c r="G15" s="4">
        <f>'Empirical Random Profile'!B20</f>
        <v>118</v>
      </c>
      <c r="H15" s="5">
        <f>G15/1000</f>
        <v>0.11799999999999999</v>
      </c>
      <c r="I15" s="5">
        <f>C15-H15</f>
        <v>-8.8369169698974404E-3</v>
      </c>
    </row>
    <row r="16" spans="1:9" x14ac:dyDescent="0.3">
      <c r="A16" s="13" t="s">
        <v>7403</v>
      </c>
      <c r="B16" s="4">
        <f>Profile!B21</f>
        <v>4</v>
      </c>
      <c r="C16" s="5">
        <f>B16/3023</f>
        <v>1.3231888852133643E-3</v>
      </c>
      <c r="D16" s="4">
        <f>'Fake Profile'!B21</f>
        <v>333</v>
      </c>
      <c r="E16" s="5">
        <f>D16/1000</f>
        <v>0.33300000000000002</v>
      </c>
      <c r="F16" s="5">
        <f>C16-E16</f>
        <v>-0.33167681111478664</v>
      </c>
      <c r="G16" s="4">
        <f>'Empirical Random Profile'!B21</f>
        <v>2</v>
      </c>
      <c r="H16" s="5">
        <f>G16/1000</f>
        <v>2E-3</v>
      </c>
      <c r="I16" s="5">
        <f>C16-H16</f>
        <v>-6.7681111478663574E-4</v>
      </c>
    </row>
    <row r="17" spans="1:9" x14ac:dyDescent="0.3">
      <c r="A17" s="13" t="s">
        <v>7431</v>
      </c>
      <c r="B17" s="4">
        <f>Profile!B22</f>
        <v>121</v>
      </c>
      <c r="C17" s="5">
        <f>B17/3023</f>
        <v>4.0026463777704267E-2</v>
      </c>
      <c r="D17" s="4">
        <f>'Fake Profile'!B22</f>
        <v>0</v>
      </c>
      <c r="E17" s="5">
        <f>D17/1000</f>
        <v>0</v>
      </c>
      <c r="F17" s="5">
        <f>C17-E17</f>
        <v>4.0026463777704267E-2</v>
      </c>
      <c r="G17" s="4">
        <f>0</f>
        <v>0</v>
      </c>
      <c r="H17" s="5">
        <f>G17/1000</f>
        <v>0</v>
      </c>
      <c r="I17" s="5">
        <f>C17-H17</f>
        <v>4.0026463777704267E-2</v>
      </c>
    </row>
    <row r="18" spans="1:9" x14ac:dyDescent="0.3">
      <c r="A18" s="18" t="s">
        <v>7401</v>
      </c>
      <c r="B18" s="73">
        <f>SUM(B14:B16)</f>
        <v>2902</v>
      </c>
      <c r="C18" s="74">
        <f>SUM(C14:C16)</f>
        <v>0.95997353622229575</v>
      </c>
      <c r="D18" s="73">
        <f>SUM(D14:D16)</f>
        <v>1000</v>
      </c>
      <c r="E18" s="74">
        <f>SUM(E14:E16)</f>
        <v>1</v>
      </c>
      <c r="F18" s="19">
        <f>C18-E18</f>
        <v>-4.0026463777704246E-2</v>
      </c>
      <c r="G18" s="4">
        <f>'Empirical Random Profile'!B23</f>
        <v>1000</v>
      </c>
      <c r="H18" s="5">
        <f>G18/1000</f>
        <v>1</v>
      </c>
      <c r="I18" s="5">
        <f>C18-H18</f>
        <v>-4.0026463777704246E-2</v>
      </c>
    </row>
    <row r="20" spans="1:9" ht="15.6" x14ac:dyDescent="0.3">
      <c r="A20" s="1" t="s">
        <v>7530</v>
      </c>
    </row>
    <row r="21" spans="1:9" x14ac:dyDescent="0.3">
      <c r="A21" s="65" t="s">
        <v>7405</v>
      </c>
      <c r="B21" s="29" t="s">
        <v>7526</v>
      </c>
      <c r="C21" s="29" t="s">
        <v>7527</v>
      </c>
      <c r="D21" s="29" t="s">
        <v>7528</v>
      </c>
      <c r="E21" s="29" t="s">
        <v>7529</v>
      </c>
      <c r="F21" s="29" t="s">
        <v>7517</v>
      </c>
      <c r="G21" s="3" t="s">
        <v>9576</v>
      </c>
      <c r="H21" s="3" t="s">
        <v>9577</v>
      </c>
      <c r="I21" s="3" t="s">
        <v>9575</v>
      </c>
    </row>
    <row r="22" spans="1:9" x14ac:dyDescent="0.3">
      <c r="A22" s="13" t="s">
        <v>42</v>
      </c>
      <c r="B22" s="4">
        <f>Profile!B27</f>
        <v>2473</v>
      </c>
      <c r="C22" s="5">
        <f>B22/3023</f>
        <v>0.81806152828316248</v>
      </c>
      <c r="D22" s="4">
        <f>'Fake Profile'!B27</f>
        <v>332</v>
      </c>
      <c r="E22" s="5">
        <f>D22/1000</f>
        <v>0.33200000000000002</v>
      </c>
      <c r="F22" s="5">
        <f>C22-E22</f>
        <v>0.48606152828316246</v>
      </c>
      <c r="G22" s="4">
        <f>'Empirical Random Profile'!B27</f>
        <v>830</v>
      </c>
      <c r="H22" s="5">
        <f>G22/1000</f>
        <v>0.83</v>
      </c>
      <c r="I22" s="5">
        <f>C22-H22</f>
        <v>-1.1938471716837484E-2</v>
      </c>
    </row>
    <row r="23" spans="1:9" x14ac:dyDescent="0.3">
      <c r="A23" s="13" t="s">
        <v>53</v>
      </c>
      <c r="B23" s="4">
        <f>Profile!B28</f>
        <v>392</v>
      </c>
      <c r="C23" s="5">
        <f>B23/3023</f>
        <v>0.12967251075090969</v>
      </c>
      <c r="D23" s="4">
        <f>'Fake Profile'!B28</f>
        <v>346</v>
      </c>
      <c r="E23" s="5">
        <f>D23/1000</f>
        <v>0.34599999999999997</v>
      </c>
      <c r="F23" s="5">
        <f>C23-E23</f>
        <v>-0.21632748924909029</v>
      </c>
      <c r="G23" s="4">
        <f>'Empirical Random Profile'!B28</f>
        <v>138</v>
      </c>
      <c r="H23" s="5">
        <f>G23/1000</f>
        <v>0.13800000000000001</v>
      </c>
      <c r="I23" s="5">
        <f>C23-H23</f>
        <v>-8.3274892490903252E-3</v>
      </c>
    </row>
    <row r="24" spans="1:9" x14ac:dyDescent="0.3">
      <c r="A24" s="13" t="s">
        <v>176</v>
      </c>
      <c r="B24" s="4">
        <f>Profile!B29</f>
        <v>103</v>
      </c>
      <c r="C24" s="5">
        <f>B24/3023</f>
        <v>3.407211379424413E-2</v>
      </c>
      <c r="D24" s="4">
        <f>'Fake Profile'!B29</f>
        <v>322</v>
      </c>
      <c r="E24" s="5">
        <f>D24/1000</f>
        <v>0.32200000000000001</v>
      </c>
      <c r="F24" s="5">
        <f>C24-E24</f>
        <v>-0.28792788620575588</v>
      </c>
      <c r="G24" s="4">
        <f>'Empirical Random Profile'!B29</f>
        <v>32</v>
      </c>
      <c r="H24" s="5">
        <f>G24/1000</f>
        <v>3.2000000000000001E-2</v>
      </c>
      <c r="I24" s="5">
        <f>C24-H24</f>
        <v>2.0721137942441292E-3</v>
      </c>
    </row>
    <row r="25" spans="1:9" x14ac:dyDescent="0.3">
      <c r="A25" s="13" t="s">
        <v>7406</v>
      </c>
      <c r="B25" s="4">
        <f>Profile!B30</f>
        <v>55</v>
      </c>
      <c r="C25" s="5">
        <f>B25/3023</f>
        <v>1.8193847171683757E-2</v>
      </c>
      <c r="D25" s="4">
        <f>'Fake Profile'!B30</f>
        <v>0</v>
      </c>
      <c r="E25" s="5">
        <f>D25/1000</f>
        <v>0</v>
      </c>
      <c r="F25" s="5">
        <f>C25-E25</f>
        <v>1.8193847171683757E-2</v>
      </c>
      <c r="G25" s="4">
        <f>'Empirical Random Profile'!B30</f>
        <v>0</v>
      </c>
      <c r="H25" s="5">
        <f>G25/1000</f>
        <v>0</v>
      </c>
      <c r="I25" s="5">
        <f>C25-H25</f>
        <v>1.8193847171683757E-2</v>
      </c>
    </row>
    <row r="26" spans="1:9" x14ac:dyDescent="0.3">
      <c r="A26" s="18" t="s">
        <v>7401</v>
      </c>
      <c r="B26" s="73">
        <f>SUM(B22:B25)</f>
        <v>3023</v>
      </c>
      <c r="C26" s="74">
        <f>SUM(C22:C25)</f>
        <v>1</v>
      </c>
      <c r="D26" s="73">
        <f>SUM(D22:D25)</f>
        <v>1000</v>
      </c>
      <c r="E26" s="74">
        <f>SUM(E22:E25)</f>
        <v>1</v>
      </c>
      <c r="F26" s="19">
        <f>C26-E26</f>
        <v>0</v>
      </c>
      <c r="G26" s="4">
        <f>'Empirical Random Profile'!B31</f>
        <v>1000</v>
      </c>
      <c r="H26" s="5">
        <f>G26/1000</f>
        <v>1</v>
      </c>
      <c r="I26" s="5">
        <f>C26-H26</f>
        <v>0</v>
      </c>
    </row>
    <row r="28" spans="1:9" ht="15.6" x14ac:dyDescent="0.3">
      <c r="A28" s="1" t="s">
        <v>7531</v>
      </c>
    </row>
    <row r="29" spans="1:9" x14ac:dyDescent="0.3">
      <c r="A29" s="65" t="s">
        <v>7409</v>
      </c>
      <c r="B29" s="29" t="s">
        <v>7526</v>
      </c>
      <c r="C29" s="29" t="s">
        <v>7527</v>
      </c>
      <c r="D29" s="29" t="s">
        <v>7528</v>
      </c>
      <c r="E29" s="29" t="s">
        <v>7529</v>
      </c>
      <c r="F29" s="29" t="s">
        <v>7517</v>
      </c>
      <c r="G29" s="3" t="s">
        <v>9576</v>
      </c>
      <c r="H29" s="3" t="s">
        <v>9577</v>
      </c>
      <c r="I29" s="3" t="s">
        <v>9575</v>
      </c>
    </row>
    <row r="30" spans="1:9" x14ac:dyDescent="0.3">
      <c r="A30" s="13" t="s">
        <v>15</v>
      </c>
      <c r="B30" s="4">
        <f>Profile!B42</f>
        <v>730</v>
      </c>
      <c r="C30" s="5">
        <f t="shared" ref="C30:C43" si="2">B30/3023</f>
        <v>0.24148197155143897</v>
      </c>
      <c r="D30" s="4">
        <f>'Fake Profile'!B42</f>
        <v>491</v>
      </c>
      <c r="E30" s="5">
        <f t="shared" ref="E30:E44" si="3">D30/1000</f>
        <v>0.49099999999999999</v>
      </c>
      <c r="F30" s="5">
        <f t="shared" ref="F30:F44" si="4">C30-E30</f>
        <v>-0.24951802844856102</v>
      </c>
      <c r="G30" s="4">
        <f>'Empirical Random Profile'!B42</f>
        <v>261</v>
      </c>
      <c r="H30" s="5">
        <f t="shared" ref="H30:H44" si="5">G30/1000</f>
        <v>0.26100000000000001</v>
      </c>
      <c r="I30" s="5">
        <f t="shared" ref="I30:I44" si="6">C30-H30</f>
        <v>-1.9518028448561042E-2</v>
      </c>
    </row>
    <row r="31" spans="1:9" x14ac:dyDescent="0.3">
      <c r="A31" s="13" t="s">
        <v>16</v>
      </c>
      <c r="B31" s="4">
        <f>Profile!B43</f>
        <v>279</v>
      </c>
      <c r="C31" s="5">
        <f t="shared" si="2"/>
        <v>9.2292424743632154E-2</v>
      </c>
      <c r="D31" s="4">
        <f>'Fake Profile'!B43</f>
        <v>471</v>
      </c>
      <c r="E31" s="5">
        <f t="shared" si="3"/>
        <v>0.47099999999999997</v>
      </c>
      <c r="F31" s="5">
        <f t="shared" si="4"/>
        <v>-0.37870757525636783</v>
      </c>
      <c r="G31" s="4">
        <f>'Empirical Random Profile'!B43</f>
        <v>91</v>
      </c>
      <c r="H31" s="5">
        <f t="shared" si="5"/>
        <v>9.0999999999999998E-2</v>
      </c>
      <c r="I31" s="5">
        <f t="shared" si="6"/>
        <v>1.2924247436321562E-3</v>
      </c>
    </row>
    <row r="32" spans="1:9" x14ac:dyDescent="0.3">
      <c r="A32" s="13" t="s">
        <v>17</v>
      </c>
      <c r="B32" s="4">
        <f>Profile!B44</f>
        <v>658</v>
      </c>
      <c r="C32" s="5">
        <f t="shared" si="2"/>
        <v>0.21766457161759842</v>
      </c>
      <c r="D32" s="4">
        <f>'Fake Profile'!B44</f>
        <v>490</v>
      </c>
      <c r="E32" s="5">
        <f t="shared" si="3"/>
        <v>0.49</v>
      </c>
      <c r="F32" s="5">
        <f t="shared" si="4"/>
        <v>-0.27233542838240155</v>
      </c>
      <c r="G32" s="4">
        <f>'Empirical Random Profile'!B44</f>
        <v>231</v>
      </c>
      <c r="H32" s="5">
        <f t="shared" si="5"/>
        <v>0.23100000000000001</v>
      </c>
      <c r="I32" s="5">
        <f t="shared" si="6"/>
        <v>-1.3335428382401593E-2</v>
      </c>
    </row>
    <row r="33" spans="1:9" x14ac:dyDescent="0.3">
      <c r="A33" s="13" t="s">
        <v>18</v>
      </c>
      <c r="B33" s="4">
        <f>Profile!B45</f>
        <v>760</v>
      </c>
      <c r="C33" s="5">
        <f t="shared" si="2"/>
        <v>0.25140588819053922</v>
      </c>
      <c r="D33" s="4">
        <f>'Fake Profile'!B45</f>
        <v>513</v>
      </c>
      <c r="E33" s="5">
        <f t="shared" si="3"/>
        <v>0.51300000000000001</v>
      </c>
      <c r="F33" s="5">
        <f t="shared" si="4"/>
        <v>-0.26159411180946079</v>
      </c>
      <c r="G33" s="4">
        <f>'Empirical Random Profile'!B45</f>
        <v>248</v>
      </c>
      <c r="H33" s="5">
        <f t="shared" si="5"/>
        <v>0.248</v>
      </c>
      <c r="I33" s="5">
        <f t="shared" si="6"/>
        <v>3.4058881905392191E-3</v>
      </c>
    </row>
    <row r="34" spans="1:9" x14ac:dyDescent="0.3">
      <c r="A34" s="13" t="s">
        <v>19</v>
      </c>
      <c r="B34" s="4">
        <f>Profile!B46</f>
        <v>1435</v>
      </c>
      <c r="C34" s="5">
        <f t="shared" si="2"/>
        <v>0.47469401257029442</v>
      </c>
      <c r="D34" s="4">
        <f>'Fake Profile'!B46</f>
        <v>501</v>
      </c>
      <c r="E34" s="5">
        <f t="shared" si="3"/>
        <v>0.501</v>
      </c>
      <c r="F34" s="5">
        <f t="shared" si="4"/>
        <v>-2.630598742970558E-2</v>
      </c>
      <c r="G34" s="4">
        <f>'Empirical Random Profile'!B46</f>
        <v>436</v>
      </c>
      <c r="H34" s="5">
        <f t="shared" si="5"/>
        <v>0.436</v>
      </c>
      <c r="I34" s="5">
        <f t="shared" si="6"/>
        <v>3.8694012570294423E-2</v>
      </c>
    </row>
    <row r="35" spans="1:9" x14ac:dyDescent="0.3">
      <c r="A35" s="13" t="s">
        <v>21</v>
      </c>
      <c r="B35" s="4">
        <f>Profile!B47</f>
        <v>102</v>
      </c>
      <c r="C35" s="5">
        <f t="shared" si="2"/>
        <v>3.3741316572940785E-2</v>
      </c>
      <c r="D35" s="4">
        <f>'Fake Profile'!B47</f>
        <v>510</v>
      </c>
      <c r="E35" s="5">
        <f t="shared" si="3"/>
        <v>0.51</v>
      </c>
      <c r="F35" s="5">
        <f t="shared" si="4"/>
        <v>-0.47625868342705924</v>
      </c>
      <c r="G35" s="4">
        <f>'Empirical Random Profile'!B47</f>
        <v>35</v>
      </c>
      <c r="H35" s="5">
        <f t="shared" si="5"/>
        <v>3.5000000000000003E-2</v>
      </c>
      <c r="I35" s="5">
        <f t="shared" si="6"/>
        <v>-1.2586834270592179E-3</v>
      </c>
    </row>
    <row r="36" spans="1:9" x14ac:dyDescent="0.3">
      <c r="A36" s="13" t="s">
        <v>22</v>
      </c>
      <c r="B36" s="4">
        <f>Profile!B48</f>
        <v>50</v>
      </c>
      <c r="C36" s="5">
        <f t="shared" si="2"/>
        <v>1.6539861065167052E-2</v>
      </c>
      <c r="D36" s="4">
        <f>'Fake Profile'!B48</f>
        <v>497</v>
      </c>
      <c r="E36" s="5">
        <f t="shared" si="3"/>
        <v>0.497</v>
      </c>
      <c r="F36" s="5">
        <f t="shared" si="4"/>
        <v>-0.48046013893483297</v>
      </c>
      <c r="G36" s="4">
        <f>'Empirical Random Profile'!B48</f>
        <v>17</v>
      </c>
      <c r="H36" s="5">
        <f t="shared" si="5"/>
        <v>1.7000000000000001E-2</v>
      </c>
      <c r="I36" s="5">
        <f t="shared" si="6"/>
        <v>-4.6013893483294946E-4</v>
      </c>
    </row>
    <row r="37" spans="1:9" x14ac:dyDescent="0.3">
      <c r="A37" s="13" t="s">
        <v>23</v>
      </c>
      <c r="B37" s="4">
        <f>Profile!B49</f>
        <v>3</v>
      </c>
      <c r="C37" s="5">
        <f t="shared" si="2"/>
        <v>9.9239166391002311E-4</v>
      </c>
      <c r="D37" s="4">
        <f>'Fake Profile'!B49</f>
        <v>479</v>
      </c>
      <c r="E37" s="5">
        <f t="shared" si="3"/>
        <v>0.47899999999999998</v>
      </c>
      <c r="F37" s="5">
        <f t="shared" si="4"/>
        <v>-0.47800760833608996</v>
      </c>
      <c r="G37" s="4">
        <f>'Empirical Random Profile'!B49</f>
        <v>0</v>
      </c>
      <c r="H37" s="5">
        <f t="shared" si="5"/>
        <v>0</v>
      </c>
      <c r="I37" s="5">
        <f t="shared" si="6"/>
        <v>9.9239166391002311E-4</v>
      </c>
    </row>
    <row r="38" spans="1:9" x14ac:dyDescent="0.3">
      <c r="A38" s="13" t="s">
        <v>24</v>
      </c>
      <c r="B38" s="4">
        <f>Profile!B50</f>
        <v>155</v>
      </c>
      <c r="C38" s="5">
        <f t="shared" si="2"/>
        <v>5.127356930201786E-2</v>
      </c>
      <c r="D38" s="4">
        <f>'Fake Profile'!B50</f>
        <v>513</v>
      </c>
      <c r="E38" s="5">
        <f t="shared" si="3"/>
        <v>0.51300000000000001</v>
      </c>
      <c r="F38" s="5">
        <f t="shared" si="4"/>
        <v>-0.46172643069798214</v>
      </c>
      <c r="G38" s="4">
        <f>'Empirical Random Profile'!B50</f>
        <v>50</v>
      </c>
      <c r="H38" s="5">
        <f t="shared" si="5"/>
        <v>0.05</v>
      </c>
      <c r="I38" s="5">
        <f t="shared" si="6"/>
        <v>1.2735693020178573E-3</v>
      </c>
    </row>
    <row r="39" spans="1:9" x14ac:dyDescent="0.3">
      <c r="A39" s="13" t="s">
        <v>25</v>
      </c>
      <c r="B39" s="4">
        <f>Profile!B51</f>
        <v>434</v>
      </c>
      <c r="C39" s="5">
        <f t="shared" si="2"/>
        <v>0.14356599404565001</v>
      </c>
      <c r="D39" s="4">
        <f>'Fake Profile'!B51</f>
        <v>492</v>
      </c>
      <c r="E39" s="5">
        <f t="shared" si="3"/>
        <v>0.49199999999999999</v>
      </c>
      <c r="F39" s="5">
        <f t="shared" si="4"/>
        <v>-0.34843400595434998</v>
      </c>
      <c r="G39" s="4">
        <f>'Empirical Random Profile'!B51</f>
        <v>143</v>
      </c>
      <c r="H39" s="5">
        <f t="shared" si="5"/>
        <v>0.14299999999999999</v>
      </c>
      <c r="I39" s="5">
        <f t="shared" si="6"/>
        <v>5.6599404565002565E-4</v>
      </c>
    </row>
    <row r="40" spans="1:9" x14ac:dyDescent="0.3">
      <c r="A40" s="13" t="s">
        <v>26</v>
      </c>
      <c r="B40" s="4">
        <f>Profile!B52</f>
        <v>178</v>
      </c>
      <c r="C40" s="5">
        <f t="shared" si="2"/>
        <v>5.8881905391994706E-2</v>
      </c>
      <c r="D40" s="4">
        <f>'Fake Profile'!B52</f>
        <v>505</v>
      </c>
      <c r="E40" s="5">
        <f t="shared" si="3"/>
        <v>0.505</v>
      </c>
      <c r="F40" s="5">
        <f t="shared" si="4"/>
        <v>-0.44611809460800528</v>
      </c>
      <c r="G40" s="4">
        <f>'Empirical Random Profile'!B52</f>
        <v>48</v>
      </c>
      <c r="H40" s="5">
        <f t="shared" si="5"/>
        <v>4.8000000000000001E-2</v>
      </c>
      <c r="I40" s="5">
        <f t="shared" si="6"/>
        <v>1.0881905391994705E-2</v>
      </c>
    </row>
    <row r="41" spans="1:9" x14ac:dyDescent="0.3">
      <c r="A41" s="13" t="s">
        <v>27</v>
      </c>
      <c r="B41" s="4">
        <f>Profile!B53</f>
        <v>1454</v>
      </c>
      <c r="C41" s="5">
        <f t="shared" si="2"/>
        <v>0.4809791597750579</v>
      </c>
      <c r="D41" s="4">
        <f>'Fake Profile'!B53</f>
        <v>503</v>
      </c>
      <c r="E41" s="5">
        <f t="shared" si="3"/>
        <v>0.503</v>
      </c>
      <c r="F41" s="5">
        <f t="shared" si="4"/>
        <v>-2.2020840224942106E-2</v>
      </c>
      <c r="G41" s="4">
        <f>'Empirical Random Profile'!B53</f>
        <v>485</v>
      </c>
      <c r="H41" s="5">
        <f t="shared" si="5"/>
        <v>0.48499999999999999</v>
      </c>
      <c r="I41" s="5">
        <f t="shared" si="6"/>
        <v>-4.0208402249420905E-3</v>
      </c>
    </row>
    <row r="42" spans="1:9" x14ac:dyDescent="0.3">
      <c r="A42" s="13" t="s">
        <v>28</v>
      </c>
      <c r="B42" s="4">
        <f>Profile!B54</f>
        <v>678</v>
      </c>
      <c r="C42" s="5">
        <f t="shared" si="2"/>
        <v>0.22428051604366522</v>
      </c>
      <c r="D42" s="4">
        <f>'Fake Profile'!B54</f>
        <v>483</v>
      </c>
      <c r="E42" s="5">
        <f t="shared" si="3"/>
        <v>0.48299999999999998</v>
      </c>
      <c r="F42" s="5">
        <f t="shared" si="4"/>
        <v>-0.25871948395633476</v>
      </c>
      <c r="G42" s="4">
        <f>'Empirical Random Profile'!B54</f>
        <v>217</v>
      </c>
      <c r="H42" s="5">
        <f t="shared" si="5"/>
        <v>0.217</v>
      </c>
      <c r="I42" s="5">
        <f t="shared" si="6"/>
        <v>7.280516043665225E-3</v>
      </c>
    </row>
    <row r="43" spans="1:9" x14ac:dyDescent="0.3">
      <c r="A43" s="13" t="s">
        <v>29</v>
      </c>
      <c r="B43" s="4">
        <f>Profile!B55</f>
        <v>240</v>
      </c>
      <c r="C43" s="5">
        <f t="shared" si="2"/>
        <v>7.9391333112801846E-2</v>
      </c>
      <c r="D43" s="4">
        <f>'Fake Profile'!B55</f>
        <v>1000</v>
      </c>
      <c r="E43" s="5">
        <f t="shared" si="3"/>
        <v>1</v>
      </c>
      <c r="F43" s="5">
        <f t="shared" si="4"/>
        <v>-0.92060866688719811</v>
      </c>
      <c r="G43" s="4">
        <f>'Empirical Random Profile'!B55</f>
        <v>1000</v>
      </c>
      <c r="H43" s="5">
        <f t="shared" si="5"/>
        <v>1</v>
      </c>
      <c r="I43" s="5">
        <f t="shared" si="6"/>
        <v>-0.92060866688719811</v>
      </c>
    </row>
    <row r="44" spans="1:9" x14ac:dyDescent="0.3">
      <c r="A44" s="18" t="s">
        <v>7532</v>
      </c>
      <c r="B44" s="73">
        <f>SUM(B30:B43)</f>
        <v>7156</v>
      </c>
      <c r="C44" s="74">
        <f>SUM(C30:C43)</f>
        <v>2.3671849156467086</v>
      </c>
      <c r="D44" s="73">
        <f>SUM(D30:D43)</f>
        <v>7448</v>
      </c>
      <c r="E44" s="74">
        <f t="shared" si="3"/>
        <v>7.4480000000000004</v>
      </c>
      <c r="F44" s="19">
        <f t="shared" si="4"/>
        <v>-5.0808150843532918</v>
      </c>
      <c r="G44" s="4">
        <f>'Empirical Random Profile'!B56</f>
        <v>3262</v>
      </c>
      <c r="H44" s="5">
        <f t="shared" si="5"/>
        <v>3.262</v>
      </c>
      <c r="I44" s="5">
        <f t="shared" si="6"/>
        <v>-0.89481508435329138</v>
      </c>
    </row>
    <row r="46" spans="1:9" ht="15.6" x14ac:dyDescent="0.3">
      <c r="A46" s="1" t="s">
        <v>9533</v>
      </c>
    </row>
    <row r="47" spans="1:9" x14ac:dyDescent="0.3">
      <c r="A47" s="65" t="s">
        <v>7</v>
      </c>
      <c r="B47" s="29" t="s">
        <v>9534</v>
      </c>
      <c r="C47" s="29" t="s">
        <v>9535</v>
      </c>
      <c r="D47" s="29" t="s">
        <v>9578</v>
      </c>
    </row>
    <row r="48" spans="1:9" x14ac:dyDescent="0.3">
      <c r="A48" s="13" t="s">
        <v>48</v>
      </c>
      <c r="B48" s="79">
        <f>C14</f>
        <v>0.84948726430697985</v>
      </c>
      <c r="C48" s="5">
        <f>E14</f>
        <v>0.33</v>
      </c>
      <c r="D48" s="79">
        <f>H14</f>
        <v>0.88</v>
      </c>
    </row>
    <row r="49" spans="1:4" x14ac:dyDescent="0.3">
      <c r="A49" s="13" t="s">
        <v>105</v>
      </c>
      <c r="B49" s="79">
        <f>C15</f>
        <v>0.10916308303010255</v>
      </c>
      <c r="C49" s="5">
        <f>E15</f>
        <v>0.33700000000000002</v>
      </c>
      <c r="D49" s="79">
        <f>H15</f>
        <v>0.11799999999999999</v>
      </c>
    </row>
    <row r="50" spans="1:4" x14ac:dyDescent="0.3">
      <c r="A50" s="13" t="s">
        <v>7403</v>
      </c>
      <c r="B50" s="79">
        <f>C16</f>
        <v>1.3231888852133643E-3</v>
      </c>
      <c r="C50" s="5">
        <f>E16</f>
        <v>0.33300000000000002</v>
      </c>
      <c r="D50" s="79">
        <f>H16</f>
        <v>2E-3</v>
      </c>
    </row>
    <row r="51" spans="1:4" x14ac:dyDescent="0.3">
      <c r="B51" s="80"/>
      <c r="D51" s="80"/>
    </row>
    <row r="52" spans="1:4" ht="15.6" x14ac:dyDescent="0.3">
      <c r="A52" s="1" t="s">
        <v>9536</v>
      </c>
      <c r="B52" s="80"/>
      <c r="D52" s="80"/>
    </row>
    <row r="53" spans="1:4" x14ac:dyDescent="0.3">
      <c r="A53" s="65" t="s">
        <v>7405</v>
      </c>
      <c r="B53" s="81" t="s">
        <v>9534</v>
      </c>
      <c r="C53" s="29" t="s">
        <v>9535</v>
      </c>
      <c r="D53" s="81" t="s">
        <v>9578</v>
      </c>
    </row>
    <row r="54" spans="1:4" x14ac:dyDescent="0.3">
      <c r="A54" s="13" t="s">
        <v>42</v>
      </c>
      <c r="B54" s="79">
        <f>C22</f>
        <v>0.81806152828316248</v>
      </c>
      <c r="C54" s="5">
        <f>E22</f>
        <v>0.33200000000000002</v>
      </c>
      <c r="D54" s="79">
        <f>H22</f>
        <v>0.83</v>
      </c>
    </row>
    <row r="55" spans="1:4" x14ac:dyDescent="0.3">
      <c r="A55" s="13" t="s">
        <v>53</v>
      </c>
      <c r="B55" s="79">
        <f>C23</f>
        <v>0.12967251075090969</v>
      </c>
      <c r="C55" s="5">
        <f>E23</f>
        <v>0.34599999999999997</v>
      </c>
      <c r="D55" s="79">
        <f>H23</f>
        <v>0.13800000000000001</v>
      </c>
    </row>
    <row r="56" spans="1:4" x14ac:dyDescent="0.3">
      <c r="A56" s="13" t="s">
        <v>176</v>
      </c>
      <c r="B56" s="79">
        <f>C24</f>
        <v>3.407211379424413E-2</v>
      </c>
      <c r="C56" s="5">
        <f>E24</f>
        <v>0.32200000000000001</v>
      </c>
      <c r="D56" s="79">
        <f>H24</f>
        <v>3.2000000000000001E-2</v>
      </c>
    </row>
    <row r="57" spans="1:4" x14ac:dyDescent="0.3">
      <c r="A57" s="13" t="s">
        <v>7406</v>
      </c>
      <c r="B57" s="79">
        <f>C25</f>
        <v>1.8193847171683757E-2</v>
      </c>
      <c r="C57" s="5">
        <f>E25</f>
        <v>0</v>
      </c>
      <c r="D57" s="79">
        <f>H25</f>
        <v>0</v>
      </c>
    </row>
    <row r="58" spans="1:4" x14ac:dyDescent="0.3">
      <c r="B58" s="80"/>
      <c r="D58" s="80"/>
    </row>
    <row r="59" spans="1:4" ht="15.6" x14ac:dyDescent="0.3">
      <c r="A59" s="1" t="s">
        <v>9537</v>
      </c>
      <c r="B59" s="80"/>
      <c r="D59" s="80"/>
    </row>
    <row r="60" spans="1:4" x14ac:dyDescent="0.3">
      <c r="A60" s="65" t="s">
        <v>7409</v>
      </c>
      <c r="B60" s="81" t="s">
        <v>9534</v>
      </c>
      <c r="C60" s="29" t="s">
        <v>9535</v>
      </c>
      <c r="D60" s="81" t="s">
        <v>9578</v>
      </c>
    </row>
    <row r="61" spans="1:4" x14ac:dyDescent="0.3">
      <c r="A61" s="13" t="s">
        <v>15</v>
      </c>
      <c r="B61" s="79">
        <f t="shared" ref="B61:B72" si="7">C32</f>
        <v>0.21766457161759842</v>
      </c>
      <c r="C61" s="5">
        <f t="shared" ref="C61:C72" si="8">E32</f>
        <v>0.49</v>
      </c>
      <c r="D61" s="79">
        <f t="shared" ref="D61:D72" si="9">H32</f>
        <v>0.23100000000000001</v>
      </c>
    </row>
    <row r="62" spans="1:4" x14ac:dyDescent="0.3">
      <c r="A62" s="13" t="s">
        <v>16</v>
      </c>
      <c r="B62" s="79">
        <f t="shared" si="7"/>
        <v>0.25140588819053922</v>
      </c>
      <c r="C62" s="5">
        <f t="shared" si="8"/>
        <v>0.51300000000000001</v>
      </c>
      <c r="D62" s="79">
        <f t="shared" si="9"/>
        <v>0.248</v>
      </c>
    </row>
    <row r="63" spans="1:4" x14ac:dyDescent="0.3">
      <c r="A63" s="13" t="s">
        <v>17</v>
      </c>
      <c r="B63" s="79">
        <f t="shared" si="7"/>
        <v>0.47469401257029442</v>
      </c>
      <c r="C63" s="5">
        <f t="shared" si="8"/>
        <v>0.501</v>
      </c>
      <c r="D63" s="79">
        <f t="shared" si="9"/>
        <v>0.436</v>
      </c>
    </row>
    <row r="64" spans="1:4" x14ac:dyDescent="0.3">
      <c r="A64" s="13" t="s">
        <v>18</v>
      </c>
      <c r="B64" s="79">
        <f t="shared" si="7"/>
        <v>3.3741316572940785E-2</v>
      </c>
      <c r="C64" s="5">
        <f t="shared" si="8"/>
        <v>0.51</v>
      </c>
      <c r="D64" s="79">
        <f t="shared" si="9"/>
        <v>3.5000000000000003E-2</v>
      </c>
    </row>
    <row r="65" spans="1:4" x14ac:dyDescent="0.3">
      <c r="A65" s="13" t="s">
        <v>19</v>
      </c>
      <c r="B65" s="79">
        <f t="shared" si="7"/>
        <v>1.6539861065167052E-2</v>
      </c>
      <c r="C65" s="5">
        <f t="shared" si="8"/>
        <v>0.497</v>
      </c>
      <c r="D65" s="79">
        <f t="shared" si="9"/>
        <v>1.7000000000000001E-2</v>
      </c>
    </row>
    <row r="66" spans="1:4" x14ac:dyDescent="0.3">
      <c r="A66" s="13" t="s">
        <v>21</v>
      </c>
      <c r="B66" s="79">
        <f t="shared" si="7"/>
        <v>9.9239166391002311E-4</v>
      </c>
      <c r="C66" s="5">
        <f t="shared" si="8"/>
        <v>0.47899999999999998</v>
      </c>
      <c r="D66" s="79">
        <f t="shared" si="9"/>
        <v>0</v>
      </c>
    </row>
    <row r="67" spans="1:4" x14ac:dyDescent="0.3">
      <c r="A67" s="13" t="s">
        <v>22</v>
      </c>
      <c r="B67" s="79">
        <f t="shared" si="7"/>
        <v>5.127356930201786E-2</v>
      </c>
      <c r="C67" s="5">
        <f t="shared" si="8"/>
        <v>0.51300000000000001</v>
      </c>
      <c r="D67" s="79">
        <f t="shared" si="9"/>
        <v>0.05</v>
      </c>
    </row>
    <row r="68" spans="1:4" x14ac:dyDescent="0.3">
      <c r="A68" s="13" t="s">
        <v>23</v>
      </c>
      <c r="B68" s="79">
        <f t="shared" si="7"/>
        <v>0.14356599404565001</v>
      </c>
      <c r="C68" s="5">
        <f t="shared" si="8"/>
        <v>0.49199999999999999</v>
      </c>
      <c r="D68" s="79">
        <f t="shared" si="9"/>
        <v>0.14299999999999999</v>
      </c>
    </row>
    <row r="69" spans="1:4" x14ac:dyDescent="0.3">
      <c r="A69" s="13" t="s">
        <v>24</v>
      </c>
      <c r="B69" s="79">
        <f t="shared" si="7"/>
        <v>5.8881905391994706E-2</v>
      </c>
      <c r="C69" s="5">
        <f t="shared" si="8"/>
        <v>0.505</v>
      </c>
      <c r="D69" s="79">
        <f t="shared" si="9"/>
        <v>4.8000000000000001E-2</v>
      </c>
    </row>
    <row r="70" spans="1:4" x14ac:dyDescent="0.3">
      <c r="A70" s="13" t="s">
        <v>25</v>
      </c>
      <c r="B70" s="79">
        <f t="shared" si="7"/>
        <v>0.4809791597750579</v>
      </c>
      <c r="C70" s="5">
        <f t="shared" si="8"/>
        <v>0.503</v>
      </c>
      <c r="D70" s="79">
        <f t="shared" si="9"/>
        <v>0.48499999999999999</v>
      </c>
    </row>
    <row r="71" spans="1:4" x14ac:dyDescent="0.3">
      <c r="A71" s="13" t="s">
        <v>26</v>
      </c>
      <c r="B71" s="79">
        <f t="shared" si="7"/>
        <v>0.22428051604366522</v>
      </c>
      <c r="C71" s="5">
        <f t="shared" si="8"/>
        <v>0.48299999999999998</v>
      </c>
      <c r="D71" s="79">
        <f t="shared" si="9"/>
        <v>0.217</v>
      </c>
    </row>
    <row r="72" spans="1:4" x14ac:dyDescent="0.3">
      <c r="A72" s="13" t="s">
        <v>27</v>
      </c>
      <c r="B72" s="79">
        <f t="shared" si="7"/>
        <v>7.9391333112801846E-2</v>
      </c>
      <c r="C72" s="5">
        <f t="shared" si="8"/>
        <v>1</v>
      </c>
      <c r="D72" s="79">
        <f t="shared" si="9"/>
        <v>1</v>
      </c>
    </row>
  </sheetData>
  <conditionalFormatting sqref="D2:D3">
    <cfRule type="cellIs" dxfId="1" priority="10" operator="lessThan">
      <formula>0</formula>
    </cfRule>
    <cfRule type="cellIs" dxfId="0" priority="11" operator="greaterThan">
      <formula>0</formula>
    </cfRule>
  </conditionalFormatting>
  <conditionalFormatting sqref="D5:D1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:F10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14:F18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2:F26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30:F42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4:I17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2:I25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0:I42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F569C-82F5-4501-8336-B5198F08F12D}">
  <sheetPr>
    <tabColor theme="6"/>
  </sheetPr>
  <dimension ref="A1:XFC149"/>
  <sheetViews>
    <sheetView zoomScaleNormal="100" workbookViewId="0">
      <selection activeCell="E40" sqref="E40"/>
    </sheetView>
  </sheetViews>
  <sheetFormatPr defaultRowHeight="14.4" x14ac:dyDescent="0.3"/>
  <cols>
    <col min="1" max="1" width="76.33203125" customWidth="1"/>
    <col min="2" max="2" width="19.88671875" bestFit="1" customWidth="1"/>
    <col min="3" max="3" width="44" bestFit="1" customWidth="1"/>
    <col min="4" max="4" width="13.88671875" bestFit="1" customWidth="1"/>
    <col min="5" max="5" width="11" bestFit="1" customWidth="1"/>
    <col min="6" max="6" width="10.5546875" bestFit="1" customWidth="1"/>
    <col min="8" max="8" width="12.44140625" bestFit="1" customWidth="1"/>
    <col min="9" max="9" width="15.5546875" bestFit="1" customWidth="1"/>
    <col min="10" max="10" width="12.109375" bestFit="1" customWidth="1"/>
    <col min="11" max="11" width="7" bestFit="1" customWidth="1"/>
    <col min="12" max="12" width="10.5546875" bestFit="1" customWidth="1"/>
  </cols>
  <sheetData>
    <row r="1" spans="1:3" ht="23.4" x14ac:dyDescent="0.45">
      <c r="A1" s="53" t="s">
        <v>7385</v>
      </c>
    </row>
    <row r="2" spans="1:3" x14ac:dyDescent="0.3">
      <c r="A2" s="11" t="s">
        <v>7433</v>
      </c>
    </row>
    <row r="4" spans="1:3" ht="15.6" x14ac:dyDescent="0.3">
      <c r="A4" s="2" t="s">
        <v>7386</v>
      </c>
    </row>
    <row r="5" spans="1:3" x14ac:dyDescent="0.3">
      <c r="A5" s="3" t="s">
        <v>7387</v>
      </c>
      <c r="B5" s="3" t="s">
        <v>7388</v>
      </c>
      <c r="C5" s="3" t="s">
        <v>7389</v>
      </c>
    </row>
    <row r="6" spans="1:3" x14ac:dyDescent="0.3">
      <c r="A6" s="42" t="s">
        <v>7390</v>
      </c>
      <c r="B6" s="31">
        <f>COUNTA(Squirrel_Data!C2:C3024)</f>
        <v>3023</v>
      </c>
      <c r="C6" s="32" t="s">
        <v>7391</v>
      </c>
    </row>
    <row r="7" spans="1:3" x14ac:dyDescent="0.3">
      <c r="A7" s="43" t="s">
        <v>7392</v>
      </c>
      <c r="B7" s="33" cm="1">
        <f t="array" ref="B7">SUMPRODUCT(1/COUNTIF(Squirrel_Data!C2:C3024,Squirrel_Data!C2:C3024&amp;""))</f>
        <v>3018</v>
      </c>
      <c r="C7" s="34" t="s">
        <v>7432</v>
      </c>
    </row>
    <row r="8" spans="1:3" x14ac:dyDescent="0.3">
      <c r="A8" s="43" t="s">
        <v>7393</v>
      </c>
      <c r="B8" s="33" cm="1">
        <f t="array" ref="B8">ROUND(SUMPRODUCT(1/COUNTIF(Squirrel_Data!D2:D3024,Squirrel_Data!D2:D3024)),0)</f>
        <v>339</v>
      </c>
      <c r="C8" s="34" t="s">
        <v>7394</v>
      </c>
    </row>
    <row r="9" spans="1:3" x14ac:dyDescent="0.3">
      <c r="A9" s="43" t="s">
        <v>7395</v>
      </c>
      <c r="B9" s="35" t="s">
        <v>7396</v>
      </c>
      <c r="C9" s="34" t="s">
        <v>7397</v>
      </c>
    </row>
    <row r="10" spans="1:3" x14ac:dyDescent="0.3">
      <c r="A10" s="7"/>
    </row>
    <row r="11" spans="1:3" ht="15.6" x14ac:dyDescent="0.3">
      <c r="A11" s="2" t="s">
        <v>7398</v>
      </c>
    </row>
    <row r="12" spans="1:3" x14ac:dyDescent="0.3">
      <c r="A12" s="45" t="s">
        <v>4</v>
      </c>
      <c r="B12" s="3" t="s">
        <v>7399</v>
      </c>
      <c r="C12" s="3" t="s">
        <v>7400</v>
      </c>
    </row>
    <row r="13" spans="1:3" x14ac:dyDescent="0.3">
      <c r="A13" s="42" t="s">
        <v>38</v>
      </c>
      <c r="B13" s="31">
        <f>COUNTIF(Squirrel_Data!E2:E3024,"AM")</f>
        <v>1347</v>
      </c>
      <c r="C13" s="36">
        <f>IF($B$6&gt;0,B13/$B$6,0)</f>
        <v>0.44558385709560039</v>
      </c>
    </row>
    <row r="14" spans="1:3" x14ac:dyDescent="0.3">
      <c r="A14" s="43" t="s">
        <v>33</v>
      </c>
      <c r="B14" s="33">
        <f>COUNTIF(Squirrel_Data!E2:E3024,"PM")</f>
        <v>1676</v>
      </c>
      <c r="C14" s="37">
        <f>IF($B$6&gt;0,B14/$B$6,0)</f>
        <v>0.55441614290439956</v>
      </c>
    </row>
    <row r="15" spans="1:3" ht="15" thickBot="1" x14ac:dyDescent="0.35">
      <c r="A15" s="51" t="s">
        <v>7401</v>
      </c>
      <c r="B15" s="55">
        <f>SUM(B13:B14)</f>
        <v>3023</v>
      </c>
      <c r="C15" s="56">
        <f>SUM(C13:C14)</f>
        <v>1</v>
      </c>
    </row>
    <row r="16" spans="1:3" ht="15" thickTop="1" x14ac:dyDescent="0.3">
      <c r="A16" s="7"/>
    </row>
    <row r="17" spans="1:1023 1025:2047 2049:3071 3073:4095 4097:5119 5121:6143 6145:7167 7169:8191 8193:9215 9217:10239 10241:11263 11265:12287 12289:13311 13313:14335 14337:15359 15361:16383" ht="15.6" x14ac:dyDescent="0.3">
      <c r="A17" s="2" t="s">
        <v>7402</v>
      </c>
    </row>
    <row r="18" spans="1:1023 1025:2047 2049:3071 3073:4095 4097:5119 5121:6143 6145:7167 7169:8191 8193:9215 9217:10239 10241:11263 11265:12287 12289:13311 13313:14335 14337:15359 15361:16383" x14ac:dyDescent="0.3">
      <c r="A18" s="45" t="s">
        <v>7</v>
      </c>
      <c r="B18" s="3" t="s">
        <v>7399</v>
      </c>
      <c r="C18" s="3" t="s">
        <v>7400</v>
      </c>
    </row>
    <row r="19" spans="1:1023 1025:2047 2049:3071 3073:4095 4097:5119 5121:6143 6145:7167 7169:8191 8193:9215 9217:10239 10241:11263 11265:12287 12289:13311 13313:14335 14337:15359 15361:16383" x14ac:dyDescent="0.3">
      <c r="A19" s="42" t="s">
        <v>48</v>
      </c>
      <c r="B19" s="31">
        <f>COUNTIF(Squirrel_Data!H2:H3024,"Adult")</f>
        <v>2568</v>
      </c>
      <c r="C19" s="36">
        <f>IF($B$6&gt;0,B19/$B$6,0)</f>
        <v>0.84948726430697985</v>
      </c>
    </row>
    <row r="20" spans="1:1023 1025:2047 2049:3071 3073:4095 4097:5119 5121:6143 6145:7167 7169:8191 8193:9215 9217:10239 10241:11263 11265:12287 12289:13311 13313:14335 14337:15359 15361:16383" x14ac:dyDescent="0.3">
      <c r="A20" s="43" t="s">
        <v>105</v>
      </c>
      <c r="B20" s="33">
        <f>COUNTIF(Squirrel_Data!H2:H3024,"Juvenile")</f>
        <v>330</v>
      </c>
      <c r="C20" s="37">
        <f>IF($B$6&gt;0,B20/$B$6,0)</f>
        <v>0.10916308303010255</v>
      </c>
    </row>
    <row r="21" spans="1:1023 1025:2047 2049:3071 3073:4095 4097:5119 5121:6143 6145:7167 7169:8191 8193:9215 9217:10239 10241:11263 11265:12287 12289:13311 13313:14335 14337:15359 15361:16383" x14ac:dyDescent="0.3">
      <c r="A21" s="43" t="s">
        <v>7403</v>
      </c>
      <c r="B21" s="33">
        <f>COUNTIF(Squirrel_Data!H2:H3024,"?")</f>
        <v>4</v>
      </c>
      <c r="C21" s="37">
        <f>IF($B$6&gt;0,B21/$B$6,0)</f>
        <v>1.3231888852133643E-3</v>
      </c>
    </row>
    <row r="22" spans="1:1023 1025:2047 2049:3071 3073:4095 4097:5119 5121:6143 6145:7167 7169:8191 8193:9215 9217:10239 10241:11263 11265:12287 12289:13311 13313:14335 14337:15359 15361:16383" x14ac:dyDescent="0.3">
      <c r="A22" s="7" t="s">
        <v>7431</v>
      </c>
      <c r="B22">
        <v>121</v>
      </c>
      <c r="C22" s="37">
        <f>IF($B$6&gt;0,B22/$B$6,0)</f>
        <v>4.0026463777704267E-2</v>
      </c>
      <c r="E22" s="7"/>
      <c r="G22" s="7"/>
      <c r="I22" s="7"/>
      <c r="K22" s="7"/>
      <c r="M22" s="7"/>
      <c r="O22" s="7"/>
      <c r="Q22" s="7"/>
      <c r="S22" s="7"/>
      <c r="U22" s="7"/>
      <c r="W22" s="7"/>
      <c r="Y22" s="7"/>
      <c r="AA22" s="7"/>
      <c r="AC22" s="7"/>
      <c r="AE22" s="7"/>
      <c r="AG22" s="7"/>
      <c r="AI22" s="7"/>
      <c r="AK22" s="7"/>
      <c r="AM22" s="7"/>
      <c r="AO22" s="7"/>
      <c r="AQ22" s="7"/>
      <c r="AS22" s="7"/>
      <c r="AU22" s="7"/>
      <c r="AW22" s="7"/>
      <c r="AY22" s="7"/>
      <c r="BA22" s="7"/>
      <c r="BC22" s="7"/>
      <c r="BE22" s="7"/>
      <c r="BG22" s="7"/>
      <c r="BI22" s="7"/>
      <c r="BK22" s="7"/>
      <c r="BM22" s="7"/>
      <c r="BO22" s="7"/>
      <c r="BQ22" s="7"/>
      <c r="BS22" s="7"/>
      <c r="BU22" s="7"/>
      <c r="BW22" s="7"/>
      <c r="BY22" s="7"/>
      <c r="CA22" s="7"/>
      <c r="CC22" s="7"/>
      <c r="CE22" s="7"/>
      <c r="CG22" s="7"/>
      <c r="CI22" s="7"/>
      <c r="CK22" s="7"/>
      <c r="CM22" s="7"/>
      <c r="CO22" s="7"/>
      <c r="CQ22" s="7"/>
      <c r="CS22" s="7"/>
      <c r="CU22" s="7"/>
      <c r="CW22" s="7"/>
      <c r="CY22" s="7"/>
      <c r="DA22" s="7"/>
      <c r="DC22" s="7"/>
      <c r="DE22" s="7"/>
      <c r="DG22" s="7"/>
      <c r="DI22" s="7"/>
      <c r="DK22" s="7"/>
      <c r="DM22" s="7"/>
      <c r="DO22" s="7"/>
      <c r="DQ22" s="7"/>
      <c r="DS22" s="7"/>
      <c r="DU22" s="7"/>
      <c r="DW22" s="7"/>
      <c r="DY22" s="7"/>
      <c r="EA22" s="7"/>
      <c r="EC22" s="7"/>
      <c r="EE22" s="7"/>
      <c r="EG22" s="7"/>
      <c r="EI22" s="7"/>
      <c r="EK22" s="7"/>
      <c r="EM22" s="7"/>
      <c r="EO22" s="7"/>
      <c r="EQ22" s="7"/>
      <c r="ES22" s="7"/>
      <c r="EU22" s="7"/>
      <c r="EW22" s="7"/>
      <c r="EY22" s="7"/>
      <c r="FA22" s="7"/>
      <c r="FC22" s="7"/>
      <c r="FE22" s="7"/>
      <c r="FG22" s="7"/>
      <c r="FI22" s="7"/>
      <c r="FK22" s="7"/>
      <c r="FM22" s="7"/>
      <c r="FO22" s="7"/>
      <c r="FQ22" s="7"/>
      <c r="FS22" s="7"/>
      <c r="FU22" s="7"/>
      <c r="FW22" s="7"/>
      <c r="FY22" s="7"/>
      <c r="GA22" s="7"/>
      <c r="GC22" s="7"/>
      <c r="GE22" s="7"/>
      <c r="GG22" s="7"/>
      <c r="GI22" s="7"/>
      <c r="GK22" s="7"/>
      <c r="GM22" s="7"/>
      <c r="GO22" s="7"/>
      <c r="GQ22" s="7"/>
      <c r="GS22" s="7"/>
      <c r="GU22" s="7"/>
      <c r="GW22" s="7"/>
      <c r="GY22" s="7"/>
      <c r="HA22" s="7"/>
      <c r="HC22" s="7"/>
      <c r="HE22" s="7"/>
      <c r="HG22" s="7"/>
      <c r="HI22" s="7"/>
      <c r="HK22" s="7"/>
      <c r="HM22" s="7"/>
      <c r="HO22" s="7"/>
      <c r="HQ22" s="7"/>
      <c r="HS22" s="7"/>
      <c r="HU22" s="7"/>
      <c r="HW22" s="7"/>
      <c r="HY22" s="7"/>
      <c r="IA22" s="7"/>
      <c r="IC22" s="7"/>
      <c r="IE22" s="7"/>
      <c r="IG22" s="7"/>
      <c r="II22" s="7"/>
      <c r="IK22" s="7"/>
      <c r="IM22" s="7"/>
      <c r="IO22" s="7"/>
      <c r="IQ22" s="7"/>
      <c r="IS22" s="7"/>
      <c r="IU22" s="7"/>
      <c r="IW22" s="7"/>
      <c r="IY22" s="7"/>
      <c r="JA22" s="7"/>
      <c r="JC22" s="7"/>
      <c r="JE22" s="7"/>
      <c r="JG22" s="7"/>
      <c r="JI22" s="7"/>
      <c r="JK22" s="7"/>
      <c r="JM22" s="7"/>
      <c r="JO22" s="7"/>
      <c r="JQ22" s="7"/>
      <c r="JS22" s="7"/>
      <c r="JU22" s="7"/>
      <c r="JW22" s="7"/>
      <c r="JY22" s="7"/>
      <c r="KA22" s="7"/>
      <c r="KC22" s="7"/>
      <c r="KE22" s="7"/>
      <c r="KG22" s="7"/>
      <c r="KI22" s="7"/>
      <c r="KK22" s="7"/>
      <c r="KM22" s="7"/>
      <c r="KO22" s="7"/>
      <c r="KQ22" s="7"/>
      <c r="KS22" s="7"/>
      <c r="KU22" s="7"/>
      <c r="KW22" s="7"/>
      <c r="KY22" s="7"/>
      <c r="LA22" s="7"/>
      <c r="LC22" s="7"/>
      <c r="LE22" s="7"/>
      <c r="LG22" s="7"/>
      <c r="LI22" s="7"/>
      <c r="LK22" s="7"/>
      <c r="LM22" s="7"/>
      <c r="LO22" s="7"/>
      <c r="LQ22" s="7"/>
      <c r="LS22" s="7"/>
      <c r="LU22" s="7"/>
      <c r="LW22" s="7"/>
      <c r="LY22" s="7"/>
      <c r="MA22" s="7"/>
      <c r="MC22" s="7"/>
      <c r="ME22" s="7"/>
      <c r="MG22" s="7"/>
      <c r="MI22" s="7"/>
      <c r="MK22" s="7"/>
      <c r="MM22" s="7"/>
      <c r="MO22" s="7"/>
      <c r="MQ22" s="7"/>
      <c r="MS22" s="7"/>
      <c r="MU22" s="7"/>
      <c r="MW22" s="7"/>
      <c r="MY22" s="7"/>
      <c r="NA22" s="7"/>
      <c r="NC22" s="7"/>
      <c r="NE22" s="7"/>
      <c r="NG22" s="7"/>
      <c r="NI22" s="7"/>
      <c r="NK22" s="7"/>
      <c r="NM22" s="7"/>
      <c r="NO22" s="7"/>
      <c r="NQ22" s="7"/>
      <c r="NS22" s="7"/>
      <c r="NU22" s="7"/>
      <c r="NW22" s="7"/>
      <c r="NY22" s="7"/>
      <c r="OA22" s="7"/>
      <c r="OC22" s="7"/>
      <c r="OE22" s="7"/>
      <c r="OG22" s="7"/>
      <c r="OI22" s="7"/>
      <c r="OK22" s="7"/>
      <c r="OM22" s="7"/>
      <c r="OO22" s="7"/>
      <c r="OQ22" s="7"/>
      <c r="OS22" s="7"/>
      <c r="OU22" s="7"/>
      <c r="OW22" s="7"/>
      <c r="OY22" s="7"/>
      <c r="PA22" s="7"/>
      <c r="PC22" s="7"/>
      <c r="PE22" s="7"/>
      <c r="PG22" s="7"/>
      <c r="PI22" s="7"/>
      <c r="PK22" s="7"/>
      <c r="PM22" s="7"/>
      <c r="PO22" s="7"/>
      <c r="PQ22" s="7"/>
      <c r="PS22" s="7"/>
      <c r="PU22" s="7"/>
      <c r="PW22" s="7"/>
      <c r="PY22" s="7"/>
      <c r="QA22" s="7"/>
      <c r="QC22" s="7"/>
      <c r="QE22" s="7"/>
      <c r="QG22" s="7"/>
      <c r="QI22" s="7"/>
      <c r="QK22" s="7"/>
      <c r="QM22" s="7"/>
      <c r="QO22" s="7"/>
      <c r="QQ22" s="7"/>
      <c r="QS22" s="7"/>
      <c r="QU22" s="7"/>
      <c r="QW22" s="7"/>
      <c r="QY22" s="7"/>
      <c r="RA22" s="7"/>
      <c r="RC22" s="7"/>
      <c r="RE22" s="7"/>
      <c r="RG22" s="7"/>
      <c r="RI22" s="7"/>
      <c r="RK22" s="7"/>
      <c r="RM22" s="7"/>
      <c r="RO22" s="7"/>
      <c r="RQ22" s="7"/>
      <c r="RS22" s="7"/>
      <c r="RU22" s="7"/>
      <c r="RW22" s="7"/>
      <c r="RY22" s="7"/>
      <c r="SA22" s="7"/>
      <c r="SC22" s="7"/>
      <c r="SE22" s="7"/>
      <c r="SG22" s="7"/>
      <c r="SI22" s="7"/>
      <c r="SK22" s="7"/>
      <c r="SM22" s="7"/>
      <c r="SO22" s="7"/>
      <c r="SQ22" s="7"/>
      <c r="SS22" s="7"/>
      <c r="SU22" s="7"/>
      <c r="SW22" s="7"/>
      <c r="SY22" s="7"/>
      <c r="TA22" s="7"/>
      <c r="TC22" s="7"/>
      <c r="TE22" s="7"/>
      <c r="TG22" s="7"/>
      <c r="TI22" s="7"/>
      <c r="TK22" s="7"/>
      <c r="TM22" s="7"/>
      <c r="TO22" s="7"/>
      <c r="TQ22" s="7"/>
      <c r="TS22" s="7"/>
      <c r="TU22" s="7"/>
      <c r="TW22" s="7"/>
      <c r="TY22" s="7"/>
      <c r="UA22" s="7"/>
      <c r="UC22" s="7"/>
      <c r="UE22" s="7"/>
      <c r="UG22" s="7"/>
      <c r="UI22" s="7"/>
      <c r="UK22" s="7"/>
      <c r="UM22" s="7"/>
      <c r="UO22" s="7"/>
      <c r="UQ22" s="7"/>
      <c r="US22" s="7"/>
      <c r="UU22" s="7"/>
      <c r="UW22" s="7"/>
      <c r="UY22" s="7"/>
      <c r="VA22" s="7"/>
      <c r="VC22" s="7"/>
      <c r="VE22" s="7"/>
      <c r="VG22" s="7"/>
      <c r="VI22" s="7"/>
      <c r="VK22" s="7"/>
      <c r="VM22" s="7"/>
      <c r="VO22" s="7"/>
      <c r="VQ22" s="7"/>
      <c r="VS22" s="7"/>
      <c r="VU22" s="7"/>
      <c r="VW22" s="7"/>
      <c r="VY22" s="7"/>
      <c r="WA22" s="7"/>
      <c r="WC22" s="7"/>
      <c r="WE22" s="7"/>
      <c r="WG22" s="7"/>
      <c r="WI22" s="7"/>
      <c r="WK22" s="7"/>
      <c r="WM22" s="7"/>
      <c r="WO22" s="7"/>
      <c r="WQ22" s="7"/>
      <c r="WS22" s="7"/>
      <c r="WU22" s="7"/>
      <c r="WW22" s="7"/>
      <c r="WY22" s="7"/>
      <c r="XA22" s="7"/>
      <c r="XC22" s="7"/>
      <c r="XE22" s="7"/>
      <c r="XG22" s="7"/>
      <c r="XI22" s="7"/>
      <c r="XK22" s="7"/>
      <c r="XM22" s="7"/>
      <c r="XO22" s="7"/>
      <c r="XQ22" s="7"/>
      <c r="XS22" s="7"/>
      <c r="XU22" s="7"/>
      <c r="XW22" s="7"/>
      <c r="XY22" s="7"/>
      <c r="YA22" s="7"/>
      <c r="YC22" s="7"/>
      <c r="YE22" s="7"/>
      <c r="YG22" s="7"/>
      <c r="YI22" s="7"/>
      <c r="YK22" s="7"/>
      <c r="YM22" s="7"/>
      <c r="YO22" s="7"/>
      <c r="YQ22" s="7"/>
      <c r="YS22" s="7"/>
      <c r="YU22" s="7"/>
      <c r="YW22" s="7"/>
      <c r="YY22" s="7"/>
      <c r="ZA22" s="7"/>
      <c r="ZC22" s="7"/>
      <c r="ZE22" s="7"/>
      <c r="ZG22" s="7"/>
      <c r="ZI22" s="7"/>
      <c r="ZK22" s="7"/>
      <c r="ZM22" s="7"/>
      <c r="ZO22" s="7"/>
      <c r="ZQ22" s="7"/>
      <c r="ZS22" s="7"/>
      <c r="ZU22" s="7"/>
      <c r="ZW22" s="7"/>
      <c r="ZY22" s="7"/>
      <c r="AAA22" s="7"/>
      <c r="AAC22" s="7"/>
      <c r="AAE22" s="7"/>
      <c r="AAG22" s="7"/>
      <c r="AAI22" s="7"/>
      <c r="AAK22" s="7"/>
      <c r="AAM22" s="7"/>
      <c r="AAO22" s="7"/>
      <c r="AAQ22" s="7"/>
      <c r="AAS22" s="7"/>
      <c r="AAU22" s="7"/>
      <c r="AAW22" s="7"/>
      <c r="AAY22" s="7"/>
      <c r="ABA22" s="7"/>
      <c r="ABC22" s="7"/>
      <c r="ABE22" s="7"/>
      <c r="ABG22" s="7"/>
      <c r="ABI22" s="7"/>
      <c r="ABK22" s="7"/>
      <c r="ABM22" s="7"/>
      <c r="ABO22" s="7"/>
      <c r="ABQ22" s="7"/>
      <c r="ABS22" s="7"/>
      <c r="ABU22" s="7"/>
      <c r="ABW22" s="7"/>
      <c r="ABY22" s="7"/>
      <c r="ACA22" s="7"/>
      <c r="ACC22" s="7"/>
      <c r="ACE22" s="7"/>
      <c r="ACG22" s="7"/>
      <c r="ACI22" s="7"/>
      <c r="ACK22" s="7"/>
      <c r="ACM22" s="7"/>
      <c r="ACO22" s="7"/>
      <c r="ACQ22" s="7"/>
      <c r="ACS22" s="7"/>
      <c r="ACU22" s="7"/>
      <c r="ACW22" s="7"/>
      <c r="ACY22" s="7"/>
      <c r="ADA22" s="7"/>
      <c r="ADC22" s="7"/>
      <c r="ADE22" s="7"/>
      <c r="ADG22" s="7"/>
      <c r="ADI22" s="7"/>
      <c r="ADK22" s="7"/>
      <c r="ADM22" s="7"/>
      <c r="ADO22" s="7"/>
      <c r="ADQ22" s="7"/>
      <c r="ADS22" s="7"/>
      <c r="ADU22" s="7"/>
      <c r="ADW22" s="7"/>
      <c r="ADY22" s="7"/>
      <c r="AEA22" s="7"/>
      <c r="AEC22" s="7"/>
      <c r="AEE22" s="7"/>
      <c r="AEG22" s="7"/>
      <c r="AEI22" s="7"/>
      <c r="AEK22" s="7"/>
      <c r="AEM22" s="7"/>
      <c r="AEO22" s="7"/>
      <c r="AEQ22" s="7"/>
      <c r="AES22" s="7"/>
      <c r="AEU22" s="7"/>
      <c r="AEW22" s="7"/>
      <c r="AEY22" s="7"/>
      <c r="AFA22" s="7"/>
      <c r="AFC22" s="7"/>
      <c r="AFE22" s="7"/>
      <c r="AFG22" s="7"/>
      <c r="AFI22" s="7"/>
      <c r="AFK22" s="7"/>
      <c r="AFM22" s="7"/>
      <c r="AFO22" s="7"/>
      <c r="AFQ22" s="7"/>
      <c r="AFS22" s="7"/>
      <c r="AFU22" s="7"/>
      <c r="AFW22" s="7"/>
      <c r="AFY22" s="7"/>
      <c r="AGA22" s="7"/>
      <c r="AGC22" s="7"/>
      <c r="AGE22" s="7"/>
      <c r="AGG22" s="7"/>
      <c r="AGI22" s="7"/>
      <c r="AGK22" s="7"/>
      <c r="AGM22" s="7"/>
      <c r="AGO22" s="7"/>
      <c r="AGQ22" s="7"/>
      <c r="AGS22" s="7"/>
      <c r="AGU22" s="7"/>
      <c r="AGW22" s="7"/>
      <c r="AGY22" s="7"/>
      <c r="AHA22" s="7"/>
      <c r="AHC22" s="7"/>
      <c r="AHE22" s="7"/>
      <c r="AHG22" s="7"/>
      <c r="AHI22" s="7"/>
      <c r="AHK22" s="7"/>
      <c r="AHM22" s="7"/>
      <c r="AHO22" s="7"/>
      <c r="AHQ22" s="7"/>
      <c r="AHS22" s="7"/>
      <c r="AHU22" s="7"/>
      <c r="AHW22" s="7"/>
      <c r="AHY22" s="7"/>
      <c r="AIA22" s="7"/>
      <c r="AIC22" s="7"/>
      <c r="AIE22" s="7"/>
      <c r="AIG22" s="7"/>
      <c r="AII22" s="7"/>
      <c r="AIK22" s="7"/>
      <c r="AIM22" s="7"/>
      <c r="AIO22" s="7"/>
      <c r="AIQ22" s="7"/>
      <c r="AIS22" s="7"/>
      <c r="AIU22" s="7"/>
      <c r="AIW22" s="7"/>
      <c r="AIY22" s="7"/>
      <c r="AJA22" s="7"/>
      <c r="AJC22" s="7"/>
      <c r="AJE22" s="7"/>
      <c r="AJG22" s="7"/>
      <c r="AJI22" s="7"/>
      <c r="AJK22" s="7"/>
      <c r="AJM22" s="7"/>
      <c r="AJO22" s="7"/>
      <c r="AJQ22" s="7"/>
      <c r="AJS22" s="7"/>
      <c r="AJU22" s="7"/>
      <c r="AJW22" s="7"/>
      <c r="AJY22" s="7"/>
      <c r="AKA22" s="7"/>
      <c r="AKC22" s="7"/>
      <c r="AKE22" s="7"/>
      <c r="AKG22" s="7"/>
      <c r="AKI22" s="7"/>
      <c r="AKK22" s="7"/>
      <c r="AKM22" s="7"/>
      <c r="AKO22" s="7"/>
      <c r="AKQ22" s="7"/>
      <c r="AKS22" s="7"/>
      <c r="AKU22" s="7"/>
      <c r="AKW22" s="7"/>
      <c r="AKY22" s="7"/>
      <c r="ALA22" s="7"/>
      <c r="ALC22" s="7"/>
      <c r="ALE22" s="7"/>
      <c r="ALG22" s="7"/>
      <c r="ALI22" s="7"/>
      <c r="ALK22" s="7"/>
      <c r="ALM22" s="7"/>
      <c r="ALO22" s="7"/>
      <c r="ALQ22" s="7"/>
      <c r="ALS22" s="7"/>
      <c r="ALU22" s="7"/>
      <c r="ALW22" s="7"/>
      <c r="ALY22" s="7"/>
      <c r="AMA22" s="7"/>
      <c r="AMC22" s="7"/>
      <c r="AME22" s="7"/>
      <c r="AMG22" s="7"/>
      <c r="AMI22" s="7"/>
      <c r="AMK22" s="7"/>
      <c r="AMM22" s="7"/>
      <c r="AMO22" s="7"/>
      <c r="AMQ22" s="7"/>
      <c r="AMS22" s="7"/>
      <c r="AMU22" s="7"/>
      <c r="AMW22" s="7"/>
      <c r="AMY22" s="7"/>
      <c r="ANA22" s="7"/>
      <c r="ANC22" s="7"/>
      <c r="ANE22" s="7"/>
      <c r="ANG22" s="7"/>
      <c r="ANI22" s="7"/>
      <c r="ANK22" s="7"/>
      <c r="ANM22" s="7"/>
      <c r="ANO22" s="7"/>
      <c r="ANQ22" s="7"/>
      <c r="ANS22" s="7"/>
      <c r="ANU22" s="7"/>
      <c r="ANW22" s="7"/>
      <c r="ANY22" s="7"/>
      <c r="AOA22" s="7"/>
      <c r="AOC22" s="7"/>
      <c r="AOE22" s="7"/>
      <c r="AOG22" s="7"/>
      <c r="AOI22" s="7"/>
      <c r="AOK22" s="7"/>
      <c r="AOM22" s="7"/>
      <c r="AOO22" s="7"/>
      <c r="AOQ22" s="7"/>
      <c r="AOS22" s="7"/>
      <c r="AOU22" s="7"/>
      <c r="AOW22" s="7"/>
      <c r="AOY22" s="7"/>
      <c r="APA22" s="7"/>
      <c r="APC22" s="7"/>
      <c r="APE22" s="7"/>
      <c r="APG22" s="7"/>
      <c r="API22" s="7"/>
      <c r="APK22" s="7"/>
      <c r="APM22" s="7"/>
      <c r="APO22" s="7"/>
      <c r="APQ22" s="7"/>
      <c r="APS22" s="7"/>
      <c r="APU22" s="7"/>
      <c r="APW22" s="7"/>
      <c r="APY22" s="7"/>
      <c r="AQA22" s="7"/>
      <c r="AQC22" s="7"/>
      <c r="AQE22" s="7"/>
      <c r="AQG22" s="7"/>
      <c r="AQI22" s="7"/>
      <c r="AQK22" s="7"/>
      <c r="AQM22" s="7"/>
      <c r="AQO22" s="7"/>
      <c r="AQQ22" s="7"/>
      <c r="AQS22" s="7"/>
      <c r="AQU22" s="7"/>
      <c r="AQW22" s="7"/>
      <c r="AQY22" s="7"/>
      <c r="ARA22" s="7"/>
      <c r="ARC22" s="7"/>
      <c r="ARE22" s="7"/>
      <c r="ARG22" s="7"/>
      <c r="ARI22" s="7"/>
      <c r="ARK22" s="7"/>
      <c r="ARM22" s="7"/>
      <c r="ARO22" s="7"/>
      <c r="ARQ22" s="7"/>
      <c r="ARS22" s="7"/>
      <c r="ARU22" s="7"/>
      <c r="ARW22" s="7"/>
      <c r="ARY22" s="7"/>
      <c r="ASA22" s="7"/>
      <c r="ASC22" s="7"/>
      <c r="ASE22" s="7"/>
      <c r="ASG22" s="7"/>
      <c r="ASI22" s="7"/>
      <c r="ASK22" s="7"/>
      <c r="ASM22" s="7"/>
      <c r="ASO22" s="7"/>
      <c r="ASQ22" s="7"/>
      <c r="ASS22" s="7"/>
      <c r="ASU22" s="7"/>
      <c r="ASW22" s="7"/>
      <c r="ASY22" s="7"/>
      <c r="ATA22" s="7"/>
      <c r="ATC22" s="7"/>
      <c r="ATE22" s="7"/>
      <c r="ATG22" s="7"/>
      <c r="ATI22" s="7"/>
      <c r="ATK22" s="7"/>
      <c r="ATM22" s="7"/>
      <c r="ATO22" s="7"/>
      <c r="ATQ22" s="7"/>
      <c r="ATS22" s="7"/>
      <c r="ATU22" s="7"/>
      <c r="ATW22" s="7"/>
      <c r="ATY22" s="7"/>
      <c r="AUA22" s="7"/>
      <c r="AUC22" s="7"/>
      <c r="AUE22" s="7"/>
      <c r="AUG22" s="7"/>
      <c r="AUI22" s="7"/>
      <c r="AUK22" s="7"/>
      <c r="AUM22" s="7"/>
      <c r="AUO22" s="7"/>
      <c r="AUQ22" s="7"/>
      <c r="AUS22" s="7"/>
      <c r="AUU22" s="7"/>
      <c r="AUW22" s="7"/>
      <c r="AUY22" s="7"/>
      <c r="AVA22" s="7"/>
      <c r="AVC22" s="7"/>
      <c r="AVE22" s="7"/>
      <c r="AVG22" s="7"/>
      <c r="AVI22" s="7"/>
      <c r="AVK22" s="7"/>
      <c r="AVM22" s="7"/>
      <c r="AVO22" s="7"/>
      <c r="AVQ22" s="7"/>
      <c r="AVS22" s="7"/>
      <c r="AVU22" s="7"/>
      <c r="AVW22" s="7"/>
      <c r="AVY22" s="7"/>
      <c r="AWA22" s="7"/>
      <c r="AWC22" s="7"/>
      <c r="AWE22" s="7"/>
      <c r="AWG22" s="7"/>
      <c r="AWI22" s="7"/>
      <c r="AWK22" s="7"/>
      <c r="AWM22" s="7"/>
      <c r="AWO22" s="7"/>
      <c r="AWQ22" s="7"/>
      <c r="AWS22" s="7"/>
      <c r="AWU22" s="7"/>
      <c r="AWW22" s="7"/>
      <c r="AWY22" s="7"/>
      <c r="AXA22" s="7"/>
      <c r="AXC22" s="7"/>
      <c r="AXE22" s="7"/>
      <c r="AXG22" s="7"/>
      <c r="AXI22" s="7"/>
      <c r="AXK22" s="7"/>
      <c r="AXM22" s="7"/>
      <c r="AXO22" s="7"/>
      <c r="AXQ22" s="7"/>
      <c r="AXS22" s="7"/>
      <c r="AXU22" s="7"/>
      <c r="AXW22" s="7"/>
      <c r="AXY22" s="7"/>
      <c r="AYA22" s="7"/>
      <c r="AYC22" s="7"/>
      <c r="AYE22" s="7"/>
      <c r="AYG22" s="7"/>
      <c r="AYI22" s="7"/>
      <c r="AYK22" s="7"/>
      <c r="AYM22" s="7"/>
      <c r="AYO22" s="7"/>
      <c r="AYQ22" s="7"/>
      <c r="AYS22" s="7"/>
      <c r="AYU22" s="7"/>
      <c r="AYW22" s="7"/>
      <c r="AYY22" s="7"/>
      <c r="AZA22" s="7"/>
      <c r="AZC22" s="7"/>
      <c r="AZE22" s="7"/>
      <c r="AZG22" s="7"/>
      <c r="AZI22" s="7"/>
      <c r="AZK22" s="7"/>
      <c r="AZM22" s="7"/>
      <c r="AZO22" s="7"/>
      <c r="AZQ22" s="7"/>
      <c r="AZS22" s="7"/>
      <c r="AZU22" s="7"/>
      <c r="AZW22" s="7"/>
      <c r="AZY22" s="7"/>
      <c r="BAA22" s="7"/>
      <c r="BAC22" s="7"/>
      <c r="BAE22" s="7"/>
      <c r="BAG22" s="7"/>
      <c r="BAI22" s="7"/>
      <c r="BAK22" s="7"/>
      <c r="BAM22" s="7"/>
      <c r="BAO22" s="7"/>
      <c r="BAQ22" s="7"/>
      <c r="BAS22" s="7"/>
      <c r="BAU22" s="7"/>
      <c r="BAW22" s="7"/>
      <c r="BAY22" s="7"/>
      <c r="BBA22" s="7"/>
      <c r="BBC22" s="7"/>
      <c r="BBE22" s="7"/>
      <c r="BBG22" s="7"/>
      <c r="BBI22" s="7"/>
      <c r="BBK22" s="7"/>
      <c r="BBM22" s="7"/>
      <c r="BBO22" s="7"/>
      <c r="BBQ22" s="7"/>
      <c r="BBS22" s="7"/>
      <c r="BBU22" s="7"/>
      <c r="BBW22" s="7"/>
      <c r="BBY22" s="7"/>
      <c r="BCA22" s="7"/>
      <c r="BCC22" s="7"/>
      <c r="BCE22" s="7"/>
      <c r="BCG22" s="7"/>
      <c r="BCI22" s="7"/>
      <c r="BCK22" s="7"/>
      <c r="BCM22" s="7"/>
      <c r="BCO22" s="7"/>
      <c r="BCQ22" s="7"/>
      <c r="BCS22" s="7"/>
      <c r="BCU22" s="7"/>
      <c r="BCW22" s="7"/>
      <c r="BCY22" s="7"/>
      <c r="BDA22" s="7"/>
      <c r="BDC22" s="7"/>
      <c r="BDE22" s="7"/>
      <c r="BDG22" s="7"/>
      <c r="BDI22" s="7"/>
      <c r="BDK22" s="7"/>
      <c r="BDM22" s="7"/>
      <c r="BDO22" s="7"/>
      <c r="BDQ22" s="7"/>
      <c r="BDS22" s="7"/>
      <c r="BDU22" s="7"/>
      <c r="BDW22" s="7"/>
      <c r="BDY22" s="7"/>
      <c r="BEA22" s="7"/>
      <c r="BEC22" s="7"/>
      <c r="BEE22" s="7"/>
      <c r="BEG22" s="7"/>
      <c r="BEI22" s="7"/>
      <c r="BEK22" s="7"/>
      <c r="BEM22" s="7"/>
      <c r="BEO22" s="7"/>
      <c r="BEQ22" s="7"/>
      <c r="BES22" s="7"/>
      <c r="BEU22" s="7"/>
      <c r="BEW22" s="7"/>
      <c r="BEY22" s="7"/>
      <c r="BFA22" s="7"/>
      <c r="BFC22" s="7"/>
      <c r="BFE22" s="7"/>
      <c r="BFG22" s="7"/>
      <c r="BFI22" s="7"/>
      <c r="BFK22" s="7"/>
      <c r="BFM22" s="7"/>
      <c r="BFO22" s="7"/>
      <c r="BFQ22" s="7"/>
      <c r="BFS22" s="7"/>
      <c r="BFU22" s="7"/>
      <c r="BFW22" s="7"/>
      <c r="BFY22" s="7"/>
      <c r="BGA22" s="7"/>
      <c r="BGC22" s="7"/>
      <c r="BGE22" s="7"/>
      <c r="BGG22" s="7"/>
      <c r="BGI22" s="7"/>
      <c r="BGK22" s="7"/>
      <c r="BGM22" s="7"/>
      <c r="BGO22" s="7"/>
      <c r="BGQ22" s="7"/>
      <c r="BGS22" s="7"/>
      <c r="BGU22" s="7"/>
      <c r="BGW22" s="7"/>
      <c r="BGY22" s="7"/>
      <c r="BHA22" s="7"/>
      <c r="BHC22" s="7"/>
      <c r="BHE22" s="7"/>
      <c r="BHG22" s="7"/>
      <c r="BHI22" s="7"/>
      <c r="BHK22" s="7"/>
      <c r="BHM22" s="7"/>
      <c r="BHO22" s="7"/>
      <c r="BHQ22" s="7"/>
      <c r="BHS22" s="7"/>
      <c r="BHU22" s="7"/>
      <c r="BHW22" s="7"/>
      <c r="BHY22" s="7"/>
      <c r="BIA22" s="7"/>
      <c r="BIC22" s="7"/>
      <c r="BIE22" s="7"/>
      <c r="BIG22" s="7"/>
      <c r="BII22" s="7"/>
      <c r="BIK22" s="7"/>
      <c r="BIM22" s="7"/>
      <c r="BIO22" s="7"/>
      <c r="BIQ22" s="7"/>
      <c r="BIS22" s="7"/>
      <c r="BIU22" s="7"/>
      <c r="BIW22" s="7"/>
      <c r="BIY22" s="7"/>
      <c r="BJA22" s="7"/>
      <c r="BJC22" s="7"/>
      <c r="BJE22" s="7"/>
      <c r="BJG22" s="7"/>
      <c r="BJI22" s="7"/>
      <c r="BJK22" s="7"/>
      <c r="BJM22" s="7"/>
      <c r="BJO22" s="7"/>
      <c r="BJQ22" s="7"/>
      <c r="BJS22" s="7"/>
      <c r="BJU22" s="7"/>
      <c r="BJW22" s="7"/>
      <c r="BJY22" s="7"/>
      <c r="BKA22" s="7"/>
      <c r="BKC22" s="7"/>
      <c r="BKE22" s="7"/>
      <c r="BKG22" s="7"/>
      <c r="BKI22" s="7"/>
      <c r="BKK22" s="7"/>
      <c r="BKM22" s="7"/>
      <c r="BKO22" s="7"/>
      <c r="BKQ22" s="7"/>
      <c r="BKS22" s="7"/>
      <c r="BKU22" s="7"/>
      <c r="BKW22" s="7"/>
      <c r="BKY22" s="7"/>
      <c r="BLA22" s="7"/>
      <c r="BLC22" s="7"/>
      <c r="BLE22" s="7"/>
      <c r="BLG22" s="7"/>
      <c r="BLI22" s="7"/>
      <c r="BLK22" s="7"/>
      <c r="BLM22" s="7"/>
      <c r="BLO22" s="7"/>
      <c r="BLQ22" s="7"/>
      <c r="BLS22" s="7"/>
      <c r="BLU22" s="7"/>
      <c r="BLW22" s="7"/>
      <c r="BLY22" s="7"/>
      <c r="BMA22" s="7"/>
      <c r="BMC22" s="7"/>
      <c r="BME22" s="7"/>
      <c r="BMG22" s="7"/>
      <c r="BMI22" s="7"/>
      <c r="BMK22" s="7"/>
      <c r="BMM22" s="7"/>
      <c r="BMO22" s="7"/>
      <c r="BMQ22" s="7"/>
      <c r="BMS22" s="7"/>
      <c r="BMU22" s="7"/>
      <c r="BMW22" s="7"/>
      <c r="BMY22" s="7"/>
      <c r="BNA22" s="7"/>
      <c r="BNC22" s="7"/>
      <c r="BNE22" s="7"/>
      <c r="BNG22" s="7"/>
      <c r="BNI22" s="7"/>
      <c r="BNK22" s="7"/>
      <c r="BNM22" s="7"/>
      <c r="BNO22" s="7"/>
      <c r="BNQ22" s="7"/>
      <c r="BNS22" s="7"/>
      <c r="BNU22" s="7"/>
      <c r="BNW22" s="7"/>
      <c r="BNY22" s="7"/>
      <c r="BOA22" s="7"/>
      <c r="BOC22" s="7"/>
      <c r="BOE22" s="7"/>
      <c r="BOG22" s="7"/>
      <c r="BOI22" s="7"/>
      <c r="BOK22" s="7"/>
      <c r="BOM22" s="7"/>
      <c r="BOO22" s="7"/>
      <c r="BOQ22" s="7"/>
      <c r="BOS22" s="7"/>
      <c r="BOU22" s="7"/>
      <c r="BOW22" s="7"/>
      <c r="BOY22" s="7"/>
      <c r="BPA22" s="7"/>
      <c r="BPC22" s="7"/>
      <c r="BPE22" s="7"/>
      <c r="BPG22" s="7"/>
      <c r="BPI22" s="7"/>
      <c r="BPK22" s="7"/>
      <c r="BPM22" s="7"/>
      <c r="BPO22" s="7"/>
      <c r="BPQ22" s="7"/>
      <c r="BPS22" s="7"/>
      <c r="BPU22" s="7"/>
      <c r="BPW22" s="7"/>
      <c r="BPY22" s="7"/>
      <c r="BQA22" s="7"/>
      <c r="BQC22" s="7"/>
      <c r="BQE22" s="7"/>
      <c r="BQG22" s="7"/>
      <c r="BQI22" s="7"/>
      <c r="BQK22" s="7"/>
      <c r="BQM22" s="7"/>
      <c r="BQO22" s="7"/>
      <c r="BQQ22" s="7"/>
      <c r="BQS22" s="7"/>
      <c r="BQU22" s="7"/>
      <c r="BQW22" s="7"/>
      <c r="BQY22" s="7"/>
      <c r="BRA22" s="7"/>
      <c r="BRC22" s="7"/>
      <c r="BRE22" s="7"/>
      <c r="BRG22" s="7"/>
      <c r="BRI22" s="7"/>
      <c r="BRK22" s="7"/>
      <c r="BRM22" s="7"/>
      <c r="BRO22" s="7"/>
      <c r="BRQ22" s="7"/>
      <c r="BRS22" s="7"/>
      <c r="BRU22" s="7"/>
      <c r="BRW22" s="7"/>
      <c r="BRY22" s="7"/>
      <c r="BSA22" s="7"/>
      <c r="BSC22" s="7"/>
      <c r="BSE22" s="7"/>
      <c r="BSG22" s="7"/>
      <c r="BSI22" s="7"/>
      <c r="BSK22" s="7"/>
      <c r="BSM22" s="7"/>
      <c r="BSO22" s="7"/>
      <c r="BSQ22" s="7"/>
      <c r="BSS22" s="7"/>
      <c r="BSU22" s="7"/>
      <c r="BSW22" s="7"/>
      <c r="BSY22" s="7"/>
      <c r="BTA22" s="7"/>
      <c r="BTC22" s="7"/>
      <c r="BTE22" s="7"/>
      <c r="BTG22" s="7"/>
      <c r="BTI22" s="7"/>
      <c r="BTK22" s="7"/>
      <c r="BTM22" s="7"/>
      <c r="BTO22" s="7"/>
      <c r="BTQ22" s="7"/>
      <c r="BTS22" s="7"/>
      <c r="BTU22" s="7"/>
      <c r="BTW22" s="7"/>
      <c r="BTY22" s="7"/>
      <c r="BUA22" s="7"/>
      <c r="BUC22" s="7"/>
      <c r="BUE22" s="7"/>
      <c r="BUG22" s="7"/>
      <c r="BUI22" s="7"/>
      <c r="BUK22" s="7"/>
      <c r="BUM22" s="7"/>
      <c r="BUO22" s="7"/>
      <c r="BUQ22" s="7"/>
      <c r="BUS22" s="7"/>
      <c r="BUU22" s="7"/>
      <c r="BUW22" s="7"/>
      <c r="BUY22" s="7"/>
      <c r="BVA22" s="7"/>
      <c r="BVC22" s="7"/>
      <c r="BVE22" s="7"/>
      <c r="BVG22" s="7"/>
      <c r="BVI22" s="7"/>
      <c r="BVK22" s="7"/>
      <c r="BVM22" s="7"/>
      <c r="BVO22" s="7"/>
      <c r="BVQ22" s="7"/>
      <c r="BVS22" s="7"/>
      <c r="BVU22" s="7"/>
      <c r="BVW22" s="7"/>
      <c r="BVY22" s="7"/>
      <c r="BWA22" s="7"/>
      <c r="BWC22" s="7"/>
      <c r="BWE22" s="7"/>
      <c r="BWG22" s="7"/>
      <c r="BWI22" s="7"/>
      <c r="BWK22" s="7"/>
      <c r="BWM22" s="7"/>
      <c r="BWO22" s="7"/>
      <c r="BWQ22" s="7"/>
      <c r="BWS22" s="7"/>
      <c r="BWU22" s="7"/>
      <c r="BWW22" s="7"/>
      <c r="BWY22" s="7"/>
      <c r="BXA22" s="7"/>
      <c r="BXC22" s="7"/>
      <c r="BXE22" s="7"/>
      <c r="BXG22" s="7"/>
      <c r="BXI22" s="7"/>
      <c r="BXK22" s="7"/>
      <c r="BXM22" s="7"/>
      <c r="BXO22" s="7"/>
      <c r="BXQ22" s="7"/>
      <c r="BXS22" s="7"/>
      <c r="BXU22" s="7"/>
      <c r="BXW22" s="7"/>
      <c r="BXY22" s="7"/>
      <c r="BYA22" s="7"/>
      <c r="BYC22" s="7"/>
      <c r="BYE22" s="7"/>
      <c r="BYG22" s="7"/>
      <c r="BYI22" s="7"/>
      <c r="BYK22" s="7"/>
      <c r="BYM22" s="7"/>
      <c r="BYO22" s="7"/>
      <c r="BYQ22" s="7"/>
      <c r="BYS22" s="7"/>
      <c r="BYU22" s="7"/>
      <c r="BYW22" s="7"/>
      <c r="BYY22" s="7"/>
      <c r="BZA22" s="7"/>
      <c r="BZC22" s="7"/>
      <c r="BZE22" s="7"/>
      <c r="BZG22" s="7"/>
      <c r="BZI22" s="7"/>
      <c r="BZK22" s="7"/>
      <c r="BZM22" s="7"/>
      <c r="BZO22" s="7"/>
      <c r="BZQ22" s="7"/>
      <c r="BZS22" s="7"/>
      <c r="BZU22" s="7"/>
      <c r="BZW22" s="7"/>
      <c r="BZY22" s="7"/>
      <c r="CAA22" s="7"/>
      <c r="CAC22" s="7"/>
      <c r="CAE22" s="7"/>
      <c r="CAG22" s="7"/>
      <c r="CAI22" s="7"/>
      <c r="CAK22" s="7"/>
      <c r="CAM22" s="7"/>
      <c r="CAO22" s="7"/>
      <c r="CAQ22" s="7"/>
      <c r="CAS22" s="7"/>
      <c r="CAU22" s="7"/>
      <c r="CAW22" s="7"/>
      <c r="CAY22" s="7"/>
      <c r="CBA22" s="7"/>
      <c r="CBC22" s="7"/>
      <c r="CBE22" s="7"/>
      <c r="CBG22" s="7"/>
      <c r="CBI22" s="7"/>
      <c r="CBK22" s="7"/>
      <c r="CBM22" s="7"/>
      <c r="CBO22" s="7"/>
      <c r="CBQ22" s="7"/>
      <c r="CBS22" s="7"/>
      <c r="CBU22" s="7"/>
      <c r="CBW22" s="7"/>
      <c r="CBY22" s="7"/>
      <c r="CCA22" s="7"/>
      <c r="CCC22" s="7"/>
      <c r="CCE22" s="7"/>
      <c r="CCG22" s="7"/>
      <c r="CCI22" s="7"/>
      <c r="CCK22" s="7"/>
      <c r="CCM22" s="7"/>
      <c r="CCO22" s="7"/>
      <c r="CCQ22" s="7"/>
      <c r="CCS22" s="7"/>
      <c r="CCU22" s="7"/>
      <c r="CCW22" s="7"/>
      <c r="CCY22" s="7"/>
      <c r="CDA22" s="7"/>
      <c r="CDC22" s="7"/>
      <c r="CDE22" s="7"/>
      <c r="CDG22" s="7"/>
      <c r="CDI22" s="7"/>
      <c r="CDK22" s="7"/>
      <c r="CDM22" s="7"/>
      <c r="CDO22" s="7"/>
      <c r="CDQ22" s="7"/>
      <c r="CDS22" s="7"/>
      <c r="CDU22" s="7"/>
      <c r="CDW22" s="7"/>
      <c r="CDY22" s="7"/>
      <c r="CEA22" s="7"/>
      <c r="CEC22" s="7"/>
      <c r="CEE22" s="7"/>
      <c r="CEG22" s="7"/>
      <c r="CEI22" s="7"/>
      <c r="CEK22" s="7"/>
      <c r="CEM22" s="7"/>
      <c r="CEO22" s="7"/>
      <c r="CEQ22" s="7"/>
      <c r="CES22" s="7"/>
      <c r="CEU22" s="7"/>
      <c r="CEW22" s="7"/>
      <c r="CEY22" s="7"/>
      <c r="CFA22" s="7"/>
      <c r="CFC22" s="7"/>
      <c r="CFE22" s="7"/>
      <c r="CFG22" s="7"/>
      <c r="CFI22" s="7"/>
      <c r="CFK22" s="7"/>
      <c r="CFM22" s="7"/>
      <c r="CFO22" s="7"/>
      <c r="CFQ22" s="7"/>
      <c r="CFS22" s="7"/>
      <c r="CFU22" s="7"/>
      <c r="CFW22" s="7"/>
      <c r="CFY22" s="7"/>
      <c r="CGA22" s="7"/>
      <c r="CGC22" s="7"/>
      <c r="CGE22" s="7"/>
      <c r="CGG22" s="7"/>
      <c r="CGI22" s="7"/>
      <c r="CGK22" s="7"/>
      <c r="CGM22" s="7"/>
      <c r="CGO22" s="7"/>
      <c r="CGQ22" s="7"/>
      <c r="CGS22" s="7"/>
      <c r="CGU22" s="7"/>
      <c r="CGW22" s="7"/>
      <c r="CGY22" s="7"/>
      <c r="CHA22" s="7"/>
      <c r="CHC22" s="7"/>
      <c r="CHE22" s="7"/>
      <c r="CHG22" s="7"/>
      <c r="CHI22" s="7"/>
      <c r="CHK22" s="7"/>
      <c r="CHM22" s="7"/>
      <c r="CHO22" s="7"/>
      <c r="CHQ22" s="7"/>
      <c r="CHS22" s="7"/>
      <c r="CHU22" s="7"/>
      <c r="CHW22" s="7"/>
      <c r="CHY22" s="7"/>
      <c r="CIA22" s="7"/>
      <c r="CIC22" s="7"/>
      <c r="CIE22" s="7"/>
      <c r="CIG22" s="7"/>
      <c r="CII22" s="7"/>
      <c r="CIK22" s="7"/>
      <c r="CIM22" s="7"/>
      <c r="CIO22" s="7"/>
      <c r="CIQ22" s="7"/>
      <c r="CIS22" s="7"/>
      <c r="CIU22" s="7"/>
      <c r="CIW22" s="7"/>
      <c r="CIY22" s="7"/>
      <c r="CJA22" s="7"/>
      <c r="CJC22" s="7"/>
      <c r="CJE22" s="7"/>
      <c r="CJG22" s="7"/>
      <c r="CJI22" s="7"/>
      <c r="CJK22" s="7"/>
      <c r="CJM22" s="7"/>
      <c r="CJO22" s="7"/>
      <c r="CJQ22" s="7"/>
      <c r="CJS22" s="7"/>
      <c r="CJU22" s="7"/>
      <c r="CJW22" s="7"/>
      <c r="CJY22" s="7"/>
      <c r="CKA22" s="7"/>
      <c r="CKC22" s="7"/>
      <c r="CKE22" s="7"/>
      <c r="CKG22" s="7"/>
      <c r="CKI22" s="7"/>
      <c r="CKK22" s="7"/>
      <c r="CKM22" s="7"/>
      <c r="CKO22" s="7"/>
      <c r="CKQ22" s="7"/>
      <c r="CKS22" s="7"/>
      <c r="CKU22" s="7"/>
      <c r="CKW22" s="7"/>
      <c r="CKY22" s="7"/>
      <c r="CLA22" s="7"/>
      <c r="CLC22" s="7"/>
      <c r="CLE22" s="7"/>
      <c r="CLG22" s="7"/>
      <c r="CLI22" s="7"/>
      <c r="CLK22" s="7"/>
      <c r="CLM22" s="7"/>
      <c r="CLO22" s="7"/>
      <c r="CLQ22" s="7"/>
      <c r="CLS22" s="7"/>
      <c r="CLU22" s="7"/>
      <c r="CLW22" s="7"/>
      <c r="CLY22" s="7"/>
      <c r="CMA22" s="7"/>
      <c r="CMC22" s="7"/>
      <c r="CME22" s="7"/>
      <c r="CMG22" s="7"/>
      <c r="CMI22" s="7"/>
      <c r="CMK22" s="7"/>
      <c r="CMM22" s="7"/>
      <c r="CMO22" s="7"/>
      <c r="CMQ22" s="7"/>
      <c r="CMS22" s="7"/>
      <c r="CMU22" s="7"/>
      <c r="CMW22" s="7"/>
      <c r="CMY22" s="7"/>
      <c r="CNA22" s="7"/>
      <c r="CNC22" s="7"/>
      <c r="CNE22" s="7"/>
      <c r="CNG22" s="7"/>
      <c r="CNI22" s="7"/>
      <c r="CNK22" s="7"/>
      <c r="CNM22" s="7"/>
      <c r="CNO22" s="7"/>
      <c r="CNQ22" s="7"/>
      <c r="CNS22" s="7"/>
      <c r="CNU22" s="7"/>
      <c r="CNW22" s="7"/>
      <c r="CNY22" s="7"/>
      <c r="COA22" s="7"/>
      <c r="COC22" s="7"/>
      <c r="COE22" s="7"/>
      <c r="COG22" s="7"/>
      <c r="COI22" s="7"/>
      <c r="COK22" s="7"/>
      <c r="COM22" s="7"/>
      <c r="COO22" s="7"/>
      <c r="COQ22" s="7"/>
      <c r="COS22" s="7"/>
      <c r="COU22" s="7"/>
      <c r="COW22" s="7"/>
      <c r="COY22" s="7"/>
      <c r="CPA22" s="7"/>
      <c r="CPC22" s="7"/>
      <c r="CPE22" s="7"/>
      <c r="CPG22" s="7"/>
      <c r="CPI22" s="7"/>
      <c r="CPK22" s="7"/>
      <c r="CPM22" s="7"/>
      <c r="CPO22" s="7"/>
      <c r="CPQ22" s="7"/>
      <c r="CPS22" s="7"/>
      <c r="CPU22" s="7"/>
      <c r="CPW22" s="7"/>
      <c r="CPY22" s="7"/>
      <c r="CQA22" s="7"/>
      <c r="CQC22" s="7"/>
      <c r="CQE22" s="7"/>
      <c r="CQG22" s="7"/>
      <c r="CQI22" s="7"/>
      <c r="CQK22" s="7"/>
      <c r="CQM22" s="7"/>
      <c r="CQO22" s="7"/>
      <c r="CQQ22" s="7"/>
      <c r="CQS22" s="7"/>
      <c r="CQU22" s="7"/>
      <c r="CQW22" s="7"/>
      <c r="CQY22" s="7"/>
      <c r="CRA22" s="7"/>
      <c r="CRC22" s="7"/>
      <c r="CRE22" s="7"/>
      <c r="CRG22" s="7"/>
      <c r="CRI22" s="7"/>
      <c r="CRK22" s="7"/>
      <c r="CRM22" s="7"/>
      <c r="CRO22" s="7"/>
      <c r="CRQ22" s="7"/>
      <c r="CRS22" s="7"/>
      <c r="CRU22" s="7"/>
      <c r="CRW22" s="7"/>
      <c r="CRY22" s="7"/>
      <c r="CSA22" s="7"/>
      <c r="CSC22" s="7"/>
      <c r="CSE22" s="7"/>
      <c r="CSG22" s="7"/>
      <c r="CSI22" s="7"/>
      <c r="CSK22" s="7"/>
      <c r="CSM22" s="7"/>
      <c r="CSO22" s="7"/>
      <c r="CSQ22" s="7"/>
      <c r="CSS22" s="7"/>
      <c r="CSU22" s="7"/>
      <c r="CSW22" s="7"/>
      <c r="CSY22" s="7"/>
      <c r="CTA22" s="7"/>
      <c r="CTC22" s="7"/>
      <c r="CTE22" s="7"/>
      <c r="CTG22" s="7"/>
      <c r="CTI22" s="7"/>
      <c r="CTK22" s="7"/>
      <c r="CTM22" s="7"/>
      <c r="CTO22" s="7"/>
      <c r="CTQ22" s="7"/>
      <c r="CTS22" s="7"/>
      <c r="CTU22" s="7"/>
      <c r="CTW22" s="7"/>
      <c r="CTY22" s="7"/>
      <c r="CUA22" s="7"/>
      <c r="CUC22" s="7"/>
      <c r="CUE22" s="7"/>
      <c r="CUG22" s="7"/>
      <c r="CUI22" s="7"/>
      <c r="CUK22" s="7"/>
      <c r="CUM22" s="7"/>
      <c r="CUO22" s="7"/>
      <c r="CUQ22" s="7"/>
      <c r="CUS22" s="7"/>
      <c r="CUU22" s="7"/>
      <c r="CUW22" s="7"/>
      <c r="CUY22" s="7"/>
      <c r="CVA22" s="7"/>
      <c r="CVC22" s="7"/>
      <c r="CVE22" s="7"/>
      <c r="CVG22" s="7"/>
      <c r="CVI22" s="7"/>
      <c r="CVK22" s="7"/>
      <c r="CVM22" s="7"/>
      <c r="CVO22" s="7"/>
      <c r="CVQ22" s="7"/>
      <c r="CVS22" s="7"/>
      <c r="CVU22" s="7"/>
      <c r="CVW22" s="7"/>
      <c r="CVY22" s="7"/>
      <c r="CWA22" s="7"/>
      <c r="CWC22" s="7"/>
      <c r="CWE22" s="7"/>
      <c r="CWG22" s="7"/>
      <c r="CWI22" s="7"/>
      <c r="CWK22" s="7"/>
      <c r="CWM22" s="7"/>
      <c r="CWO22" s="7"/>
      <c r="CWQ22" s="7"/>
      <c r="CWS22" s="7"/>
      <c r="CWU22" s="7"/>
      <c r="CWW22" s="7"/>
      <c r="CWY22" s="7"/>
      <c r="CXA22" s="7"/>
      <c r="CXC22" s="7"/>
      <c r="CXE22" s="7"/>
      <c r="CXG22" s="7"/>
      <c r="CXI22" s="7"/>
      <c r="CXK22" s="7"/>
      <c r="CXM22" s="7"/>
      <c r="CXO22" s="7"/>
      <c r="CXQ22" s="7"/>
      <c r="CXS22" s="7"/>
      <c r="CXU22" s="7"/>
      <c r="CXW22" s="7"/>
      <c r="CXY22" s="7"/>
      <c r="CYA22" s="7"/>
      <c r="CYC22" s="7"/>
      <c r="CYE22" s="7"/>
      <c r="CYG22" s="7"/>
      <c r="CYI22" s="7"/>
      <c r="CYK22" s="7"/>
      <c r="CYM22" s="7"/>
      <c r="CYO22" s="7"/>
      <c r="CYQ22" s="7"/>
      <c r="CYS22" s="7"/>
      <c r="CYU22" s="7"/>
      <c r="CYW22" s="7"/>
      <c r="CYY22" s="7"/>
      <c r="CZA22" s="7"/>
      <c r="CZC22" s="7"/>
      <c r="CZE22" s="7"/>
      <c r="CZG22" s="7"/>
      <c r="CZI22" s="7"/>
      <c r="CZK22" s="7"/>
      <c r="CZM22" s="7"/>
      <c r="CZO22" s="7"/>
      <c r="CZQ22" s="7"/>
      <c r="CZS22" s="7"/>
      <c r="CZU22" s="7"/>
      <c r="CZW22" s="7"/>
      <c r="CZY22" s="7"/>
      <c r="DAA22" s="7"/>
      <c r="DAC22" s="7"/>
      <c r="DAE22" s="7"/>
      <c r="DAG22" s="7"/>
      <c r="DAI22" s="7"/>
      <c r="DAK22" s="7"/>
      <c r="DAM22" s="7"/>
      <c r="DAO22" s="7"/>
      <c r="DAQ22" s="7"/>
      <c r="DAS22" s="7"/>
      <c r="DAU22" s="7"/>
      <c r="DAW22" s="7"/>
      <c r="DAY22" s="7"/>
      <c r="DBA22" s="7"/>
      <c r="DBC22" s="7"/>
      <c r="DBE22" s="7"/>
      <c r="DBG22" s="7"/>
      <c r="DBI22" s="7"/>
      <c r="DBK22" s="7"/>
      <c r="DBM22" s="7"/>
      <c r="DBO22" s="7"/>
      <c r="DBQ22" s="7"/>
      <c r="DBS22" s="7"/>
      <c r="DBU22" s="7"/>
      <c r="DBW22" s="7"/>
      <c r="DBY22" s="7"/>
      <c r="DCA22" s="7"/>
      <c r="DCC22" s="7"/>
      <c r="DCE22" s="7"/>
      <c r="DCG22" s="7"/>
      <c r="DCI22" s="7"/>
      <c r="DCK22" s="7"/>
      <c r="DCM22" s="7"/>
      <c r="DCO22" s="7"/>
      <c r="DCQ22" s="7"/>
      <c r="DCS22" s="7"/>
      <c r="DCU22" s="7"/>
      <c r="DCW22" s="7"/>
      <c r="DCY22" s="7"/>
      <c r="DDA22" s="7"/>
      <c r="DDC22" s="7"/>
      <c r="DDE22" s="7"/>
      <c r="DDG22" s="7"/>
      <c r="DDI22" s="7"/>
      <c r="DDK22" s="7"/>
      <c r="DDM22" s="7"/>
      <c r="DDO22" s="7"/>
      <c r="DDQ22" s="7"/>
      <c r="DDS22" s="7"/>
      <c r="DDU22" s="7"/>
      <c r="DDW22" s="7"/>
      <c r="DDY22" s="7"/>
      <c r="DEA22" s="7"/>
      <c r="DEC22" s="7"/>
      <c r="DEE22" s="7"/>
      <c r="DEG22" s="7"/>
      <c r="DEI22" s="7"/>
      <c r="DEK22" s="7"/>
      <c r="DEM22" s="7"/>
      <c r="DEO22" s="7"/>
      <c r="DEQ22" s="7"/>
      <c r="DES22" s="7"/>
      <c r="DEU22" s="7"/>
      <c r="DEW22" s="7"/>
      <c r="DEY22" s="7"/>
      <c r="DFA22" s="7"/>
      <c r="DFC22" s="7"/>
      <c r="DFE22" s="7"/>
      <c r="DFG22" s="7"/>
      <c r="DFI22" s="7"/>
      <c r="DFK22" s="7"/>
      <c r="DFM22" s="7"/>
      <c r="DFO22" s="7"/>
      <c r="DFQ22" s="7"/>
      <c r="DFS22" s="7"/>
      <c r="DFU22" s="7"/>
      <c r="DFW22" s="7"/>
      <c r="DFY22" s="7"/>
      <c r="DGA22" s="7"/>
      <c r="DGC22" s="7"/>
      <c r="DGE22" s="7"/>
      <c r="DGG22" s="7"/>
      <c r="DGI22" s="7"/>
      <c r="DGK22" s="7"/>
      <c r="DGM22" s="7"/>
      <c r="DGO22" s="7"/>
      <c r="DGQ22" s="7"/>
      <c r="DGS22" s="7"/>
      <c r="DGU22" s="7"/>
      <c r="DGW22" s="7"/>
      <c r="DGY22" s="7"/>
      <c r="DHA22" s="7"/>
      <c r="DHC22" s="7"/>
      <c r="DHE22" s="7"/>
      <c r="DHG22" s="7"/>
      <c r="DHI22" s="7"/>
      <c r="DHK22" s="7"/>
      <c r="DHM22" s="7"/>
      <c r="DHO22" s="7"/>
      <c r="DHQ22" s="7"/>
      <c r="DHS22" s="7"/>
      <c r="DHU22" s="7"/>
      <c r="DHW22" s="7"/>
      <c r="DHY22" s="7"/>
      <c r="DIA22" s="7"/>
      <c r="DIC22" s="7"/>
      <c r="DIE22" s="7"/>
      <c r="DIG22" s="7"/>
      <c r="DII22" s="7"/>
      <c r="DIK22" s="7"/>
      <c r="DIM22" s="7"/>
      <c r="DIO22" s="7"/>
      <c r="DIQ22" s="7"/>
      <c r="DIS22" s="7"/>
      <c r="DIU22" s="7"/>
      <c r="DIW22" s="7"/>
      <c r="DIY22" s="7"/>
      <c r="DJA22" s="7"/>
      <c r="DJC22" s="7"/>
      <c r="DJE22" s="7"/>
      <c r="DJG22" s="7"/>
      <c r="DJI22" s="7"/>
      <c r="DJK22" s="7"/>
      <c r="DJM22" s="7"/>
      <c r="DJO22" s="7"/>
      <c r="DJQ22" s="7"/>
      <c r="DJS22" s="7"/>
      <c r="DJU22" s="7"/>
      <c r="DJW22" s="7"/>
      <c r="DJY22" s="7"/>
      <c r="DKA22" s="7"/>
      <c r="DKC22" s="7"/>
      <c r="DKE22" s="7"/>
      <c r="DKG22" s="7"/>
      <c r="DKI22" s="7"/>
      <c r="DKK22" s="7"/>
      <c r="DKM22" s="7"/>
      <c r="DKO22" s="7"/>
      <c r="DKQ22" s="7"/>
      <c r="DKS22" s="7"/>
      <c r="DKU22" s="7"/>
      <c r="DKW22" s="7"/>
      <c r="DKY22" s="7"/>
      <c r="DLA22" s="7"/>
      <c r="DLC22" s="7"/>
      <c r="DLE22" s="7"/>
      <c r="DLG22" s="7"/>
      <c r="DLI22" s="7"/>
      <c r="DLK22" s="7"/>
      <c r="DLM22" s="7"/>
      <c r="DLO22" s="7"/>
      <c r="DLQ22" s="7"/>
      <c r="DLS22" s="7"/>
      <c r="DLU22" s="7"/>
      <c r="DLW22" s="7"/>
      <c r="DLY22" s="7"/>
      <c r="DMA22" s="7"/>
      <c r="DMC22" s="7"/>
      <c r="DME22" s="7"/>
      <c r="DMG22" s="7"/>
      <c r="DMI22" s="7"/>
      <c r="DMK22" s="7"/>
      <c r="DMM22" s="7"/>
      <c r="DMO22" s="7"/>
      <c r="DMQ22" s="7"/>
      <c r="DMS22" s="7"/>
      <c r="DMU22" s="7"/>
      <c r="DMW22" s="7"/>
      <c r="DMY22" s="7"/>
      <c r="DNA22" s="7"/>
      <c r="DNC22" s="7"/>
      <c r="DNE22" s="7"/>
      <c r="DNG22" s="7"/>
      <c r="DNI22" s="7"/>
      <c r="DNK22" s="7"/>
      <c r="DNM22" s="7"/>
      <c r="DNO22" s="7"/>
      <c r="DNQ22" s="7"/>
      <c r="DNS22" s="7"/>
      <c r="DNU22" s="7"/>
      <c r="DNW22" s="7"/>
      <c r="DNY22" s="7"/>
      <c r="DOA22" s="7"/>
      <c r="DOC22" s="7"/>
      <c r="DOE22" s="7"/>
      <c r="DOG22" s="7"/>
      <c r="DOI22" s="7"/>
      <c r="DOK22" s="7"/>
      <c r="DOM22" s="7"/>
      <c r="DOO22" s="7"/>
      <c r="DOQ22" s="7"/>
      <c r="DOS22" s="7"/>
      <c r="DOU22" s="7"/>
      <c r="DOW22" s="7"/>
      <c r="DOY22" s="7"/>
      <c r="DPA22" s="7"/>
      <c r="DPC22" s="7"/>
      <c r="DPE22" s="7"/>
      <c r="DPG22" s="7"/>
      <c r="DPI22" s="7"/>
      <c r="DPK22" s="7"/>
      <c r="DPM22" s="7"/>
      <c r="DPO22" s="7"/>
      <c r="DPQ22" s="7"/>
      <c r="DPS22" s="7"/>
      <c r="DPU22" s="7"/>
      <c r="DPW22" s="7"/>
      <c r="DPY22" s="7"/>
      <c r="DQA22" s="7"/>
      <c r="DQC22" s="7"/>
      <c r="DQE22" s="7"/>
      <c r="DQG22" s="7"/>
      <c r="DQI22" s="7"/>
      <c r="DQK22" s="7"/>
      <c r="DQM22" s="7"/>
      <c r="DQO22" s="7"/>
      <c r="DQQ22" s="7"/>
      <c r="DQS22" s="7"/>
      <c r="DQU22" s="7"/>
      <c r="DQW22" s="7"/>
      <c r="DQY22" s="7"/>
      <c r="DRA22" s="7"/>
      <c r="DRC22" s="7"/>
      <c r="DRE22" s="7"/>
      <c r="DRG22" s="7"/>
      <c r="DRI22" s="7"/>
      <c r="DRK22" s="7"/>
      <c r="DRM22" s="7"/>
      <c r="DRO22" s="7"/>
      <c r="DRQ22" s="7"/>
      <c r="DRS22" s="7"/>
      <c r="DRU22" s="7"/>
      <c r="DRW22" s="7"/>
      <c r="DRY22" s="7"/>
      <c r="DSA22" s="7"/>
      <c r="DSC22" s="7"/>
      <c r="DSE22" s="7"/>
      <c r="DSG22" s="7"/>
      <c r="DSI22" s="7"/>
      <c r="DSK22" s="7"/>
      <c r="DSM22" s="7"/>
      <c r="DSO22" s="7"/>
      <c r="DSQ22" s="7"/>
      <c r="DSS22" s="7"/>
      <c r="DSU22" s="7"/>
      <c r="DSW22" s="7"/>
      <c r="DSY22" s="7"/>
      <c r="DTA22" s="7"/>
      <c r="DTC22" s="7"/>
      <c r="DTE22" s="7"/>
      <c r="DTG22" s="7"/>
      <c r="DTI22" s="7"/>
      <c r="DTK22" s="7"/>
      <c r="DTM22" s="7"/>
      <c r="DTO22" s="7"/>
      <c r="DTQ22" s="7"/>
      <c r="DTS22" s="7"/>
      <c r="DTU22" s="7"/>
      <c r="DTW22" s="7"/>
      <c r="DTY22" s="7"/>
      <c r="DUA22" s="7"/>
      <c r="DUC22" s="7"/>
      <c r="DUE22" s="7"/>
      <c r="DUG22" s="7"/>
      <c r="DUI22" s="7"/>
      <c r="DUK22" s="7"/>
      <c r="DUM22" s="7"/>
      <c r="DUO22" s="7"/>
      <c r="DUQ22" s="7"/>
      <c r="DUS22" s="7"/>
      <c r="DUU22" s="7"/>
      <c r="DUW22" s="7"/>
      <c r="DUY22" s="7"/>
      <c r="DVA22" s="7"/>
      <c r="DVC22" s="7"/>
      <c r="DVE22" s="7"/>
      <c r="DVG22" s="7"/>
      <c r="DVI22" s="7"/>
      <c r="DVK22" s="7"/>
      <c r="DVM22" s="7"/>
      <c r="DVO22" s="7"/>
      <c r="DVQ22" s="7"/>
      <c r="DVS22" s="7"/>
      <c r="DVU22" s="7"/>
      <c r="DVW22" s="7"/>
      <c r="DVY22" s="7"/>
      <c r="DWA22" s="7"/>
      <c r="DWC22" s="7"/>
      <c r="DWE22" s="7"/>
      <c r="DWG22" s="7"/>
      <c r="DWI22" s="7"/>
      <c r="DWK22" s="7"/>
      <c r="DWM22" s="7"/>
      <c r="DWO22" s="7"/>
      <c r="DWQ22" s="7"/>
      <c r="DWS22" s="7"/>
      <c r="DWU22" s="7"/>
      <c r="DWW22" s="7"/>
      <c r="DWY22" s="7"/>
      <c r="DXA22" s="7"/>
      <c r="DXC22" s="7"/>
      <c r="DXE22" s="7"/>
      <c r="DXG22" s="7"/>
      <c r="DXI22" s="7"/>
      <c r="DXK22" s="7"/>
      <c r="DXM22" s="7"/>
      <c r="DXO22" s="7"/>
      <c r="DXQ22" s="7"/>
      <c r="DXS22" s="7"/>
      <c r="DXU22" s="7"/>
      <c r="DXW22" s="7"/>
      <c r="DXY22" s="7"/>
      <c r="DYA22" s="7"/>
      <c r="DYC22" s="7"/>
      <c r="DYE22" s="7"/>
      <c r="DYG22" s="7"/>
      <c r="DYI22" s="7"/>
      <c r="DYK22" s="7"/>
      <c r="DYM22" s="7"/>
      <c r="DYO22" s="7"/>
      <c r="DYQ22" s="7"/>
      <c r="DYS22" s="7"/>
      <c r="DYU22" s="7"/>
      <c r="DYW22" s="7"/>
      <c r="DYY22" s="7"/>
      <c r="DZA22" s="7"/>
      <c r="DZC22" s="7"/>
      <c r="DZE22" s="7"/>
      <c r="DZG22" s="7"/>
      <c r="DZI22" s="7"/>
      <c r="DZK22" s="7"/>
      <c r="DZM22" s="7"/>
      <c r="DZO22" s="7"/>
      <c r="DZQ22" s="7"/>
      <c r="DZS22" s="7"/>
      <c r="DZU22" s="7"/>
      <c r="DZW22" s="7"/>
      <c r="DZY22" s="7"/>
      <c r="EAA22" s="7"/>
      <c r="EAC22" s="7"/>
      <c r="EAE22" s="7"/>
      <c r="EAG22" s="7"/>
      <c r="EAI22" s="7"/>
      <c r="EAK22" s="7"/>
      <c r="EAM22" s="7"/>
      <c r="EAO22" s="7"/>
      <c r="EAQ22" s="7"/>
      <c r="EAS22" s="7"/>
      <c r="EAU22" s="7"/>
      <c r="EAW22" s="7"/>
      <c r="EAY22" s="7"/>
      <c r="EBA22" s="7"/>
      <c r="EBC22" s="7"/>
      <c r="EBE22" s="7"/>
      <c r="EBG22" s="7"/>
      <c r="EBI22" s="7"/>
      <c r="EBK22" s="7"/>
      <c r="EBM22" s="7"/>
      <c r="EBO22" s="7"/>
      <c r="EBQ22" s="7"/>
      <c r="EBS22" s="7"/>
      <c r="EBU22" s="7"/>
      <c r="EBW22" s="7"/>
      <c r="EBY22" s="7"/>
      <c r="ECA22" s="7"/>
      <c r="ECC22" s="7"/>
      <c r="ECE22" s="7"/>
      <c r="ECG22" s="7"/>
      <c r="ECI22" s="7"/>
      <c r="ECK22" s="7"/>
      <c r="ECM22" s="7"/>
      <c r="ECO22" s="7"/>
      <c r="ECQ22" s="7"/>
      <c r="ECS22" s="7"/>
      <c r="ECU22" s="7"/>
      <c r="ECW22" s="7"/>
      <c r="ECY22" s="7"/>
      <c r="EDA22" s="7"/>
      <c r="EDC22" s="7"/>
      <c r="EDE22" s="7"/>
      <c r="EDG22" s="7"/>
      <c r="EDI22" s="7"/>
      <c r="EDK22" s="7"/>
      <c r="EDM22" s="7"/>
      <c r="EDO22" s="7"/>
      <c r="EDQ22" s="7"/>
      <c r="EDS22" s="7"/>
      <c r="EDU22" s="7"/>
      <c r="EDW22" s="7"/>
      <c r="EDY22" s="7"/>
      <c r="EEA22" s="7"/>
      <c r="EEC22" s="7"/>
      <c r="EEE22" s="7"/>
      <c r="EEG22" s="7"/>
      <c r="EEI22" s="7"/>
      <c r="EEK22" s="7"/>
      <c r="EEM22" s="7"/>
      <c r="EEO22" s="7"/>
      <c r="EEQ22" s="7"/>
      <c r="EES22" s="7"/>
      <c r="EEU22" s="7"/>
      <c r="EEW22" s="7"/>
      <c r="EEY22" s="7"/>
      <c r="EFA22" s="7"/>
      <c r="EFC22" s="7"/>
      <c r="EFE22" s="7"/>
      <c r="EFG22" s="7"/>
      <c r="EFI22" s="7"/>
      <c r="EFK22" s="7"/>
      <c r="EFM22" s="7"/>
      <c r="EFO22" s="7"/>
      <c r="EFQ22" s="7"/>
      <c r="EFS22" s="7"/>
      <c r="EFU22" s="7"/>
      <c r="EFW22" s="7"/>
      <c r="EFY22" s="7"/>
      <c r="EGA22" s="7"/>
      <c r="EGC22" s="7"/>
      <c r="EGE22" s="7"/>
      <c r="EGG22" s="7"/>
      <c r="EGI22" s="7"/>
      <c r="EGK22" s="7"/>
      <c r="EGM22" s="7"/>
      <c r="EGO22" s="7"/>
      <c r="EGQ22" s="7"/>
      <c r="EGS22" s="7"/>
      <c r="EGU22" s="7"/>
      <c r="EGW22" s="7"/>
      <c r="EGY22" s="7"/>
      <c r="EHA22" s="7"/>
      <c r="EHC22" s="7"/>
      <c r="EHE22" s="7"/>
      <c r="EHG22" s="7"/>
      <c r="EHI22" s="7"/>
      <c r="EHK22" s="7"/>
      <c r="EHM22" s="7"/>
      <c r="EHO22" s="7"/>
      <c r="EHQ22" s="7"/>
      <c r="EHS22" s="7"/>
      <c r="EHU22" s="7"/>
      <c r="EHW22" s="7"/>
      <c r="EHY22" s="7"/>
      <c r="EIA22" s="7"/>
      <c r="EIC22" s="7"/>
      <c r="EIE22" s="7"/>
      <c r="EIG22" s="7"/>
      <c r="EII22" s="7"/>
      <c r="EIK22" s="7"/>
      <c r="EIM22" s="7"/>
      <c r="EIO22" s="7"/>
      <c r="EIQ22" s="7"/>
      <c r="EIS22" s="7"/>
      <c r="EIU22" s="7"/>
      <c r="EIW22" s="7"/>
      <c r="EIY22" s="7"/>
      <c r="EJA22" s="7"/>
      <c r="EJC22" s="7"/>
      <c r="EJE22" s="7"/>
      <c r="EJG22" s="7"/>
      <c r="EJI22" s="7"/>
      <c r="EJK22" s="7"/>
      <c r="EJM22" s="7"/>
      <c r="EJO22" s="7"/>
      <c r="EJQ22" s="7"/>
      <c r="EJS22" s="7"/>
      <c r="EJU22" s="7"/>
      <c r="EJW22" s="7"/>
      <c r="EJY22" s="7"/>
      <c r="EKA22" s="7"/>
      <c r="EKC22" s="7"/>
      <c r="EKE22" s="7"/>
      <c r="EKG22" s="7"/>
      <c r="EKI22" s="7"/>
      <c r="EKK22" s="7"/>
      <c r="EKM22" s="7"/>
      <c r="EKO22" s="7"/>
      <c r="EKQ22" s="7"/>
      <c r="EKS22" s="7"/>
      <c r="EKU22" s="7"/>
      <c r="EKW22" s="7"/>
      <c r="EKY22" s="7"/>
      <c r="ELA22" s="7"/>
      <c r="ELC22" s="7"/>
      <c r="ELE22" s="7"/>
      <c r="ELG22" s="7"/>
      <c r="ELI22" s="7"/>
      <c r="ELK22" s="7"/>
      <c r="ELM22" s="7"/>
      <c r="ELO22" s="7"/>
      <c r="ELQ22" s="7"/>
      <c r="ELS22" s="7"/>
      <c r="ELU22" s="7"/>
      <c r="ELW22" s="7"/>
      <c r="ELY22" s="7"/>
      <c r="EMA22" s="7"/>
      <c r="EMC22" s="7"/>
      <c r="EME22" s="7"/>
      <c r="EMG22" s="7"/>
      <c r="EMI22" s="7"/>
      <c r="EMK22" s="7"/>
      <c r="EMM22" s="7"/>
      <c r="EMO22" s="7"/>
      <c r="EMQ22" s="7"/>
      <c r="EMS22" s="7"/>
      <c r="EMU22" s="7"/>
      <c r="EMW22" s="7"/>
      <c r="EMY22" s="7"/>
      <c r="ENA22" s="7"/>
      <c r="ENC22" s="7"/>
      <c r="ENE22" s="7"/>
      <c r="ENG22" s="7"/>
      <c r="ENI22" s="7"/>
      <c r="ENK22" s="7"/>
      <c r="ENM22" s="7"/>
      <c r="ENO22" s="7"/>
      <c r="ENQ22" s="7"/>
      <c r="ENS22" s="7"/>
      <c r="ENU22" s="7"/>
      <c r="ENW22" s="7"/>
      <c r="ENY22" s="7"/>
      <c r="EOA22" s="7"/>
      <c r="EOC22" s="7"/>
      <c r="EOE22" s="7"/>
      <c r="EOG22" s="7"/>
      <c r="EOI22" s="7"/>
      <c r="EOK22" s="7"/>
      <c r="EOM22" s="7"/>
      <c r="EOO22" s="7"/>
      <c r="EOQ22" s="7"/>
      <c r="EOS22" s="7"/>
      <c r="EOU22" s="7"/>
      <c r="EOW22" s="7"/>
      <c r="EOY22" s="7"/>
      <c r="EPA22" s="7"/>
      <c r="EPC22" s="7"/>
      <c r="EPE22" s="7"/>
      <c r="EPG22" s="7"/>
      <c r="EPI22" s="7"/>
      <c r="EPK22" s="7"/>
      <c r="EPM22" s="7"/>
      <c r="EPO22" s="7"/>
      <c r="EPQ22" s="7"/>
      <c r="EPS22" s="7"/>
      <c r="EPU22" s="7"/>
      <c r="EPW22" s="7"/>
      <c r="EPY22" s="7"/>
      <c r="EQA22" s="7"/>
      <c r="EQC22" s="7"/>
      <c r="EQE22" s="7"/>
      <c r="EQG22" s="7"/>
      <c r="EQI22" s="7"/>
      <c r="EQK22" s="7"/>
      <c r="EQM22" s="7"/>
      <c r="EQO22" s="7"/>
      <c r="EQQ22" s="7"/>
      <c r="EQS22" s="7"/>
      <c r="EQU22" s="7"/>
      <c r="EQW22" s="7"/>
      <c r="EQY22" s="7"/>
      <c r="ERA22" s="7"/>
      <c r="ERC22" s="7"/>
      <c r="ERE22" s="7"/>
      <c r="ERG22" s="7"/>
      <c r="ERI22" s="7"/>
      <c r="ERK22" s="7"/>
      <c r="ERM22" s="7"/>
      <c r="ERO22" s="7"/>
      <c r="ERQ22" s="7"/>
      <c r="ERS22" s="7"/>
      <c r="ERU22" s="7"/>
      <c r="ERW22" s="7"/>
      <c r="ERY22" s="7"/>
      <c r="ESA22" s="7"/>
      <c r="ESC22" s="7"/>
      <c r="ESE22" s="7"/>
      <c r="ESG22" s="7"/>
      <c r="ESI22" s="7"/>
      <c r="ESK22" s="7"/>
      <c r="ESM22" s="7"/>
      <c r="ESO22" s="7"/>
      <c r="ESQ22" s="7"/>
      <c r="ESS22" s="7"/>
      <c r="ESU22" s="7"/>
      <c r="ESW22" s="7"/>
      <c r="ESY22" s="7"/>
      <c r="ETA22" s="7"/>
      <c r="ETC22" s="7"/>
      <c r="ETE22" s="7"/>
      <c r="ETG22" s="7"/>
      <c r="ETI22" s="7"/>
      <c r="ETK22" s="7"/>
      <c r="ETM22" s="7"/>
      <c r="ETO22" s="7"/>
      <c r="ETQ22" s="7"/>
      <c r="ETS22" s="7"/>
      <c r="ETU22" s="7"/>
      <c r="ETW22" s="7"/>
      <c r="ETY22" s="7"/>
      <c r="EUA22" s="7"/>
      <c r="EUC22" s="7"/>
      <c r="EUE22" s="7"/>
      <c r="EUG22" s="7"/>
      <c r="EUI22" s="7"/>
      <c r="EUK22" s="7"/>
      <c r="EUM22" s="7"/>
      <c r="EUO22" s="7"/>
      <c r="EUQ22" s="7"/>
      <c r="EUS22" s="7"/>
      <c r="EUU22" s="7"/>
      <c r="EUW22" s="7"/>
      <c r="EUY22" s="7"/>
      <c r="EVA22" s="7"/>
      <c r="EVC22" s="7"/>
      <c r="EVE22" s="7"/>
      <c r="EVG22" s="7"/>
      <c r="EVI22" s="7"/>
      <c r="EVK22" s="7"/>
      <c r="EVM22" s="7"/>
      <c r="EVO22" s="7"/>
      <c r="EVQ22" s="7"/>
      <c r="EVS22" s="7"/>
      <c r="EVU22" s="7"/>
      <c r="EVW22" s="7"/>
      <c r="EVY22" s="7"/>
      <c r="EWA22" s="7"/>
      <c r="EWC22" s="7"/>
      <c r="EWE22" s="7"/>
      <c r="EWG22" s="7"/>
      <c r="EWI22" s="7"/>
      <c r="EWK22" s="7"/>
      <c r="EWM22" s="7"/>
      <c r="EWO22" s="7"/>
      <c r="EWQ22" s="7"/>
      <c r="EWS22" s="7"/>
      <c r="EWU22" s="7"/>
      <c r="EWW22" s="7"/>
      <c r="EWY22" s="7"/>
      <c r="EXA22" s="7"/>
      <c r="EXC22" s="7"/>
      <c r="EXE22" s="7"/>
      <c r="EXG22" s="7"/>
      <c r="EXI22" s="7"/>
      <c r="EXK22" s="7"/>
      <c r="EXM22" s="7"/>
      <c r="EXO22" s="7"/>
      <c r="EXQ22" s="7"/>
      <c r="EXS22" s="7"/>
      <c r="EXU22" s="7"/>
      <c r="EXW22" s="7"/>
      <c r="EXY22" s="7"/>
      <c r="EYA22" s="7"/>
      <c r="EYC22" s="7"/>
      <c r="EYE22" s="7"/>
      <c r="EYG22" s="7"/>
      <c r="EYI22" s="7"/>
      <c r="EYK22" s="7"/>
      <c r="EYM22" s="7"/>
      <c r="EYO22" s="7"/>
      <c r="EYQ22" s="7"/>
      <c r="EYS22" s="7"/>
      <c r="EYU22" s="7"/>
      <c r="EYW22" s="7"/>
      <c r="EYY22" s="7"/>
      <c r="EZA22" s="7"/>
      <c r="EZC22" s="7"/>
      <c r="EZE22" s="7"/>
      <c r="EZG22" s="7"/>
      <c r="EZI22" s="7"/>
      <c r="EZK22" s="7"/>
      <c r="EZM22" s="7"/>
      <c r="EZO22" s="7"/>
      <c r="EZQ22" s="7"/>
      <c r="EZS22" s="7"/>
      <c r="EZU22" s="7"/>
      <c r="EZW22" s="7"/>
      <c r="EZY22" s="7"/>
      <c r="FAA22" s="7"/>
      <c r="FAC22" s="7"/>
      <c r="FAE22" s="7"/>
      <c r="FAG22" s="7"/>
      <c r="FAI22" s="7"/>
      <c r="FAK22" s="7"/>
      <c r="FAM22" s="7"/>
      <c r="FAO22" s="7"/>
      <c r="FAQ22" s="7"/>
      <c r="FAS22" s="7"/>
      <c r="FAU22" s="7"/>
      <c r="FAW22" s="7"/>
      <c r="FAY22" s="7"/>
      <c r="FBA22" s="7"/>
      <c r="FBC22" s="7"/>
      <c r="FBE22" s="7"/>
      <c r="FBG22" s="7"/>
      <c r="FBI22" s="7"/>
      <c r="FBK22" s="7"/>
      <c r="FBM22" s="7"/>
      <c r="FBO22" s="7"/>
      <c r="FBQ22" s="7"/>
      <c r="FBS22" s="7"/>
      <c r="FBU22" s="7"/>
      <c r="FBW22" s="7"/>
      <c r="FBY22" s="7"/>
      <c r="FCA22" s="7"/>
      <c r="FCC22" s="7"/>
      <c r="FCE22" s="7"/>
      <c r="FCG22" s="7"/>
      <c r="FCI22" s="7"/>
      <c r="FCK22" s="7"/>
      <c r="FCM22" s="7"/>
      <c r="FCO22" s="7"/>
      <c r="FCQ22" s="7"/>
      <c r="FCS22" s="7"/>
      <c r="FCU22" s="7"/>
      <c r="FCW22" s="7"/>
      <c r="FCY22" s="7"/>
      <c r="FDA22" s="7"/>
      <c r="FDC22" s="7"/>
      <c r="FDE22" s="7"/>
      <c r="FDG22" s="7"/>
      <c r="FDI22" s="7"/>
      <c r="FDK22" s="7"/>
      <c r="FDM22" s="7"/>
      <c r="FDO22" s="7"/>
      <c r="FDQ22" s="7"/>
      <c r="FDS22" s="7"/>
      <c r="FDU22" s="7"/>
      <c r="FDW22" s="7"/>
      <c r="FDY22" s="7"/>
      <c r="FEA22" s="7"/>
      <c r="FEC22" s="7"/>
      <c r="FEE22" s="7"/>
      <c r="FEG22" s="7"/>
      <c r="FEI22" s="7"/>
      <c r="FEK22" s="7"/>
      <c r="FEM22" s="7"/>
      <c r="FEO22" s="7"/>
      <c r="FEQ22" s="7"/>
      <c r="FES22" s="7"/>
      <c r="FEU22" s="7"/>
      <c r="FEW22" s="7"/>
      <c r="FEY22" s="7"/>
      <c r="FFA22" s="7"/>
      <c r="FFC22" s="7"/>
      <c r="FFE22" s="7"/>
      <c r="FFG22" s="7"/>
      <c r="FFI22" s="7"/>
      <c r="FFK22" s="7"/>
      <c r="FFM22" s="7"/>
      <c r="FFO22" s="7"/>
      <c r="FFQ22" s="7"/>
      <c r="FFS22" s="7"/>
      <c r="FFU22" s="7"/>
      <c r="FFW22" s="7"/>
      <c r="FFY22" s="7"/>
      <c r="FGA22" s="7"/>
      <c r="FGC22" s="7"/>
      <c r="FGE22" s="7"/>
      <c r="FGG22" s="7"/>
      <c r="FGI22" s="7"/>
      <c r="FGK22" s="7"/>
      <c r="FGM22" s="7"/>
      <c r="FGO22" s="7"/>
      <c r="FGQ22" s="7"/>
      <c r="FGS22" s="7"/>
      <c r="FGU22" s="7"/>
      <c r="FGW22" s="7"/>
      <c r="FGY22" s="7"/>
      <c r="FHA22" s="7"/>
      <c r="FHC22" s="7"/>
      <c r="FHE22" s="7"/>
      <c r="FHG22" s="7"/>
      <c r="FHI22" s="7"/>
      <c r="FHK22" s="7"/>
      <c r="FHM22" s="7"/>
      <c r="FHO22" s="7"/>
      <c r="FHQ22" s="7"/>
      <c r="FHS22" s="7"/>
      <c r="FHU22" s="7"/>
      <c r="FHW22" s="7"/>
      <c r="FHY22" s="7"/>
      <c r="FIA22" s="7"/>
      <c r="FIC22" s="7"/>
      <c r="FIE22" s="7"/>
      <c r="FIG22" s="7"/>
      <c r="FII22" s="7"/>
      <c r="FIK22" s="7"/>
      <c r="FIM22" s="7"/>
      <c r="FIO22" s="7"/>
      <c r="FIQ22" s="7"/>
      <c r="FIS22" s="7"/>
      <c r="FIU22" s="7"/>
      <c r="FIW22" s="7"/>
      <c r="FIY22" s="7"/>
      <c r="FJA22" s="7"/>
      <c r="FJC22" s="7"/>
      <c r="FJE22" s="7"/>
      <c r="FJG22" s="7"/>
      <c r="FJI22" s="7"/>
      <c r="FJK22" s="7"/>
      <c r="FJM22" s="7"/>
      <c r="FJO22" s="7"/>
      <c r="FJQ22" s="7"/>
      <c r="FJS22" s="7"/>
      <c r="FJU22" s="7"/>
      <c r="FJW22" s="7"/>
      <c r="FJY22" s="7"/>
      <c r="FKA22" s="7"/>
      <c r="FKC22" s="7"/>
      <c r="FKE22" s="7"/>
      <c r="FKG22" s="7"/>
      <c r="FKI22" s="7"/>
      <c r="FKK22" s="7"/>
      <c r="FKM22" s="7"/>
      <c r="FKO22" s="7"/>
      <c r="FKQ22" s="7"/>
      <c r="FKS22" s="7"/>
      <c r="FKU22" s="7"/>
      <c r="FKW22" s="7"/>
      <c r="FKY22" s="7"/>
      <c r="FLA22" s="7"/>
      <c r="FLC22" s="7"/>
      <c r="FLE22" s="7"/>
      <c r="FLG22" s="7"/>
      <c r="FLI22" s="7"/>
      <c r="FLK22" s="7"/>
      <c r="FLM22" s="7"/>
      <c r="FLO22" s="7"/>
      <c r="FLQ22" s="7"/>
      <c r="FLS22" s="7"/>
      <c r="FLU22" s="7"/>
      <c r="FLW22" s="7"/>
      <c r="FLY22" s="7"/>
      <c r="FMA22" s="7"/>
      <c r="FMC22" s="7"/>
      <c r="FME22" s="7"/>
      <c r="FMG22" s="7"/>
      <c r="FMI22" s="7"/>
      <c r="FMK22" s="7"/>
      <c r="FMM22" s="7"/>
      <c r="FMO22" s="7"/>
      <c r="FMQ22" s="7"/>
      <c r="FMS22" s="7"/>
      <c r="FMU22" s="7"/>
      <c r="FMW22" s="7"/>
      <c r="FMY22" s="7"/>
      <c r="FNA22" s="7"/>
      <c r="FNC22" s="7"/>
      <c r="FNE22" s="7"/>
      <c r="FNG22" s="7"/>
      <c r="FNI22" s="7"/>
      <c r="FNK22" s="7"/>
      <c r="FNM22" s="7"/>
      <c r="FNO22" s="7"/>
      <c r="FNQ22" s="7"/>
      <c r="FNS22" s="7"/>
      <c r="FNU22" s="7"/>
      <c r="FNW22" s="7"/>
      <c r="FNY22" s="7"/>
      <c r="FOA22" s="7"/>
      <c r="FOC22" s="7"/>
      <c r="FOE22" s="7"/>
      <c r="FOG22" s="7"/>
      <c r="FOI22" s="7"/>
      <c r="FOK22" s="7"/>
      <c r="FOM22" s="7"/>
      <c r="FOO22" s="7"/>
      <c r="FOQ22" s="7"/>
      <c r="FOS22" s="7"/>
      <c r="FOU22" s="7"/>
      <c r="FOW22" s="7"/>
      <c r="FOY22" s="7"/>
      <c r="FPA22" s="7"/>
      <c r="FPC22" s="7"/>
      <c r="FPE22" s="7"/>
      <c r="FPG22" s="7"/>
      <c r="FPI22" s="7"/>
      <c r="FPK22" s="7"/>
      <c r="FPM22" s="7"/>
      <c r="FPO22" s="7"/>
      <c r="FPQ22" s="7"/>
      <c r="FPS22" s="7"/>
      <c r="FPU22" s="7"/>
      <c r="FPW22" s="7"/>
      <c r="FPY22" s="7"/>
      <c r="FQA22" s="7"/>
      <c r="FQC22" s="7"/>
      <c r="FQE22" s="7"/>
      <c r="FQG22" s="7"/>
      <c r="FQI22" s="7"/>
      <c r="FQK22" s="7"/>
      <c r="FQM22" s="7"/>
      <c r="FQO22" s="7"/>
      <c r="FQQ22" s="7"/>
      <c r="FQS22" s="7"/>
      <c r="FQU22" s="7"/>
      <c r="FQW22" s="7"/>
      <c r="FQY22" s="7"/>
      <c r="FRA22" s="7"/>
      <c r="FRC22" s="7"/>
      <c r="FRE22" s="7"/>
      <c r="FRG22" s="7"/>
      <c r="FRI22" s="7"/>
      <c r="FRK22" s="7"/>
      <c r="FRM22" s="7"/>
      <c r="FRO22" s="7"/>
      <c r="FRQ22" s="7"/>
      <c r="FRS22" s="7"/>
      <c r="FRU22" s="7"/>
      <c r="FRW22" s="7"/>
      <c r="FRY22" s="7"/>
      <c r="FSA22" s="7"/>
      <c r="FSC22" s="7"/>
      <c r="FSE22" s="7"/>
      <c r="FSG22" s="7"/>
      <c r="FSI22" s="7"/>
      <c r="FSK22" s="7"/>
      <c r="FSM22" s="7"/>
      <c r="FSO22" s="7"/>
      <c r="FSQ22" s="7"/>
      <c r="FSS22" s="7"/>
      <c r="FSU22" s="7"/>
      <c r="FSW22" s="7"/>
      <c r="FSY22" s="7"/>
      <c r="FTA22" s="7"/>
      <c r="FTC22" s="7"/>
      <c r="FTE22" s="7"/>
      <c r="FTG22" s="7"/>
      <c r="FTI22" s="7"/>
      <c r="FTK22" s="7"/>
      <c r="FTM22" s="7"/>
      <c r="FTO22" s="7"/>
      <c r="FTQ22" s="7"/>
      <c r="FTS22" s="7"/>
      <c r="FTU22" s="7"/>
      <c r="FTW22" s="7"/>
      <c r="FTY22" s="7"/>
      <c r="FUA22" s="7"/>
      <c r="FUC22" s="7"/>
      <c r="FUE22" s="7"/>
      <c r="FUG22" s="7"/>
      <c r="FUI22" s="7"/>
      <c r="FUK22" s="7"/>
      <c r="FUM22" s="7"/>
      <c r="FUO22" s="7"/>
      <c r="FUQ22" s="7"/>
      <c r="FUS22" s="7"/>
      <c r="FUU22" s="7"/>
      <c r="FUW22" s="7"/>
      <c r="FUY22" s="7"/>
      <c r="FVA22" s="7"/>
      <c r="FVC22" s="7"/>
      <c r="FVE22" s="7"/>
      <c r="FVG22" s="7"/>
      <c r="FVI22" s="7"/>
      <c r="FVK22" s="7"/>
      <c r="FVM22" s="7"/>
      <c r="FVO22" s="7"/>
      <c r="FVQ22" s="7"/>
      <c r="FVS22" s="7"/>
      <c r="FVU22" s="7"/>
      <c r="FVW22" s="7"/>
      <c r="FVY22" s="7"/>
      <c r="FWA22" s="7"/>
      <c r="FWC22" s="7"/>
      <c r="FWE22" s="7"/>
      <c r="FWG22" s="7"/>
      <c r="FWI22" s="7"/>
      <c r="FWK22" s="7"/>
      <c r="FWM22" s="7"/>
      <c r="FWO22" s="7"/>
      <c r="FWQ22" s="7"/>
      <c r="FWS22" s="7"/>
      <c r="FWU22" s="7"/>
      <c r="FWW22" s="7"/>
      <c r="FWY22" s="7"/>
      <c r="FXA22" s="7"/>
      <c r="FXC22" s="7"/>
      <c r="FXE22" s="7"/>
      <c r="FXG22" s="7"/>
      <c r="FXI22" s="7"/>
      <c r="FXK22" s="7"/>
      <c r="FXM22" s="7"/>
      <c r="FXO22" s="7"/>
      <c r="FXQ22" s="7"/>
      <c r="FXS22" s="7"/>
      <c r="FXU22" s="7"/>
      <c r="FXW22" s="7"/>
      <c r="FXY22" s="7"/>
      <c r="FYA22" s="7"/>
      <c r="FYC22" s="7"/>
      <c r="FYE22" s="7"/>
      <c r="FYG22" s="7"/>
      <c r="FYI22" s="7"/>
      <c r="FYK22" s="7"/>
      <c r="FYM22" s="7"/>
      <c r="FYO22" s="7"/>
      <c r="FYQ22" s="7"/>
      <c r="FYS22" s="7"/>
      <c r="FYU22" s="7"/>
      <c r="FYW22" s="7"/>
      <c r="FYY22" s="7"/>
      <c r="FZA22" s="7"/>
      <c r="FZC22" s="7"/>
      <c r="FZE22" s="7"/>
      <c r="FZG22" s="7"/>
      <c r="FZI22" s="7"/>
      <c r="FZK22" s="7"/>
      <c r="FZM22" s="7"/>
      <c r="FZO22" s="7"/>
      <c r="FZQ22" s="7"/>
      <c r="FZS22" s="7"/>
      <c r="FZU22" s="7"/>
      <c r="FZW22" s="7"/>
      <c r="FZY22" s="7"/>
      <c r="GAA22" s="7"/>
      <c r="GAC22" s="7"/>
      <c r="GAE22" s="7"/>
      <c r="GAG22" s="7"/>
      <c r="GAI22" s="7"/>
      <c r="GAK22" s="7"/>
      <c r="GAM22" s="7"/>
      <c r="GAO22" s="7"/>
      <c r="GAQ22" s="7"/>
      <c r="GAS22" s="7"/>
      <c r="GAU22" s="7"/>
      <c r="GAW22" s="7"/>
      <c r="GAY22" s="7"/>
      <c r="GBA22" s="7"/>
      <c r="GBC22" s="7"/>
      <c r="GBE22" s="7"/>
      <c r="GBG22" s="7"/>
      <c r="GBI22" s="7"/>
      <c r="GBK22" s="7"/>
      <c r="GBM22" s="7"/>
      <c r="GBO22" s="7"/>
      <c r="GBQ22" s="7"/>
      <c r="GBS22" s="7"/>
      <c r="GBU22" s="7"/>
      <c r="GBW22" s="7"/>
      <c r="GBY22" s="7"/>
      <c r="GCA22" s="7"/>
      <c r="GCC22" s="7"/>
      <c r="GCE22" s="7"/>
      <c r="GCG22" s="7"/>
      <c r="GCI22" s="7"/>
      <c r="GCK22" s="7"/>
      <c r="GCM22" s="7"/>
      <c r="GCO22" s="7"/>
      <c r="GCQ22" s="7"/>
      <c r="GCS22" s="7"/>
      <c r="GCU22" s="7"/>
      <c r="GCW22" s="7"/>
      <c r="GCY22" s="7"/>
      <c r="GDA22" s="7"/>
      <c r="GDC22" s="7"/>
      <c r="GDE22" s="7"/>
      <c r="GDG22" s="7"/>
      <c r="GDI22" s="7"/>
      <c r="GDK22" s="7"/>
      <c r="GDM22" s="7"/>
      <c r="GDO22" s="7"/>
      <c r="GDQ22" s="7"/>
      <c r="GDS22" s="7"/>
      <c r="GDU22" s="7"/>
      <c r="GDW22" s="7"/>
      <c r="GDY22" s="7"/>
      <c r="GEA22" s="7"/>
      <c r="GEC22" s="7"/>
      <c r="GEE22" s="7"/>
      <c r="GEG22" s="7"/>
      <c r="GEI22" s="7"/>
      <c r="GEK22" s="7"/>
      <c r="GEM22" s="7"/>
      <c r="GEO22" s="7"/>
      <c r="GEQ22" s="7"/>
      <c r="GES22" s="7"/>
      <c r="GEU22" s="7"/>
      <c r="GEW22" s="7"/>
      <c r="GEY22" s="7"/>
      <c r="GFA22" s="7"/>
      <c r="GFC22" s="7"/>
      <c r="GFE22" s="7"/>
      <c r="GFG22" s="7"/>
      <c r="GFI22" s="7"/>
      <c r="GFK22" s="7"/>
      <c r="GFM22" s="7"/>
      <c r="GFO22" s="7"/>
      <c r="GFQ22" s="7"/>
      <c r="GFS22" s="7"/>
      <c r="GFU22" s="7"/>
      <c r="GFW22" s="7"/>
      <c r="GFY22" s="7"/>
      <c r="GGA22" s="7"/>
      <c r="GGC22" s="7"/>
      <c r="GGE22" s="7"/>
      <c r="GGG22" s="7"/>
      <c r="GGI22" s="7"/>
      <c r="GGK22" s="7"/>
      <c r="GGM22" s="7"/>
      <c r="GGO22" s="7"/>
      <c r="GGQ22" s="7"/>
      <c r="GGS22" s="7"/>
      <c r="GGU22" s="7"/>
      <c r="GGW22" s="7"/>
      <c r="GGY22" s="7"/>
      <c r="GHA22" s="7"/>
      <c r="GHC22" s="7"/>
      <c r="GHE22" s="7"/>
      <c r="GHG22" s="7"/>
      <c r="GHI22" s="7"/>
      <c r="GHK22" s="7"/>
      <c r="GHM22" s="7"/>
      <c r="GHO22" s="7"/>
      <c r="GHQ22" s="7"/>
      <c r="GHS22" s="7"/>
      <c r="GHU22" s="7"/>
      <c r="GHW22" s="7"/>
      <c r="GHY22" s="7"/>
      <c r="GIA22" s="7"/>
      <c r="GIC22" s="7"/>
      <c r="GIE22" s="7"/>
      <c r="GIG22" s="7"/>
      <c r="GII22" s="7"/>
      <c r="GIK22" s="7"/>
      <c r="GIM22" s="7"/>
      <c r="GIO22" s="7"/>
      <c r="GIQ22" s="7"/>
      <c r="GIS22" s="7"/>
      <c r="GIU22" s="7"/>
      <c r="GIW22" s="7"/>
      <c r="GIY22" s="7"/>
      <c r="GJA22" s="7"/>
      <c r="GJC22" s="7"/>
      <c r="GJE22" s="7"/>
      <c r="GJG22" s="7"/>
      <c r="GJI22" s="7"/>
      <c r="GJK22" s="7"/>
      <c r="GJM22" s="7"/>
      <c r="GJO22" s="7"/>
      <c r="GJQ22" s="7"/>
      <c r="GJS22" s="7"/>
      <c r="GJU22" s="7"/>
      <c r="GJW22" s="7"/>
      <c r="GJY22" s="7"/>
      <c r="GKA22" s="7"/>
      <c r="GKC22" s="7"/>
      <c r="GKE22" s="7"/>
      <c r="GKG22" s="7"/>
      <c r="GKI22" s="7"/>
      <c r="GKK22" s="7"/>
      <c r="GKM22" s="7"/>
      <c r="GKO22" s="7"/>
      <c r="GKQ22" s="7"/>
      <c r="GKS22" s="7"/>
      <c r="GKU22" s="7"/>
      <c r="GKW22" s="7"/>
      <c r="GKY22" s="7"/>
      <c r="GLA22" s="7"/>
      <c r="GLC22" s="7"/>
      <c r="GLE22" s="7"/>
      <c r="GLG22" s="7"/>
      <c r="GLI22" s="7"/>
      <c r="GLK22" s="7"/>
      <c r="GLM22" s="7"/>
      <c r="GLO22" s="7"/>
      <c r="GLQ22" s="7"/>
      <c r="GLS22" s="7"/>
      <c r="GLU22" s="7"/>
      <c r="GLW22" s="7"/>
      <c r="GLY22" s="7"/>
      <c r="GMA22" s="7"/>
      <c r="GMC22" s="7"/>
      <c r="GME22" s="7"/>
      <c r="GMG22" s="7"/>
      <c r="GMI22" s="7"/>
      <c r="GMK22" s="7"/>
      <c r="GMM22" s="7"/>
      <c r="GMO22" s="7"/>
      <c r="GMQ22" s="7"/>
      <c r="GMS22" s="7"/>
      <c r="GMU22" s="7"/>
      <c r="GMW22" s="7"/>
      <c r="GMY22" s="7"/>
      <c r="GNA22" s="7"/>
      <c r="GNC22" s="7"/>
      <c r="GNE22" s="7"/>
      <c r="GNG22" s="7"/>
      <c r="GNI22" s="7"/>
      <c r="GNK22" s="7"/>
      <c r="GNM22" s="7"/>
      <c r="GNO22" s="7"/>
      <c r="GNQ22" s="7"/>
      <c r="GNS22" s="7"/>
      <c r="GNU22" s="7"/>
      <c r="GNW22" s="7"/>
      <c r="GNY22" s="7"/>
      <c r="GOA22" s="7"/>
      <c r="GOC22" s="7"/>
      <c r="GOE22" s="7"/>
      <c r="GOG22" s="7"/>
      <c r="GOI22" s="7"/>
      <c r="GOK22" s="7"/>
      <c r="GOM22" s="7"/>
      <c r="GOO22" s="7"/>
      <c r="GOQ22" s="7"/>
      <c r="GOS22" s="7"/>
      <c r="GOU22" s="7"/>
      <c r="GOW22" s="7"/>
      <c r="GOY22" s="7"/>
      <c r="GPA22" s="7"/>
      <c r="GPC22" s="7"/>
      <c r="GPE22" s="7"/>
      <c r="GPG22" s="7"/>
      <c r="GPI22" s="7"/>
      <c r="GPK22" s="7"/>
      <c r="GPM22" s="7"/>
      <c r="GPO22" s="7"/>
      <c r="GPQ22" s="7"/>
      <c r="GPS22" s="7"/>
      <c r="GPU22" s="7"/>
      <c r="GPW22" s="7"/>
      <c r="GPY22" s="7"/>
      <c r="GQA22" s="7"/>
      <c r="GQC22" s="7"/>
      <c r="GQE22" s="7"/>
      <c r="GQG22" s="7"/>
      <c r="GQI22" s="7"/>
      <c r="GQK22" s="7"/>
      <c r="GQM22" s="7"/>
      <c r="GQO22" s="7"/>
      <c r="GQQ22" s="7"/>
      <c r="GQS22" s="7"/>
      <c r="GQU22" s="7"/>
      <c r="GQW22" s="7"/>
      <c r="GQY22" s="7"/>
      <c r="GRA22" s="7"/>
      <c r="GRC22" s="7"/>
      <c r="GRE22" s="7"/>
      <c r="GRG22" s="7"/>
      <c r="GRI22" s="7"/>
      <c r="GRK22" s="7"/>
      <c r="GRM22" s="7"/>
      <c r="GRO22" s="7"/>
      <c r="GRQ22" s="7"/>
      <c r="GRS22" s="7"/>
      <c r="GRU22" s="7"/>
      <c r="GRW22" s="7"/>
      <c r="GRY22" s="7"/>
      <c r="GSA22" s="7"/>
      <c r="GSC22" s="7"/>
      <c r="GSE22" s="7"/>
      <c r="GSG22" s="7"/>
      <c r="GSI22" s="7"/>
      <c r="GSK22" s="7"/>
      <c r="GSM22" s="7"/>
      <c r="GSO22" s="7"/>
      <c r="GSQ22" s="7"/>
      <c r="GSS22" s="7"/>
      <c r="GSU22" s="7"/>
      <c r="GSW22" s="7"/>
      <c r="GSY22" s="7"/>
      <c r="GTA22" s="7"/>
      <c r="GTC22" s="7"/>
      <c r="GTE22" s="7"/>
      <c r="GTG22" s="7"/>
      <c r="GTI22" s="7"/>
      <c r="GTK22" s="7"/>
      <c r="GTM22" s="7"/>
      <c r="GTO22" s="7"/>
      <c r="GTQ22" s="7"/>
      <c r="GTS22" s="7"/>
      <c r="GTU22" s="7"/>
      <c r="GTW22" s="7"/>
      <c r="GTY22" s="7"/>
      <c r="GUA22" s="7"/>
      <c r="GUC22" s="7"/>
      <c r="GUE22" s="7"/>
      <c r="GUG22" s="7"/>
      <c r="GUI22" s="7"/>
      <c r="GUK22" s="7"/>
      <c r="GUM22" s="7"/>
      <c r="GUO22" s="7"/>
      <c r="GUQ22" s="7"/>
      <c r="GUS22" s="7"/>
      <c r="GUU22" s="7"/>
      <c r="GUW22" s="7"/>
      <c r="GUY22" s="7"/>
      <c r="GVA22" s="7"/>
      <c r="GVC22" s="7"/>
      <c r="GVE22" s="7"/>
      <c r="GVG22" s="7"/>
      <c r="GVI22" s="7"/>
      <c r="GVK22" s="7"/>
      <c r="GVM22" s="7"/>
      <c r="GVO22" s="7"/>
      <c r="GVQ22" s="7"/>
      <c r="GVS22" s="7"/>
      <c r="GVU22" s="7"/>
      <c r="GVW22" s="7"/>
      <c r="GVY22" s="7"/>
      <c r="GWA22" s="7"/>
      <c r="GWC22" s="7"/>
      <c r="GWE22" s="7"/>
      <c r="GWG22" s="7"/>
      <c r="GWI22" s="7"/>
      <c r="GWK22" s="7"/>
      <c r="GWM22" s="7"/>
      <c r="GWO22" s="7"/>
      <c r="GWQ22" s="7"/>
      <c r="GWS22" s="7"/>
      <c r="GWU22" s="7"/>
      <c r="GWW22" s="7"/>
      <c r="GWY22" s="7"/>
      <c r="GXA22" s="7"/>
      <c r="GXC22" s="7"/>
      <c r="GXE22" s="7"/>
      <c r="GXG22" s="7"/>
      <c r="GXI22" s="7"/>
      <c r="GXK22" s="7"/>
      <c r="GXM22" s="7"/>
      <c r="GXO22" s="7"/>
      <c r="GXQ22" s="7"/>
      <c r="GXS22" s="7"/>
      <c r="GXU22" s="7"/>
      <c r="GXW22" s="7"/>
      <c r="GXY22" s="7"/>
      <c r="GYA22" s="7"/>
      <c r="GYC22" s="7"/>
      <c r="GYE22" s="7"/>
      <c r="GYG22" s="7"/>
      <c r="GYI22" s="7"/>
      <c r="GYK22" s="7"/>
      <c r="GYM22" s="7"/>
      <c r="GYO22" s="7"/>
      <c r="GYQ22" s="7"/>
      <c r="GYS22" s="7"/>
      <c r="GYU22" s="7"/>
      <c r="GYW22" s="7"/>
      <c r="GYY22" s="7"/>
      <c r="GZA22" s="7"/>
      <c r="GZC22" s="7"/>
      <c r="GZE22" s="7"/>
      <c r="GZG22" s="7"/>
      <c r="GZI22" s="7"/>
      <c r="GZK22" s="7"/>
      <c r="GZM22" s="7"/>
      <c r="GZO22" s="7"/>
      <c r="GZQ22" s="7"/>
      <c r="GZS22" s="7"/>
      <c r="GZU22" s="7"/>
      <c r="GZW22" s="7"/>
      <c r="GZY22" s="7"/>
      <c r="HAA22" s="7"/>
      <c r="HAC22" s="7"/>
      <c r="HAE22" s="7"/>
      <c r="HAG22" s="7"/>
      <c r="HAI22" s="7"/>
      <c r="HAK22" s="7"/>
      <c r="HAM22" s="7"/>
      <c r="HAO22" s="7"/>
      <c r="HAQ22" s="7"/>
      <c r="HAS22" s="7"/>
      <c r="HAU22" s="7"/>
      <c r="HAW22" s="7"/>
      <c r="HAY22" s="7"/>
      <c r="HBA22" s="7"/>
      <c r="HBC22" s="7"/>
      <c r="HBE22" s="7"/>
      <c r="HBG22" s="7"/>
      <c r="HBI22" s="7"/>
      <c r="HBK22" s="7"/>
      <c r="HBM22" s="7"/>
      <c r="HBO22" s="7"/>
      <c r="HBQ22" s="7"/>
      <c r="HBS22" s="7"/>
      <c r="HBU22" s="7"/>
      <c r="HBW22" s="7"/>
      <c r="HBY22" s="7"/>
      <c r="HCA22" s="7"/>
      <c r="HCC22" s="7"/>
      <c r="HCE22" s="7"/>
      <c r="HCG22" s="7"/>
      <c r="HCI22" s="7"/>
      <c r="HCK22" s="7"/>
      <c r="HCM22" s="7"/>
      <c r="HCO22" s="7"/>
      <c r="HCQ22" s="7"/>
      <c r="HCS22" s="7"/>
      <c r="HCU22" s="7"/>
      <c r="HCW22" s="7"/>
      <c r="HCY22" s="7"/>
      <c r="HDA22" s="7"/>
      <c r="HDC22" s="7"/>
      <c r="HDE22" s="7"/>
      <c r="HDG22" s="7"/>
      <c r="HDI22" s="7"/>
      <c r="HDK22" s="7"/>
      <c r="HDM22" s="7"/>
      <c r="HDO22" s="7"/>
      <c r="HDQ22" s="7"/>
      <c r="HDS22" s="7"/>
      <c r="HDU22" s="7"/>
      <c r="HDW22" s="7"/>
      <c r="HDY22" s="7"/>
      <c r="HEA22" s="7"/>
      <c r="HEC22" s="7"/>
      <c r="HEE22" s="7"/>
      <c r="HEG22" s="7"/>
      <c r="HEI22" s="7"/>
      <c r="HEK22" s="7"/>
      <c r="HEM22" s="7"/>
      <c r="HEO22" s="7"/>
      <c r="HEQ22" s="7"/>
      <c r="HES22" s="7"/>
      <c r="HEU22" s="7"/>
      <c r="HEW22" s="7"/>
      <c r="HEY22" s="7"/>
      <c r="HFA22" s="7"/>
      <c r="HFC22" s="7"/>
      <c r="HFE22" s="7"/>
      <c r="HFG22" s="7"/>
      <c r="HFI22" s="7"/>
      <c r="HFK22" s="7"/>
      <c r="HFM22" s="7"/>
      <c r="HFO22" s="7"/>
      <c r="HFQ22" s="7"/>
      <c r="HFS22" s="7"/>
      <c r="HFU22" s="7"/>
      <c r="HFW22" s="7"/>
      <c r="HFY22" s="7"/>
      <c r="HGA22" s="7"/>
      <c r="HGC22" s="7"/>
      <c r="HGE22" s="7"/>
      <c r="HGG22" s="7"/>
      <c r="HGI22" s="7"/>
      <c r="HGK22" s="7"/>
      <c r="HGM22" s="7"/>
      <c r="HGO22" s="7"/>
      <c r="HGQ22" s="7"/>
      <c r="HGS22" s="7"/>
      <c r="HGU22" s="7"/>
      <c r="HGW22" s="7"/>
      <c r="HGY22" s="7"/>
      <c r="HHA22" s="7"/>
      <c r="HHC22" s="7"/>
      <c r="HHE22" s="7"/>
      <c r="HHG22" s="7"/>
      <c r="HHI22" s="7"/>
      <c r="HHK22" s="7"/>
      <c r="HHM22" s="7"/>
      <c r="HHO22" s="7"/>
      <c r="HHQ22" s="7"/>
      <c r="HHS22" s="7"/>
      <c r="HHU22" s="7"/>
      <c r="HHW22" s="7"/>
      <c r="HHY22" s="7"/>
      <c r="HIA22" s="7"/>
      <c r="HIC22" s="7"/>
      <c r="HIE22" s="7"/>
      <c r="HIG22" s="7"/>
      <c r="HII22" s="7"/>
      <c r="HIK22" s="7"/>
      <c r="HIM22" s="7"/>
      <c r="HIO22" s="7"/>
      <c r="HIQ22" s="7"/>
      <c r="HIS22" s="7"/>
      <c r="HIU22" s="7"/>
      <c r="HIW22" s="7"/>
      <c r="HIY22" s="7"/>
      <c r="HJA22" s="7"/>
      <c r="HJC22" s="7"/>
      <c r="HJE22" s="7"/>
      <c r="HJG22" s="7"/>
      <c r="HJI22" s="7"/>
      <c r="HJK22" s="7"/>
      <c r="HJM22" s="7"/>
      <c r="HJO22" s="7"/>
      <c r="HJQ22" s="7"/>
      <c r="HJS22" s="7"/>
      <c r="HJU22" s="7"/>
      <c r="HJW22" s="7"/>
      <c r="HJY22" s="7"/>
      <c r="HKA22" s="7"/>
      <c r="HKC22" s="7"/>
      <c r="HKE22" s="7"/>
      <c r="HKG22" s="7"/>
      <c r="HKI22" s="7"/>
      <c r="HKK22" s="7"/>
      <c r="HKM22" s="7"/>
      <c r="HKO22" s="7"/>
      <c r="HKQ22" s="7"/>
      <c r="HKS22" s="7"/>
      <c r="HKU22" s="7"/>
      <c r="HKW22" s="7"/>
      <c r="HKY22" s="7"/>
      <c r="HLA22" s="7"/>
      <c r="HLC22" s="7"/>
      <c r="HLE22" s="7"/>
      <c r="HLG22" s="7"/>
      <c r="HLI22" s="7"/>
      <c r="HLK22" s="7"/>
      <c r="HLM22" s="7"/>
      <c r="HLO22" s="7"/>
      <c r="HLQ22" s="7"/>
      <c r="HLS22" s="7"/>
      <c r="HLU22" s="7"/>
      <c r="HLW22" s="7"/>
      <c r="HLY22" s="7"/>
      <c r="HMA22" s="7"/>
      <c r="HMC22" s="7"/>
      <c r="HME22" s="7"/>
      <c r="HMG22" s="7"/>
      <c r="HMI22" s="7"/>
      <c r="HMK22" s="7"/>
      <c r="HMM22" s="7"/>
      <c r="HMO22" s="7"/>
      <c r="HMQ22" s="7"/>
      <c r="HMS22" s="7"/>
      <c r="HMU22" s="7"/>
      <c r="HMW22" s="7"/>
      <c r="HMY22" s="7"/>
      <c r="HNA22" s="7"/>
      <c r="HNC22" s="7"/>
      <c r="HNE22" s="7"/>
      <c r="HNG22" s="7"/>
      <c r="HNI22" s="7"/>
      <c r="HNK22" s="7"/>
      <c r="HNM22" s="7"/>
      <c r="HNO22" s="7"/>
      <c r="HNQ22" s="7"/>
      <c r="HNS22" s="7"/>
      <c r="HNU22" s="7"/>
      <c r="HNW22" s="7"/>
      <c r="HNY22" s="7"/>
      <c r="HOA22" s="7"/>
      <c r="HOC22" s="7"/>
      <c r="HOE22" s="7"/>
      <c r="HOG22" s="7"/>
      <c r="HOI22" s="7"/>
      <c r="HOK22" s="7"/>
      <c r="HOM22" s="7"/>
      <c r="HOO22" s="7"/>
      <c r="HOQ22" s="7"/>
      <c r="HOS22" s="7"/>
      <c r="HOU22" s="7"/>
      <c r="HOW22" s="7"/>
      <c r="HOY22" s="7"/>
      <c r="HPA22" s="7"/>
      <c r="HPC22" s="7"/>
      <c r="HPE22" s="7"/>
      <c r="HPG22" s="7"/>
      <c r="HPI22" s="7"/>
      <c r="HPK22" s="7"/>
      <c r="HPM22" s="7"/>
      <c r="HPO22" s="7"/>
      <c r="HPQ22" s="7"/>
      <c r="HPS22" s="7"/>
      <c r="HPU22" s="7"/>
      <c r="HPW22" s="7"/>
      <c r="HPY22" s="7"/>
      <c r="HQA22" s="7"/>
      <c r="HQC22" s="7"/>
      <c r="HQE22" s="7"/>
      <c r="HQG22" s="7"/>
      <c r="HQI22" s="7"/>
      <c r="HQK22" s="7"/>
      <c r="HQM22" s="7"/>
      <c r="HQO22" s="7"/>
      <c r="HQQ22" s="7"/>
      <c r="HQS22" s="7"/>
      <c r="HQU22" s="7"/>
      <c r="HQW22" s="7"/>
      <c r="HQY22" s="7"/>
      <c r="HRA22" s="7"/>
      <c r="HRC22" s="7"/>
      <c r="HRE22" s="7"/>
      <c r="HRG22" s="7"/>
      <c r="HRI22" s="7"/>
      <c r="HRK22" s="7"/>
      <c r="HRM22" s="7"/>
      <c r="HRO22" s="7"/>
      <c r="HRQ22" s="7"/>
      <c r="HRS22" s="7"/>
      <c r="HRU22" s="7"/>
      <c r="HRW22" s="7"/>
      <c r="HRY22" s="7"/>
      <c r="HSA22" s="7"/>
      <c r="HSC22" s="7"/>
      <c r="HSE22" s="7"/>
      <c r="HSG22" s="7"/>
      <c r="HSI22" s="7"/>
      <c r="HSK22" s="7"/>
      <c r="HSM22" s="7"/>
      <c r="HSO22" s="7"/>
      <c r="HSQ22" s="7"/>
      <c r="HSS22" s="7"/>
      <c r="HSU22" s="7"/>
      <c r="HSW22" s="7"/>
      <c r="HSY22" s="7"/>
      <c r="HTA22" s="7"/>
      <c r="HTC22" s="7"/>
      <c r="HTE22" s="7"/>
      <c r="HTG22" s="7"/>
      <c r="HTI22" s="7"/>
      <c r="HTK22" s="7"/>
      <c r="HTM22" s="7"/>
      <c r="HTO22" s="7"/>
      <c r="HTQ22" s="7"/>
      <c r="HTS22" s="7"/>
      <c r="HTU22" s="7"/>
      <c r="HTW22" s="7"/>
      <c r="HTY22" s="7"/>
      <c r="HUA22" s="7"/>
      <c r="HUC22" s="7"/>
      <c r="HUE22" s="7"/>
      <c r="HUG22" s="7"/>
      <c r="HUI22" s="7"/>
      <c r="HUK22" s="7"/>
      <c r="HUM22" s="7"/>
      <c r="HUO22" s="7"/>
      <c r="HUQ22" s="7"/>
      <c r="HUS22" s="7"/>
      <c r="HUU22" s="7"/>
      <c r="HUW22" s="7"/>
      <c r="HUY22" s="7"/>
      <c r="HVA22" s="7"/>
      <c r="HVC22" s="7"/>
      <c r="HVE22" s="7"/>
      <c r="HVG22" s="7"/>
      <c r="HVI22" s="7"/>
      <c r="HVK22" s="7"/>
      <c r="HVM22" s="7"/>
      <c r="HVO22" s="7"/>
      <c r="HVQ22" s="7"/>
      <c r="HVS22" s="7"/>
      <c r="HVU22" s="7"/>
      <c r="HVW22" s="7"/>
      <c r="HVY22" s="7"/>
      <c r="HWA22" s="7"/>
      <c r="HWC22" s="7"/>
      <c r="HWE22" s="7"/>
      <c r="HWG22" s="7"/>
      <c r="HWI22" s="7"/>
      <c r="HWK22" s="7"/>
      <c r="HWM22" s="7"/>
      <c r="HWO22" s="7"/>
      <c r="HWQ22" s="7"/>
      <c r="HWS22" s="7"/>
      <c r="HWU22" s="7"/>
      <c r="HWW22" s="7"/>
      <c r="HWY22" s="7"/>
      <c r="HXA22" s="7"/>
      <c r="HXC22" s="7"/>
      <c r="HXE22" s="7"/>
      <c r="HXG22" s="7"/>
      <c r="HXI22" s="7"/>
      <c r="HXK22" s="7"/>
      <c r="HXM22" s="7"/>
      <c r="HXO22" s="7"/>
      <c r="HXQ22" s="7"/>
      <c r="HXS22" s="7"/>
      <c r="HXU22" s="7"/>
      <c r="HXW22" s="7"/>
      <c r="HXY22" s="7"/>
      <c r="HYA22" s="7"/>
      <c r="HYC22" s="7"/>
      <c r="HYE22" s="7"/>
      <c r="HYG22" s="7"/>
      <c r="HYI22" s="7"/>
      <c r="HYK22" s="7"/>
      <c r="HYM22" s="7"/>
      <c r="HYO22" s="7"/>
      <c r="HYQ22" s="7"/>
      <c r="HYS22" s="7"/>
      <c r="HYU22" s="7"/>
      <c r="HYW22" s="7"/>
      <c r="HYY22" s="7"/>
      <c r="HZA22" s="7"/>
      <c r="HZC22" s="7"/>
      <c r="HZE22" s="7"/>
      <c r="HZG22" s="7"/>
      <c r="HZI22" s="7"/>
      <c r="HZK22" s="7"/>
      <c r="HZM22" s="7"/>
      <c r="HZO22" s="7"/>
      <c r="HZQ22" s="7"/>
      <c r="HZS22" s="7"/>
      <c r="HZU22" s="7"/>
      <c r="HZW22" s="7"/>
      <c r="HZY22" s="7"/>
      <c r="IAA22" s="7"/>
      <c r="IAC22" s="7"/>
      <c r="IAE22" s="7"/>
      <c r="IAG22" s="7"/>
      <c r="IAI22" s="7"/>
      <c r="IAK22" s="7"/>
      <c r="IAM22" s="7"/>
      <c r="IAO22" s="7"/>
      <c r="IAQ22" s="7"/>
      <c r="IAS22" s="7"/>
      <c r="IAU22" s="7"/>
      <c r="IAW22" s="7"/>
      <c r="IAY22" s="7"/>
      <c r="IBA22" s="7"/>
      <c r="IBC22" s="7"/>
      <c r="IBE22" s="7"/>
      <c r="IBG22" s="7"/>
      <c r="IBI22" s="7"/>
      <c r="IBK22" s="7"/>
      <c r="IBM22" s="7"/>
      <c r="IBO22" s="7"/>
      <c r="IBQ22" s="7"/>
      <c r="IBS22" s="7"/>
      <c r="IBU22" s="7"/>
      <c r="IBW22" s="7"/>
      <c r="IBY22" s="7"/>
      <c r="ICA22" s="7"/>
      <c r="ICC22" s="7"/>
      <c r="ICE22" s="7"/>
      <c r="ICG22" s="7"/>
      <c r="ICI22" s="7"/>
      <c r="ICK22" s="7"/>
      <c r="ICM22" s="7"/>
      <c r="ICO22" s="7"/>
      <c r="ICQ22" s="7"/>
      <c r="ICS22" s="7"/>
      <c r="ICU22" s="7"/>
      <c r="ICW22" s="7"/>
      <c r="ICY22" s="7"/>
      <c r="IDA22" s="7"/>
      <c r="IDC22" s="7"/>
      <c r="IDE22" s="7"/>
      <c r="IDG22" s="7"/>
      <c r="IDI22" s="7"/>
      <c r="IDK22" s="7"/>
      <c r="IDM22" s="7"/>
      <c r="IDO22" s="7"/>
      <c r="IDQ22" s="7"/>
      <c r="IDS22" s="7"/>
      <c r="IDU22" s="7"/>
      <c r="IDW22" s="7"/>
      <c r="IDY22" s="7"/>
      <c r="IEA22" s="7"/>
      <c r="IEC22" s="7"/>
      <c r="IEE22" s="7"/>
      <c r="IEG22" s="7"/>
      <c r="IEI22" s="7"/>
      <c r="IEK22" s="7"/>
      <c r="IEM22" s="7"/>
      <c r="IEO22" s="7"/>
      <c r="IEQ22" s="7"/>
      <c r="IES22" s="7"/>
      <c r="IEU22" s="7"/>
      <c r="IEW22" s="7"/>
      <c r="IEY22" s="7"/>
      <c r="IFA22" s="7"/>
      <c r="IFC22" s="7"/>
      <c r="IFE22" s="7"/>
      <c r="IFG22" s="7"/>
      <c r="IFI22" s="7"/>
      <c r="IFK22" s="7"/>
      <c r="IFM22" s="7"/>
      <c r="IFO22" s="7"/>
      <c r="IFQ22" s="7"/>
      <c r="IFS22" s="7"/>
      <c r="IFU22" s="7"/>
      <c r="IFW22" s="7"/>
      <c r="IFY22" s="7"/>
      <c r="IGA22" s="7"/>
      <c r="IGC22" s="7"/>
      <c r="IGE22" s="7"/>
      <c r="IGG22" s="7"/>
      <c r="IGI22" s="7"/>
      <c r="IGK22" s="7"/>
      <c r="IGM22" s="7"/>
      <c r="IGO22" s="7"/>
      <c r="IGQ22" s="7"/>
      <c r="IGS22" s="7"/>
      <c r="IGU22" s="7"/>
      <c r="IGW22" s="7"/>
      <c r="IGY22" s="7"/>
      <c r="IHA22" s="7"/>
      <c r="IHC22" s="7"/>
      <c r="IHE22" s="7"/>
      <c r="IHG22" s="7"/>
      <c r="IHI22" s="7"/>
      <c r="IHK22" s="7"/>
      <c r="IHM22" s="7"/>
      <c r="IHO22" s="7"/>
      <c r="IHQ22" s="7"/>
      <c r="IHS22" s="7"/>
      <c r="IHU22" s="7"/>
      <c r="IHW22" s="7"/>
      <c r="IHY22" s="7"/>
      <c r="IIA22" s="7"/>
      <c r="IIC22" s="7"/>
      <c r="IIE22" s="7"/>
      <c r="IIG22" s="7"/>
      <c r="III22" s="7"/>
      <c r="IIK22" s="7"/>
      <c r="IIM22" s="7"/>
      <c r="IIO22" s="7"/>
      <c r="IIQ22" s="7"/>
      <c r="IIS22" s="7"/>
      <c r="IIU22" s="7"/>
      <c r="IIW22" s="7"/>
      <c r="IIY22" s="7"/>
      <c r="IJA22" s="7"/>
      <c r="IJC22" s="7"/>
      <c r="IJE22" s="7"/>
      <c r="IJG22" s="7"/>
      <c r="IJI22" s="7"/>
      <c r="IJK22" s="7"/>
      <c r="IJM22" s="7"/>
      <c r="IJO22" s="7"/>
      <c r="IJQ22" s="7"/>
      <c r="IJS22" s="7"/>
      <c r="IJU22" s="7"/>
      <c r="IJW22" s="7"/>
      <c r="IJY22" s="7"/>
      <c r="IKA22" s="7"/>
      <c r="IKC22" s="7"/>
      <c r="IKE22" s="7"/>
      <c r="IKG22" s="7"/>
      <c r="IKI22" s="7"/>
      <c r="IKK22" s="7"/>
      <c r="IKM22" s="7"/>
      <c r="IKO22" s="7"/>
      <c r="IKQ22" s="7"/>
      <c r="IKS22" s="7"/>
      <c r="IKU22" s="7"/>
      <c r="IKW22" s="7"/>
      <c r="IKY22" s="7"/>
      <c r="ILA22" s="7"/>
      <c r="ILC22" s="7"/>
      <c r="ILE22" s="7"/>
      <c r="ILG22" s="7"/>
      <c r="ILI22" s="7"/>
      <c r="ILK22" s="7"/>
      <c r="ILM22" s="7"/>
      <c r="ILO22" s="7"/>
      <c r="ILQ22" s="7"/>
      <c r="ILS22" s="7"/>
      <c r="ILU22" s="7"/>
      <c r="ILW22" s="7"/>
      <c r="ILY22" s="7"/>
      <c r="IMA22" s="7"/>
      <c r="IMC22" s="7"/>
      <c r="IME22" s="7"/>
      <c r="IMG22" s="7"/>
      <c r="IMI22" s="7"/>
      <c r="IMK22" s="7"/>
      <c r="IMM22" s="7"/>
      <c r="IMO22" s="7"/>
      <c r="IMQ22" s="7"/>
      <c r="IMS22" s="7"/>
      <c r="IMU22" s="7"/>
      <c r="IMW22" s="7"/>
      <c r="IMY22" s="7"/>
      <c r="INA22" s="7"/>
      <c r="INC22" s="7"/>
      <c r="INE22" s="7"/>
      <c r="ING22" s="7"/>
      <c r="INI22" s="7"/>
      <c r="INK22" s="7"/>
      <c r="INM22" s="7"/>
      <c r="INO22" s="7"/>
      <c r="INQ22" s="7"/>
      <c r="INS22" s="7"/>
      <c r="INU22" s="7"/>
      <c r="INW22" s="7"/>
      <c r="INY22" s="7"/>
      <c r="IOA22" s="7"/>
      <c r="IOC22" s="7"/>
      <c r="IOE22" s="7"/>
      <c r="IOG22" s="7"/>
      <c r="IOI22" s="7"/>
      <c r="IOK22" s="7"/>
      <c r="IOM22" s="7"/>
      <c r="IOO22" s="7"/>
      <c r="IOQ22" s="7"/>
      <c r="IOS22" s="7"/>
      <c r="IOU22" s="7"/>
      <c r="IOW22" s="7"/>
      <c r="IOY22" s="7"/>
      <c r="IPA22" s="7"/>
      <c r="IPC22" s="7"/>
      <c r="IPE22" s="7"/>
      <c r="IPG22" s="7"/>
      <c r="IPI22" s="7"/>
      <c r="IPK22" s="7"/>
      <c r="IPM22" s="7"/>
      <c r="IPO22" s="7"/>
      <c r="IPQ22" s="7"/>
      <c r="IPS22" s="7"/>
      <c r="IPU22" s="7"/>
      <c r="IPW22" s="7"/>
      <c r="IPY22" s="7"/>
      <c r="IQA22" s="7"/>
      <c r="IQC22" s="7"/>
      <c r="IQE22" s="7"/>
      <c r="IQG22" s="7"/>
      <c r="IQI22" s="7"/>
      <c r="IQK22" s="7"/>
      <c r="IQM22" s="7"/>
      <c r="IQO22" s="7"/>
      <c r="IQQ22" s="7"/>
      <c r="IQS22" s="7"/>
      <c r="IQU22" s="7"/>
      <c r="IQW22" s="7"/>
      <c r="IQY22" s="7"/>
      <c r="IRA22" s="7"/>
      <c r="IRC22" s="7"/>
      <c r="IRE22" s="7"/>
      <c r="IRG22" s="7"/>
      <c r="IRI22" s="7"/>
      <c r="IRK22" s="7"/>
      <c r="IRM22" s="7"/>
      <c r="IRO22" s="7"/>
      <c r="IRQ22" s="7"/>
      <c r="IRS22" s="7"/>
      <c r="IRU22" s="7"/>
      <c r="IRW22" s="7"/>
      <c r="IRY22" s="7"/>
      <c r="ISA22" s="7"/>
      <c r="ISC22" s="7"/>
      <c r="ISE22" s="7"/>
      <c r="ISG22" s="7"/>
      <c r="ISI22" s="7"/>
      <c r="ISK22" s="7"/>
      <c r="ISM22" s="7"/>
      <c r="ISO22" s="7"/>
      <c r="ISQ22" s="7"/>
      <c r="ISS22" s="7"/>
      <c r="ISU22" s="7"/>
      <c r="ISW22" s="7"/>
      <c r="ISY22" s="7"/>
      <c r="ITA22" s="7"/>
      <c r="ITC22" s="7"/>
      <c r="ITE22" s="7"/>
      <c r="ITG22" s="7"/>
      <c r="ITI22" s="7"/>
      <c r="ITK22" s="7"/>
      <c r="ITM22" s="7"/>
      <c r="ITO22" s="7"/>
      <c r="ITQ22" s="7"/>
      <c r="ITS22" s="7"/>
      <c r="ITU22" s="7"/>
      <c r="ITW22" s="7"/>
      <c r="ITY22" s="7"/>
      <c r="IUA22" s="7"/>
      <c r="IUC22" s="7"/>
      <c r="IUE22" s="7"/>
      <c r="IUG22" s="7"/>
      <c r="IUI22" s="7"/>
      <c r="IUK22" s="7"/>
      <c r="IUM22" s="7"/>
      <c r="IUO22" s="7"/>
      <c r="IUQ22" s="7"/>
      <c r="IUS22" s="7"/>
      <c r="IUU22" s="7"/>
      <c r="IUW22" s="7"/>
      <c r="IUY22" s="7"/>
      <c r="IVA22" s="7"/>
      <c r="IVC22" s="7"/>
      <c r="IVE22" s="7"/>
      <c r="IVG22" s="7"/>
      <c r="IVI22" s="7"/>
      <c r="IVK22" s="7"/>
      <c r="IVM22" s="7"/>
      <c r="IVO22" s="7"/>
      <c r="IVQ22" s="7"/>
      <c r="IVS22" s="7"/>
      <c r="IVU22" s="7"/>
      <c r="IVW22" s="7"/>
      <c r="IVY22" s="7"/>
      <c r="IWA22" s="7"/>
      <c r="IWC22" s="7"/>
      <c r="IWE22" s="7"/>
      <c r="IWG22" s="7"/>
      <c r="IWI22" s="7"/>
      <c r="IWK22" s="7"/>
      <c r="IWM22" s="7"/>
      <c r="IWO22" s="7"/>
      <c r="IWQ22" s="7"/>
      <c r="IWS22" s="7"/>
      <c r="IWU22" s="7"/>
      <c r="IWW22" s="7"/>
      <c r="IWY22" s="7"/>
      <c r="IXA22" s="7"/>
      <c r="IXC22" s="7"/>
      <c r="IXE22" s="7"/>
      <c r="IXG22" s="7"/>
      <c r="IXI22" s="7"/>
      <c r="IXK22" s="7"/>
      <c r="IXM22" s="7"/>
      <c r="IXO22" s="7"/>
      <c r="IXQ22" s="7"/>
      <c r="IXS22" s="7"/>
      <c r="IXU22" s="7"/>
      <c r="IXW22" s="7"/>
      <c r="IXY22" s="7"/>
      <c r="IYA22" s="7"/>
      <c r="IYC22" s="7"/>
      <c r="IYE22" s="7"/>
      <c r="IYG22" s="7"/>
      <c r="IYI22" s="7"/>
      <c r="IYK22" s="7"/>
      <c r="IYM22" s="7"/>
      <c r="IYO22" s="7"/>
      <c r="IYQ22" s="7"/>
      <c r="IYS22" s="7"/>
      <c r="IYU22" s="7"/>
      <c r="IYW22" s="7"/>
      <c r="IYY22" s="7"/>
      <c r="IZA22" s="7"/>
      <c r="IZC22" s="7"/>
      <c r="IZE22" s="7"/>
      <c r="IZG22" s="7"/>
      <c r="IZI22" s="7"/>
      <c r="IZK22" s="7"/>
      <c r="IZM22" s="7"/>
      <c r="IZO22" s="7"/>
      <c r="IZQ22" s="7"/>
      <c r="IZS22" s="7"/>
      <c r="IZU22" s="7"/>
      <c r="IZW22" s="7"/>
      <c r="IZY22" s="7"/>
      <c r="JAA22" s="7"/>
      <c r="JAC22" s="7"/>
      <c r="JAE22" s="7"/>
      <c r="JAG22" s="7"/>
      <c r="JAI22" s="7"/>
      <c r="JAK22" s="7"/>
      <c r="JAM22" s="7"/>
      <c r="JAO22" s="7"/>
      <c r="JAQ22" s="7"/>
      <c r="JAS22" s="7"/>
      <c r="JAU22" s="7"/>
      <c r="JAW22" s="7"/>
      <c r="JAY22" s="7"/>
      <c r="JBA22" s="7"/>
      <c r="JBC22" s="7"/>
      <c r="JBE22" s="7"/>
      <c r="JBG22" s="7"/>
      <c r="JBI22" s="7"/>
      <c r="JBK22" s="7"/>
      <c r="JBM22" s="7"/>
      <c r="JBO22" s="7"/>
      <c r="JBQ22" s="7"/>
      <c r="JBS22" s="7"/>
      <c r="JBU22" s="7"/>
      <c r="JBW22" s="7"/>
      <c r="JBY22" s="7"/>
      <c r="JCA22" s="7"/>
      <c r="JCC22" s="7"/>
      <c r="JCE22" s="7"/>
      <c r="JCG22" s="7"/>
      <c r="JCI22" s="7"/>
      <c r="JCK22" s="7"/>
      <c r="JCM22" s="7"/>
      <c r="JCO22" s="7"/>
      <c r="JCQ22" s="7"/>
      <c r="JCS22" s="7"/>
      <c r="JCU22" s="7"/>
      <c r="JCW22" s="7"/>
      <c r="JCY22" s="7"/>
      <c r="JDA22" s="7"/>
      <c r="JDC22" s="7"/>
      <c r="JDE22" s="7"/>
      <c r="JDG22" s="7"/>
      <c r="JDI22" s="7"/>
      <c r="JDK22" s="7"/>
      <c r="JDM22" s="7"/>
      <c r="JDO22" s="7"/>
      <c r="JDQ22" s="7"/>
      <c r="JDS22" s="7"/>
      <c r="JDU22" s="7"/>
      <c r="JDW22" s="7"/>
      <c r="JDY22" s="7"/>
      <c r="JEA22" s="7"/>
      <c r="JEC22" s="7"/>
      <c r="JEE22" s="7"/>
      <c r="JEG22" s="7"/>
      <c r="JEI22" s="7"/>
      <c r="JEK22" s="7"/>
      <c r="JEM22" s="7"/>
      <c r="JEO22" s="7"/>
      <c r="JEQ22" s="7"/>
      <c r="JES22" s="7"/>
      <c r="JEU22" s="7"/>
      <c r="JEW22" s="7"/>
      <c r="JEY22" s="7"/>
      <c r="JFA22" s="7"/>
      <c r="JFC22" s="7"/>
      <c r="JFE22" s="7"/>
      <c r="JFG22" s="7"/>
      <c r="JFI22" s="7"/>
      <c r="JFK22" s="7"/>
      <c r="JFM22" s="7"/>
      <c r="JFO22" s="7"/>
      <c r="JFQ22" s="7"/>
      <c r="JFS22" s="7"/>
      <c r="JFU22" s="7"/>
      <c r="JFW22" s="7"/>
      <c r="JFY22" s="7"/>
      <c r="JGA22" s="7"/>
      <c r="JGC22" s="7"/>
      <c r="JGE22" s="7"/>
      <c r="JGG22" s="7"/>
      <c r="JGI22" s="7"/>
      <c r="JGK22" s="7"/>
      <c r="JGM22" s="7"/>
      <c r="JGO22" s="7"/>
      <c r="JGQ22" s="7"/>
      <c r="JGS22" s="7"/>
      <c r="JGU22" s="7"/>
      <c r="JGW22" s="7"/>
      <c r="JGY22" s="7"/>
      <c r="JHA22" s="7"/>
      <c r="JHC22" s="7"/>
      <c r="JHE22" s="7"/>
      <c r="JHG22" s="7"/>
      <c r="JHI22" s="7"/>
      <c r="JHK22" s="7"/>
      <c r="JHM22" s="7"/>
      <c r="JHO22" s="7"/>
      <c r="JHQ22" s="7"/>
      <c r="JHS22" s="7"/>
      <c r="JHU22" s="7"/>
      <c r="JHW22" s="7"/>
      <c r="JHY22" s="7"/>
      <c r="JIA22" s="7"/>
      <c r="JIC22" s="7"/>
      <c r="JIE22" s="7"/>
      <c r="JIG22" s="7"/>
      <c r="JII22" s="7"/>
      <c r="JIK22" s="7"/>
      <c r="JIM22" s="7"/>
      <c r="JIO22" s="7"/>
      <c r="JIQ22" s="7"/>
      <c r="JIS22" s="7"/>
      <c r="JIU22" s="7"/>
      <c r="JIW22" s="7"/>
      <c r="JIY22" s="7"/>
      <c r="JJA22" s="7"/>
      <c r="JJC22" s="7"/>
      <c r="JJE22" s="7"/>
      <c r="JJG22" s="7"/>
      <c r="JJI22" s="7"/>
      <c r="JJK22" s="7"/>
      <c r="JJM22" s="7"/>
      <c r="JJO22" s="7"/>
      <c r="JJQ22" s="7"/>
      <c r="JJS22" s="7"/>
      <c r="JJU22" s="7"/>
      <c r="JJW22" s="7"/>
      <c r="JJY22" s="7"/>
      <c r="JKA22" s="7"/>
      <c r="JKC22" s="7"/>
      <c r="JKE22" s="7"/>
      <c r="JKG22" s="7"/>
      <c r="JKI22" s="7"/>
      <c r="JKK22" s="7"/>
      <c r="JKM22" s="7"/>
      <c r="JKO22" s="7"/>
      <c r="JKQ22" s="7"/>
      <c r="JKS22" s="7"/>
      <c r="JKU22" s="7"/>
      <c r="JKW22" s="7"/>
      <c r="JKY22" s="7"/>
      <c r="JLA22" s="7"/>
      <c r="JLC22" s="7"/>
      <c r="JLE22" s="7"/>
      <c r="JLG22" s="7"/>
      <c r="JLI22" s="7"/>
      <c r="JLK22" s="7"/>
      <c r="JLM22" s="7"/>
      <c r="JLO22" s="7"/>
      <c r="JLQ22" s="7"/>
      <c r="JLS22" s="7"/>
      <c r="JLU22" s="7"/>
      <c r="JLW22" s="7"/>
      <c r="JLY22" s="7"/>
      <c r="JMA22" s="7"/>
      <c r="JMC22" s="7"/>
      <c r="JME22" s="7"/>
      <c r="JMG22" s="7"/>
      <c r="JMI22" s="7"/>
      <c r="JMK22" s="7"/>
      <c r="JMM22" s="7"/>
      <c r="JMO22" s="7"/>
      <c r="JMQ22" s="7"/>
      <c r="JMS22" s="7"/>
      <c r="JMU22" s="7"/>
      <c r="JMW22" s="7"/>
      <c r="JMY22" s="7"/>
      <c r="JNA22" s="7"/>
      <c r="JNC22" s="7"/>
      <c r="JNE22" s="7"/>
      <c r="JNG22" s="7"/>
      <c r="JNI22" s="7"/>
      <c r="JNK22" s="7"/>
      <c r="JNM22" s="7"/>
      <c r="JNO22" s="7"/>
      <c r="JNQ22" s="7"/>
      <c r="JNS22" s="7"/>
      <c r="JNU22" s="7"/>
      <c r="JNW22" s="7"/>
      <c r="JNY22" s="7"/>
      <c r="JOA22" s="7"/>
      <c r="JOC22" s="7"/>
      <c r="JOE22" s="7"/>
      <c r="JOG22" s="7"/>
      <c r="JOI22" s="7"/>
      <c r="JOK22" s="7"/>
      <c r="JOM22" s="7"/>
      <c r="JOO22" s="7"/>
      <c r="JOQ22" s="7"/>
      <c r="JOS22" s="7"/>
      <c r="JOU22" s="7"/>
      <c r="JOW22" s="7"/>
      <c r="JOY22" s="7"/>
      <c r="JPA22" s="7"/>
      <c r="JPC22" s="7"/>
      <c r="JPE22" s="7"/>
      <c r="JPG22" s="7"/>
      <c r="JPI22" s="7"/>
      <c r="JPK22" s="7"/>
      <c r="JPM22" s="7"/>
      <c r="JPO22" s="7"/>
      <c r="JPQ22" s="7"/>
      <c r="JPS22" s="7"/>
      <c r="JPU22" s="7"/>
      <c r="JPW22" s="7"/>
      <c r="JPY22" s="7"/>
      <c r="JQA22" s="7"/>
      <c r="JQC22" s="7"/>
      <c r="JQE22" s="7"/>
      <c r="JQG22" s="7"/>
      <c r="JQI22" s="7"/>
      <c r="JQK22" s="7"/>
      <c r="JQM22" s="7"/>
      <c r="JQO22" s="7"/>
      <c r="JQQ22" s="7"/>
      <c r="JQS22" s="7"/>
      <c r="JQU22" s="7"/>
      <c r="JQW22" s="7"/>
      <c r="JQY22" s="7"/>
      <c r="JRA22" s="7"/>
      <c r="JRC22" s="7"/>
      <c r="JRE22" s="7"/>
      <c r="JRG22" s="7"/>
      <c r="JRI22" s="7"/>
      <c r="JRK22" s="7"/>
      <c r="JRM22" s="7"/>
      <c r="JRO22" s="7"/>
      <c r="JRQ22" s="7"/>
      <c r="JRS22" s="7"/>
      <c r="JRU22" s="7"/>
      <c r="JRW22" s="7"/>
      <c r="JRY22" s="7"/>
      <c r="JSA22" s="7"/>
      <c r="JSC22" s="7"/>
      <c r="JSE22" s="7"/>
      <c r="JSG22" s="7"/>
      <c r="JSI22" s="7"/>
      <c r="JSK22" s="7"/>
      <c r="JSM22" s="7"/>
      <c r="JSO22" s="7"/>
      <c r="JSQ22" s="7"/>
      <c r="JSS22" s="7"/>
      <c r="JSU22" s="7"/>
      <c r="JSW22" s="7"/>
      <c r="JSY22" s="7"/>
      <c r="JTA22" s="7"/>
      <c r="JTC22" s="7"/>
      <c r="JTE22" s="7"/>
      <c r="JTG22" s="7"/>
      <c r="JTI22" s="7"/>
      <c r="JTK22" s="7"/>
      <c r="JTM22" s="7"/>
      <c r="JTO22" s="7"/>
      <c r="JTQ22" s="7"/>
      <c r="JTS22" s="7"/>
      <c r="JTU22" s="7"/>
      <c r="JTW22" s="7"/>
      <c r="JTY22" s="7"/>
      <c r="JUA22" s="7"/>
      <c r="JUC22" s="7"/>
      <c r="JUE22" s="7"/>
      <c r="JUG22" s="7"/>
      <c r="JUI22" s="7"/>
      <c r="JUK22" s="7"/>
      <c r="JUM22" s="7"/>
      <c r="JUO22" s="7"/>
      <c r="JUQ22" s="7"/>
      <c r="JUS22" s="7"/>
      <c r="JUU22" s="7"/>
      <c r="JUW22" s="7"/>
      <c r="JUY22" s="7"/>
      <c r="JVA22" s="7"/>
      <c r="JVC22" s="7"/>
      <c r="JVE22" s="7"/>
      <c r="JVG22" s="7"/>
      <c r="JVI22" s="7"/>
      <c r="JVK22" s="7"/>
      <c r="JVM22" s="7"/>
      <c r="JVO22" s="7"/>
      <c r="JVQ22" s="7"/>
      <c r="JVS22" s="7"/>
      <c r="JVU22" s="7"/>
      <c r="JVW22" s="7"/>
      <c r="JVY22" s="7"/>
      <c r="JWA22" s="7"/>
      <c r="JWC22" s="7"/>
      <c r="JWE22" s="7"/>
      <c r="JWG22" s="7"/>
      <c r="JWI22" s="7"/>
      <c r="JWK22" s="7"/>
      <c r="JWM22" s="7"/>
      <c r="JWO22" s="7"/>
      <c r="JWQ22" s="7"/>
      <c r="JWS22" s="7"/>
      <c r="JWU22" s="7"/>
      <c r="JWW22" s="7"/>
      <c r="JWY22" s="7"/>
      <c r="JXA22" s="7"/>
      <c r="JXC22" s="7"/>
      <c r="JXE22" s="7"/>
      <c r="JXG22" s="7"/>
      <c r="JXI22" s="7"/>
      <c r="JXK22" s="7"/>
      <c r="JXM22" s="7"/>
      <c r="JXO22" s="7"/>
      <c r="JXQ22" s="7"/>
      <c r="JXS22" s="7"/>
      <c r="JXU22" s="7"/>
      <c r="JXW22" s="7"/>
      <c r="JXY22" s="7"/>
      <c r="JYA22" s="7"/>
      <c r="JYC22" s="7"/>
      <c r="JYE22" s="7"/>
      <c r="JYG22" s="7"/>
      <c r="JYI22" s="7"/>
      <c r="JYK22" s="7"/>
      <c r="JYM22" s="7"/>
      <c r="JYO22" s="7"/>
      <c r="JYQ22" s="7"/>
      <c r="JYS22" s="7"/>
      <c r="JYU22" s="7"/>
      <c r="JYW22" s="7"/>
      <c r="JYY22" s="7"/>
      <c r="JZA22" s="7"/>
      <c r="JZC22" s="7"/>
      <c r="JZE22" s="7"/>
      <c r="JZG22" s="7"/>
      <c r="JZI22" s="7"/>
      <c r="JZK22" s="7"/>
      <c r="JZM22" s="7"/>
      <c r="JZO22" s="7"/>
      <c r="JZQ22" s="7"/>
      <c r="JZS22" s="7"/>
      <c r="JZU22" s="7"/>
      <c r="JZW22" s="7"/>
      <c r="JZY22" s="7"/>
      <c r="KAA22" s="7"/>
      <c r="KAC22" s="7"/>
      <c r="KAE22" s="7"/>
      <c r="KAG22" s="7"/>
      <c r="KAI22" s="7"/>
      <c r="KAK22" s="7"/>
      <c r="KAM22" s="7"/>
      <c r="KAO22" s="7"/>
      <c r="KAQ22" s="7"/>
      <c r="KAS22" s="7"/>
      <c r="KAU22" s="7"/>
      <c r="KAW22" s="7"/>
      <c r="KAY22" s="7"/>
      <c r="KBA22" s="7"/>
      <c r="KBC22" s="7"/>
      <c r="KBE22" s="7"/>
      <c r="KBG22" s="7"/>
      <c r="KBI22" s="7"/>
      <c r="KBK22" s="7"/>
      <c r="KBM22" s="7"/>
      <c r="KBO22" s="7"/>
      <c r="KBQ22" s="7"/>
      <c r="KBS22" s="7"/>
      <c r="KBU22" s="7"/>
      <c r="KBW22" s="7"/>
      <c r="KBY22" s="7"/>
      <c r="KCA22" s="7"/>
      <c r="KCC22" s="7"/>
      <c r="KCE22" s="7"/>
      <c r="KCG22" s="7"/>
      <c r="KCI22" s="7"/>
      <c r="KCK22" s="7"/>
      <c r="KCM22" s="7"/>
      <c r="KCO22" s="7"/>
      <c r="KCQ22" s="7"/>
      <c r="KCS22" s="7"/>
      <c r="KCU22" s="7"/>
      <c r="KCW22" s="7"/>
      <c r="KCY22" s="7"/>
      <c r="KDA22" s="7"/>
      <c r="KDC22" s="7"/>
      <c r="KDE22" s="7"/>
      <c r="KDG22" s="7"/>
      <c r="KDI22" s="7"/>
      <c r="KDK22" s="7"/>
      <c r="KDM22" s="7"/>
      <c r="KDO22" s="7"/>
      <c r="KDQ22" s="7"/>
      <c r="KDS22" s="7"/>
      <c r="KDU22" s="7"/>
      <c r="KDW22" s="7"/>
      <c r="KDY22" s="7"/>
      <c r="KEA22" s="7"/>
      <c r="KEC22" s="7"/>
      <c r="KEE22" s="7"/>
      <c r="KEG22" s="7"/>
      <c r="KEI22" s="7"/>
      <c r="KEK22" s="7"/>
      <c r="KEM22" s="7"/>
      <c r="KEO22" s="7"/>
      <c r="KEQ22" s="7"/>
      <c r="KES22" s="7"/>
      <c r="KEU22" s="7"/>
      <c r="KEW22" s="7"/>
      <c r="KEY22" s="7"/>
      <c r="KFA22" s="7"/>
      <c r="KFC22" s="7"/>
      <c r="KFE22" s="7"/>
      <c r="KFG22" s="7"/>
      <c r="KFI22" s="7"/>
      <c r="KFK22" s="7"/>
      <c r="KFM22" s="7"/>
      <c r="KFO22" s="7"/>
      <c r="KFQ22" s="7"/>
      <c r="KFS22" s="7"/>
      <c r="KFU22" s="7"/>
      <c r="KFW22" s="7"/>
      <c r="KFY22" s="7"/>
      <c r="KGA22" s="7"/>
      <c r="KGC22" s="7"/>
      <c r="KGE22" s="7"/>
      <c r="KGG22" s="7"/>
      <c r="KGI22" s="7"/>
      <c r="KGK22" s="7"/>
      <c r="KGM22" s="7"/>
      <c r="KGO22" s="7"/>
      <c r="KGQ22" s="7"/>
      <c r="KGS22" s="7"/>
      <c r="KGU22" s="7"/>
      <c r="KGW22" s="7"/>
      <c r="KGY22" s="7"/>
      <c r="KHA22" s="7"/>
      <c r="KHC22" s="7"/>
      <c r="KHE22" s="7"/>
      <c r="KHG22" s="7"/>
      <c r="KHI22" s="7"/>
      <c r="KHK22" s="7"/>
      <c r="KHM22" s="7"/>
      <c r="KHO22" s="7"/>
      <c r="KHQ22" s="7"/>
      <c r="KHS22" s="7"/>
      <c r="KHU22" s="7"/>
      <c r="KHW22" s="7"/>
      <c r="KHY22" s="7"/>
      <c r="KIA22" s="7"/>
      <c r="KIC22" s="7"/>
      <c r="KIE22" s="7"/>
      <c r="KIG22" s="7"/>
      <c r="KII22" s="7"/>
      <c r="KIK22" s="7"/>
      <c r="KIM22" s="7"/>
      <c r="KIO22" s="7"/>
      <c r="KIQ22" s="7"/>
      <c r="KIS22" s="7"/>
      <c r="KIU22" s="7"/>
      <c r="KIW22" s="7"/>
      <c r="KIY22" s="7"/>
      <c r="KJA22" s="7"/>
      <c r="KJC22" s="7"/>
      <c r="KJE22" s="7"/>
      <c r="KJG22" s="7"/>
      <c r="KJI22" s="7"/>
      <c r="KJK22" s="7"/>
      <c r="KJM22" s="7"/>
      <c r="KJO22" s="7"/>
      <c r="KJQ22" s="7"/>
      <c r="KJS22" s="7"/>
      <c r="KJU22" s="7"/>
      <c r="KJW22" s="7"/>
      <c r="KJY22" s="7"/>
      <c r="KKA22" s="7"/>
      <c r="KKC22" s="7"/>
      <c r="KKE22" s="7"/>
      <c r="KKG22" s="7"/>
      <c r="KKI22" s="7"/>
      <c r="KKK22" s="7"/>
      <c r="KKM22" s="7"/>
      <c r="KKO22" s="7"/>
      <c r="KKQ22" s="7"/>
      <c r="KKS22" s="7"/>
      <c r="KKU22" s="7"/>
      <c r="KKW22" s="7"/>
      <c r="KKY22" s="7"/>
      <c r="KLA22" s="7"/>
      <c r="KLC22" s="7"/>
      <c r="KLE22" s="7"/>
      <c r="KLG22" s="7"/>
      <c r="KLI22" s="7"/>
      <c r="KLK22" s="7"/>
      <c r="KLM22" s="7"/>
      <c r="KLO22" s="7"/>
      <c r="KLQ22" s="7"/>
      <c r="KLS22" s="7"/>
      <c r="KLU22" s="7"/>
      <c r="KLW22" s="7"/>
      <c r="KLY22" s="7"/>
      <c r="KMA22" s="7"/>
      <c r="KMC22" s="7"/>
      <c r="KME22" s="7"/>
      <c r="KMG22" s="7"/>
      <c r="KMI22" s="7"/>
      <c r="KMK22" s="7"/>
      <c r="KMM22" s="7"/>
      <c r="KMO22" s="7"/>
      <c r="KMQ22" s="7"/>
      <c r="KMS22" s="7"/>
      <c r="KMU22" s="7"/>
      <c r="KMW22" s="7"/>
      <c r="KMY22" s="7"/>
      <c r="KNA22" s="7"/>
      <c r="KNC22" s="7"/>
      <c r="KNE22" s="7"/>
      <c r="KNG22" s="7"/>
      <c r="KNI22" s="7"/>
      <c r="KNK22" s="7"/>
      <c r="KNM22" s="7"/>
      <c r="KNO22" s="7"/>
      <c r="KNQ22" s="7"/>
      <c r="KNS22" s="7"/>
      <c r="KNU22" s="7"/>
      <c r="KNW22" s="7"/>
      <c r="KNY22" s="7"/>
      <c r="KOA22" s="7"/>
      <c r="KOC22" s="7"/>
      <c r="KOE22" s="7"/>
      <c r="KOG22" s="7"/>
      <c r="KOI22" s="7"/>
      <c r="KOK22" s="7"/>
      <c r="KOM22" s="7"/>
      <c r="KOO22" s="7"/>
      <c r="KOQ22" s="7"/>
      <c r="KOS22" s="7"/>
      <c r="KOU22" s="7"/>
      <c r="KOW22" s="7"/>
      <c r="KOY22" s="7"/>
      <c r="KPA22" s="7"/>
      <c r="KPC22" s="7"/>
      <c r="KPE22" s="7"/>
      <c r="KPG22" s="7"/>
      <c r="KPI22" s="7"/>
      <c r="KPK22" s="7"/>
      <c r="KPM22" s="7"/>
      <c r="KPO22" s="7"/>
      <c r="KPQ22" s="7"/>
      <c r="KPS22" s="7"/>
      <c r="KPU22" s="7"/>
      <c r="KPW22" s="7"/>
      <c r="KPY22" s="7"/>
      <c r="KQA22" s="7"/>
      <c r="KQC22" s="7"/>
      <c r="KQE22" s="7"/>
      <c r="KQG22" s="7"/>
      <c r="KQI22" s="7"/>
      <c r="KQK22" s="7"/>
      <c r="KQM22" s="7"/>
      <c r="KQO22" s="7"/>
      <c r="KQQ22" s="7"/>
      <c r="KQS22" s="7"/>
      <c r="KQU22" s="7"/>
      <c r="KQW22" s="7"/>
      <c r="KQY22" s="7"/>
      <c r="KRA22" s="7"/>
      <c r="KRC22" s="7"/>
      <c r="KRE22" s="7"/>
      <c r="KRG22" s="7"/>
      <c r="KRI22" s="7"/>
      <c r="KRK22" s="7"/>
      <c r="KRM22" s="7"/>
      <c r="KRO22" s="7"/>
      <c r="KRQ22" s="7"/>
      <c r="KRS22" s="7"/>
      <c r="KRU22" s="7"/>
      <c r="KRW22" s="7"/>
      <c r="KRY22" s="7"/>
      <c r="KSA22" s="7"/>
      <c r="KSC22" s="7"/>
      <c r="KSE22" s="7"/>
      <c r="KSG22" s="7"/>
      <c r="KSI22" s="7"/>
      <c r="KSK22" s="7"/>
      <c r="KSM22" s="7"/>
      <c r="KSO22" s="7"/>
      <c r="KSQ22" s="7"/>
      <c r="KSS22" s="7"/>
      <c r="KSU22" s="7"/>
      <c r="KSW22" s="7"/>
      <c r="KSY22" s="7"/>
      <c r="KTA22" s="7"/>
      <c r="KTC22" s="7"/>
      <c r="KTE22" s="7"/>
      <c r="KTG22" s="7"/>
      <c r="KTI22" s="7"/>
      <c r="KTK22" s="7"/>
      <c r="KTM22" s="7"/>
      <c r="KTO22" s="7"/>
      <c r="KTQ22" s="7"/>
      <c r="KTS22" s="7"/>
      <c r="KTU22" s="7"/>
      <c r="KTW22" s="7"/>
      <c r="KTY22" s="7"/>
      <c r="KUA22" s="7"/>
      <c r="KUC22" s="7"/>
      <c r="KUE22" s="7"/>
      <c r="KUG22" s="7"/>
      <c r="KUI22" s="7"/>
      <c r="KUK22" s="7"/>
      <c r="KUM22" s="7"/>
      <c r="KUO22" s="7"/>
      <c r="KUQ22" s="7"/>
      <c r="KUS22" s="7"/>
      <c r="KUU22" s="7"/>
      <c r="KUW22" s="7"/>
      <c r="KUY22" s="7"/>
      <c r="KVA22" s="7"/>
      <c r="KVC22" s="7"/>
      <c r="KVE22" s="7"/>
      <c r="KVG22" s="7"/>
      <c r="KVI22" s="7"/>
      <c r="KVK22" s="7"/>
      <c r="KVM22" s="7"/>
      <c r="KVO22" s="7"/>
      <c r="KVQ22" s="7"/>
      <c r="KVS22" s="7"/>
      <c r="KVU22" s="7"/>
      <c r="KVW22" s="7"/>
      <c r="KVY22" s="7"/>
      <c r="KWA22" s="7"/>
      <c r="KWC22" s="7"/>
      <c r="KWE22" s="7"/>
      <c r="KWG22" s="7"/>
      <c r="KWI22" s="7"/>
      <c r="KWK22" s="7"/>
      <c r="KWM22" s="7"/>
      <c r="KWO22" s="7"/>
      <c r="KWQ22" s="7"/>
      <c r="KWS22" s="7"/>
      <c r="KWU22" s="7"/>
      <c r="KWW22" s="7"/>
      <c r="KWY22" s="7"/>
      <c r="KXA22" s="7"/>
      <c r="KXC22" s="7"/>
      <c r="KXE22" s="7"/>
      <c r="KXG22" s="7"/>
      <c r="KXI22" s="7"/>
      <c r="KXK22" s="7"/>
      <c r="KXM22" s="7"/>
      <c r="KXO22" s="7"/>
      <c r="KXQ22" s="7"/>
      <c r="KXS22" s="7"/>
      <c r="KXU22" s="7"/>
      <c r="KXW22" s="7"/>
      <c r="KXY22" s="7"/>
      <c r="KYA22" s="7"/>
      <c r="KYC22" s="7"/>
      <c r="KYE22" s="7"/>
      <c r="KYG22" s="7"/>
      <c r="KYI22" s="7"/>
      <c r="KYK22" s="7"/>
      <c r="KYM22" s="7"/>
      <c r="KYO22" s="7"/>
      <c r="KYQ22" s="7"/>
      <c r="KYS22" s="7"/>
      <c r="KYU22" s="7"/>
      <c r="KYW22" s="7"/>
      <c r="KYY22" s="7"/>
      <c r="KZA22" s="7"/>
      <c r="KZC22" s="7"/>
      <c r="KZE22" s="7"/>
      <c r="KZG22" s="7"/>
      <c r="KZI22" s="7"/>
      <c r="KZK22" s="7"/>
      <c r="KZM22" s="7"/>
      <c r="KZO22" s="7"/>
      <c r="KZQ22" s="7"/>
      <c r="KZS22" s="7"/>
      <c r="KZU22" s="7"/>
      <c r="KZW22" s="7"/>
      <c r="KZY22" s="7"/>
      <c r="LAA22" s="7"/>
      <c r="LAC22" s="7"/>
      <c r="LAE22" s="7"/>
      <c r="LAG22" s="7"/>
      <c r="LAI22" s="7"/>
      <c r="LAK22" s="7"/>
      <c r="LAM22" s="7"/>
      <c r="LAO22" s="7"/>
      <c r="LAQ22" s="7"/>
      <c r="LAS22" s="7"/>
      <c r="LAU22" s="7"/>
      <c r="LAW22" s="7"/>
      <c r="LAY22" s="7"/>
      <c r="LBA22" s="7"/>
      <c r="LBC22" s="7"/>
      <c r="LBE22" s="7"/>
      <c r="LBG22" s="7"/>
      <c r="LBI22" s="7"/>
      <c r="LBK22" s="7"/>
      <c r="LBM22" s="7"/>
      <c r="LBO22" s="7"/>
      <c r="LBQ22" s="7"/>
      <c r="LBS22" s="7"/>
      <c r="LBU22" s="7"/>
      <c r="LBW22" s="7"/>
      <c r="LBY22" s="7"/>
      <c r="LCA22" s="7"/>
      <c r="LCC22" s="7"/>
      <c r="LCE22" s="7"/>
      <c r="LCG22" s="7"/>
      <c r="LCI22" s="7"/>
      <c r="LCK22" s="7"/>
      <c r="LCM22" s="7"/>
      <c r="LCO22" s="7"/>
      <c r="LCQ22" s="7"/>
      <c r="LCS22" s="7"/>
      <c r="LCU22" s="7"/>
      <c r="LCW22" s="7"/>
      <c r="LCY22" s="7"/>
      <c r="LDA22" s="7"/>
      <c r="LDC22" s="7"/>
      <c r="LDE22" s="7"/>
      <c r="LDG22" s="7"/>
      <c r="LDI22" s="7"/>
      <c r="LDK22" s="7"/>
      <c r="LDM22" s="7"/>
      <c r="LDO22" s="7"/>
      <c r="LDQ22" s="7"/>
      <c r="LDS22" s="7"/>
      <c r="LDU22" s="7"/>
      <c r="LDW22" s="7"/>
      <c r="LDY22" s="7"/>
      <c r="LEA22" s="7"/>
      <c r="LEC22" s="7"/>
      <c r="LEE22" s="7"/>
      <c r="LEG22" s="7"/>
      <c r="LEI22" s="7"/>
      <c r="LEK22" s="7"/>
      <c r="LEM22" s="7"/>
      <c r="LEO22" s="7"/>
      <c r="LEQ22" s="7"/>
      <c r="LES22" s="7"/>
      <c r="LEU22" s="7"/>
      <c r="LEW22" s="7"/>
      <c r="LEY22" s="7"/>
      <c r="LFA22" s="7"/>
      <c r="LFC22" s="7"/>
      <c r="LFE22" s="7"/>
      <c r="LFG22" s="7"/>
      <c r="LFI22" s="7"/>
      <c r="LFK22" s="7"/>
      <c r="LFM22" s="7"/>
      <c r="LFO22" s="7"/>
      <c r="LFQ22" s="7"/>
      <c r="LFS22" s="7"/>
      <c r="LFU22" s="7"/>
      <c r="LFW22" s="7"/>
      <c r="LFY22" s="7"/>
      <c r="LGA22" s="7"/>
      <c r="LGC22" s="7"/>
      <c r="LGE22" s="7"/>
      <c r="LGG22" s="7"/>
      <c r="LGI22" s="7"/>
      <c r="LGK22" s="7"/>
      <c r="LGM22" s="7"/>
      <c r="LGO22" s="7"/>
      <c r="LGQ22" s="7"/>
      <c r="LGS22" s="7"/>
      <c r="LGU22" s="7"/>
      <c r="LGW22" s="7"/>
      <c r="LGY22" s="7"/>
      <c r="LHA22" s="7"/>
      <c r="LHC22" s="7"/>
      <c r="LHE22" s="7"/>
      <c r="LHG22" s="7"/>
      <c r="LHI22" s="7"/>
      <c r="LHK22" s="7"/>
      <c r="LHM22" s="7"/>
      <c r="LHO22" s="7"/>
      <c r="LHQ22" s="7"/>
      <c r="LHS22" s="7"/>
      <c r="LHU22" s="7"/>
      <c r="LHW22" s="7"/>
      <c r="LHY22" s="7"/>
      <c r="LIA22" s="7"/>
      <c r="LIC22" s="7"/>
      <c r="LIE22" s="7"/>
      <c r="LIG22" s="7"/>
      <c r="LII22" s="7"/>
      <c r="LIK22" s="7"/>
      <c r="LIM22" s="7"/>
      <c r="LIO22" s="7"/>
      <c r="LIQ22" s="7"/>
      <c r="LIS22" s="7"/>
      <c r="LIU22" s="7"/>
      <c r="LIW22" s="7"/>
      <c r="LIY22" s="7"/>
      <c r="LJA22" s="7"/>
      <c r="LJC22" s="7"/>
      <c r="LJE22" s="7"/>
      <c r="LJG22" s="7"/>
      <c r="LJI22" s="7"/>
      <c r="LJK22" s="7"/>
      <c r="LJM22" s="7"/>
      <c r="LJO22" s="7"/>
      <c r="LJQ22" s="7"/>
      <c r="LJS22" s="7"/>
      <c r="LJU22" s="7"/>
      <c r="LJW22" s="7"/>
      <c r="LJY22" s="7"/>
      <c r="LKA22" s="7"/>
      <c r="LKC22" s="7"/>
      <c r="LKE22" s="7"/>
      <c r="LKG22" s="7"/>
      <c r="LKI22" s="7"/>
      <c r="LKK22" s="7"/>
      <c r="LKM22" s="7"/>
      <c r="LKO22" s="7"/>
      <c r="LKQ22" s="7"/>
      <c r="LKS22" s="7"/>
      <c r="LKU22" s="7"/>
      <c r="LKW22" s="7"/>
      <c r="LKY22" s="7"/>
      <c r="LLA22" s="7"/>
      <c r="LLC22" s="7"/>
      <c r="LLE22" s="7"/>
      <c r="LLG22" s="7"/>
      <c r="LLI22" s="7"/>
      <c r="LLK22" s="7"/>
      <c r="LLM22" s="7"/>
      <c r="LLO22" s="7"/>
      <c r="LLQ22" s="7"/>
      <c r="LLS22" s="7"/>
      <c r="LLU22" s="7"/>
      <c r="LLW22" s="7"/>
      <c r="LLY22" s="7"/>
      <c r="LMA22" s="7"/>
      <c r="LMC22" s="7"/>
      <c r="LME22" s="7"/>
      <c r="LMG22" s="7"/>
      <c r="LMI22" s="7"/>
      <c r="LMK22" s="7"/>
      <c r="LMM22" s="7"/>
      <c r="LMO22" s="7"/>
      <c r="LMQ22" s="7"/>
      <c r="LMS22" s="7"/>
      <c r="LMU22" s="7"/>
      <c r="LMW22" s="7"/>
      <c r="LMY22" s="7"/>
      <c r="LNA22" s="7"/>
      <c r="LNC22" s="7"/>
      <c r="LNE22" s="7"/>
      <c r="LNG22" s="7"/>
      <c r="LNI22" s="7"/>
      <c r="LNK22" s="7"/>
      <c r="LNM22" s="7"/>
      <c r="LNO22" s="7"/>
      <c r="LNQ22" s="7"/>
      <c r="LNS22" s="7"/>
      <c r="LNU22" s="7"/>
      <c r="LNW22" s="7"/>
      <c r="LNY22" s="7"/>
      <c r="LOA22" s="7"/>
      <c r="LOC22" s="7"/>
      <c r="LOE22" s="7"/>
      <c r="LOG22" s="7"/>
      <c r="LOI22" s="7"/>
      <c r="LOK22" s="7"/>
      <c r="LOM22" s="7"/>
      <c r="LOO22" s="7"/>
      <c r="LOQ22" s="7"/>
      <c r="LOS22" s="7"/>
      <c r="LOU22" s="7"/>
      <c r="LOW22" s="7"/>
      <c r="LOY22" s="7"/>
      <c r="LPA22" s="7"/>
      <c r="LPC22" s="7"/>
      <c r="LPE22" s="7"/>
      <c r="LPG22" s="7"/>
      <c r="LPI22" s="7"/>
      <c r="LPK22" s="7"/>
      <c r="LPM22" s="7"/>
      <c r="LPO22" s="7"/>
      <c r="LPQ22" s="7"/>
      <c r="LPS22" s="7"/>
      <c r="LPU22" s="7"/>
      <c r="LPW22" s="7"/>
      <c r="LPY22" s="7"/>
      <c r="LQA22" s="7"/>
      <c r="LQC22" s="7"/>
      <c r="LQE22" s="7"/>
      <c r="LQG22" s="7"/>
      <c r="LQI22" s="7"/>
      <c r="LQK22" s="7"/>
      <c r="LQM22" s="7"/>
      <c r="LQO22" s="7"/>
      <c r="LQQ22" s="7"/>
      <c r="LQS22" s="7"/>
      <c r="LQU22" s="7"/>
      <c r="LQW22" s="7"/>
      <c r="LQY22" s="7"/>
      <c r="LRA22" s="7"/>
      <c r="LRC22" s="7"/>
      <c r="LRE22" s="7"/>
      <c r="LRG22" s="7"/>
      <c r="LRI22" s="7"/>
      <c r="LRK22" s="7"/>
      <c r="LRM22" s="7"/>
      <c r="LRO22" s="7"/>
      <c r="LRQ22" s="7"/>
      <c r="LRS22" s="7"/>
      <c r="LRU22" s="7"/>
      <c r="LRW22" s="7"/>
      <c r="LRY22" s="7"/>
      <c r="LSA22" s="7"/>
      <c r="LSC22" s="7"/>
      <c r="LSE22" s="7"/>
      <c r="LSG22" s="7"/>
      <c r="LSI22" s="7"/>
      <c r="LSK22" s="7"/>
      <c r="LSM22" s="7"/>
      <c r="LSO22" s="7"/>
      <c r="LSQ22" s="7"/>
      <c r="LSS22" s="7"/>
      <c r="LSU22" s="7"/>
      <c r="LSW22" s="7"/>
      <c r="LSY22" s="7"/>
      <c r="LTA22" s="7"/>
      <c r="LTC22" s="7"/>
      <c r="LTE22" s="7"/>
      <c r="LTG22" s="7"/>
      <c r="LTI22" s="7"/>
      <c r="LTK22" s="7"/>
      <c r="LTM22" s="7"/>
      <c r="LTO22" s="7"/>
      <c r="LTQ22" s="7"/>
      <c r="LTS22" s="7"/>
      <c r="LTU22" s="7"/>
      <c r="LTW22" s="7"/>
      <c r="LTY22" s="7"/>
      <c r="LUA22" s="7"/>
      <c r="LUC22" s="7"/>
      <c r="LUE22" s="7"/>
      <c r="LUG22" s="7"/>
      <c r="LUI22" s="7"/>
      <c r="LUK22" s="7"/>
      <c r="LUM22" s="7"/>
      <c r="LUO22" s="7"/>
      <c r="LUQ22" s="7"/>
      <c r="LUS22" s="7"/>
      <c r="LUU22" s="7"/>
      <c r="LUW22" s="7"/>
      <c r="LUY22" s="7"/>
      <c r="LVA22" s="7"/>
      <c r="LVC22" s="7"/>
      <c r="LVE22" s="7"/>
      <c r="LVG22" s="7"/>
      <c r="LVI22" s="7"/>
      <c r="LVK22" s="7"/>
      <c r="LVM22" s="7"/>
      <c r="LVO22" s="7"/>
      <c r="LVQ22" s="7"/>
      <c r="LVS22" s="7"/>
      <c r="LVU22" s="7"/>
      <c r="LVW22" s="7"/>
      <c r="LVY22" s="7"/>
      <c r="LWA22" s="7"/>
      <c r="LWC22" s="7"/>
      <c r="LWE22" s="7"/>
      <c r="LWG22" s="7"/>
      <c r="LWI22" s="7"/>
      <c r="LWK22" s="7"/>
      <c r="LWM22" s="7"/>
      <c r="LWO22" s="7"/>
      <c r="LWQ22" s="7"/>
      <c r="LWS22" s="7"/>
      <c r="LWU22" s="7"/>
      <c r="LWW22" s="7"/>
      <c r="LWY22" s="7"/>
      <c r="LXA22" s="7"/>
      <c r="LXC22" s="7"/>
      <c r="LXE22" s="7"/>
      <c r="LXG22" s="7"/>
      <c r="LXI22" s="7"/>
      <c r="LXK22" s="7"/>
      <c r="LXM22" s="7"/>
      <c r="LXO22" s="7"/>
      <c r="LXQ22" s="7"/>
      <c r="LXS22" s="7"/>
      <c r="LXU22" s="7"/>
      <c r="LXW22" s="7"/>
      <c r="LXY22" s="7"/>
      <c r="LYA22" s="7"/>
      <c r="LYC22" s="7"/>
      <c r="LYE22" s="7"/>
      <c r="LYG22" s="7"/>
      <c r="LYI22" s="7"/>
      <c r="LYK22" s="7"/>
      <c r="LYM22" s="7"/>
      <c r="LYO22" s="7"/>
      <c r="LYQ22" s="7"/>
      <c r="LYS22" s="7"/>
      <c r="LYU22" s="7"/>
      <c r="LYW22" s="7"/>
      <c r="LYY22" s="7"/>
      <c r="LZA22" s="7"/>
      <c r="LZC22" s="7"/>
      <c r="LZE22" s="7"/>
      <c r="LZG22" s="7"/>
      <c r="LZI22" s="7"/>
      <c r="LZK22" s="7"/>
      <c r="LZM22" s="7"/>
      <c r="LZO22" s="7"/>
      <c r="LZQ22" s="7"/>
      <c r="LZS22" s="7"/>
      <c r="LZU22" s="7"/>
      <c r="LZW22" s="7"/>
      <c r="LZY22" s="7"/>
      <c r="MAA22" s="7"/>
      <c r="MAC22" s="7"/>
      <c r="MAE22" s="7"/>
      <c r="MAG22" s="7"/>
      <c r="MAI22" s="7"/>
      <c r="MAK22" s="7"/>
      <c r="MAM22" s="7"/>
      <c r="MAO22" s="7"/>
      <c r="MAQ22" s="7"/>
      <c r="MAS22" s="7"/>
      <c r="MAU22" s="7"/>
      <c r="MAW22" s="7"/>
      <c r="MAY22" s="7"/>
      <c r="MBA22" s="7"/>
      <c r="MBC22" s="7"/>
      <c r="MBE22" s="7"/>
      <c r="MBG22" s="7"/>
      <c r="MBI22" s="7"/>
      <c r="MBK22" s="7"/>
      <c r="MBM22" s="7"/>
      <c r="MBO22" s="7"/>
      <c r="MBQ22" s="7"/>
      <c r="MBS22" s="7"/>
      <c r="MBU22" s="7"/>
      <c r="MBW22" s="7"/>
      <c r="MBY22" s="7"/>
      <c r="MCA22" s="7"/>
      <c r="MCC22" s="7"/>
      <c r="MCE22" s="7"/>
      <c r="MCG22" s="7"/>
      <c r="MCI22" s="7"/>
      <c r="MCK22" s="7"/>
      <c r="MCM22" s="7"/>
      <c r="MCO22" s="7"/>
      <c r="MCQ22" s="7"/>
      <c r="MCS22" s="7"/>
      <c r="MCU22" s="7"/>
      <c r="MCW22" s="7"/>
      <c r="MCY22" s="7"/>
      <c r="MDA22" s="7"/>
      <c r="MDC22" s="7"/>
      <c r="MDE22" s="7"/>
      <c r="MDG22" s="7"/>
      <c r="MDI22" s="7"/>
      <c r="MDK22" s="7"/>
      <c r="MDM22" s="7"/>
      <c r="MDO22" s="7"/>
      <c r="MDQ22" s="7"/>
      <c r="MDS22" s="7"/>
      <c r="MDU22" s="7"/>
      <c r="MDW22" s="7"/>
      <c r="MDY22" s="7"/>
      <c r="MEA22" s="7"/>
      <c r="MEC22" s="7"/>
      <c r="MEE22" s="7"/>
      <c r="MEG22" s="7"/>
      <c r="MEI22" s="7"/>
      <c r="MEK22" s="7"/>
      <c r="MEM22" s="7"/>
      <c r="MEO22" s="7"/>
      <c r="MEQ22" s="7"/>
      <c r="MES22" s="7"/>
      <c r="MEU22" s="7"/>
      <c r="MEW22" s="7"/>
      <c r="MEY22" s="7"/>
      <c r="MFA22" s="7"/>
      <c r="MFC22" s="7"/>
      <c r="MFE22" s="7"/>
      <c r="MFG22" s="7"/>
      <c r="MFI22" s="7"/>
      <c r="MFK22" s="7"/>
      <c r="MFM22" s="7"/>
      <c r="MFO22" s="7"/>
      <c r="MFQ22" s="7"/>
      <c r="MFS22" s="7"/>
      <c r="MFU22" s="7"/>
      <c r="MFW22" s="7"/>
      <c r="MFY22" s="7"/>
      <c r="MGA22" s="7"/>
      <c r="MGC22" s="7"/>
      <c r="MGE22" s="7"/>
      <c r="MGG22" s="7"/>
      <c r="MGI22" s="7"/>
      <c r="MGK22" s="7"/>
      <c r="MGM22" s="7"/>
      <c r="MGO22" s="7"/>
      <c r="MGQ22" s="7"/>
      <c r="MGS22" s="7"/>
      <c r="MGU22" s="7"/>
      <c r="MGW22" s="7"/>
      <c r="MGY22" s="7"/>
      <c r="MHA22" s="7"/>
      <c r="MHC22" s="7"/>
      <c r="MHE22" s="7"/>
      <c r="MHG22" s="7"/>
      <c r="MHI22" s="7"/>
      <c r="MHK22" s="7"/>
      <c r="MHM22" s="7"/>
      <c r="MHO22" s="7"/>
      <c r="MHQ22" s="7"/>
      <c r="MHS22" s="7"/>
      <c r="MHU22" s="7"/>
      <c r="MHW22" s="7"/>
      <c r="MHY22" s="7"/>
      <c r="MIA22" s="7"/>
      <c r="MIC22" s="7"/>
      <c r="MIE22" s="7"/>
      <c r="MIG22" s="7"/>
      <c r="MII22" s="7"/>
      <c r="MIK22" s="7"/>
      <c r="MIM22" s="7"/>
      <c r="MIO22" s="7"/>
      <c r="MIQ22" s="7"/>
      <c r="MIS22" s="7"/>
      <c r="MIU22" s="7"/>
      <c r="MIW22" s="7"/>
      <c r="MIY22" s="7"/>
      <c r="MJA22" s="7"/>
      <c r="MJC22" s="7"/>
      <c r="MJE22" s="7"/>
      <c r="MJG22" s="7"/>
      <c r="MJI22" s="7"/>
      <c r="MJK22" s="7"/>
      <c r="MJM22" s="7"/>
      <c r="MJO22" s="7"/>
      <c r="MJQ22" s="7"/>
      <c r="MJS22" s="7"/>
      <c r="MJU22" s="7"/>
      <c r="MJW22" s="7"/>
      <c r="MJY22" s="7"/>
      <c r="MKA22" s="7"/>
      <c r="MKC22" s="7"/>
      <c r="MKE22" s="7"/>
      <c r="MKG22" s="7"/>
      <c r="MKI22" s="7"/>
      <c r="MKK22" s="7"/>
      <c r="MKM22" s="7"/>
      <c r="MKO22" s="7"/>
      <c r="MKQ22" s="7"/>
      <c r="MKS22" s="7"/>
      <c r="MKU22" s="7"/>
      <c r="MKW22" s="7"/>
      <c r="MKY22" s="7"/>
      <c r="MLA22" s="7"/>
      <c r="MLC22" s="7"/>
      <c r="MLE22" s="7"/>
      <c r="MLG22" s="7"/>
      <c r="MLI22" s="7"/>
      <c r="MLK22" s="7"/>
      <c r="MLM22" s="7"/>
      <c r="MLO22" s="7"/>
      <c r="MLQ22" s="7"/>
      <c r="MLS22" s="7"/>
      <c r="MLU22" s="7"/>
      <c r="MLW22" s="7"/>
      <c r="MLY22" s="7"/>
      <c r="MMA22" s="7"/>
      <c r="MMC22" s="7"/>
      <c r="MME22" s="7"/>
      <c r="MMG22" s="7"/>
      <c r="MMI22" s="7"/>
      <c r="MMK22" s="7"/>
      <c r="MMM22" s="7"/>
      <c r="MMO22" s="7"/>
      <c r="MMQ22" s="7"/>
      <c r="MMS22" s="7"/>
      <c r="MMU22" s="7"/>
      <c r="MMW22" s="7"/>
      <c r="MMY22" s="7"/>
      <c r="MNA22" s="7"/>
      <c r="MNC22" s="7"/>
      <c r="MNE22" s="7"/>
      <c r="MNG22" s="7"/>
      <c r="MNI22" s="7"/>
      <c r="MNK22" s="7"/>
      <c r="MNM22" s="7"/>
      <c r="MNO22" s="7"/>
      <c r="MNQ22" s="7"/>
      <c r="MNS22" s="7"/>
      <c r="MNU22" s="7"/>
      <c r="MNW22" s="7"/>
      <c r="MNY22" s="7"/>
      <c r="MOA22" s="7"/>
      <c r="MOC22" s="7"/>
      <c r="MOE22" s="7"/>
      <c r="MOG22" s="7"/>
      <c r="MOI22" s="7"/>
      <c r="MOK22" s="7"/>
      <c r="MOM22" s="7"/>
      <c r="MOO22" s="7"/>
      <c r="MOQ22" s="7"/>
      <c r="MOS22" s="7"/>
      <c r="MOU22" s="7"/>
      <c r="MOW22" s="7"/>
      <c r="MOY22" s="7"/>
      <c r="MPA22" s="7"/>
      <c r="MPC22" s="7"/>
      <c r="MPE22" s="7"/>
      <c r="MPG22" s="7"/>
      <c r="MPI22" s="7"/>
      <c r="MPK22" s="7"/>
      <c r="MPM22" s="7"/>
      <c r="MPO22" s="7"/>
      <c r="MPQ22" s="7"/>
      <c r="MPS22" s="7"/>
      <c r="MPU22" s="7"/>
      <c r="MPW22" s="7"/>
      <c r="MPY22" s="7"/>
      <c r="MQA22" s="7"/>
      <c r="MQC22" s="7"/>
      <c r="MQE22" s="7"/>
      <c r="MQG22" s="7"/>
      <c r="MQI22" s="7"/>
      <c r="MQK22" s="7"/>
      <c r="MQM22" s="7"/>
      <c r="MQO22" s="7"/>
      <c r="MQQ22" s="7"/>
      <c r="MQS22" s="7"/>
      <c r="MQU22" s="7"/>
      <c r="MQW22" s="7"/>
      <c r="MQY22" s="7"/>
      <c r="MRA22" s="7"/>
      <c r="MRC22" s="7"/>
      <c r="MRE22" s="7"/>
      <c r="MRG22" s="7"/>
      <c r="MRI22" s="7"/>
      <c r="MRK22" s="7"/>
      <c r="MRM22" s="7"/>
      <c r="MRO22" s="7"/>
      <c r="MRQ22" s="7"/>
      <c r="MRS22" s="7"/>
      <c r="MRU22" s="7"/>
      <c r="MRW22" s="7"/>
      <c r="MRY22" s="7"/>
      <c r="MSA22" s="7"/>
      <c r="MSC22" s="7"/>
      <c r="MSE22" s="7"/>
      <c r="MSG22" s="7"/>
      <c r="MSI22" s="7"/>
      <c r="MSK22" s="7"/>
      <c r="MSM22" s="7"/>
      <c r="MSO22" s="7"/>
      <c r="MSQ22" s="7"/>
      <c r="MSS22" s="7"/>
      <c r="MSU22" s="7"/>
      <c r="MSW22" s="7"/>
      <c r="MSY22" s="7"/>
      <c r="MTA22" s="7"/>
      <c r="MTC22" s="7"/>
      <c r="MTE22" s="7"/>
      <c r="MTG22" s="7"/>
      <c r="MTI22" s="7"/>
      <c r="MTK22" s="7"/>
      <c r="MTM22" s="7"/>
      <c r="MTO22" s="7"/>
      <c r="MTQ22" s="7"/>
      <c r="MTS22" s="7"/>
      <c r="MTU22" s="7"/>
      <c r="MTW22" s="7"/>
      <c r="MTY22" s="7"/>
      <c r="MUA22" s="7"/>
      <c r="MUC22" s="7"/>
      <c r="MUE22" s="7"/>
      <c r="MUG22" s="7"/>
      <c r="MUI22" s="7"/>
      <c r="MUK22" s="7"/>
      <c r="MUM22" s="7"/>
      <c r="MUO22" s="7"/>
      <c r="MUQ22" s="7"/>
      <c r="MUS22" s="7"/>
      <c r="MUU22" s="7"/>
      <c r="MUW22" s="7"/>
      <c r="MUY22" s="7"/>
      <c r="MVA22" s="7"/>
      <c r="MVC22" s="7"/>
      <c r="MVE22" s="7"/>
      <c r="MVG22" s="7"/>
      <c r="MVI22" s="7"/>
      <c r="MVK22" s="7"/>
      <c r="MVM22" s="7"/>
      <c r="MVO22" s="7"/>
      <c r="MVQ22" s="7"/>
      <c r="MVS22" s="7"/>
      <c r="MVU22" s="7"/>
      <c r="MVW22" s="7"/>
      <c r="MVY22" s="7"/>
      <c r="MWA22" s="7"/>
      <c r="MWC22" s="7"/>
      <c r="MWE22" s="7"/>
      <c r="MWG22" s="7"/>
      <c r="MWI22" s="7"/>
      <c r="MWK22" s="7"/>
      <c r="MWM22" s="7"/>
      <c r="MWO22" s="7"/>
      <c r="MWQ22" s="7"/>
      <c r="MWS22" s="7"/>
      <c r="MWU22" s="7"/>
      <c r="MWW22" s="7"/>
      <c r="MWY22" s="7"/>
      <c r="MXA22" s="7"/>
      <c r="MXC22" s="7"/>
      <c r="MXE22" s="7"/>
      <c r="MXG22" s="7"/>
      <c r="MXI22" s="7"/>
      <c r="MXK22" s="7"/>
      <c r="MXM22" s="7"/>
      <c r="MXO22" s="7"/>
      <c r="MXQ22" s="7"/>
      <c r="MXS22" s="7"/>
      <c r="MXU22" s="7"/>
      <c r="MXW22" s="7"/>
      <c r="MXY22" s="7"/>
      <c r="MYA22" s="7"/>
      <c r="MYC22" s="7"/>
      <c r="MYE22" s="7"/>
      <c r="MYG22" s="7"/>
      <c r="MYI22" s="7"/>
      <c r="MYK22" s="7"/>
      <c r="MYM22" s="7"/>
      <c r="MYO22" s="7"/>
      <c r="MYQ22" s="7"/>
      <c r="MYS22" s="7"/>
      <c r="MYU22" s="7"/>
      <c r="MYW22" s="7"/>
      <c r="MYY22" s="7"/>
      <c r="MZA22" s="7"/>
      <c r="MZC22" s="7"/>
      <c r="MZE22" s="7"/>
      <c r="MZG22" s="7"/>
      <c r="MZI22" s="7"/>
      <c r="MZK22" s="7"/>
      <c r="MZM22" s="7"/>
      <c r="MZO22" s="7"/>
      <c r="MZQ22" s="7"/>
      <c r="MZS22" s="7"/>
      <c r="MZU22" s="7"/>
      <c r="MZW22" s="7"/>
      <c r="MZY22" s="7"/>
      <c r="NAA22" s="7"/>
      <c r="NAC22" s="7"/>
      <c r="NAE22" s="7"/>
      <c r="NAG22" s="7"/>
      <c r="NAI22" s="7"/>
      <c r="NAK22" s="7"/>
      <c r="NAM22" s="7"/>
      <c r="NAO22" s="7"/>
      <c r="NAQ22" s="7"/>
      <c r="NAS22" s="7"/>
      <c r="NAU22" s="7"/>
      <c r="NAW22" s="7"/>
      <c r="NAY22" s="7"/>
      <c r="NBA22" s="7"/>
      <c r="NBC22" s="7"/>
      <c r="NBE22" s="7"/>
      <c r="NBG22" s="7"/>
      <c r="NBI22" s="7"/>
      <c r="NBK22" s="7"/>
      <c r="NBM22" s="7"/>
      <c r="NBO22" s="7"/>
      <c r="NBQ22" s="7"/>
      <c r="NBS22" s="7"/>
      <c r="NBU22" s="7"/>
      <c r="NBW22" s="7"/>
      <c r="NBY22" s="7"/>
      <c r="NCA22" s="7"/>
      <c r="NCC22" s="7"/>
      <c r="NCE22" s="7"/>
      <c r="NCG22" s="7"/>
      <c r="NCI22" s="7"/>
      <c r="NCK22" s="7"/>
      <c r="NCM22" s="7"/>
      <c r="NCO22" s="7"/>
      <c r="NCQ22" s="7"/>
      <c r="NCS22" s="7"/>
      <c r="NCU22" s="7"/>
      <c r="NCW22" s="7"/>
      <c r="NCY22" s="7"/>
      <c r="NDA22" s="7"/>
      <c r="NDC22" s="7"/>
      <c r="NDE22" s="7"/>
      <c r="NDG22" s="7"/>
      <c r="NDI22" s="7"/>
      <c r="NDK22" s="7"/>
      <c r="NDM22" s="7"/>
      <c r="NDO22" s="7"/>
      <c r="NDQ22" s="7"/>
      <c r="NDS22" s="7"/>
      <c r="NDU22" s="7"/>
      <c r="NDW22" s="7"/>
      <c r="NDY22" s="7"/>
      <c r="NEA22" s="7"/>
      <c r="NEC22" s="7"/>
      <c r="NEE22" s="7"/>
      <c r="NEG22" s="7"/>
      <c r="NEI22" s="7"/>
      <c r="NEK22" s="7"/>
      <c r="NEM22" s="7"/>
      <c r="NEO22" s="7"/>
      <c r="NEQ22" s="7"/>
      <c r="NES22" s="7"/>
      <c r="NEU22" s="7"/>
      <c r="NEW22" s="7"/>
      <c r="NEY22" s="7"/>
      <c r="NFA22" s="7"/>
      <c r="NFC22" s="7"/>
      <c r="NFE22" s="7"/>
      <c r="NFG22" s="7"/>
      <c r="NFI22" s="7"/>
      <c r="NFK22" s="7"/>
      <c r="NFM22" s="7"/>
      <c r="NFO22" s="7"/>
      <c r="NFQ22" s="7"/>
      <c r="NFS22" s="7"/>
      <c r="NFU22" s="7"/>
      <c r="NFW22" s="7"/>
      <c r="NFY22" s="7"/>
      <c r="NGA22" s="7"/>
      <c r="NGC22" s="7"/>
      <c r="NGE22" s="7"/>
      <c r="NGG22" s="7"/>
      <c r="NGI22" s="7"/>
      <c r="NGK22" s="7"/>
      <c r="NGM22" s="7"/>
      <c r="NGO22" s="7"/>
      <c r="NGQ22" s="7"/>
      <c r="NGS22" s="7"/>
      <c r="NGU22" s="7"/>
      <c r="NGW22" s="7"/>
      <c r="NGY22" s="7"/>
      <c r="NHA22" s="7"/>
      <c r="NHC22" s="7"/>
      <c r="NHE22" s="7"/>
      <c r="NHG22" s="7"/>
      <c r="NHI22" s="7"/>
      <c r="NHK22" s="7"/>
      <c r="NHM22" s="7"/>
      <c r="NHO22" s="7"/>
      <c r="NHQ22" s="7"/>
      <c r="NHS22" s="7"/>
      <c r="NHU22" s="7"/>
      <c r="NHW22" s="7"/>
      <c r="NHY22" s="7"/>
      <c r="NIA22" s="7"/>
      <c r="NIC22" s="7"/>
      <c r="NIE22" s="7"/>
      <c r="NIG22" s="7"/>
      <c r="NII22" s="7"/>
      <c r="NIK22" s="7"/>
      <c r="NIM22" s="7"/>
      <c r="NIO22" s="7"/>
      <c r="NIQ22" s="7"/>
      <c r="NIS22" s="7"/>
      <c r="NIU22" s="7"/>
      <c r="NIW22" s="7"/>
      <c r="NIY22" s="7"/>
      <c r="NJA22" s="7"/>
      <c r="NJC22" s="7"/>
      <c r="NJE22" s="7"/>
      <c r="NJG22" s="7"/>
      <c r="NJI22" s="7"/>
      <c r="NJK22" s="7"/>
      <c r="NJM22" s="7"/>
      <c r="NJO22" s="7"/>
      <c r="NJQ22" s="7"/>
      <c r="NJS22" s="7"/>
      <c r="NJU22" s="7"/>
      <c r="NJW22" s="7"/>
      <c r="NJY22" s="7"/>
      <c r="NKA22" s="7"/>
      <c r="NKC22" s="7"/>
      <c r="NKE22" s="7"/>
      <c r="NKG22" s="7"/>
      <c r="NKI22" s="7"/>
      <c r="NKK22" s="7"/>
      <c r="NKM22" s="7"/>
      <c r="NKO22" s="7"/>
      <c r="NKQ22" s="7"/>
      <c r="NKS22" s="7"/>
      <c r="NKU22" s="7"/>
      <c r="NKW22" s="7"/>
      <c r="NKY22" s="7"/>
      <c r="NLA22" s="7"/>
      <c r="NLC22" s="7"/>
      <c r="NLE22" s="7"/>
      <c r="NLG22" s="7"/>
      <c r="NLI22" s="7"/>
      <c r="NLK22" s="7"/>
      <c r="NLM22" s="7"/>
      <c r="NLO22" s="7"/>
      <c r="NLQ22" s="7"/>
      <c r="NLS22" s="7"/>
      <c r="NLU22" s="7"/>
      <c r="NLW22" s="7"/>
      <c r="NLY22" s="7"/>
      <c r="NMA22" s="7"/>
      <c r="NMC22" s="7"/>
      <c r="NME22" s="7"/>
      <c r="NMG22" s="7"/>
      <c r="NMI22" s="7"/>
      <c r="NMK22" s="7"/>
      <c r="NMM22" s="7"/>
      <c r="NMO22" s="7"/>
      <c r="NMQ22" s="7"/>
      <c r="NMS22" s="7"/>
      <c r="NMU22" s="7"/>
      <c r="NMW22" s="7"/>
      <c r="NMY22" s="7"/>
      <c r="NNA22" s="7"/>
      <c r="NNC22" s="7"/>
      <c r="NNE22" s="7"/>
      <c r="NNG22" s="7"/>
      <c r="NNI22" s="7"/>
      <c r="NNK22" s="7"/>
      <c r="NNM22" s="7"/>
      <c r="NNO22" s="7"/>
      <c r="NNQ22" s="7"/>
      <c r="NNS22" s="7"/>
      <c r="NNU22" s="7"/>
      <c r="NNW22" s="7"/>
      <c r="NNY22" s="7"/>
      <c r="NOA22" s="7"/>
      <c r="NOC22" s="7"/>
      <c r="NOE22" s="7"/>
      <c r="NOG22" s="7"/>
      <c r="NOI22" s="7"/>
      <c r="NOK22" s="7"/>
      <c r="NOM22" s="7"/>
      <c r="NOO22" s="7"/>
      <c r="NOQ22" s="7"/>
      <c r="NOS22" s="7"/>
      <c r="NOU22" s="7"/>
      <c r="NOW22" s="7"/>
      <c r="NOY22" s="7"/>
      <c r="NPA22" s="7"/>
      <c r="NPC22" s="7"/>
      <c r="NPE22" s="7"/>
      <c r="NPG22" s="7"/>
      <c r="NPI22" s="7"/>
      <c r="NPK22" s="7"/>
      <c r="NPM22" s="7"/>
      <c r="NPO22" s="7"/>
      <c r="NPQ22" s="7"/>
      <c r="NPS22" s="7"/>
      <c r="NPU22" s="7"/>
      <c r="NPW22" s="7"/>
      <c r="NPY22" s="7"/>
      <c r="NQA22" s="7"/>
      <c r="NQC22" s="7"/>
      <c r="NQE22" s="7"/>
      <c r="NQG22" s="7"/>
      <c r="NQI22" s="7"/>
      <c r="NQK22" s="7"/>
      <c r="NQM22" s="7"/>
      <c r="NQO22" s="7"/>
      <c r="NQQ22" s="7"/>
      <c r="NQS22" s="7"/>
      <c r="NQU22" s="7"/>
      <c r="NQW22" s="7"/>
      <c r="NQY22" s="7"/>
      <c r="NRA22" s="7"/>
      <c r="NRC22" s="7"/>
      <c r="NRE22" s="7"/>
      <c r="NRG22" s="7"/>
      <c r="NRI22" s="7"/>
      <c r="NRK22" s="7"/>
      <c r="NRM22" s="7"/>
      <c r="NRO22" s="7"/>
      <c r="NRQ22" s="7"/>
      <c r="NRS22" s="7"/>
      <c r="NRU22" s="7"/>
      <c r="NRW22" s="7"/>
      <c r="NRY22" s="7"/>
      <c r="NSA22" s="7"/>
      <c r="NSC22" s="7"/>
      <c r="NSE22" s="7"/>
      <c r="NSG22" s="7"/>
      <c r="NSI22" s="7"/>
      <c r="NSK22" s="7"/>
      <c r="NSM22" s="7"/>
      <c r="NSO22" s="7"/>
      <c r="NSQ22" s="7"/>
      <c r="NSS22" s="7"/>
      <c r="NSU22" s="7"/>
      <c r="NSW22" s="7"/>
      <c r="NSY22" s="7"/>
      <c r="NTA22" s="7"/>
      <c r="NTC22" s="7"/>
      <c r="NTE22" s="7"/>
      <c r="NTG22" s="7"/>
      <c r="NTI22" s="7"/>
      <c r="NTK22" s="7"/>
      <c r="NTM22" s="7"/>
      <c r="NTO22" s="7"/>
      <c r="NTQ22" s="7"/>
      <c r="NTS22" s="7"/>
      <c r="NTU22" s="7"/>
      <c r="NTW22" s="7"/>
      <c r="NTY22" s="7"/>
      <c r="NUA22" s="7"/>
      <c r="NUC22" s="7"/>
      <c r="NUE22" s="7"/>
      <c r="NUG22" s="7"/>
      <c r="NUI22" s="7"/>
      <c r="NUK22" s="7"/>
      <c r="NUM22" s="7"/>
      <c r="NUO22" s="7"/>
      <c r="NUQ22" s="7"/>
      <c r="NUS22" s="7"/>
      <c r="NUU22" s="7"/>
      <c r="NUW22" s="7"/>
      <c r="NUY22" s="7"/>
      <c r="NVA22" s="7"/>
      <c r="NVC22" s="7"/>
      <c r="NVE22" s="7"/>
      <c r="NVG22" s="7"/>
      <c r="NVI22" s="7"/>
      <c r="NVK22" s="7"/>
      <c r="NVM22" s="7"/>
      <c r="NVO22" s="7"/>
      <c r="NVQ22" s="7"/>
      <c r="NVS22" s="7"/>
      <c r="NVU22" s="7"/>
      <c r="NVW22" s="7"/>
      <c r="NVY22" s="7"/>
      <c r="NWA22" s="7"/>
      <c r="NWC22" s="7"/>
      <c r="NWE22" s="7"/>
      <c r="NWG22" s="7"/>
      <c r="NWI22" s="7"/>
      <c r="NWK22" s="7"/>
      <c r="NWM22" s="7"/>
      <c r="NWO22" s="7"/>
      <c r="NWQ22" s="7"/>
      <c r="NWS22" s="7"/>
      <c r="NWU22" s="7"/>
      <c r="NWW22" s="7"/>
      <c r="NWY22" s="7"/>
      <c r="NXA22" s="7"/>
      <c r="NXC22" s="7"/>
      <c r="NXE22" s="7"/>
      <c r="NXG22" s="7"/>
      <c r="NXI22" s="7"/>
      <c r="NXK22" s="7"/>
      <c r="NXM22" s="7"/>
      <c r="NXO22" s="7"/>
      <c r="NXQ22" s="7"/>
      <c r="NXS22" s="7"/>
      <c r="NXU22" s="7"/>
      <c r="NXW22" s="7"/>
      <c r="NXY22" s="7"/>
      <c r="NYA22" s="7"/>
      <c r="NYC22" s="7"/>
      <c r="NYE22" s="7"/>
      <c r="NYG22" s="7"/>
      <c r="NYI22" s="7"/>
      <c r="NYK22" s="7"/>
      <c r="NYM22" s="7"/>
      <c r="NYO22" s="7"/>
      <c r="NYQ22" s="7"/>
      <c r="NYS22" s="7"/>
      <c r="NYU22" s="7"/>
      <c r="NYW22" s="7"/>
      <c r="NYY22" s="7"/>
      <c r="NZA22" s="7"/>
      <c r="NZC22" s="7"/>
      <c r="NZE22" s="7"/>
      <c r="NZG22" s="7"/>
      <c r="NZI22" s="7"/>
      <c r="NZK22" s="7"/>
      <c r="NZM22" s="7"/>
      <c r="NZO22" s="7"/>
      <c r="NZQ22" s="7"/>
      <c r="NZS22" s="7"/>
      <c r="NZU22" s="7"/>
      <c r="NZW22" s="7"/>
      <c r="NZY22" s="7"/>
      <c r="OAA22" s="7"/>
      <c r="OAC22" s="7"/>
      <c r="OAE22" s="7"/>
      <c r="OAG22" s="7"/>
      <c r="OAI22" s="7"/>
      <c r="OAK22" s="7"/>
      <c r="OAM22" s="7"/>
      <c r="OAO22" s="7"/>
      <c r="OAQ22" s="7"/>
      <c r="OAS22" s="7"/>
      <c r="OAU22" s="7"/>
      <c r="OAW22" s="7"/>
      <c r="OAY22" s="7"/>
      <c r="OBA22" s="7"/>
      <c r="OBC22" s="7"/>
      <c r="OBE22" s="7"/>
      <c r="OBG22" s="7"/>
      <c r="OBI22" s="7"/>
      <c r="OBK22" s="7"/>
      <c r="OBM22" s="7"/>
      <c r="OBO22" s="7"/>
      <c r="OBQ22" s="7"/>
      <c r="OBS22" s="7"/>
      <c r="OBU22" s="7"/>
      <c r="OBW22" s="7"/>
      <c r="OBY22" s="7"/>
      <c r="OCA22" s="7"/>
      <c r="OCC22" s="7"/>
      <c r="OCE22" s="7"/>
      <c r="OCG22" s="7"/>
      <c r="OCI22" s="7"/>
      <c r="OCK22" s="7"/>
      <c r="OCM22" s="7"/>
      <c r="OCO22" s="7"/>
      <c r="OCQ22" s="7"/>
      <c r="OCS22" s="7"/>
      <c r="OCU22" s="7"/>
      <c r="OCW22" s="7"/>
      <c r="OCY22" s="7"/>
      <c r="ODA22" s="7"/>
      <c r="ODC22" s="7"/>
      <c r="ODE22" s="7"/>
      <c r="ODG22" s="7"/>
      <c r="ODI22" s="7"/>
      <c r="ODK22" s="7"/>
      <c r="ODM22" s="7"/>
      <c r="ODO22" s="7"/>
      <c r="ODQ22" s="7"/>
      <c r="ODS22" s="7"/>
      <c r="ODU22" s="7"/>
      <c r="ODW22" s="7"/>
      <c r="ODY22" s="7"/>
      <c r="OEA22" s="7"/>
      <c r="OEC22" s="7"/>
      <c r="OEE22" s="7"/>
      <c r="OEG22" s="7"/>
      <c r="OEI22" s="7"/>
      <c r="OEK22" s="7"/>
      <c r="OEM22" s="7"/>
      <c r="OEO22" s="7"/>
      <c r="OEQ22" s="7"/>
      <c r="OES22" s="7"/>
      <c r="OEU22" s="7"/>
      <c r="OEW22" s="7"/>
      <c r="OEY22" s="7"/>
      <c r="OFA22" s="7"/>
      <c r="OFC22" s="7"/>
      <c r="OFE22" s="7"/>
      <c r="OFG22" s="7"/>
      <c r="OFI22" s="7"/>
      <c r="OFK22" s="7"/>
      <c r="OFM22" s="7"/>
      <c r="OFO22" s="7"/>
      <c r="OFQ22" s="7"/>
      <c r="OFS22" s="7"/>
      <c r="OFU22" s="7"/>
      <c r="OFW22" s="7"/>
      <c r="OFY22" s="7"/>
      <c r="OGA22" s="7"/>
      <c r="OGC22" s="7"/>
      <c r="OGE22" s="7"/>
      <c r="OGG22" s="7"/>
      <c r="OGI22" s="7"/>
      <c r="OGK22" s="7"/>
      <c r="OGM22" s="7"/>
      <c r="OGO22" s="7"/>
      <c r="OGQ22" s="7"/>
      <c r="OGS22" s="7"/>
      <c r="OGU22" s="7"/>
      <c r="OGW22" s="7"/>
      <c r="OGY22" s="7"/>
      <c r="OHA22" s="7"/>
      <c r="OHC22" s="7"/>
      <c r="OHE22" s="7"/>
      <c r="OHG22" s="7"/>
      <c r="OHI22" s="7"/>
      <c r="OHK22" s="7"/>
      <c r="OHM22" s="7"/>
      <c r="OHO22" s="7"/>
      <c r="OHQ22" s="7"/>
      <c r="OHS22" s="7"/>
      <c r="OHU22" s="7"/>
      <c r="OHW22" s="7"/>
      <c r="OHY22" s="7"/>
      <c r="OIA22" s="7"/>
      <c r="OIC22" s="7"/>
      <c r="OIE22" s="7"/>
      <c r="OIG22" s="7"/>
      <c r="OII22" s="7"/>
      <c r="OIK22" s="7"/>
      <c r="OIM22" s="7"/>
      <c r="OIO22" s="7"/>
      <c r="OIQ22" s="7"/>
      <c r="OIS22" s="7"/>
      <c r="OIU22" s="7"/>
      <c r="OIW22" s="7"/>
      <c r="OIY22" s="7"/>
      <c r="OJA22" s="7"/>
      <c r="OJC22" s="7"/>
      <c r="OJE22" s="7"/>
      <c r="OJG22" s="7"/>
      <c r="OJI22" s="7"/>
      <c r="OJK22" s="7"/>
      <c r="OJM22" s="7"/>
      <c r="OJO22" s="7"/>
      <c r="OJQ22" s="7"/>
      <c r="OJS22" s="7"/>
      <c r="OJU22" s="7"/>
      <c r="OJW22" s="7"/>
      <c r="OJY22" s="7"/>
      <c r="OKA22" s="7"/>
      <c r="OKC22" s="7"/>
      <c r="OKE22" s="7"/>
      <c r="OKG22" s="7"/>
      <c r="OKI22" s="7"/>
      <c r="OKK22" s="7"/>
      <c r="OKM22" s="7"/>
      <c r="OKO22" s="7"/>
      <c r="OKQ22" s="7"/>
      <c r="OKS22" s="7"/>
      <c r="OKU22" s="7"/>
      <c r="OKW22" s="7"/>
      <c r="OKY22" s="7"/>
      <c r="OLA22" s="7"/>
      <c r="OLC22" s="7"/>
      <c r="OLE22" s="7"/>
      <c r="OLG22" s="7"/>
      <c r="OLI22" s="7"/>
      <c r="OLK22" s="7"/>
      <c r="OLM22" s="7"/>
      <c r="OLO22" s="7"/>
      <c r="OLQ22" s="7"/>
      <c r="OLS22" s="7"/>
      <c r="OLU22" s="7"/>
      <c r="OLW22" s="7"/>
      <c r="OLY22" s="7"/>
      <c r="OMA22" s="7"/>
      <c r="OMC22" s="7"/>
      <c r="OME22" s="7"/>
      <c r="OMG22" s="7"/>
      <c r="OMI22" s="7"/>
      <c r="OMK22" s="7"/>
      <c r="OMM22" s="7"/>
      <c r="OMO22" s="7"/>
      <c r="OMQ22" s="7"/>
      <c r="OMS22" s="7"/>
      <c r="OMU22" s="7"/>
      <c r="OMW22" s="7"/>
      <c r="OMY22" s="7"/>
      <c r="ONA22" s="7"/>
      <c r="ONC22" s="7"/>
      <c r="ONE22" s="7"/>
      <c r="ONG22" s="7"/>
      <c r="ONI22" s="7"/>
      <c r="ONK22" s="7"/>
      <c r="ONM22" s="7"/>
      <c r="ONO22" s="7"/>
      <c r="ONQ22" s="7"/>
      <c r="ONS22" s="7"/>
      <c r="ONU22" s="7"/>
      <c r="ONW22" s="7"/>
      <c r="ONY22" s="7"/>
      <c r="OOA22" s="7"/>
      <c r="OOC22" s="7"/>
      <c r="OOE22" s="7"/>
      <c r="OOG22" s="7"/>
      <c r="OOI22" s="7"/>
      <c r="OOK22" s="7"/>
      <c r="OOM22" s="7"/>
      <c r="OOO22" s="7"/>
      <c r="OOQ22" s="7"/>
      <c r="OOS22" s="7"/>
      <c r="OOU22" s="7"/>
      <c r="OOW22" s="7"/>
      <c r="OOY22" s="7"/>
      <c r="OPA22" s="7"/>
      <c r="OPC22" s="7"/>
      <c r="OPE22" s="7"/>
      <c r="OPG22" s="7"/>
      <c r="OPI22" s="7"/>
      <c r="OPK22" s="7"/>
      <c r="OPM22" s="7"/>
      <c r="OPO22" s="7"/>
      <c r="OPQ22" s="7"/>
      <c r="OPS22" s="7"/>
      <c r="OPU22" s="7"/>
      <c r="OPW22" s="7"/>
      <c r="OPY22" s="7"/>
      <c r="OQA22" s="7"/>
      <c r="OQC22" s="7"/>
      <c r="OQE22" s="7"/>
      <c r="OQG22" s="7"/>
      <c r="OQI22" s="7"/>
      <c r="OQK22" s="7"/>
      <c r="OQM22" s="7"/>
      <c r="OQO22" s="7"/>
      <c r="OQQ22" s="7"/>
      <c r="OQS22" s="7"/>
      <c r="OQU22" s="7"/>
      <c r="OQW22" s="7"/>
      <c r="OQY22" s="7"/>
      <c r="ORA22" s="7"/>
      <c r="ORC22" s="7"/>
      <c r="ORE22" s="7"/>
      <c r="ORG22" s="7"/>
      <c r="ORI22" s="7"/>
      <c r="ORK22" s="7"/>
      <c r="ORM22" s="7"/>
      <c r="ORO22" s="7"/>
      <c r="ORQ22" s="7"/>
      <c r="ORS22" s="7"/>
      <c r="ORU22" s="7"/>
      <c r="ORW22" s="7"/>
      <c r="ORY22" s="7"/>
      <c r="OSA22" s="7"/>
      <c r="OSC22" s="7"/>
      <c r="OSE22" s="7"/>
      <c r="OSG22" s="7"/>
      <c r="OSI22" s="7"/>
      <c r="OSK22" s="7"/>
      <c r="OSM22" s="7"/>
      <c r="OSO22" s="7"/>
      <c r="OSQ22" s="7"/>
      <c r="OSS22" s="7"/>
      <c r="OSU22" s="7"/>
      <c r="OSW22" s="7"/>
      <c r="OSY22" s="7"/>
      <c r="OTA22" s="7"/>
      <c r="OTC22" s="7"/>
      <c r="OTE22" s="7"/>
      <c r="OTG22" s="7"/>
      <c r="OTI22" s="7"/>
      <c r="OTK22" s="7"/>
      <c r="OTM22" s="7"/>
      <c r="OTO22" s="7"/>
      <c r="OTQ22" s="7"/>
      <c r="OTS22" s="7"/>
      <c r="OTU22" s="7"/>
      <c r="OTW22" s="7"/>
      <c r="OTY22" s="7"/>
      <c r="OUA22" s="7"/>
      <c r="OUC22" s="7"/>
      <c r="OUE22" s="7"/>
      <c r="OUG22" s="7"/>
      <c r="OUI22" s="7"/>
      <c r="OUK22" s="7"/>
      <c r="OUM22" s="7"/>
      <c r="OUO22" s="7"/>
      <c r="OUQ22" s="7"/>
      <c r="OUS22" s="7"/>
      <c r="OUU22" s="7"/>
      <c r="OUW22" s="7"/>
      <c r="OUY22" s="7"/>
      <c r="OVA22" s="7"/>
      <c r="OVC22" s="7"/>
      <c r="OVE22" s="7"/>
      <c r="OVG22" s="7"/>
      <c r="OVI22" s="7"/>
      <c r="OVK22" s="7"/>
      <c r="OVM22" s="7"/>
      <c r="OVO22" s="7"/>
      <c r="OVQ22" s="7"/>
      <c r="OVS22" s="7"/>
      <c r="OVU22" s="7"/>
      <c r="OVW22" s="7"/>
      <c r="OVY22" s="7"/>
      <c r="OWA22" s="7"/>
      <c r="OWC22" s="7"/>
      <c r="OWE22" s="7"/>
      <c r="OWG22" s="7"/>
      <c r="OWI22" s="7"/>
      <c r="OWK22" s="7"/>
      <c r="OWM22" s="7"/>
      <c r="OWO22" s="7"/>
      <c r="OWQ22" s="7"/>
      <c r="OWS22" s="7"/>
      <c r="OWU22" s="7"/>
      <c r="OWW22" s="7"/>
      <c r="OWY22" s="7"/>
      <c r="OXA22" s="7"/>
      <c r="OXC22" s="7"/>
      <c r="OXE22" s="7"/>
      <c r="OXG22" s="7"/>
      <c r="OXI22" s="7"/>
      <c r="OXK22" s="7"/>
      <c r="OXM22" s="7"/>
      <c r="OXO22" s="7"/>
      <c r="OXQ22" s="7"/>
      <c r="OXS22" s="7"/>
      <c r="OXU22" s="7"/>
      <c r="OXW22" s="7"/>
      <c r="OXY22" s="7"/>
      <c r="OYA22" s="7"/>
      <c r="OYC22" s="7"/>
      <c r="OYE22" s="7"/>
      <c r="OYG22" s="7"/>
      <c r="OYI22" s="7"/>
      <c r="OYK22" s="7"/>
      <c r="OYM22" s="7"/>
      <c r="OYO22" s="7"/>
      <c r="OYQ22" s="7"/>
      <c r="OYS22" s="7"/>
      <c r="OYU22" s="7"/>
      <c r="OYW22" s="7"/>
      <c r="OYY22" s="7"/>
      <c r="OZA22" s="7"/>
      <c r="OZC22" s="7"/>
      <c r="OZE22" s="7"/>
      <c r="OZG22" s="7"/>
      <c r="OZI22" s="7"/>
      <c r="OZK22" s="7"/>
      <c r="OZM22" s="7"/>
      <c r="OZO22" s="7"/>
      <c r="OZQ22" s="7"/>
      <c r="OZS22" s="7"/>
      <c r="OZU22" s="7"/>
      <c r="OZW22" s="7"/>
      <c r="OZY22" s="7"/>
      <c r="PAA22" s="7"/>
      <c r="PAC22" s="7"/>
      <c r="PAE22" s="7"/>
      <c r="PAG22" s="7"/>
      <c r="PAI22" s="7"/>
      <c r="PAK22" s="7"/>
      <c r="PAM22" s="7"/>
      <c r="PAO22" s="7"/>
      <c r="PAQ22" s="7"/>
      <c r="PAS22" s="7"/>
      <c r="PAU22" s="7"/>
      <c r="PAW22" s="7"/>
      <c r="PAY22" s="7"/>
      <c r="PBA22" s="7"/>
      <c r="PBC22" s="7"/>
      <c r="PBE22" s="7"/>
      <c r="PBG22" s="7"/>
      <c r="PBI22" s="7"/>
      <c r="PBK22" s="7"/>
      <c r="PBM22" s="7"/>
      <c r="PBO22" s="7"/>
      <c r="PBQ22" s="7"/>
      <c r="PBS22" s="7"/>
      <c r="PBU22" s="7"/>
      <c r="PBW22" s="7"/>
      <c r="PBY22" s="7"/>
      <c r="PCA22" s="7"/>
      <c r="PCC22" s="7"/>
      <c r="PCE22" s="7"/>
      <c r="PCG22" s="7"/>
      <c r="PCI22" s="7"/>
      <c r="PCK22" s="7"/>
      <c r="PCM22" s="7"/>
      <c r="PCO22" s="7"/>
      <c r="PCQ22" s="7"/>
      <c r="PCS22" s="7"/>
      <c r="PCU22" s="7"/>
      <c r="PCW22" s="7"/>
      <c r="PCY22" s="7"/>
      <c r="PDA22" s="7"/>
      <c r="PDC22" s="7"/>
      <c r="PDE22" s="7"/>
      <c r="PDG22" s="7"/>
      <c r="PDI22" s="7"/>
      <c r="PDK22" s="7"/>
      <c r="PDM22" s="7"/>
      <c r="PDO22" s="7"/>
      <c r="PDQ22" s="7"/>
      <c r="PDS22" s="7"/>
      <c r="PDU22" s="7"/>
      <c r="PDW22" s="7"/>
      <c r="PDY22" s="7"/>
      <c r="PEA22" s="7"/>
      <c r="PEC22" s="7"/>
      <c r="PEE22" s="7"/>
      <c r="PEG22" s="7"/>
      <c r="PEI22" s="7"/>
      <c r="PEK22" s="7"/>
      <c r="PEM22" s="7"/>
      <c r="PEO22" s="7"/>
      <c r="PEQ22" s="7"/>
      <c r="PES22" s="7"/>
      <c r="PEU22" s="7"/>
      <c r="PEW22" s="7"/>
      <c r="PEY22" s="7"/>
      <c r="PFA22" s="7"/>
      <c r="PFC22" s="7"/>
      <c r="PFE22" s="7"/>
      <c r="PFG22" s="7"/>
      <c r="PFI22" s="7"/>
      <c r="PFK22" s="7"/>
      <c r="PFM22" s="7"/>
      <c r="PFO22" s="7"/>
      <c r="PFQ22" s="7"/>
      <c r="PFS22" s="7"/>
      <c r="PFU22" s="7"/>
      <c r="PFW22" s="7"/>
      <c r="PFY22" s="7"/>
      <c r="PGA22" s="7"/>
      <c r="PGC22" s="7"/>
      <c r="PGE22" s="7"/>
      <c r="PGG22" s="7"/>
      <c r="PGI22" s="7"/>
      <c r="PGK22" s="7"/>
      <c r="PGM22" s="7"/>
      <c r="PGO22" s="7"/>
      <c r="PGQ22" s="7"/>
      <c r="PGS22" s="7"/>
      <c r="PGU22" s="7"/>
      <c r="PGW22" s="7"/>
      <c r="PGY22" s="7"/>
      <c r="PHA22" s="7"/>
      <c r="PHC22" s="7"/>
      <c r="PHE22" s="7"/>
      <c r="PHG22" s="7"/>
      <c r="PHI22" s="7"/>
      <c r="PHK22" s="7"/>
      <c r="PHM22" s="7"/>
      <c r="PHO22" s="7"/>
      <c r="PHQ22" s="7"/>
      <c r="PHS22" s="7"/>
      <c r="PHU22" s="7"/>
      <c r="PHW22" s="7"/>
      <c r="PHY22" s="7"/>
      <c r="PIA22" s="7"/>
      <c r="PIC22" s="7"/>
      <c r="PIE22" s="7"/>
      <c r="PIG22" s="7"/>
      <c r="PII22" s="7"/>
      <c r="PIK22" s="7"/>
      <c r="PIM22" s="7"/>
      <c r="PIO22" s="7"/>
      <c r="PIQ22" s="7"/>
      <c r="PIS22" s="7"/>
      <c r="PIU22" s="7"/>
      <c r="PIW22" s="7"/>
      <c r="PIY22" s="7"/>
      <c r="PJA22" s="7"/>
      <c r="PJC22" s="7"/>
      <c r="PJE22" s="7"/>
      <c r="PJG22" s="7"/>
      <c r="PJI22" s="7"/>
      <c r="PJK22" s="7"/>
      <c r="PJM22" s="7"/>
      <c r="PJO22" s="7"/>
      <c r="PJQ22" s="7"/>
      <c r="PJS22" s="7"/>
      <c r="PJU22" s="7"/>
      <c r="PJW22" s="7"/>
      <c r="PJY22" s="7"/>
      <c r="PKA22" s="7"/>
      <c r="PKC22" s="7"/>
      <c r="PKE22" s="7"/>
      <c r="PKG22" s="7"/>
      <c r="PKI22" s="7"/>
      <c r="PKK22" s="7"/>
      <c r="PKM22" s="7"/>
      <c r="PKO22" s="7"/>
      <c r="PKQ22" s="7"/>
      <c r="PKS22" s="7"/>
      <c r="PKU22" s="7"/>
      <c r="PKW22" s="7"/>
      <c r="PKY22" s="7"/>
      <c r="PLA22" s="7"/>
      <c r="PLC22" s="7"/>
      <c r="PLE22" s="7"/>
      <c r="PLG22" s="7"/>
      <c r="PLI22" s="7"/>
      <c r="PLK22" s="7"/>
      <c r="PLM22" s="7"/>
      <c r="PLO22" s="7"/>
      <c r="PLQ22" s="7"/>
      <c r="PLS22" s="7"/>
      <c r="PLU22" s="7"/>
      <c r="PLW22" s="7"/>
      <c r="PLY22" s="7"/>
      <c r="PMA22" s="7"/>
      <c r="PMC22" s="7"/>
      <c r="PME22" s="7"/>
      <c r="PMG22" s="7"/>
      <c r="PMI22" s="7"/>
      <c r="PMK22" s="7"/>
      <c r="PMM22" s="7"/>
      <c r="PMO22" s="7"/>
      <c r="PMQ22" s="7"/>
      <c r="PMS22" s="7"/>
      <c r="PMU22" s="7"/>
      <c r="PMW22" s="7"/>
      <c r="PMY22" s="7"/>
      <c r="PNA22" s="7"/>
      <c r="PNC22" s="7"/>
      <c r="PNE22" s="7"/>
      <c r="PNG22" s="7"/>
      <c r="PNI22" s="7"/>
      <c r="PNK22" s="7"/>
      <c r="PNM22" s="7"/>
      <c r="PNO22" s="7"/>
      <c r="PNQ22" s="7"/>
      <c r="PNS22" s="7"/>
      <c r="PNU22" s="7"/>
      <c r="PNW22" s="7"/>
      <c r="PNY22" s="7"/>
      <c r="POA22" s="7"/>
      <c r="POC22" s="7"/>
      <c r="POE22" s="7"/>
      <c r="POG22" s="7"/>
      <c r="POI22" s="7"/>
      <c r="POK22" s="7"/>
      <c r="POM22" s="7"/>
      <c r="POO22" s="7"/>
      <c r="POQ22" s="7"/>
      <c r="POS22" s="7"/>
      <c r="POU22" s="7"/>
      <c r="POW22" s="7"/>
      <c r="POY22" s="7"/>
      <c r="PPA22" s="7"/>
      <c r="PPC22" s="7"/>
      <c r="PPE22" s="7"/>
      <c r="PPG22" s="7"/>
      <c r="PPI22" s="7"/>
      <c r="PPK22" s="7"/>
      <c r="PPM22" s="7"/>
      <c r="PPO22" s="7"/>
      <c r="PPQ22" s="7"/>
      <c r="PPS22" s="7"/>
      <c r="PPU22" s="7"/>
      <c r="PPW22" s="7"/>
      <c r="PPY22" s="7"/>
      <c r="PQA22" s="7"/>
      <c r="PQC22" s="7"/>
      <c r="PQE22" s="7"/>
      <c r="PQG22" s="7"/>
      <c r="PQI22" s="7"/>
      <c r="PQK22" s="7"/>
      <c r="PQM22" s="7"/>
      <c r="PQO22" s="7"/>
      <c r="PQQ22" s="7"/>
      <c r="PQS22" s="7"/>
      <c r="PQU22" s="7"/>
      <c r="PQW22" s="7"/>
      <c r="PQY22" s="7"/>
      <c r="PRA22" s="7"/>
      <c r="PRC22" s="7"/>
      <c r="PRE22" s="7"/>
      <c r="PRG22" s="7"/>
      <c r="PRI22" s="7"/>
      <c r="PRK22" s="7"/>
      <c r="PRM22" s="7"/>
      <c r="PRO22" s="7"/>
      <c r="PRQ22" s="7"/>
      <c r="PRS22" s="7"/>
      <c r="PRU22" s="7"/>
      <c r="PRW22" s="7"/>
      <c r="PRY22" s="7"/>
      <c r="PSA22" s="7"/>
      <c r="PSC22" s="7"/>
      <c r="PSE22" s="7"/>
      <c r="PSG22" s="7"/>
      <c r="PSI22" s="7"/>
      <c r="PSK22" s="7"/>
      <c r="PSM22" s="7"/>
      <c r="PSO22" s="7"/>
      <c r="PSQ22" s="7"/>
      <c r="PSS22" s="7"/>
      <c r="PSU22" s="7"/>
      <c r="PSW22" s="7"/>
      <c r="PSY22" s="7"/>
      <c r="PTA22" s="7"/>
      <c r="PTC22" s="7"/>
      <c r="PTE22" s="7"/>
      <c r="PTG22" s="7"/>
      <c r="PTI22" s="7"/>
      <c r="PTK22" s="7"/>
      <c r="PTM22" s="7"/>
      <c r="PTO22" s="7"/>
      <c r="PTQ22" s="7"/>
      <c r="PTS22" s="7"/>
      <c r="PTU22" s="7"/>
      <c r="PTW22" s="7"/>
      <c r="PTY22" s="7"/>
      <c r="PUA22" s="7"/>
      <c r="PUC22" s="7"/>
      <c r="PUE22" s="7"/>
      <c r="PUG22" s="7"/>
      <c r="PUI22" s="7"/>
      <c r="PUK22" s="7"/>
      <c r="PUM22" s="7"/>
      <c r="PUO22" s="7"/>
      <c r="PUQ22" s="7"/>
      <c r="PUS22" s="7"/>
      <c r="PUU22" s="7"/>
      <c r="PUW22" s="7"/>
      <c r="PUY22" s="7"/>
      <c r="PVA22" s="7"/>
      <c r="PVC22" s="7"/>
      <c r="PVE22" s="7"/>
      <c r="PVG22" s="7"/>
      <c r="PVI22" s="7"/>
      <c r="PVK22" s="7"/>
      <c r="PVM22" s="7"/>
      <c r="PVO22" s="7"/>
      <c r="PVQ22" s="7"/>
      <c r="PVS22" s="7"/>
      <c r="PVU22" s="7"/>
      <c r="PVW22" s="7"/>
      <c r="PVY22" s="7"/>
      <c r="PWA22" s="7"/>
      <c r="PWC22" s="7"/>
      <c r="PWE22" s="7"/>
      <c r="PWG22" s="7"/>
      <c r="PWI22" s="7"/>
      <c r="PWK22" s="7"/>
      <c r="PWM22" s="7"/>
      <c r="PWO22" s="7"/>
      <c r="PWQ22" s="7"/>
      <c r="PWS22" s="7"/>
      <c r="PWU22" s="7"/>
      <c r="PWW22" s="7"/>
      <c r="PWY22" s="7"/>
      <c r="PXA22" s="7"/>
      <c r="PXC22" s="7"/>
      <c r="PXE22" s="7"/>
      <c r="PXG22" s="7"/>
      <c r="PXI22" s="7"/>
      <c r="PXK22" s="7"/>
      <c r="PXM22" s="7"/>
      <c r="PXO22" s="7"/>
      <c r="PXQ22" s="7"/>
      <c r="PXS22" s="7"/>
      <c r="PXU22" s="7"/>
      <c r="PXW22" s="7"/>
      <c r="PXY22" s="7"/>
      <c r="PYA22" s="7"/>
      <c r="PYC22" s="7"/>
      <c r="PYE22" s="7"/>
      <c r="PYG22" s="7"/>
      <c r="PYI22" s="7"/>
      <c r="PYK22" s="7"/>
      <c r="PYM22" s="7"/>
      <c r="PYO22" s="7"/>
      <c r="PYQ22" s="7"/>
      <c r="PYS22" s="7"/>
      <c r="PYU22" s="7"/>
      <c r="PYW22" s="7"/>
      <c r="PYY22" s="7"/>
      <c r="PZA22" s="7"/>
      <c r="PZC22" s="7"/>
      <c r="PZE22" s="7"/>
      <c r="PZG22" s="7"/>
      <c r="PZI22" s="7"/>
      <c r="PZK22" s="7"/>
      <c r="PZM22" s="7"/>
      <c r="PZO22" s="7"/>
      <c r="PZQ22" s="7"/>
      <c r="PZS22" s="7"/>
      <c r="PZU22" s="7"/>
      <c r="PZW22" s="7"/>
      <c r="PZY22" s="7"/>
      <c r="QAA22" s="7"/>
      <c r="QAC22" s="7"/>
      <c r="QAE22" s="7"/>
      <c r="QAG22" s="7"/>
      <c r="QAI22" s="7"/>
      <c r="QAK22" s="7"/>
      <c r="QAM22" s="7"/>
      <c r="QAO22" s="7"/>
      <c r="QAQ22" s="7"/>
      <c r="QAS22" s="7"/>
      <c r="QAU22" s="7"/>
      <c r="QAW22" s="7"/>
      <c r="QAY22" s="7"/>
      <c r="QBA22" s="7"/>
      <c r="QBC22" s="7"/>
      <c r="QBE22" s="7"/>
      <c r="QBG22" s="7"/>
      <c r="QBI22" s="7"/>
      <c r="QBK22" s="7"/>
      <c r="QBM22" s="7"/>
      <c r="QBO22" s="7"/>
      <c r="QBQ22" s="7"/>
      <c r="QBS22" s="7"/>
      <c r="QBU22" s="7"/>
      <c r="QBW22" s="7"/>
      <c r="QBY22" s="7"/>
      <c r="QCA22" s="7"/>
      <c r="QCC22" s="7"/>
      <c r="QCE22" s="7"/>
      <c r="QCG22" s="7"/>
      <c r="QCI22" s="7"/>
      <c r="QCK22" s="7"/>
      <c r="QCM22" s="7"/>
      <c r="QCO22" s="7"/>
      <c r="QCQ22" s="7"/>
      <c r="QCS22" s="7"/>
      <c r="QCU22" s="7"/>
      <c r="QCW22" s="7"/>
      <c r="QCY22" s="7"/>
      <c r="QDA22" s="7"/>
      <c r="QDC22" s="7"/>
      <c r="QDE22" s="7"/>
      <c r="QDG22" s="7"/>
      <c r="QDI22" s="7"/>
      <c r="QDK22" s="7"/>
      <c r="QDM22" s="7"/>
      <c r="QDO22" s="7"/>
      <c r="QDQ22" s="7"/>
      <c r="QDS22" s="7"/>
      <c r="QDU22" s="7"/>
      <c r="QDW22" s="7"/>
      <c r="QDY22" s="7"/>
      <c r="QEA22" s="7"/>
      <c r="QEC22" s="7"/>
      <c r="QEE22" s="7"/>
      <c r="QEG22" s="7"/>
      <c r="QEI22" s="7"/>
      <c r="QEK22" s="7"/>
      <c r="QEM22" s="7"/>
      <c r="QEO22" s="7"/>
      <c r="QEQ22" s="7"/>
      <c r="QES22" s="7"/>
      <c r="QEU22" s="7"/>
      <c r="QEW22" s="7"/>
      <c r="QEY22" s="7"/>
      <c r="QFA22" s="7"/>
      <c r="QFC22" s="7"/>
      <c r="QFE22" s="7"/>
      <c r="QFG22" s="7"/>
      <c r="QFI22" s="7"/>
      <c r="QFK22" s="7"/>
      <c r="QFM22" s="7"/>
      <c r="QFO22" s="7"/>
      <c r="QFQ22" s="7"/>
      <c r="QFS22" s="7"/>
      <c r="QFU22" s="7"/>
      <c r="QFW22" s="7"/>
      <c r="QFY22" s="7"/>
      <c r="QGA22" s="7"/>
      <c r="QGC22" s="7"/>
      <c r="QGE22" s="7"/>
      <c r="QGG22" s="7"/>
      <c r="QGI22" s="7"/>
      <c r="QGK22" s="7"/>
      <c r="QGM22" s="7"/>
      <c r="QGO22" s="7"/>
      <c r="QGQ22" s="7"/>
      <c r="QGS22" s="7"/>
      <c r="QGU22" s="7"/>
      <c r="QGW22" s="7"/>
      <c r="QGY22" s="7"/>
      <c r="QHA22" s="7"/>
      <c r="QHC22" s="7"/>
      <c r="QHE22" s="7"/>
      <c r="QHG22" s="7"/>
      <c r="QHI22" s="7"/>
      <c r="QHK22" s="7"/>
      <c r="QHM22" s="7"/>
      <c r="QHO22" s="7"/>
      <c r="QHQ22" s="7"/>
      <c r="QHS22" s="7"/>
      <c r="QHU22" s="7"/>
      <c r="QHW22" s="7"/>
      <c r="QHY22" s="7"/>
      <c r="QIA22" s="7"/>
      <c r="QIC22" s="7"/>
      <c r="QIE22" s="7"/>
      <c r="QIG22" s="7"/>
      <c r="QII22" s="7"/>
      <c r="QIK22" s="7"/>
      <c r="QIM22" s="7"/>
      <c r="QIO22" s="7"/>
      <c r="QIQ22" s="7"/>
      <c r="QIS22" s="7"/>
      <c r="QIU22" s="7"/>
      <c r="QIW22" s="7"/>
      <c r="QIY22" s="7"/>
      <c r="QJA22" s="7"/>
      <c r="QJC22" s="7"/>
      <c r="QJE22" s="7"/>
      <c r="QJG22" s="7"/>
      <c r="QJI22" s="7"/>
      <c r="QJK22" s="7"/>
      <c r="QJM22" s="7"/>
      <c r="QJO22" s="7"/>
      <c r="QJQ22" s="7"/>
      <c r="QJS22" s="7"/>
      <c r="QJU22" s="7"/>
      <c r="QJW22" s="7"/>
      <c r="QJY22" s="7"/>
      <c r="QKA22" s="7"/>
      <c r="QKC22" s="7"/>
      <c r="QKE22" s="7"/>
      <c r="QKG22" s="7"/>
      <c r="QKI22" s="7"/>
      <c r="QKK22" s="7"/>
      <c r="QKM22" s="7"/>
      <c r="QKO22" s="7"/>
      <c r="QKQ22" s="7"/>
      <c r="QKS22" s="7"/>
      <c r="QKU22" s="7"/>
      <c r="QKW22" s="7"/>
      <c r="QKY22" s="7"/>
      <c r="QLA22" s="7"/>
      <c r="QLC22" s="7"/>
      <c r="QLE22" s="7"/>
      <c r="QLG22" s="7"/>
      <c r="QLI22" s="7"/>
      <c r="QLK22" s="7"/>
      <c r="QLM22" s="7"/>
      <c r="QLO22" s="7"/>
      <c r="QLQ22" s="7"/>
      <c r="QLS22" s="7"/>
      <c r="QLU22" s="7"/>
      <c r="QLW22" s="7"/>
      <c r="QLY22" s="7"/>
      <c r="QMA22" s="7"/>
      <c r="QMC22" s="7"/>
      <c r="QME22" s="7"/>
      <c r="QMG22" s="7"/>
      <c r="QMI22" s="7"/>
      <c r="QMK22" s="7"/>
      <c r="QMM22" s="7"/>
      <c r="QMO22" s="7"/>
      <c r="QMQ22" s="7"/>
      <c r="QMS22" s="7"/>
      <c r="QMU22" s="7"/>
      <c r="QMW22" s="7"/>
      <c r="QMY22" s="7"/>
      <c r="QNA22" s="7"/>
      <c r="QNC22" s="7"/>
      <c r="QNE22" s="7"/>
      <c r="QNG22" s="7"/>
      <c r="QNI22" s="7"/>
      <c r="QNK22" s="7"/>
      <c r="QNM22" s="7"/>
      <c r="QNO22" s="7"/>
      <c r="QNQ22" s="7"/>
      <c r="QNS22" s="7"/>
      <c r="QNU22" s="7"/>
      <c r="QNW22" s="7"/>
      <c r="QNY22" s="7"/>
      <c r="QOA22" s="7"/>
      <c r="QOC22" s="7"/>
      <c r="QOE22" s="7"/>
      <c r="QOG22" s="7"/>
      <c r="QOI22" s="7"/>
      <c r="QOK22" s="7"/>
      <c r="QOM22" s="7"/>
      <c r="QOO22" s="7"/>
      <c r="QOQ22" s="7"/>
      <c r="QOS22" s="7"/>
      <c r="QOU22" s="7"/>
      <c r="QOW22" s="7"/>
      <c r="QOY22" s="7"/>
      <c r="QPA22" s="7"/>
      <c r="QPC22" s="7"/>
      <c r="QPE22" s="7"/>
      <c r="QPG22" s="7"/>
      <c r="QPI22" s="7"/>
      <c r="QPK22" s="7"/>
      <c r="QPM22" s="7"/>
      <c r="QPO22" s="7"/>
      <c r="QPQ22" s="7"/>
      <c r="QPS22" s="7"/>
      <c r="QPU22" s="7"/>
      <c r="QPW22" s="7"/>
      <c r="QPY22" s="7"/>
      <c r="QQA22" s="7"/>
      <c r="QQC22" s="7"/>
      <c r="QQE22" s="7"/>
      <c r="QQG22" s="7"/>
      <c r="QQI22" s="7"/>
      <c r="QQK22" s="7"/>
      <c r="QQM22" s="7"/>
      <c r="QQO22" s="7"/>
      <c r="QQQ22" s="7"/>
      <c r="QQS22" s="7"/>
      <c r="QQU22" s="7"/>
      <c r="QQW22" s="7"/>
      <c r="QQY22" s="7"/>
      <c r="QRA22" s="7"/>
      <c r="QRC22" s="7"/>
      <c r="QRE22" s="7"/>
      <c r="QRG22" s="7"/>
      <c r="QRI22" s="7"/>
      <c r="QRK22" s="7"/>
      <c r="QRM22" s="7"/>
      <c r="QRO22" s="7"/>
      <c r="QRQ22" s="7"/>
      <c r="QRS22" s="7"/>
      <c r="QRU22" s="7"/>
      <c r="QRW22" s="7"/>
      <c r="QRY22" s="7"/>
      <c r="QSA22" s="7"/>
      <c r="QSC22" s="7"/>
      <c r="QSE22" s="7"/>
      <c r="QSG22" s="7"/>
      <c r="QSI22" s="7"/>
      <c r="QSK22" s="7"/>
      <c r="QSM22" s="7"/>
      <c r="QSO22" s="7"/>
      <c r="QSQ22" s="7"/>
      <c r="QSS22" s="7"/>
      <c r="QSU22" s="7"/>
      <c r="QSW22" s="7"/>
      <c r="QSY22" s="7"/>
      <c r="QTA22" s="7"/>
      <c r="QTC22" s="7"/>
      <c r="QTE22" s="7"/>
      <c r="QTG22" s="7"/>
      <c r="QTI22" s="7"/>
      <c r="QTK22" s="7"/>
      <c r="QTM22" s="7"/>
      <c r="QTO22" s="7"/>
      <c r="QTQ22" s="7"/>
      <c r="QTS22" s="7"/>
      <c r="QTU22" s="7"/>
      <c r="QTW22" s="7"/>
      <c r="QTY22" s="7"/>
      <c r="QUA22" s="7"/>
      <c r="QUC22" s="7"/>
      <c r="QUE22" s="7"/>
      <c r="QUG22" s="7"/>
      <c r="QUI22" s="7"/>
      <c r="QUK22" s="7"/>
      <c r="QUM22" s="7"/>
      <c r="QUO22" s="7"/>
      <c r="QUQ22" s="7"/>
      <c r="QUS22" s="7"/>
      <c r="QUU22" s="7"/>
      <c r="QUW22" s="7"/>
      <c r="QUY22" s="7"/>
      <c r="QVA22" s="7"/>
      <c r="QVC22" s="7"/>
      <c r="QVE22" s="7"/>
      <c r="QVG22" s="7"/>
      <c r="QVI22" s="7"/>
      <c r="QVK22" s="7"/>
      <c r="QVM22" s="7"/>
      <c r="QVO22" s="7"/>
      <c r="QVQ22" s="7"/>
      <c r="QVS22" s="7"/>
      <c r="QVU22" s="7"/>
      <c r="QVW22" s="7"/>
      <c r="QVY22" s="7"/>
      <c r="QWA22" s="7"/>
      <c r="QWC22" s="7"/>
      <c r="QWE22" s="7"/>
      <c r="QWG22" s="7"/>
      <c r="QWI22" s="7"/>
      <c r="QWK22" s="7"/>
      <c r="QWM22" s="7"/>
      <c r="QWO22" s="7"/>
      <c r="QWQ22" s="7"/>
      <c r="QWS22" s="7"/>
      <c r="QWU22" s="7"/>
      <c r="QWW22" s="7"/>
      <c r="QWY22" s="7"/>
      <c r="QXA22" s="7"/>
      <c r="QXC22" s="7"/>
      <c r="QXE22" s="7"/>
      <c r="QXG22" s="7"/>
      <c r="QXI22" s="7"/>
      <c r="QXK22" s="7"/>
      <c r="QXM22" s="7"/>
      <c r="QXO22" s="7"/>
      <c r="QXQ22" s="7"/>
      <c r="QXS22" s="7"/>
      <c r="QXU22" s="7"/>
      <c r="QXW22" s="7"/>
      <c r="QXY22" s="7"/>
      <c r="QYA22" s="7"/>
      <c r="QYC22" s="7"/>
      <c r="QYE22" s="7"/>
      <c r="QYG22" s="7"/>
      <c r="QYI22" s="7"/>
      <c r="QYK22" s="7"/>
      <c r="QYM22" s="7"/>
      <c r="QYO22" s="7"/>
      <c r="QYQ22" s="7"/>
      <c r="QYS22" s="7"/>
      <c r="QYU22" s="7"/>
      <c r="QYW22" s="7"/>
      <c r="QYY22" s="7"/>
      <c r="QZA22" s="7"/>
      <c r="QZC22" s="7"/>
      <c r="QZE22" s="7"/>
      <c r="QZG22" s="7"/>
      <c r="QZI22" s="7"/>
      <c r="QZK22" s="7"/>
      <c r="QZM22" s="7"/>
      <c r="QZO22" s="7"/>
      <c r="QZQ22" s="7"/>
      <c r="QZS22" s="7"/>
      <c r="QZU22" s="7"/>
      <c r="QZW22" s="7"/>
      <c r="QZY22" s="7"/>
      <c r="RAA22" s="7"/>
      <c r="RAC22" s="7"/>
      <c r="RAE22" s="7"/>
      <c r="RAG22" s="7"/>
      <c r="RAI22" s="7"/>
      <c r="RAK22" s="7"/>
      <c r="RAM22" s="7"/>
      <c r="RAO22" s="7"/>
      <c r="RAQ22" s="7"/>
      <c r="RAS22" s="7"/>
      <c r="RAU22" s="7"/>
      <c r="RAW22" s="7"/>
      <c r="RAY22" s="7"/>
      <c r="RBA22" s="7"/>
      <c r="RBC22" s="7"/>
      <c r="RBE22" s="7"/>
      <c r="RBG22" s="7"/>
      <c r="RBI22" s="7"/>
      <c r="RBK22" s="7"/>
      <c r="RBM22" s="7"/>
      <c r="RBO22" s="7"/>
      <c r="RBQ22" s="7"/>
      <c r="RBS22" s="7"/>
      <c r="RBU22" s="7"/>
      <c r="RBW22" s="7"/>
      <c r="RBY22" s="7"/>
      <c r="RCA22" s="7"/>
      <c r="RCC22" s="7"/>
      <c r="RCE22" s="7"/>
      <c r="RCG22" s="7"/>
      <c r="RCI22" s="7"/>
      <c r="RCK22" s="7"/>
      <c r="RCM22" s="7"/>
      <c r="RCO22" s="7"/>
      <c r="RCQ22" s="7"/>
      <c r="RCS22" s="7"/>
      <c r="RCU22" s="7"/>
      <c r="RCW22" s="7"/>
      <c r="RCY22" s="7"/>
      <c r="RDA22" s="7"/>
      <c r="RDC22" s="7"/>
      <c r="RDE22" s="7"/>
      <c r="RDG22" s="7"/>
      <c r="RDI22" s="7"/>
      <c r="RDK22" s="7"/>
      <c r="RDM22" s="7"/>
      <c r="RDO22" s="7"/>
      <c r="RDQ22" s="7"/>
      <c r="RDS22" s="7"/>
      <c r="RDU22" s="7"/>
      <c r="RDW22" s="7"/>
      <c r="RDY22" s="7"/>
      <c r="REA22" s="7"/>
      <c r="REC22" s="7"/>
      <c r="REE22" s="7"/>
      <c r="REG22" s="7"/>
      <c r="REI22" s="7"/>
      <c r="REK22" s="7"/>
      <c r="REM22" s="7"/>
      <c r="REO22" s="7"/>
      <c r="REQ22" s="7"/>
      <c r="RES22" s="7"/>
      <c r="REU22" s="7"/>
      <c r="REW22" s="7"/>
      <c r="REY22" s="7"/>
      <c r="RFA22" s="7"/>
      <c r="RFC22" s="7"/>
      <c r="RFE22" s="7"/>
      <c r="RFG22" s="7"/>
      <c r="RFI22" s="7"/>
      <c r="RFK22" s="7"/>
      <c r="RFM22" s="7"/>
      <c r="RFO22" s="7"/>
      <c r="RFQ22" s="7"/>
      <c r="RFS22" s="7"/>
      <c r="RFU22" s="7"/>
      <c r="RFW22" s="7"/>
      <c r="RFY22" s="7"/>
      <c r="RGA22" s="7"/>
      <c r="RGC22" s="7"/>
      <c r="RGE22" s="7"/>
      <c r="RGG22" s="7"/>
      <c r="RGI22" s="7"/>
      <c r="RGK22" s="7"/>
      <c r="RGM22" s="7"/>
      <c r="RGO22" s="7"/>
      <c r="RGQ22" s="7"/>
      <c r="RGS22" s="7"/>
      <c r="RGU22" s="7"/>
      <c r="RGW22" s="7"/>
      <c r="RGY22" s="7"/>
      <c r="RHA22" s="7"/>
      <c r="RHC22" s="7"/>
      <c r="RHE22" s="7"/>
      <c r="RHG22" s="7"/>
      <c r="RHI22" s="7"/>
      <c r="RHK22" s="7"/>
      <c r="RHM22" s="7"/>
      <c r="RHO22" s="7"/>
      <c r="RHQ22" s="7"/>
      <c r="RHS22" s="7"/>
      <c r="RHU22" s="7"/>
      <c r="RHW22" s="7"/>
      <c r="RHY22" s="7"/>
      <c r="RIA22" s="7"/>
      <c r="RIC22" s="7"/>
      <c r="RIE22" s="7"/>
      <c r="RIG22" s="7"/>
      <c r="RII22" s="7"/>
      <c r="RIK22" s="7"/>
      <c r="RIM22" s="7"/>
      <c r="RIO22" s="7"/>
      <c r="RIQ22" s="7"/>
      <c r="RIS22" s="7"/>
      <c r="RIU22" s="7"/>
      <c r="RIW22" s="7"/>
      <c r="RIY22" s="7"/>
      <c r="RJA22" s="7"/>
      <c r="RJC22" s="7"/>
      <c r="RJE22" s="7"/>
      <c r="RJG22" s="7"/>
      <c r="RJI22" s="7"/>
      <c r="RJK22" s="7"/>
      <c r="RJM22" s="7"/>
      <c r="RJO22" s="7"/>
      <c r="RJQ22" s="7"/>
      <c r="RJS22" s="7"/>
      <c r="RJU22" s="7"/>
      <c r="RJW22" s="7"/>
      <c r="RJY22" s="7"/>
      <c r="RKA22" s="7"/>
      <c r="RKC22" s="7"/>
      <c r="RKE22" s="7"/>
      <c r="RKG22" s="7"/>
      <c r="RKI22" s="7"/>
      <c r="RKK22" s="7"/>
      <c r="RKM22" s="7"/>
      <c r="RKO22" s="7"/>
      <c r="RKQ22" s="7"/>
      <c r="RKS22" s="7"/>
      <c r="RKU22" s="7"/>
      <c r="RKW22" s="7"/>
      <c r="RKY22" s="7"/>
      <c r="RLA22" s="7"/>
      <c r="RLC22" s="7"/>
      <c r="RLE22" s="7"/>
      <c r="RLG22" s="7"/>
      <c r="RLI22" s="7"/>
      <c r="RLK22" s="7"/>
      <c r="RLM22" s="7"/>
      <c r="RLO22" s="7"/>
      <c r="RLQ22" s="7"/>
      <c r="RLS22" s="7"/>
      <c r="RLU22" s="7"/>
      <c r="RLW22" s="7"/>
      <c r="RLY22" s="7"/>
      <c r="RMA22" s="7"/>
      <c r="RMC22" s="7"/>
      <c r="RME22" s="7"/>
      <c r="RMG22" s="7"/>
      <c r="RMI22" s="7"/>
      <c r="RMK22" s="7"/>
      <c r="RMM22" s="7"/>
      <c r="RMO22" s="7"/>
      <c r="RMQ22" s="7"/>
      <c r="RMS22" s="7"/>
      <c r="RMU22" s="7"/>
      <c r="RMW22" s="7"/>
      <c r="RMY22" s="7"/>
      <c r="RNA22" s="7"/>
      <c r="RNC22" s="7"/>
      <c r="RNE22" s="7"/>
      <c r="RNG22" s="7"/>
      <c r="RNI22" s="7"/>
      <c r="RNK22" s="7"/>
      <c r="RNM22" s="7"/>
      <c r="RNO22" s="7"/>
      <c r="RNQ22" s="7"/>
      <c r="RNS22" s="7"/>
      <c r="RNU22" s="7"/>
      <c r="RNW22" s="7"/>
      <c r="RNY22" s="7"/>
      <c r="ROA22" s="7"/>
      <c r="ROC22" s="7"/>
      <c r="ROE22" s="7"/>
      <c r="ROG22" s="7"/>
      <c r="ROI22" s="7"/>
      <c r="ROK22" s="7"/>
      <c r="ROM22" s="7"/>
      <c r="ROO22" s="7"/>
      <c r="ROQ22" s="7"/>
      <c r="ROS22" s="7"/>
      <c r="ROU22" s="7"/>
      <c r="ROW22" s="7"/>
      <c r="ROY22" s="7"/>
      <c r="RPA22" s="7"/>
      <c r="RPC22" s="7"/>
      <c r="RPE22" s="7"/>
      <c r="RPG22" s="7"/>
      <c r="RPI22" s="7"/>
      <c r="RPK22" s="7"/>
      <c r="RPM22" s="7"/>
      <c r="RPO22" s="7"/>
      <c r="RPQ22" s="7"/>
      <c r="RPS22" s="7"/>
      <c r="RPU22" s="7"/>
      <c r="RPW22" s="7"/>
      <c r="RPY22" s="7"/>
      <c r="RQA22" s="7"/>
      <c r="RQC22" s="7"/>
      <c r="RQE22" s="7"/>
      <c r="RQG22" s="7"/>
      <c r="RQI22" s="7"/>
      <c r="RQK22" s="7"/>
      <c r="RQM22" s="7"/>
      <c r="RQO22" s="7"/>
      <c r="RQQ22" s="7"/>
      <c r="RQS22" s="7"/>
      <c r="RQU22" s="7"/>
      <c r="RQW22" s="7"/>
      <c r="RQY22" s="7"/>
      <c r="RRA22" s="7"/>
      <c r="RRC22" s="7"/>
      <c r="RRE22" s="7"/>
      <c r="RRG22" s="7"/>
      <c r="RRI22" s="7"/>
      <c r="RRK22" s="7"/>
      <c r="RRM22" s="7"/>
      <c r="RRO22" s="7"/>
      <c r="RRQ22" s="7"/>
      <c r="RRS22" s="7"/>
      <c r="RRU22" s="7"/>
      <c r="RRW22" s="7"/>
      <c r="RRY22" s="7"/>
      <c r="RSA22" s="7"/>
      <c r="RSC22" s="7"/>
      <c r="RSE22" s="7"/>
      <c r="RSG22" s="7"/>
      <c r="RSI22" s="7"/>
      <c r="RSK22" s="7"/>
      <c r="RSM22" s="7"/>
      <c r="RSO22" s="7"/>
      <c r="RSQ22" s="7"/>
      <c r="RSS22" s="7"/>
      <c r="RSU22" s="7"/>
      <c r="RSW22" s="7"/>
      <c r="RSY22" s="7"/>
      <c r="RTA22" s="7"/>
      <c r="RTC22" s="7"/>
      <c r="RTE22" s="7"/>
      <c r="RTG22" s="7"/>
      <c r="RTI22" s="7"/>
      <c r="RTK22" s="7"/>
      <c r="RTM22" s="7"/>
      <c r="RTO22" s="7"/>
      <c r="RTQ22" s="7"/>
      <c r="RTS22" s="7"/>
      <c r="RTU22" s="7"/>
      <c r="RTW22" s="7"/>
      <c r="RTY22" s="7"/>
      <c r="RUA22" s="7"/>
      <c r="RUC22" s="7"/>
      <c r="RUE22" s="7"/>
      <c r="RUG22" s="7"/>
      <c r="RUI22" s="7"/>
      <c r="RUK22" s="7"/>
      <c r="RUM22" s="7"/>
      <c r="RUO22" s="7"/>
      <c r="RUQ22" s="7"/>
      <c r="RUS22" s="7"/>
      <c r="RUU22" s="7"/>
      <c r="RUW22" s="7"/>
      <c r="RUY22" s="7"/>
      <c r="RVA22" s="7"/>
      <c r="RVC22" s="7"/>
      <c r="RVE22" s="7"/>
      <c r="RVG22" s="7"/>
      <c r="RVI22" s="7"/>
      <c r="RVK22" s="7"/>
      <c r="RVM22" s="7"/>
      <c r="RVO22" s="7"/>
      <c r="RVQ22" s="7"/>
      <c r="RVS22" s="7"/>
      <c r="RVU22" s="7"/>
      <c r="RVW22" s="7"/>
      <c r="RVY22" s="7"/>
      <c r="RWA22" s="7"/>
      <c r="RWC22" s="7"/>
      <c r="RWE22" s="7"/>
      <c r="RWG22" s="7"/>
      <c r="RWI22" s="7"/>
      <c r="RWK22" s="7"/>
      <c r="RWM22" s="7"/>
      <c r="RWO22" s="7"/>
      <c r="RWQ22" s="7"/>
      <c r="RWS22" s="7"/>
      <c r="RWU22" s="7"/>
      <c r="RWW22" s="7"/>
      <c r="RWY22" s="7"/>
      <c r="RXA22" s="7"/>
      <c r="RXC22" s="7"/>
      <c r="RXE22" s="7"/>
      <c r="RXG22" s="7"/>
      <c r="RXI22" s="7"/>
      <c r="RXK22" s="7"/>
      <c r="RXM22" s="7"/>
      <c r="RXO22" s="7"/>
      <c r="RXQ22" s="7"/>
      <c r="RXS22" s="7"/>
      <c r="RXU22" s="7"/>
      <c r="RXW22" s="7"/>
      <c r="RXY22" s="7"/>
      <c r="RYA22" s="7"/>
      <c r="RYC22" s="7"/>
      <c r="RYE22" s="7"/>
      <c r="RYG22" s="7"/>
      <c r="RYI22" s="7"/>
      <c r="RYK22" s="7"/>
      <c r="RYM22" s="7"/>
      <c r="RYO22" s="7"/>
      <c r="RYQ22" s="7"/>
      <c r="RYS22" s="7"/>
      <c r="RYU22" s="7"/>
      <c r="RYW22" s="7"/>
      <c r="RYY22" s="7"/>
      <c r="RZA22" s="7"/>
      <c r="RZC22" s="7"/>
      <c r="RZE22" s="7"/>
      <c r="RZG22" s="7"/>
      <c r="RZI22" s="7"/>
      <c r="RZK22" s="7"/>
      <c r="RZM22" s="7"/>
      <c r="RZO22" s="7"/>
      <c r="RZQ22" s="7"/>
      <c r="RZS22" s="7"/>
      <c r="RZU22" s="7"/>
      <c r="RZW22" s="7"/>
      <c r="RZY22" s="7"/>
      <c r="SAA22" s="7"/>
      <c r="SAC22" s="7"/>
      <c r="SAE22" s="7"/>
      <c r="SAG22" s="7"/>
      <c r="SAI22" s="7"/>
      <c r="SAK22" s="7"/>
      <c r="SAM22" s="7"/>
      <c r="SAO22" s="7"/>
      <c r="SAQ22" s="7"/>
      <c r="SAS22" s="7"/>
      <c r="SAU22" s="7"/>
      <c r="SAW22" s="7"/>
      <c r="SAY22" s="7"/>
      <c r="SBA22" s="7"/>
      <c r="SBC22" s="7"/>
      <c r="SBE22" s="7"/>
      <c r="SBG22" s="7"/>
      <c r="SBI22" s="7"/>
      <c r="SBK22" s="7"/>
      <c r="SBM22" s="7"/>
      <c r="SBO22" s="7"/>
      <c r="SBQ22" s="7"/>
      <c r="SBS22" s="7"/>
      <c r="SBU22" s="7"/>
      <c r="SBW22" s="7"/>
      <c r="SBY22" s="7"/>
      <c r="SCA22" s="7"/>
      <c r="SCC22" s="7"/>
      <c r="SCE22" s="7"/>
      <c r="SCG22" s="7"/>
      <c r="SCI22" s="7"/>
      <c r="SCK22" s="7"/>
      <c r="SCM22" s="7"/>
      <c r="SCO22" s="7"/>
      <c r="SCQ22" s="7"/>
      <c r="SCS22" s="7"/>
      <c r="SCU22" s="7"/>
      <c r="SCW22" s="7"/>
      <c r="SCY22" s="7"/>
      <c r="SDA22" s="7"/>
      <c r="SDC22" s="7"/>
      <c r="SDE22" s="7"/>
      <c r="SDG22" s="7"/>
      <c r="SDI22" s="7"/>
      <c r="SDK22" s="7"/>
      <c r="SDM22" s="7"/>
      <c r="SDO22" s="7"/>
      <c r="SDQ22" s="7"/>
      <c r="SDS22" s="7"/>
      <c r="SDU22" s="7"/>
      <c r="SDW22" s="7"/>
      <c r="SDY22" s="7"/>
      <c r="SEA22" s="7"/>
      <c r="SEC22" s="7"/>
      <c r="SEE22" s="7"/>
      <c r="SEG22" s="7"/>
      <c r="SEI22" s="7"/>
      <c r="SEK22" s="7"/>
      <c r="SEM22" s="7"/>
      <c r="SEO22" s="7"/>
      <c r="SEQ22" s="7"/>
      <c r="SES22" s="7"/>
      <c r="SEU22" s="7"/>
      <c r="SEW22" s="7"/>
      <c r="SEY22" s="7"/>
      <c r="SFA22" s="7"/>
      <c r="SFC22" s="7"/>
      <c r="SFE22" s="7"/>
      <c r="SFG22" s="7"/>
      <c r="SFI22" s="7"/>
      <c r="SFK22" s="7"/>
      <c r="SFM22" s="7"/>
      <c r="SFO22" s="7"/>
      <c r="SFQ22" s="7"/>
      <c r="SFS22" s="7"/>
      <c r="SFU22" s="7"/>
      <c r="SFW22" s="7"/>
      <c r="SFY22" s="7"/>
      <c r="SGA22" s="7"/>
      <c r="SGC22" s="7"/>
      <c r="SGE22" s="7"/>
      <c r="SGG22" s="7"/>
      <c r="SGI22" s="7"/>
      <c r="SGK22" s="7"/>
      <c r="SGM22" s="7"/>
      <c r="SGO22" s="7"/>
      <c r="SGQ22" s="7"/>
      <c r="SGS22" s="7"/>
      <c r="SGU22" s="7"/>
      <c r="SGW22" s="7"/>
      <c r="SGY22" s="7"/>
      <c r="SHA22" s="7"/>
      <c r="SHC22" s="7"/>
      <c r="SHE22" s="7"/>
      <c r="SHG22" s="7"/>
      <c r="SHI22" s="7"/>
      <c r="SHK22" s="7"/>
      <c r="SHM22" s="7"/>
      <c r="SHO22" s="7"/>
      <c r="SHQ22" s="7"/>
      <c r="SHS22" s="7"/>
      <c r="SHU22" s="7"/>
      <c r="SHW22" s="7"/>
      <c r="SHY22" s="7"/>
      <c r="SIA22" s="7"/>
      <c r="SIC22" s="7"/>
      <c r="SIE22" s="7"/>
      <c r="SIG22" s="7"/>
      <c r="SII22" s="7"/>
      <c r="SIK22" s="7"/>
      <c r="SIM22" s="7"/>
      <c r="SIO22" s="7"/>
      <c r="SIQ22" s="7"/>
      <c r="SIS22" s="7"/>
      <c r="SIU22" s="7"/>
      <c r="SIW22" s="7"/>
      <c r="SIY22" s="7"/>
      <c r="SJA22" s="7"/>
      <c r="SJC22" s="7"/>
      <c r="SJE22" s="7"/>
      <c r="SJG22" s="7"/>
      <c r="SJI22" s="7"/>
      <c r="SJK22" s="7"/>
      <c r="SJM22" s="7"/>
      <c r="SJO22" s="7"/>
      <c r="SJQ22" s="7"/>
      <c r="SJS22" s="7"/>
      <c r="SJU22" s="7"/>
      <c r="SJW22" s="7"/>
      <c r="SJY22" s="7"/>
      <c r="SKA22" s="7"/>
      <c r="SKC22" s="7"/>
      <c r="SKE22" s="7"/>
      <c r="SKG22" s="7"/>
      <c r="SKI22" s="7"/>
      <c r="SKK22" s="7"/>
      <c r="SKM22" s="7"/>
      <c r="SKO22" s="7"/>
      <c r="SKQ22" s="7"/>
      <c r="SKS22" s="7"/>
      <c r="SKU22" s="7"/>
      <c r="SKW22" s="7"/>
      <c r="SKY22" s="7"/>
      <c r="SLA22" s="7"/>
      <c r="SLC22" s="7"/>
      <c r="SLE22" s="7"/>
      <c r="SLG22" s="7"/>
      <c r="SLI22" s="7"/>
      <c r="SLK22" s="7"/>
      <c r="SLM22" s="7"/>
      <c r="SLO22" s="7"/>
      <c r="SLQ22" s="7"/>
      <c r="SLS22" s="7"/>
      <c r="SLU22" s="7"/>
      <c r="SLW22" s="7"/>
      <c r="SLY22" s="7"/>
      <c r="SMA22" s="7"/>
      <c r="SMC22" s="7"/>
      <c r="SME22" s="7"/>
      <c r="SMG22" s="7"/>
      <c r="SMI22" s="7"/>
      <c r="SMK22" s="7"/>
      <c r="SMM22" s="7"/>
      <c r="SMO22" s="7"/>
      <c r="SMQ22" s="7"/>
      <c r="SMS22" s="7"/>
      <c r="SMU22" s="7"/>
      <c r="SMW22" s="7"/>
      <c r="SMY22" s="7"/>
      <c r="SNA22" s="7"/>
      <c r="SNC22" s="7"/>
      <c r="SNE22" s="7"/>
      <c r="SNG22" s="7"/>
      <c r="SNI22" s="7"/>
      <c r="SNK22" s="7"/>
      <c r="SNM22" s="7"/>
      <c r="SNO22" s="7"/>
      <c r="SNQ22" s="7"/>
      <c r="SNS22" s="7"/>
      <c r="SNU22" s="7"/>
      <c r="SNW22" s="7"/>
      <c r="SNY22" s="7"/>
      <c r="SOA22" s="7"/>
      <c r="SOC22" s="7"/>
      <c r="SOE22" s="7"/>
      <c r="SOG22" s="7"/>
      <c r="SOI22" s="7"/>
      <c r="SOK22" s="7"/>
      <c r="SOM22" s="7"/>
      <c r="SOO22" s="7"/>
      <c r="SOQ22" s="7"/>
      <c r="SOS22" s="7"/>
      <c r="SOU22" s="7"/>
      <c r="SOW22" s="7"/>
      <c r="SOY22" s="7"/>
      <c r="SPA22" s="7"/>
      <c r="SPC22" s="7"/>
      <c r="SPE22" s="7"/>
      <c r="SPG22" s="7"/>
      <c r="SPI22" s="7"/>
      <c r="SPK22" s="7"/>
      <c r="SPM22" s="7"/>
      <c r="SPO22" s="7"/>
      <c r="SPQ22" s="7"/>
      <c r="SPS22" s="7"/>
      <c r="SPU22" s="7"/>
      <c r="SPW22" s="7"/>
      <c r="SPY22" s="7"/>
      <c r="SQA22" s="7"/>
      <c r="SQC22" s="7"/>
      <c r="SQE22" s="7"/>
      <c r="SQG22" s="7"/>
      <c r="SQI22" s="7"/>
      <c r="SQK22" s="7"/>
      <c r="SQM22" s="7"/>
      <c r="SQO22" s="7"/>
      <c r="SQQ22" s="7"/>
      <c r="SQS22" s="7"/>
      <c r="SQU22" s="7"/>
      <c r="SQW22" s="7"/>
      <c r="SQY22" s="7"/>
      <c r="SRA22" s="7"/>
      <c r="SRC22" s="7"/>
      <c r="SRE22" s="7"/>
      <c r="SRG22" s="7"/>
      <c r="SRI22" s="7"/>
      <c r="SRK22" s="7"/>
      <c r="SRM22" s="7"/>
      <c r="SRO22" s="7"/>
      <c r="SRQ22" s="7"/>
      <c r="SRS22" s="7"/>
      <c r="SRU22" s="7"/>
      <c r="SRW22" s="7"/>
      <c r="SRY22" s="7"/>
      <c r="SSA22" s="7"/>
      <c r="SSC22" s="7"/>
      <c r="SSE22" s="7"/>
      <c r="SSG22" s="7"/>
      <c r="SSI22" s="7"/>
      <c r="SSK22" s="7"/>
      <c r="SSM22" s="7"/>
      <c r="SSO22" s="7"/>
      <c r="SSQ22" s="7"/>
      <c r="SSS22" s="7"/>
      <c r="SSU22" s="7"/>
      <c r="SSW22" s="7"/>
      <c r="SSY22" s="7"/>
      <c r="STA22" s="7"/>
      <c r="STC22" s="7"/>
      <c r="STE22" s="7"/>
      <c r="STG22" s="7"/>
      <c r="STI22" s="7"/>
      <c r="STK22" s="7"/>
      <c r="STM22" s="7"/>
      <c r="STO22" s="7"/>
      <c r="STQ22" s="7"/>
      <c r="STS22" s="7"/>
      <c r="STU22" s="7"/>
      <c r="STW22" s="7"/>
      <c r="STY22" s="7"/>
      <c r="SUA22" s="7"/>
      <c r="SUC22" s="7"/>
      <c r="SUE22" s="7"/>
      <c r="SUG22" s="7"/>
      <c r="SUI22" s="7"/>
      <c r="SUK22" s="7"/>
      <c r="SUM22" s="7"/>
      <c r="SUO22" s="7"/>
      <c r="SUQ22" s="7"/>
      <c r="SUS22" s="7"/>
      <c r="SUU22" s="7"/>
      <c r="SUW22" s="7"/>
      <c r="SUY22" s="7"/>
      <c r="SVA22" s="7"/>
      <c r="SVC22" s="7"/>
      <c r="SVE22" s="7"/>
      <c r="SVG22" s="7"/>
      <c r="SVI22" s="7"/>
      <c r="SVK22" s="7"/>
      <c r="SVM22" s="7"/>
      <c r="SVO22" s="7"/>
      <c r="SVQ22" s="7"/>
      <c r="SVS22" s="7"/>
      <c r="SVU22" s="7"/>
      <c r="SVW22" s="7"/>
      <c r="SVY22" s="7"/>
      <c r="SWA22" s="7"/>
      <c r="SWC22" s="7"/>
      <c r="SWE22" s="7"/>
      <c r="SWG22" s="7"/>
      <c r="SWI22" s="7"/>
      <c r="SWK22" s="7"/>
      <c r="SWM22" s="7"/>
      <c r="SWO22" s="7"/>
      <c r="SWQ22" s="7"/>
      <c r="SWS22" s="7"/>
      <c r="SWU22" s="7"/>
      <c r="SWW22" s="7"/>
      <c r="SWY22" s="7"/>
      <c r="SXA22" s="7"/>
      <c r="SXC22" s="7"/>
      <c r="SXE22" s="7"/>
      <c r="SXG22" s="7"/>
      <c r="SXI22" s="7"/>
      <c r="SXK22" s="7"/>
      <c r="SXM22" s="7"/>
      <c r="SXO22" s="7"/>
      <c r="SXQ22" s="7"/>
      <c r="SXS22" s="7"/>
      <c r="SXU22" s="7"/>
      <c r="SXW22" s="7"/>
      <c r="SXY22" s="7"/>
      <c r="SYA22" s="7"/>
      <c r="SYC22" s="7"/>
      <c r="SYE22" s="7"/>
      <c r="SYG22" s="7"/>
      <c r="SYI22" s="7"/>
      <c r="SYK22" s="7"/>
      <c r="SYM22" s="7"/>
      <c r="SYO22" s="7"/>
      <c r="SYQ22" s="7"/>
      <c r="SYS22" s="7"/>
      <c r="SYU22" s="7"/>
      <c r="SYW22" s="7"/>
      <c r="SYY22" s="7"/>
      <c r="SZA22" s="7"/>
      <c r="SZC22" s="7"/>
      <c r="SZE22" s="7"/>
      <c r="SZG22" s="7"/>
      <c r="SZI22" s="7"/>
      <c r="SZK22" s="7"/>
      <c r="SZM22" s="7"/>
      <c r="SZO22" s="7"/>
      <c r="SZQ22" s="7"/>
      <c r="SZS22" s="7"/>
      <c r="SZU22" s="7"/>
      <c r="SZW22" s="7"/>
      <c r="SZY22" s="7"/>
      <c r="TAA22" s="7"/>
      <c r="TAC22" s="7"/>
      <c r="TAE22" s="7"/>
      <c r="TAG22" s="7"/>
      <c r="TAI22" s="7"/>
      <c r="TAK22" s="7"/>
      <c r="TAM22" s="7"/>
      <c r="TAO22" s="7"/>
      <c r="TAQ22" s="7"/>
      <c r="TAS22" s="7"/>
      <c r="TAU22" s="7"/>
      <c r="TAW22" s="7"/>
      <c r="TAY22" s="7"/>
      <c r="TBA22" s="7"/>
      <c r="TBC22" s="7"/>
      <c r="TBE22" s="7"/>
      <c r="TBG22" s="7"/>
      <c r="TBI22" s="7"/>
      <c r="TBK22" s="7"/>
      <c r="TBM22" s="7"/>
      <c r="TBO22" s="7"/>
      <c r="TBQ22" s="7"/>
      <c r="TBS22" s="7"/>
      <c r="TBU22" s="7"/>
      <c r="TBW22" s="7"/>
      <c r="TBY22" s="7"/>
      <c r="TCA22" s="7"/>
      <c r="TCC22" s="7"/>
      <c r="TCE22" s="7"/>
      <c r="TCG22" s="7"/>
      <c r="TCI22" s="7"/>
      <c r="TCK22" s="7"/>
      <c r="TCM22" s="7"/>
      <c r="TCO22" s="7"/>
      <c r="TCQ22" s="7"/>
      <c r="TCS22" s="7"/>
      <c r="TCU22" s="7"/>
      <c r="TCW22" s="7"/>
      <c r="TCY22" s="7"/>
      <c r="TDA22" s="7"/>
      <c r="TDC22" s="7"/>
      <c r="TDE22" s="7"/>
      <c r="TDG22" s="7"/>
      <c r="TDI22" s="7"/>
      <c r="TDK22" s="7"/>
      <c r="TDM22" s="7"/>
      <c r="TDO22" s="7"/>
      <c r="TDQ22" s="7"/>
      <c r="TDS22" s="7"/>
      <c r="TDU22" s="7"/>
      <c r="TDW22" s="7"/>
      <c r="TDY22" s="7"/>
      <c r="TEA22" s="7"/>
      <c r="TEC22" s="7"/>
      <c r="TEE22" s="7"/>
      <c r="TEG22" s="7"/>
      <c r="TEI22" s="7"/>
      <c r="TEK22" s="7"/>
      <c r="TEM22" s="7"/>
      <c r="TEO22" s="7"/>
      <c r="TEQ22" s="7"/>
      <c r="TES22" s="7"/>
      <c r="TEU22" s="7"/>
      <c r="TEW22" s="7"/>
      <c r="TEY22" s="7"/>
      <c r="TFA22" s="7"/>
      <c r="TFC22" s="7"/>
      <c r="TFE22" s="7"/>
      <c r="TFG22" s="7"/>
      <c r="TFI22" s="7"/>
      <c r="TFK22" s="7"/>
      <c r="TFM22" s="7"/>
      <c r="TFO22" s="7"/>
      <c r="TFQ22" s="7"/>
      <c r="TFS22" s="7"/>
      <c r="TFU22" s="7"/>
      <c r="TFW22" s="7"/>
      <c r="TFY22" s="7"/>
      <c r="TGA22" s="7"/>
      <c r="TGC22" s="7"/>
      <c r="TGE22" s="7"/>
      <c r="TGG22" s="7"/>
      <c r="TGI22" s="7"/>
      <c r="TGK22" s="7"/>
      <c r="TGM22" s="7"/>
      <c r="TGO22" s="7"/>
      <c r="TGQ22" s="7"/>
      <c r="TGS22" s="7"/>
      <c r="TGU22" s="7"/>
      <c r="TGW22" s="7"/>
      <c r="TGY22" s="7"/>
      <c r="THA22" s="7"/>
      <c r="THC22" s="7"/>
      <c r="THE22" s="7"/>
      <c r="THG22" s="7"/>
      <c r="THI22" s="7"/>
      <c r="THK22" s="7"/>
      <c r="THM22" s="7"/>
      <c r="THO22" s="7"/>
      <c r="THQ22" s="7"/>
      <c r="THS22" s="7"/>
      <c r="THU22" s="7"/>
      <c r="THW22" s="7"/>
      <c r="THY22" s="7"/>
      <c r="TIA22" s="7"/>
      <c r="TIC22" s="7"/>
      <c r="TIE22" s="7"/>
      <c r="TIG22" s="7"/>
      <c r="TII22" s="7"/>
      <c r="TIK22" s="7"/>
      <c r="TIM22" s="7"/>
      <c r="TIO22" s="7"/>
      <c r="TIQ22" s="7"/>
      <c r="TIS22" s="7"/>
      <c r="TIU22" s="7"/>
      <c r="TIW22" s="7"/>
      <c r="TIY22" s="7"/>
      <c r="TJA22" s="7"/>
      <c r="TJC22" s="7"/>
      <c r="TJE22" s="7"/>
      <c r="TJG22" s="7"/>
      <c r="TJI22" s="7"/>
      <c r="TJK22" s="7"/>
      <c r="TJM22" s="7"/>
      <c r="TJO22" s="7"/>
      <c r="TJQ22" s="7"/>
      <c r="TJS22" s="7"/>
      <c r="TJU22" s="7"/>
      <c r="TJW22" s="7"/>
      <c r="TJY22" s="7"/>
      <c r="TKA22" s="7"/>
      <c r="TKC22" s="7"/>
      <c r="TKE22" s="7"/>
      <c r="TKG22" s="7"/>
      <c r="TKI22" s="7"/>
      <c r="TKK22" s="7"/>
      <c r="TKM22" s="7"/>
      <c r="TKO22" s="7"/>
      <c r="TKQ22" s="7"/>
      <c r="TKS22" s="7"/>
      <c r="TKU22" s="7"/>
      <c r="TKW22" s="7"/>
      <c r="TKY22" s="7"/>
      <c r="TLA22" s="7"/>
      <c r="TLC22" s="7"/>
      <c r="TLE22" s="7"/>
      <c r="TLG22" s="7"/>
      <c r="TLI22" s="7"/>
      <c r="TLK22" s="7"/>
      <c r="TLM22" s="7"/>
      <c r="TLO22" s="7"/>
      <c r="TLQ22" s="7"/>
      <c r="TLS22" s="7"/>
      <c r="TLU22" s="7"/>
      <c r="TLW22" s="7"/>
      <c r="TLY22" s="7"/>
      <c r="TMA22" s="7"/>
      <c r="TMC22" s="7"/>
      <c r="TME22" s="7"/>
      <c r="TMG22" s="7"/>
      <c r="TMI22" s="7"/>
      <c r="TMK22" s="7"/>
      <c r="TMM22" s="7"/>
      <c r="TMO22" s="7"/>
      <c r="TMQ22" s="7"/>
      <c r="TMS22" s="7"/>
      <c r="TMU22" s="7"/>
      <c r="TMW22" s="7"/>
      <c r="TMY22" s="7"/>
      <c r="TNA22" s="7"/>
      <c r="TNC22" s="7"/>
      <c r="TNE22" s="7"/>
      <c r="TNG22" s="7"/>
      <c r="TNI22" s="7"/>
      <c r="TNK22" s="7"/>
      <c r="TNM22" s="7"/>
      <c r="TNO22" s="7"/>
      <c r="TNQ22" s="7"/>
      <c r="TNS22" s="7"/>
      <c r="TNU22" s="7"/>
      <c r="TNW22" s="7"/>
      <c r="TNY22" s="7"/>
      <c r="TOA22" s="7"/>
      <c r="TOC22" s="7"/>
      <c r="TOE22" s="7"/>
      <c r="TOG22" s="7"/>
      <c r="TOI22" s="7"/>
      <c r="TOK22" s="7"/>
      <c r="TOM22" s="7"/>
      <c r="TOO22" s="7"/>
      <c r="TOQ22" s="7"/>
      <c r="TOS22" s="7"/>
      <c r="TOU22" s="7"/>
      <c r="TOW22" s="7"/>
      <c r="TOY22" s="7"/>
      <c r="TPA22" s="7"/>
      <c r="TPC22" s="7"/>
      <c r="TPE22" s="7"/>
      <c r="TPG22" s="7"/>
      <c r="TPI22" s="7"/>
      <c r="TPK22" s="7"/>
      <c r="TPM22" s="7"/>
      <c r="TPO22" s="7"/>
      <c r="TPQ22" s="7"/>
      <c r="TPS22" s="7"/>
      <c r="TPU22" s="7"/>
      <c r="TPW22" s="7"/>
      <c r="TPY22" s="7"/>
      <c r="TQA22" s="7"/>
      <c r="TQC22" s="7"/>
      <c r="TQE22" s="7"/>
      <c r="TQG22" s="7"/>
      <c r="TQI22" s="7"/>
      <c r="TQK22" s="7"/>
      <c r="TQM22" s="7"/>
      <c r="TQO22" s="7"/>
      <c r="TQQ22" s="7"/>
      <c r="TQS22" s="7"/>
      <c r="TQU22" s="7"/>
      <c r="TQW22" s="7"/>
      <c r="TQY22" s="7"/>
      <c r="TRA22" s="7"/>
      <c r="TRC22" s="7"/>
      <c r="TRE22" s="7"/>
      <c r="TRG22" s="7"/>
      <c r="TRI22" s="7"/>
      <c r="TRK22" s="7"/>
      <c r="TRM22" s="7"/>
      <c r="TRO22" s="7"/>
      <c r="TRQ22" s="7"/>
      <c r="TRS22" s="7"/>
      <c r="TRU22" s="7"/>
      <c r="TRW22" s="7"/>
      <c r="TRY22" s="7"/>
      <c r="TSA22" s="7"/>
      <c r="TSC22" s="7"/>
      <c r="TSE22" s="7"/>
      <c r="TSG22" s="7"/>
      <c r="TSI22" s="7"/>
      <c r="TSK22" s="7"/>
      <c r="TSM22" s="7"/>
      <c r="TSO22" s="7"/>
      <c r="TSQ22" s="7"/>
      <c r="TSS22" s="7"/>
      <c r="TSU22" s="7"/>
      <c r="TSW22" s="7"/>
      <c r="TSY22" s="7"/>
      <c r="TTA22" s="7"/>
      <c r="TTC22" s="7"/>
      <c r="TTE22" s="7"/>
      <c r="TTG22" s="7"/>
      <c r="TTI22" s="7"/>
      <c r="TTK22" s="7"/>
      <c r="TTM22" s="7"/>
      <c r="TTO22" s="7"/>
      <c r="TTQ22" s="7"/>
      <c r="TTS22" s="7"/>
      <c r="TTU22" s="7"/>
      <c r="TTW22" s="7"/>
      <c r="TTY22" s="7"/>
      <c r="TUA22" s="7"/>
      <c r="TUC22" s="7"/>
      <c r="TUE22" s="7"/>
      <c r="TUG22" s="7"/>
      <c r="TUI22" s="7"/>
      <c r="TUK22" s="7"/>
      <c r="TUM22" s="7"/>
      <c r="TUO22" s="7"/>
      <c r="TUQ22" s="7"/>
      <c r="TUS22" s="7"/>
      <c r="TUU22" s="7"/>
      <c r="TUW22" s="7"/>
      <c r="TUY22" s="7"/>
      <c r="TVA22" s="7"/>
      <c r="TVC22" s="7"/>
      <c r="TVE22" s="7"/>
      <c r="TVG22" s="7"/>
      <c r="TVI22" s="7"/>
      <c r="TVK22" s="7"/>
      <c r="TVM22" s="7"/>
      <c r="TVO22" s="7"/>
      <c r="TVQ22" s="7"/>
      <c r="TVS22" s="7"/>
      <c r="TVU22" s="7"/>
      <c r="TVW22" s="7"/>
      <c r="TVY22" s="7"/>
      <c r="TWA22" s="7"/>
      <c r="TWC22" s="7"/>
      <c r="TWE22" s="7"/>
      <c r="TWG22" s="7"/>
      <c r="TWI22" s="7"/>
      <c r="TWK22" s="7"/>
      <c r="TWM22" s="7"/>
      <c r="TWO22" s="7"/>
      <c r="TWQ22" s="7"/>
      <c r="TWS22" s="7"/>
      <c r="TWU22" s="7"/>
      <c r="TWW22" s="7"/>
      <c r="TWY22" s="7"/>
      <c r="TXA22" s="7"/>
      <c r="TXC22" s="7"/>
      <c r="TXE22" s="7"/>
      <c r="TXG22" s="7"/>
      <c r="TXI22" s="7"/>
      <c r="TXK22" s="7"/>
      <c r="TXM22" s="7"/>
      <c r="TXO22" s="7"/>
      <c r="TXQ22" s="7"/>
      <c r="TXS22" s="7"/>
      <c r="TXU22" s="7"/>
      <c r="TXW22" s="7"/>
      <c r="TXY22" s="7"/>
      <c r="TYA22" s="7"/>
      <c r="TYC22" s="7"/>
      <c r="TYE22" s="7"/>
      <c r="TYG22" s="7"/>
      <c r="TYI22" s="7"/>
      <c r="TYK22" s="7"/>
      <c r="TYM22" s="7"/>
      <c r="TYO22" s="7"/>
      <c r="TYQ22" s="7"/>
      <c r="TYS22" s="7"/>
      <c r="TYU22" s="7"/>
      <c r="TYW22" s="7"/>
      <c r="TYY22" s="7"/>
      <c r="TZA22" s="7"/>
      <c r="TZC22" s="7"/>
      <c r="TZE22" s="7"/>
      <c r="TZG22" s="7"/>
      <c r="TZI22" s="7"/>
      <c r="TZK22" s="7"/>
      <c r="TZM22" s="7"/>
      <c r="TZO22" s="7"/>
      <c r="TZQ22" s="7"/>
      <c r="TZS22" s="7"/>
      <c r="TZU22" s="7"/>
      <c r="TZW22" s="7"/>
      <c r="TZY22" s="7"/>
      <c r="UAA22" s="7"/>
      <c r="UAC22" s="7"/>
      <c r="UAE22" s="7"/>
      <c r="UAG22" s="7"/>
      <c r="UAI22" s="7"/>
      <c r="UAK22" s="7"/>
      <c r="UAM22" s="7"/>
      <c r="UAO22" s="7"/>
      <c r="UAQ22" s="7"/>
      <c r="UAS22" s="7"/>
      <c r="UAU22" s="7"/>
      <c r="UAW22" s="7"/>
      <c r="UAY22" s="7"/>
      <c r="UBA22" s="7"/>
      <c r="UBC22" s="7"/>
      <c r="UBE22" s="7"/>
      <c r="UBG22" s="7"/>
      <c r="UBI22" s="7"/>
      <c r="UBK22" s="7"/>
      <c r="UBM22" s="7"/>
      <c r="UBO22" s="7"/>
      <c r="UBQ22" s="7"/>
      <c r="UBS22" s="7"/>
      <c r="UBU22" s="7"/>
      <c r="UBW22" s="7"/>
      <c r="UBY22" s="7"/>
      <c r="UCA22" s="7"/>
      <c r="UCC22" s="7"/>
      <c r="UCE22" s="7"/>
      <c r="UCG22" s="7"/>
      <c r="UCI22" s="7"/>
      <c r="UCK22" s="7"/>
      <c r="UCM22" s="7"/>
      <c r="UCO22" s="7"/>
      <c r="UCQ22" s="7"/>
      <c r="UCS22" s="7"/>
      <c r="UCU22" s="7"/>
      <c r="UCW22" s="7"/>
      <c r="UCY22" s="7"/>
      <c r="UDA22" s="7"/>
      <c r="UDC22" s="7"/>
      <c r="UDE22" s="7"/>
      <c r="UDG22" s="7"/>
      <c r="UDI22" s="7"/>
      <c r="UDK22" s="7"/>
      <c r="UDM22" s="7"/>
      <c r="UDO22" s="7"/>
      <c r="UDQ22" s="7"/>
      <c r="UDS22" s="7"/>
      <c r="UDU22" s="7"/>
      <c r="UDW22" s="7"/>
      <c r="UDY22" s="7"/>
      <c r="UEA22" s="7"/>
      <c r="UEC22" s="7"/>
      <c r="UEE22" s="7"/>
      <c r="UEG22" s="7"/>
      <c r="UEI22" s="7"/>
      <c r="UEK22" s="7"/>
      <c r="UEM22" s="7"/>
      <c r="UEO22" s="7"/>
      <c r="UEQ22" s="7"/>
      <c r="UES22" s="7"/>
      <c r="UEU22" s="7"/>
      <c r="UEW22" s="7"/>
      <c r="UEY22" s="7"/>
      <c r="UFA22" s="7"/>
      <c r="UFC22" s="7"/>
      <c r="UFE22" s="7"/>
      <c r="UFG22" s="7"/>
      <c r="UFI22" s="7"/>
      <c r="UFK22" s="7"/>
      <c r="UFM22" s="7"/>
      <c r="UFO22" s="7"/>
      <c r="UFQ22" s="7"/>
      <c r="UFS22" s="7"/>
      <c r="UFU22" s="7"/>
      <c r="UFW22" s="7"/>
      <c r="UFY22" s="7"/>
      <c r="UGA22" s="7"/>
      <c r="UGC22" s="7"/>
      <c r="UGE22" s="7"/>
      <c r="UGG22" s="7"/>
      <c r="UGI22" s="7"/>
      <c r="UGK22" s="7"/>
      <c r="UGM22" s="7"/>
      <c r="UGO22" s="7"/>
      <c r="UGQ22" s="7"/>
      <c r="UGS22" s="7"/>
      <c r="UGU22" s="7"/>
      <c r="UGW22" s="7"/>
      <c r="UGY22" s="7"/>
      <c r="UHA22" s="7"/>
      <c r="UHC22" s="7"/>
      <c r="UHE22" s="7"/>
      <c r="UHG22" s="7"/>
      <c r="UHI22" s="7"/>
      <c r="UHK22" s="7"/>
      <c r="UHM22" s="7"/>
      <c r="UHO22" s="7"/>
      <c r="UHQ22" s="7"/>
      <c r="UHS22" s="7"/>
      <c r="UHU22" s="7"/>
      <c r="UHW22" s="7"/>
      <c r="UHY22" s="7"/>
      <c r="UIA22" s="7"/>
      <c r="UIC22" s="7"/>
      <c r="UIE22" s="7"/>
      <c r="UIG22" s="7"/>
      <c r="UII22" s="7"/>
      <c r="UIK22" s="7"/>
      <c r="UIM22" s="7"/>
      <c r="UIO22" s="7"/>
      <c r="UIQ22" s="7"/>
      <c r="UIS22" s="7"/>
      <c r="UIU22" s="7"/>
      <c r="UIW22" s="7"/>
      <c r="UIY22" s="7"/>
      <c r="UJA22" s="7"/>
      <c r="UJC22" s="7"/>
      <c r="UJE22" s="7"/>
      <c r="UJG22" s="7"/>
      <c r="UJI22" s="7"/>
      <c r="UJK22" s="7"/>
      <c r="UJM22" s="7"/>
      <c r="UJO22" s="7"/>
      <c r="UJQ22" s="7"/>
      <c r="UJS22" s="7"/>
      <c r="UJU22" s="7"/>
      <c r="UJW22" s="7"/>
      <c r="UJY22" s="7"/>
      <c r="UKA22" s="7"/>
      <c r="UKC22" s="7"/>
      <c r="UKE22" s="7"/>
      <c r="UKG22" s="7"/>
      <c r="UKI22" s="7"/>
      <c r="UKK22" s="7"/>
      <c r="UKM22" s="7"/>
      <c r="UKO22" s="7"/>
      <c r="UKQ22" s="7"/>
      <c r="UKS22" s="7"/>
      <c r="UKU22" s="7"/>
      <c r="UKW22" s="7"/>
      <c r="UKY22" s="7"/>
      <c r="ULA22" s="7"/>
      <c r="ULC22" s="7"/>
      <c r="ULE22" s="7"/>
      <c r="ULG22" s="7"/>
      <c r="ULI22" s="7"/>
      <c r="ULK22" s="7"/>
      <c r="ULM22" s="7"/>
      <c r="ULO22" s="7"/>
      <c r="ULQ22" s="7"/>
      <c r="ULS22" s="7"/>
      <c r="ULU22" s="7"/>
      <c r="ULW22" s="7"/>
      <c r="ULY22" s="7"/>
      <c r="UMA22" s="7"/>
      <c r="UMC22" s="7"/>
      <c r="UME22" s="7"/>
      <c r="UMG22" s="7"/>
      <c r="UMI22" s="7"/>
      <c r="UMK22" s="7"/>
      <c r="UMM22" s="7"/>
      <c r="UMO22" s="7"/>
      <c r="UMQ22" s="7"/>
      <c r="UMS22" s="7"/>
      <c r="UMU22" s="7"/>
      <c r="UMW22" s="7"/>
      <c r="UMY22" s="7"/>
      <c r="UNA22" s="7"/>
      <c r="UNC22" s="7"/>
      <c r="UNE22" s="7"/>
      <c r="UNG22" s="7"/>
      <c r="UNI22" s="7"/>
      <c r="UNK22" s="7"/>
      <c r="UNM22" s="7"/>
      <c r="UNO22" s="7"/>
      <c r="UNQ22" s="7"/>
      <c r="UNS22" s="7"/>
      <c r="UNU22" s="7"/>
      <c r="UNW22" s="7"/>
      <c r="UNY22" s="7"/>
      <c r="UOA22" s="7"/>
      <c r="UOC22" s="7"/>
      <c r="UOE22" s="7"/>
      <c r="UOG22" s="7"/>
      <c r="UOI22" s="7"/>
      <c r="UOK22" s="7"/>
      <c r="UOM22" s="7"/>
      <c r="UOO22" s="7"/>
      <c r="UOQ22" s="7"/>
      <c r="UOS22" s="7"/>
      <c r="UOU22" s="7"/>
      <c r="UOW22" s="7"/>
      <c r="UOY22" s="7"/>
      <c r="UPA22" s="7"/>
      <c r="UPC22" s="7"/>
      <c r="UPE22" s="7"/>
      <c r="UPG22" s="7"/>
      <c r="UPI22" s="7"/>
      <c r="UPK22" s="7"/>
      <c r="UPM22" s="7"/>
      <c r="UPO22" s="7"/>
      <c r="UPQ22" s="7"/>
      <c r="UPS22" s="7"/>
      <c r="UPU22" s="7"/>
      <c r="UPW22" s="7"/>
      <c r="UPY22" s="7"/>
      <c r="UQA22" s="7"/>
      <c r="UQC22" s="7"/>
      <c r="UQE22" s="7"/>
      <c r="UQG22" s="7"/>
      <c r="UQI22" s="7"/>
      <c r="UQK22" s="7"/>
      <c r="UQM22" s="7"/>
      <c r="UQO22" s="7"/>
      <c r="UQQ22" s="7"/>
      <c r="UQS22" s="7"/>
      <c r="UQU22" s="7"/>
      <c r="UQW22" s="7"/>
      <c r="UQY22" s="7"/>
      <c r="URA22" s="7"/>
      <c r="URC22" s="7"/>
      <c r="URE22" s="7"/>
      <c r="URG22" s="7"/>
      <c r="URI22" s="7"/>
      <c r="URK22" s="7"/>
      <c r="URM22" s="7"/>
      <c r="URO22" s="7"/>
      <c r="URQ22" s="7"/>
      <c r="URS22" s="7"/>
      <c r="URU22" s="7"/>
      <c r="URW22" s="7"/>
      <c r="URY22" s="7"/>
      <c r="USA22" s="7"/>
      <c r="USC22" s="7"/>
      <c r="USE22" s="7"/>
      <c r="USG22" s="7"/>
      <c r="USI22" s="7"/>
      <c r="USK22" s="7"/>
      <c r="USM22" s="7"/>
      <c r="USO22" s="7"/>
      <c r="USQ22" s="7"/>
      <c r="USS22" s="7"/>
      <c r="USU22" s="7"/>
      <c r="USW22" s="7"/>
      <c r="USY22" s="7"/>
      <c r="UTA22" s="7"/>
      <c r="UTC22" s="7"/>
      <c r="UTE22" s="7"/>
      <c r="UTG22" s="7"/>
      <c r="UTI22" s="7"/>
      <c r="UTK22" s="7"/>
      <c r="UTM22" s="7"/>
      <c r="UTO22" s="7"/>
      <c r="UTQ22" s="7"/>
      <c r="UTS22" s="7"/>
      <c r="UTU22" s="7"/>
      <c r="UTW22" s="7"/>
      <c r="UTY22" s="7"/>
      <c r="UUA22" s="7"/>
      <c r="UUC22" s="7"/>
      <c r="UUE22" s="7"/>
      <c r="UUG22" s="7"/>
      <c r="UUI22" s="7"/>
      <c r="UUK22" s="7"/>
      <c r="UUM22" s="7"/>
      <c r="UUO22" s="7"/>
      <c r="UUQ22" s="7"/>
      <c r="UUS22" s="7"/>
      <c r="UUU22" s="7"/>
      <c r="UUW22" s="7"/>
      <c r="UUY22" s="7"/>
      <c r="UVA22" s="7"/>
      <c r="UVC22" s="7"/>
      <c r="UVE22" s="7"/>
      <c r="UVG22" s="7"/>
      <c r="UVI22" s="7"/>
      <c r="UVK22" s="7"/>
      <c r="UVM22" s="7"/>
      <c r="UVO22" s="7"/>
      <c r="UVQ22" s="7"/>
      <c r="UVS22" s="7"/>
      <c r="UVU22" s="7"/>
      <c r="UVW22" s="7"/>
      <c r="UVY22" s="7"/>
      <c r="UWA22" s="7"/>
      <c r="UWC22" s="7"/>
      <c r="UWE22" s="7"/>
      <c r="UWG22" s="7"/>
      <c r="UWI22" s="7"/>
      <c r="UWK22" s="7"/>
      <c r="UWM22" s="7"/>
      <c r="UWO22" s="7"/>
      <c r="UWQ22" s="7"/>
      <c r="UWS22" s="7"/>
      <c r="UWU22" s="7"/>
      <c r="UWW22" s="7"/>
      <c r="UWY22" s="7"/>
      <c r="UXA22" s="7"/>
      <c r="UXC22" s="7"/>
      <c r="UXE22" s="7"/>
      <c r="UXG22" s="7"/>
      <c r="UXI22" s="7"/>
      <c r="UXK22" s="7"/>
      <c r="UXM22" s="7"/>
      <c r="UXO22" s="7"/>
      <c r="UXQ22" s="7"/>
      <c r="UXS22" s="7"/>
      <c r="UXU22" s="7"/>
      <c r="UXW22" s="7"/>
      <c r="UXY22" s="7"/>
      <c r="UYA22" s="7"/>
      <c r="UYC22" s="7"/>
      <c r="UYE22" s="7"/>
      <c r="UYG22" s="7"/>
      <c r="UYI22" s="7"/>
      <c r="UYK22" s="7"/>
      <c r="UYM22" s="7"/>
      <c r="UYO22" s="7"/>
      <c r="UYQ22" s="7"/>
      <c r="UYS22" s="7"/>
      <c r="UYU22" s="7"/>
      <c r="UYW22" s="7"/>
      <c r="UYY22" s="7"/>
      <c r="UZA22" s="7"/>
      <c r="UZC22" s="7"/>
      <c r="UZE22" s="7"/>
      <c r="UZG22" s="7"/>
      <c r="UZI22" s="7"/>
      <c r="UZK22" s="7"/>
      <c r="UZM22" s="7"/>
      <c r="UZO22" s="7"/>
      <c r="UZQ22" s="7"/>
      <c r="UZS22" s="7"/>
      <c r="UZU22" s="7"/>
      <c r="UZW22" s="7"/>
      <c r="UZY22" s="7"/>
      <c r="VAA22" s="7"/>
      <c r="VAC22" s="7"/>
      <c r="VAE22" s="7"/>
      <c r="VAG22" s="7"/>
      <c r="VAI22" s="7"/>
      <c r="VAK22" s="7"/>
      <c r="VAM22" s="7"/>
      <c r="VAO22" s="7"/>
      <c r="VAQ22" s="7"/>
      <c r="VAS22" s="7"/>
      <c r="VAU22" s="7"/>
      <c r="VAW22" s="7"/>
      <c r="VAY22" s="7"/>
      <c r="VBA22" s="7"/>
      <c r="VBC22" s="7"/>
      <c r="VBE22" s="7"/>
      <c r="VBG22" s="7"/>
      <c r="VBI22" s="7"/>
      <c r="VBK22" s="7"/>
      <c r="VBM22" s="7"/>
      <c r="VBO22" s="7"/>
      <c r="VBQ22" s="7"/>
      <c r="VBS22" s="7"/>
      <c r="VBU22" s="7"/>
      <c r="VBW22" s="7"/>
      <c r="VBY22" s="7"/>
      <c r="VCA22" s="7"/>
      <c r="VCC22" s="7"/>
      <c r="VCE22" s="7"/>
      <c r="VCG22" s="7"/>
      <c r="VCI22" s="7"/>
      <c r="VCK22" s="7"/>
      <c r="VCM22" s="7"/>
      <c r="VCO22" s="7"/>
      <c r="VCQ22" s="7"/>
      <c r="VCS22" s="7"/>
      <c r="VCU22" s="7"/>
      <c r="VCW22" s="7"/>
      <c r="VCY22" s="7"/>
      <c r="VDA22" s="7"/>
      <c r="VDC22" s="7"/>
      <c r="VDE22" s="7"/>
      <c r="VDG22" s="7"/>
      <c r="VDI22" s="7"/>
      <c r="VDK22" s="7"/>
      <c r="VDM22" s="7"/>
      <c r="VDO22" s="7"/>
      <c r="VDQ22" s="7"/>
      <c r="VDS22" s="7"/>
      <c r="VDU22" s="7"/>
      <c r="VDW22" s="7"/>
      <c r="VDY22" s="7"/>
      <c r="VEA22" s="7"/>
      <c r="VEC22" s="7"/>
      <c r="VEE22" s="7"/>
      <c r="VEG22" s="7"/>
      <c r="VEI22" s="7"/>
      <c r="VEK22" s="7"/>
      <c r="VEM22" s="7"/>
      <c r="VEO22" s="7"/>
      <c r="VEQ22" s="7"/>
      <c r="VES22" s="7"/>
      <c r="VEU22" s="7"/>
      <c r="VEW22" s="7"/>
      <c r="VEY22" s="7"/>
      <c r="VFA22" s="7"/>
      <c r="VFC22" s="7"/>
      <c r="VFE22" s="7"/>
      <c r="VFG22" s="7"/>
      <c r="VFI22" s="7"/>
      <c r="VFK22" s="7"/>
      <c r="VFM22" s="7"/>
      <c r="VFO22" s="7"/>
      <c r="VFQ22" s="7"/>
      <c r="VFS22" s="7"/>
      <c r="VFU22" s="7"/>
      <c r="VFW22" s="7"/>
      <c r="VFY22" s="7"/>
      <c r="VGA22" s="7"/>
      <c r="VGC22" s="7"/>
      <c r="VGE22" s="7"/>
      <c r="VGG22" s="7"/>
      <c r="VGI22" s="7"/>
      <c r="VGK22" s="7"/>
      <c r="VGM22" s="7"/>
      <c r="VGO22" s="7"/>
      <c r="VGQ22" s="7"/>
      <c r="VGS22" s="7"/>
      <c r="VGU22" s="7"/>
      <c r="VGW22" s="7"/>
      <c r="VGY22" s="7"/>
      <c r="VHA22" s="7"/>
      <c r="VHC22" s="7"/>
      <c r="VHE22" s="7"/>
      <c r="VHG22" s="7"/>
      <c r="VHI22" s="7"/>
      <c r="VHK22" s="7"/>
      <c r="VHM22" s="7"/>
      <c r="VHO22" s="7"/>
      <c r="VHQ22" s="7"/>
      <c r="VHS22" s="7"/>
      <c r="VHU22" s="7"/>
      <c r="VHW22" s="7"/>
      <c r="VHY22" s="7"/>
      <c r="VIA22" s="7"/>
      <c r="VIC22" s="7"/>
      <c r="VIE22" s="7"/>
      <c r="VIG22" s="7"/>
      <c r="VII22" s="7"/>
      <c r="VIK22" s="7"/>
      <c r="VIM22" s="7"/>
      <c r="VIO22" s="7"/>
      <c r="VIQ22" s="7"/>
      <c r="VIS22" s="7"/>
      <c r="VIU22" s="7"/>
      <c r="VIW22" s="7"/>
      <c r="VIY22" s="7"/>
      <c r="VJA22" s="7"/>
      <c r="VJC22" s="7"/>
      <c r="VJE22" s="7"/>
      <c r="VJG22" s="7"/>
      <c r="VJI22" s="7"/>
      <c r="VJK22" s="7"/>
      <c r="VJM22" s="7"/>
      <c r="VJO22" s="7"/>
      <c r="VJQ22" s="7"/>
      <c r="VJS22" s="7"/>
      <c r="VJU22" s="7"/>
      <c r="VJW22" s="7"/>
      <c r="VJY22" s="7"/>
      <c r="VKA22" s="7"/>
      <c r="VKC22" s="7"/>
      <c r="VKE22" s="7"/>
      <c r="VKG22" s="7"/>
      <c r="VKI22" s="7"/>
      <c r="VKK22" s="7"/>
      <c r="VKM22" s="7"/>
      <c r="VKO22" s="7"/>
      <c r="VKQ22" s="7"/>
      <c r="VKS22" s="7"/>
      <c r="VKU22" s="7"/>
      <c r="VKW22" s="7"/>
      <c r="VKY22" s="7"/>
      <c r="VLA22" s="7"/>
      <c r="VLC22" s="7"/>
      <c r="VLE22" s="7"/>
      <c r="VLG22" s="7"/>
      <c r="VLI22" s="7"/>
      <c r="VLK22" s="7"/>
      <c r="VLM22" s="7"/>
      <c r="VLO22" s="7"/>
      <c r="VLQ22" s="7"/>
      <c r="VLS22" s="7"/>
      <c r="VLU22" s="7"/>
      <c r="VLW22" s="7"/>
      <c r="VLY22" s="7"/>
      <c r="VMA22" s="7"/>
      <c r="VMC22" s="7"/>
      <c r="VME22" s="7"/>
      <c r="VMG22" s="7"/>
      <c r="VMI22" s="7"/>
      <c r="VMK22" s="7"/>
      <c r="VMM22" s="7"/>
      <c r="VMO22" s="7"/>
      <c r="VMQ22" s="7"/>
      <c r="VMS22" s="7"/>
      <c r="VMU22" s="7"/>
      <c r="VMW22" s="7"/>
      <c r="VMY22" s="7"/>
      <c r="VNA22" s="7"/>
      <c r="VNC22" s="7"/>
      <c r="VNE22" s="7"/>
      <c r="VNG22" s="7"/>
      <c r="VNI22" s="7"/>
      <c r="VNK22" s="7"/>
      <c r="VNM22" s="7"/>
      <c r="VNO22" s="7"/>
      <c r="VNQ22" s="7"/>
      <c r="VNS22" s="7"/>
      <c r="VNU22" s="7"/>
      <c r="VNW22" s="7"/>
      <c r="VNY22" s="7"/>
      <c r="VOA22" s="7"/>
      <c r="VOC22" s="7"/>
      <c r="VOE22" s="7"/>
      <c r="VOG22" s="7"/>
      <c r="VOI22" s="7"/>
      <c r="VOK22" s="7"/>
      <c r="VOM22" s="7"/>
      <c r="VOO22" s="7"/>
      <c r="VOQ22" s="7"/>
      <c r="VOS22" s="7"/>
      <c r="VOU22" s="7"/>
      <c r="VOW22" s="7"/>
      <c r="VOY22" s="7"/>
      <c r="VPA22" s="7"/>
      <c r="VPC22" s="7"/>
      <c r="VPE22" s="7"/>
      <c r="VPG22" s="7"/>
      <c r="VPI22" s="7"/>
      <c r="VPK22" s="7"/>
      <c r="VPM22" s="7"/>
      <c r="VPO22" s="7"/>
      <c r="VPQ22" s="7"/>
      <c r="VPS22" s="7"/>
      <c r="VPU22" s="7"/>
      <c r="VPW22" s="7"/>
      <c r="VPY22" s="7"/>
      <c r="VQA22" s="7"/>
      <c r="VQC22" s="7"/>
      <c r="VQE22" s="7"/>
      <c r="VQG22" s="7"/>
      <c r="VQI22" s="7"/>
      <c r="VQK22" s="7"/>
      <c r="VQM22" s="7"/>
      <c r="VQO22" s="7"/>
      <c r="VQQ22" s="7"/>
      <c r="VQS22" s="7"/>
      <c r="VQU22" s="7"/>
      <c r="VQW22" s="7"/>
      <c r="VQY22" s="7"/>
      <c r="VRA22" s="7"/>
      <c r="VRC22" s="7"/>
      <c r="VRE22" s="7"/>
      <c r="VRG22" s="7"/>
      <c r="VRI22" s="7"/>
      <c r="VRK22" s="7"/>
      <c r="VRM22" s="7"/>
      <c r="VRO22" s="7"/>
      <c r="VRQ22" s="7"/>
      <c r="VRS22" s="7"/>
      <c r="VRU22" s="7"/>
      <c r="VRW22" s="7"/>
      <c r="VRY22" s="7"/>
      <c r="VSA22" s="7"/>
      <c r="VSC22" s="7"/>
      <c r="VSE22" s="7"/>
      <c r="VSG22" s="7"/>
      <c r="VSI22" s="7"/>
      <c r="VSK22" s="7"/>
      <c r="VSM22" s="7"/>
      <c r="VSO22" s="7"/>
      <c r="VSQ22" s="7"/>
      <c r="VSS22" s="7"/>
      <c r="VSU22" s="7"/>
      <c r="VSW22" s="7"/>
      <c r="VSY22" s="7"/>
      <c r="VTA22" s="7"/>
      <c r="VTC22" s="7"/>
      <c r="VTE22" s="7"/>
      <c r="VTG22" s="7"/>
      <c r="VTI22" s="7"/>
      <c r="VTK22" s="7"/>
      <c r="VTM22" s="7"/>
      <c r="VTO22" s="7"/>
      <c r="VTQ22" s="7"/>
      <c r="VTS22" s="7"/>
      <c r="VTU22" s="7"/>
      <c r="VTW22" s="7"/>
      <c r="VTY22" s="7"/>
      <c r="VUA22" s="7"/>
      <c r="VUC22" s="7"/>
      <c r="VUE22" s="7"/>
      <c r="VUG22" s="7"/>
      <c r="VUI22" s="7"/>
      <c r="VUK22" s="7"/>
      <c r="VUM22" s="7"/>
      <c r="VUO22" s="7"/>
      <c r="VUQ22" s="7"/>
      <c r="VUS22" s="7"/>
      <c r="VUU22" s="7"/>
      <c r="VUW22" s="7"/>
      <c r="VUY22" s="7"/>
      <c r="VVA22" s="7"/>
      <c r="VVC22" s="7"/>
      <c r="VVE22" s="7"/>
      <c r="VVG22" s="7"/>
      <c r="VVI22" s="7"/>
      <c r="VVK22" s="7"/>
      <c r="VVM22" s="7"/>
      <c r="VVO22" s="7"/>
      <c r="VVQ22" s="7"/>
      <c r="VVS22" s="7"/>
      <c r="VVU22" s="7"/>
      <c r="VVW22" s="7"/>
      <c r="VVY22" s="7"/>
      <c r="VWA22" s="7"/>
      <c r="VWC22" s="7"/>
      <c r="VWE22" s="7"/>
      <c r="VWG22" s="7"/>
      <c r="VWI22" s="7"/>
      <c r="VWK22" s="7"/>
      <c r="VWM22" s="7"/>
      <c r="VWO22" s="7"/>
      <c r="VWQ22" s="7"/>
      <c r="VWS22" s="7"/>
      <c r="VWU22" s="7"/>
      <c r="VWW22" s="7"/>
      <c r="VWY22" s="7"/>
      <c r="VXA22" s="7"/>
      <c r="VXC22" s="7"/>
      <c r="VXE22" s="7"/>
      <c r="VXG22" s="7"/>
      <c r="VXI22" s="7"/>
      <c r="VXK22" s="7"/>
      <c r="VXM22" s="7"/>
      <c r="VXO22" s="7"/>
      <c r="VXQ22" s="7"/>
      <c r="VXS22" s="7"/>
      <c r="VXU22" s="7"/>
      <c r="VXW22" s="7"/>
      <c r="VXY22" s="7"/>
      <c r="VYA22" s="7"/>
      <c r="VYC22" s="7"/>
      <c r="VYE22" s="7"/>
      <c r="VYG22" s="7"/>
      <c r="VYI22" s="7"/>
      <c r="VYK22" s="7"/>
      <c r="VYM22" s="7"/>
      <c r="VYO22" s="7"/>
      <c r="VYQ22" s="7"/>
      <c r="VYS22" s="7"/>
      <c r="VYU22" s="7"/>
      <c r="VYW22" s="7"/>
      <c r="VYY22" s="7"/>
      <c r="VZA22" s="7"/>
      <c r="VZC22" s="7"/>
      <c r="VZE22" s="7"/>
      <c r="VZG22" s="7"/>
      <c r="VZI22" s="7"/>
      <c r="VZK22" s="7"/>
      <c r="VZM22" s="7"/>
      <c r="VZO22" s="7"/>
      <c r="VZQ22" s="7"/>
      <c r="VZS22" s="7"/>
      <c r="VZU22" s="7"/>
      <c r="VZW22" s="7"/>
      <c r="VZY22" s="7"/>
      <c r="WAA22" s="7"/>
      <c r="WAC22" s="7"/>
      <c r="WAE22" s="7"/>
      <c r="WAG22" s="7"/>
      <c r="WAI22" s="7"/>
      <c r="WAK22" s="7"/>
      <c r="WAM22" s="7"/>
      <c r="WAO22" s="7"/>
      <c r="WAQ22" s="7"/>
      <c r="WAS22" s="7"/>
      <c r="WAU22" s="7"/>
      <c r="WAW22" s="7"/>
      <c r="WAY22" s="7"/>
      <c r="WBA22" s="7"/>
      <c r="WBC22" s="7"/>
      <c r="WBE22" s="7"/>
      <c r="WBG22" s="7"/>
      <c r="WBI22" s="7"/>
      <c r="WBK22" s="7"/>
      <c r="WBM22" s="7"/>
      <c r="WBO22" s="7"/>
      <c r="WBQ22" s="7"/>
      <c r="WBS22" s="7"/>
      <c r="WBU22" s="7"/>
      <c r="WBW22" s="7"/>
      <c r="WBY22" s="7"/>
      <c r="WCA22" s="7"/>
      <c r="WCC22" s="7"/>
      <c r="WCE22" s="7"/>
      <c r="WCG22" s="7"/>
      <c r="WCI22" s="7"/>
      <c r="WCK22" s="7"/>
      <c r="WCM22" s="7"/>
      <c r="WCO22" s="7"/>
      <c r="WCQ22" s="7"/>
      <c r="WCS22" s="7"/>
      <c r="WCU22" s="7"/>
      <c r="WCW22" s="7"/>
      <c r="WCY22" s="7"/>
      <c r="WDA22" s="7"/>
      <c r="WDC22" s="7"/>
      <c r="WDE22" s="7"/>
      <c r="WDG22" s="7"/>
      <c r="WDI22" s="7"/>
      <c r="WDK22" s="7"/>
      <c r="WDM22" s="7"/>
      <c r="WDO22" s="7"/>
      <c r="WDQ22" s="7"/>
      <c r="WDS22" s="7"/>
      <c r="WDU22" s="7"/>
      <c r="WDW22" s="7"/>
      <c r="WDY22" s="7"/>
      <c r="WEA22" s="7"/>
      <c r="WEC22" s="7"/>
      <c r="WEE22" s="7"/>
      <c r="WEG22" s="7"/>
      <c r="WEI22" s="7"/>
      <c r="WEK22" s="7"/>
      <c r="WEM22" s="7"/>
      <c r="WEO22" s="7"/>
      <c r="WEQ22" s="7"/>
      <c r="WES22" s="7"/>
      <c r="WEU22" s="7"/>
      <c r="WEW22" s="7"/>
      <c r="WEY22" s="7"/>
      <c r="WFA22" s="7"/>
      <c r="WFC22" s="7"/>
      <c r="WFE22" s="7"/>
      <c r="WFG22" s="7"/>
      <c r="WFI22" s="7"/>
      <c r="WFK22" s="7"/>
      <c r="WFM22" s="7"/>
      <c r="WFO22" s="7"/>
      <c r="WFQ22" s="7"/>
      <c r="WFS22" s="7"/>
      <c r="WFU22" s="7"/>
      <c r="WFW22" s="7"/>
      <c r="WFY22" s="7"/>
      <c r="WGA22" s="7"/>
      <c r="WGC22" s="7"/>
      <c r="WGE22" s="7"/>
      <c r="WGG22" s="7"/>
      <c r="WGI22" s="7"/>
      <c r="WGK22" s="7"/>
      <c r="WGM22" s="7"/>
      <c r="WGO22" s="7"/>
      <c r="WGQ22" s="7"/>
      <c r="WGS22" s="7"/>
      <c r="WGU22" s="7"/>
      <c r="WGW22" s="7"/>
      <c r="WGY22" s="7"/>
      <c r="WHA22" s="7"/>
      <c r="WHC22" s="7"/>
      <c r="WHE22" s="7"/>
      <c r="WHG22" s="7"/>
      <c r="WHI22" s="7"/>
      <c r="WHK22" s="7"/>
      <c r="WHM22" s="7"/>
      <c r="WHO22" s="7"/>
      <c r="WHQ22" s="7"/>
      <c r="WHS22" s="7"/>
      <c r="WHU22" s="7"/>
      <c r="WHW22" s="7"/>
      <c r="WHY22" s="7"/>
      <c r="WIA22" s="7"/>
      <c r="WIC22" s="7"/>
      <c r="WIE22" s="7"/>
      <c r="WIG22" s="7"/>
      <c r="WII22" s="7"/>
      <c r="WIK22" s="7"/>
      <c r="WIM22" s="7"/>
      <c r="WIO22" s="7"/>
      <c r="WIQ22" s="7"/>
      <c r="WIS22" s="7"/>
      <c r="WIU22" s="7"/>
      <c r="WIW22" s="7"/>
      <c r="WIY22" s="7"/>
      <c r="WJA22" s="7"/>
      <c r="WJC22" s="7"/>
      <c r="WJE22" s="7"/>
      <c r="WJG22" s="7"/>
      <c r="WJI22" s="7"/>
      <c r="WJK22" s="7"/>
      <c r="WJM22" s="7"/>
      <c r="WJO22" s="7"/>
      <c r="WJQ22" s="7"/>
      <c r="WJS22" s="7"/>
      <c r="WJU22" s="7"/>
      <c r="WJW22" s="7"/>
      <c r="WJY22" s="7"/>
      <c r="WKA22" s="7"/>
      <c r="WKC22" s="7"/>
      <c r="WKE22" s="7"/>
      <c r="WKG22" s="7"/>
      <c r="WKI22" s="7"/>
      <c r="WKK22" s="7"/>
      <c r="WKM22" s="7"/>
      <c r="WKO22" s="7"/>
      <c r="WKQ22" s="7"/>
      <c r="WKS22" s="7"/>
      <c r="WKU22" s="7"/>
      <c r="WKW22" s="7"/>
      <c r="WKY22" s="7"/>
      <c r="WLA22" s="7"/>
      <c r="WLC22" s="7"/>
      <c r="WLE22" s="7"/>
      <c r="WLG22" s="7"/>
      <c r="WLI22" s="7"/>
      <c r="WLK22" s="7"/>
      <c r="WLM22" s="7"/>
      <c r="WLO22" s="7"/>
      <c r="WLQ22" s="7"/>
      <c r="WLS22" s="7"/>
      <c r="WLU22" s="7"/>
      <c r="WLW22" s="7"/>
      <c r="WLY22" s="7"/>
      <c r="WMA22" s="7"/>
      <c r="WMC22" s="7"/>
      <c r="WME22" s="7"/>
      <c r="WMG22" s="7"/>
      <c r="WMI22" s="7"/>
      <c r="WMK22" s="7"/>
      <c r="WMM22" s="7"/>
      <c r="WMO22" s="7"/>
      <c r="WMQ22" s="7"/>
      <c r="WMS22" s="7"/>
      <c r="WMU22" s="7"/>
      <c r="WMW22" s="7"/>
      <c r="WMY22" s="7"/>
      <c r="WNA22" s="7"/>
      <c r="WNC22" s="7"/>
      <c r="WNE22" s="7"/>
      <c r="WNG22" s="7"/>
      <c r="WNI22" s="7"/>
      <c r="WNK22" s="7"/>
      <c r="WNM22" s="7"/>
      <c r="WNO22" s="7"/>
      <c r="WNQ22" s="7"/>
      <c r="WNS22" s="7"/>
      <c r="WNU22" s="7"/>
      <c r="WNW22" s="7"/>
      <c r="WNY22" s="7"/>
      <c r="WOA22" s="7"/>
      <c r="WOC22" s="7"/>
      <c r="WOE22" s="7"/>
      <c r="WOG22" s="7"/>
      <c r="WOI22" s="7"/>
      <c r="WOK22" s="7"/>
      <c r="WOM22" s="7"/>
      <c r="WOO22" s="7"/>
      <c r="WOQ22" s="7"/>
      <c r="WOS22" s="7"/>
      <c r="WOU22" s="7"/>
      <c r="WOW22" s="7"/>
      <c r="WOY22" s="7"/>
      <c r="WPA22" s="7"/>
      <c r="WPC22" s="7"/>
      <c r="WPE22" s="7"/>
      <c r="WPG22" s="7"/>
      <c r="WPI22" s="7"/>
      <c r="WPK22" s="7"/>
      <c r="WPM22" s="7"/>
      <c r="WPO22" s="7"/>
      <c r="WPQ22" s="7"/>
      <c r="WPS22" s="7"/>
      <c r="WPU22" s="7"/>
      <c r="WPW22" s="7"/>
      <c r="WPY22" s="7"/>
      <c r="WQA22" s="7"/>
      <c r="WQC22" s="7"/>
      <c r="WQE22" s="7"/>
      <c r="WQG22" s="7"/>
      <c r="WQI22" s="7"/>
      <c r="WQK22" s="7"/>
      <c r="WQM22" s="7"/>
      <c r="WQO22" s="7"/>
      <c r="WQQ22" s="7"/>
      <c r="WQS22" s="7"/>
      <c r="WQU22" s="7"/>
      <c r="WQW22" s="7"/>
      <c r="WQY22" s="7"/>
      <c r="WRA22" s="7"/>
      <c r="WRC22" s="7"/>
      <c r="WRE22" s="7"/>
      <c r="WRG22" s="7"/>
      <c r="WRI22" s="7"/>
      <c r="WRK22" s="7"/>
      <c r="WRM22" s="7"/>
      <c r="WRO22" s="7"/>
      <c r="WRQ22" s="7"/>
      <c r="WRS22" s="7"/>
      <c r="WRU22" s="7"/>
      <c r="WRW22" s="7"/>
      <c r="WRY22" s="7"/>
      <c r="WSA22" s="7"/>
      <c r="WSC22" s="7"/>
      <c r="WSE22" s="7"/>
      <c r="WSG22" s="7"/>
      <c r="WSI22" s="7"/>
      <c r="WSK22" s="7"/>
      <c r="WSM22" s="7"/>
      <c r="WSO22" s="7"/>
      <c r="WSQ22" s="7"/>
      <c r="WSS22" s="7"/>
      <c r="WSU22" s="7"/>
      <c r="WSW22" s="7"/>
      <c r="WSY22" s="7"/>
      <c r="WTA22" s="7"/>
      <c r="WTC22" s="7"/>
      <c r="WTE22" s="7"/>
      <c r="WTG22" s="7"/>
      <c r="WTI22" s="7"/>
      <c r="WTK22" s="7"/>
      <c r="WTM22" s="7"/>
      <c r="WTO22" s="7"/>
      <c r="WTQ22" s="7"/>
      <c r="WTS22" s="7"/>
      <c r="WTU22" s="7"/>
      <c r="WTW22" s="7"/>
      <c r="WTY22" s="7"/>
      <c r="WUA22" s="7"/>
      <c r="WUC22" s="7"/>
      <c r="WUE22" s="7"/>
      <c r="WUG22" s="7"/>
      <c r="WUI22" s="7"/>
      <c r="WUK22" s="7"/>
      <c r="WUM22" s="7"/>
      <c r="WUO22" s="7"/>
      <c r="WUQ22" s="7"/>
      <c r="WUS22" s="7"/>
      <c r="WUU22" s="7"/>
      <c r="WUW22" s="7"/>
      <c r="WUY22" s="7"/>
      <c r="WVA22" s="7"/>
      <c r="WVC22" s="7"/>
      <c r="WVE22" s="7"/>
      <c r="WVG22" s="7"/>
      <c r="WVI22" s="7"/>
      <c r="WVK22" s="7"/>
      <c r="WVM22" s="7"/>
      <c r="WVO22" s="7"/>
      <c r="WVQ22" s="7"/>
      <c r="WVS22" s="7"/>
      <c r="WVU22" s="7"/>
      <c r="WVW22" s="7"/>
      <c r="WVY22" s="7"/>
      <c r="WWA22" s="7"/>
      <c r="WWC22" s="7"/>
      <c r="WWE22" s="7"/>
      <c r="WWG22" s="7"/>
      <c r="WWI22" s="7"/>
      <c r="WWK22" s="7"/>
      <c r="WWM22" s="7"/>
      <c r="WWO22" s="7"/>
      <c r="WWQ22" s="7"/>
      <c r="WWS22" s="7"/>
      <c r="WWU22" s="7"/>
      <c r="WWW22" s="7"/>
      <c r="WWY22" s="7"/>
      <c r="WXA22" s="7"/>
      <c r="WXC22" s="7"/>
      <c r="WXE22" s="7"/>
      <c r="WXG22" s="7"/>
      <c r="WXI22" s="7"/>
      <c r="WXK22" s="7"/>
      <c r="WXM22" s="7"/>
      <c r="WXO22" s="7"/>
      <c r="WXQ22" s="7"/>
      <c r="WXS22" s="7"/>
      <c r="WXU22" s="7"/>
      <c r="WXW22" s="7"/>
      <c r="WXY22" s="7"/>
      <c r="WYA22" s="7"/>
      <c r="WYC22" s="7"/>
      <c r="WYE22" s="7"/>
      <c r="WYG22" s="7"/>
      <c r="WYI22" s="7"/>
      <c r="WYK22" s="7"/>
      <c r="WYM22" s="7"/>
      <c r="WYO22" s="7"/>
      <c r="WYQ22" s="7"/>
      <c r="WYS22" s="7"/>
      <c r="WYU22" s="7"/>
      <c r="WYW22" s="7"/>
      <c r="WYY22" s="7"/>
      <c r="WZA22" s="7"/>
      <c r="WZC22" s="7"/>
      <c r="WZE22" s="7"/>
      <c r="WZG22" s="7"/>
      <c r="WZI22" s="7"/>
      <c r="WZK22" s="7"/>
      <c r="WZM22" s="7"/>
      <c r="WZO22" s="7"/>
      <c r="WZQ22" s="7"/>
      <c r="WZS22" s="7"/>
      <c r="WZU22" s="7"/>
      <c r="WZW22" s="7"/>
      <c r="WZY22" s="7"/>
      <c r="XAA22" s="7"/>
      <c r="XAC22" s="7"/>
      <c r="XAE22" s="7"/>
      <c r="XAG22" s="7"/>
      <c r="XAI22" s="7"/>
      <c r="XAK22" s="7"/>
      <c r="XAM22" s="7"/>
      <c r="XAO22" s="7"/>
      <c r="XAQ22" s="7"/>
      <c r="XAS22" s="7"/>
      <c r="XAU22" s="7"/>
      <c r="XAW22" s="7"/>
      <c r="XAY22" s="7"/>
      <c r="XBA22" s="7"/>
      <c r="XBC22" s="7"/>
      <c r="XBE22" s="7"/>
      <c r="XBG22" s="7"/>
      <c r="XBI22" s="7"/>
      <c r="XBK22" s="7"/>
      <c r="XBM22" s="7"/>
      <c r="XBO22" s="7"/>
      <c r="XBQ22" s="7"/>
      <c r="XBS22" s="7"/>
      <c r="XBU22" s="7"/>
      <c r="XBW22" s="7"/>
      <c r="XBY22" s="7"/>
      <c r="XCA22" s="7"/>
      <c r="XCC22" s="7"/>
      <c r="XCE22" s="7"/>
      <c r="XCG22" s="7"/>
      <c r="XCI22" s="7"/>
      <c r="XCK22" s="7"/>
      <c r="XCM22" s="7"/>
      <c r="XCO22" s="7"/>
      <c r="XCQ22" s="7"/>
      <c r="XCS22" s="7"/>
      <c r="XCU22" s="7"/>
      <c r="XCW22" s="7"/>
      <c r="XCY22" s="7"/>
      <c r="XDA22" s="7"/>
      <c r="XDC22" s="7"/>
      <c r="XDE22" s="7"/>
      <c r="XDG22" s="7"/>
      <c r="XDI22" s="7"/>
      <c r="XDK22" s="7"/>
      <c r="XDM22" s="7"/>
      <c r="XDO22" s="7"/>
      <c r="XDQ22" s="7"/>
      <c r="XDS22" s="7"/>
      <c r="XDU22" s="7"/>
      <c r="XDW22" s="7"/>
      <c r="XDY22" s="7"/>
      <c r="XEA22" s="7"/>
      <c r="XEC22" s="7"/>
      <c r="XEE22" s="7"/>
      <c r="XEG22" s="7"/>
      <c r="XEI22" s="7"/>
      <c r="XEK22" s="7"/>
      <c r="XEM22" s="7"/>
      <c r="XEO22" s="7"/>
      <c r="XEQ22" s="7"/>
      <c r="XES22" s="7"/>
      <c r="XEU22" s="7"/>
      <c r="XEW22" s="7"/>
      <c r="XEY22" s="7"/>
      <c r="XFA22" s="7"/>
      <c r="XFC22" s="7"/>
    </row>
    <row r="23" spans="1:1023 1025:2047 2049:3071 3073:4095 4097:5119 5121:6143 6145:7167 7169:8191 8193:9215 9217:10239 10241:11263 11265:12287 12289:13311 13313:14335 14337:15359 15361:16383" ht="15" thickBot="1" x14ac:dyDescent="0.35">
      <c r="A23" s="51" t="s">
        <v>7401</v>
      </c>
      <c r="B23" s="55">
        <f>SUM(B19:B22)</f>
        <v>3023</v>
      </c>
      <c r="C23" s="55">
        <f>SUM(C19:C22)</f>
        <v>1</v>
      </c>
    </row>
    <row r="24" spans="1:1023 1025:2047 2049:3071 3073:4095 4097:5119 5121:6143 6145:7167 7169:8191 8193:9215 9217:10239 10241:11263 11265:12287 12289:13311 13313:14335 14337:15359 15361:16383" ht="15" thickTop="1" x14ac:dyDescent="0.3">
      <c r="A24" s="7"/>
    </row>
    <row r="25" spans="1:1023 1025:2047 2049:3071 3073:4095 4097:5119 5121:6143 6145:7167 7169:8191 8193:9215 9217:10239 10241:11263 11265:12287 12289:13311 13313:14335 14337:15359 15361:16383" ht="15.6" x14ac:dyDescent="0.3">
      <c r="A25" s="2" t="s">
        <v>7404</v>
      </c>
    </row>
    <row r="26" spans="1:1023 1025:2047 2049:3071 3073:4095 4097:5119 5121:6143 6145:7167 7169:8191 8193:9215 9217:10239 10241:11263 11265:12287 12289:13311 13313:14335 14337:15359 15361:16383" x14ac:dyDescent="0.3">
      <c r="A26" s="45" t="s">
        <v>7405</v>
      </c>
      <c r="B26" s="3" t="s">
        <v>7399</v>
      </c>
      <c r="C26" s="3" t="s">
        <v>7400</v>
      </c>
    </row>
    <row r="27" spans="1:1023 1025:2047 2049:3071 3073:4095 4097:5119 5121:6143 6145:7167 7169:8191 8193:9215 9217:10239 10241:11263 11265:12287 12289:13311 13313:14335 14337:15359 15361:16383" x14ac:dyDescent="0.3">
      <c r="A27" s="42" t="s">
        <v>42</v>
      </c>
      <c r="B27" s="31">
        <f>COUNTIF(Squirrel_Data!I2:I3024,"Gray")</f>
        <v>2473</v>
      </c>
      <c r="C27" s="36">
        <f>IF($B$6&gt;0,B27/$B$6,0)</f>
        <v>0.81806152828316248</v>
      </c>
    </row>
    <row r="28" spans="1:1023 1025:2047 2049:3071 3073:4095 4097:5119 5121:6143 6145:7167 7169:8191 8193:9215 9217:10239 10241:11263 11265:12287 12289:13311 13313:14335 14337:15359 15361:16383" x14ac:dyDescent="0.3">
      <c r="A28" s="43" t="s">
        <v>53</v>
      </c>
      <c r="B28" s="33">
        <f>COUNTIF(Squirrel_Data!I2:I3024,"Cinnamon")</f>
        <v>392</v>
      </c>
      <c r="C28" s="37">
        <f>IF($B$6&gt;0,B28/$B$6,0)</f>
        <v>0.12967251075090969</v>
      </c>
    </row>
    <row r="29" spans="1:1023 1025:2047 2049:3071 3073:4095 4097:5119 5121:6143 6145:7167 7169:8191 8193:9215 9217:10239 10241:11263 11265:12287 12289:13311 13313:14335 14337:15359 15361:16383" x14ac:dyDescent="0.3">
      <c r="A29" s="43" t="s">
        <v>176</v>
      </c>
      <c r="B29" s="33">
        <f>COUNTIF(Squirrel_Data!I2:I3024,"Black")</f>
        <v>103</v>
      </c>
      <c r="C29" s="37">
        <f>IF($B$6&gt;0,B29/$B$6,0)</f>
        <v>3.407211379424413E-2</v>
      </c>
    </row>
    <row r="30" spans="1:1023 1025:2047 2049:3071 3073:4095 4097:5119 5121:6143 6145:7167 7169:8191 8193:9215 9217:10239 10241:11263 11265:12287 12289:13311 13313:14335 14337:15359 15361:16383" x14ac:dyDescent="0.3">
      <c r="A30" s="43" t="s">
        <v>7406</v>
      </c>
      <c r="B30" s="33">
        <f>$B$6-SUM(B27:B29)</f>
        <v>55</v>
      </c>
      <c r="C30" s="37">
        <f>IF($B$6&gt;0,B30/$B$6,0)</f>
        <v>1.8193847171683757E-2</v>
      </c>
    </row>
    <row r="31" spans="1:1023 1025:2047 2049:3071 3073:4095 4097:5119 5121:6143 6145:7167 7169:8191 8193:9215 9217:10239 10241:11263 11265:12287 12289:13311 13313:14335 14337:15359 15361:16383" ht="15" thickBot="1" x14ac:dyDescent="0.35">
      <c r="A31" s="51" t="s">
        <v>7401</v>
      </c>
      <c r="B31" s="55">
        <f>SUM(B27:B30)</f>
        <v>3023</v>
      </c>
      <c r="C31" s="52"/>
    </row>
    <row r="32" spans="1:1023 1025:2047 2049:3071 3073:4095 4097:5119 5121:6143 6145:7167 7169:8191 8193:9215 9217:10239 10241:11263 11265:12287 12289:13311 13313:14335 14337:15359 15361:16383" ht="15" thickTop="1" x14ac:dyDescent="0.3">
      <c r="A32" s="75"/>
      <c r="B32" s="76"/>
      <c r="C32" s="77"/>
    </row>
    <row r="33" spans="1:3" ht="15.6" x14ac:dyDescent="0.3">
      <c r="A33" s="2" t="s">
        <v>7407</v>
      </c>
    </row>
    <row r="34" spans="1:3" x14ac:dyDescent="0.3">
      <c r="A34" s="45" t="s">
        <v>12</v>
      </c>
      <c r="B34" s="3" t="s">
        <v>7399</v>
      </c>
      <c r="C34" s="3" t="s">
        <v>7400</v>
      </c>
    </row>
    <row r="35" spans="1:3" x14ac:dyDescent="0.3">
      <c r="A35" s="42" t="s">
        <v>65</v>
      </c>
      <c r="B35" s="31">
        <f>COUNTIF(Squirrel_Data!M2:M3024,"Ground Plane")</f>
        <v>2116</v>
      </c>
      <c r="C35" s="36">
        <f>IF($B$6&gt;0,B35/$B$6,0)</f>
        <v>0.69996692027786966</v>
      </c>
    </row>
    <row r="36" spans="1:3" x14ac:dyDescent="0.3">
      <c r="A36" s="43" t="s">
        <v>44</v>
      </c>
      <c r="B36" s="33">
        <f>COUNTIF(Squirrel_Data!M2:M3024,"Above Ground")</f>
        <v>843</v>
      </c>
      <c r="C36" s="37">
        <f>IF($B$6&gt;0,B36/$B$6,0)</f>
        <v>0.27886205755871651</v>
      </c>
    </row>
    <row r="37" spans="1:3" x14ac:dyDescent="0.3">
      <c r="A37" s="43" t="s">
        <v>7406</v>
      </c>
      <c r="B37" s="33">
        <f>$B$6-SUM(B35:B36)</f>
        <v>64</v>
      </c>
      <c r="C37" s="37">
        <f>IF($B$6&gt;0,B37/$B$6,0)</f>
        <v>2.1171022163413829E-2</v>
      </c>
    </row>
    <row r="38" spans="1:3" ht="15" thickBot="1" x14ac:dyDescent="0.35">
      <c r="A38" s="51" t="s">
        <v>7401</v>
      </c>
      <c r="B38" s="55">
        <f>SUM(B35:B37)</f>
        <v>3023</v>
      </c>
      <c r="C38" s="56">
        <f>SUM(C35:C37)</f>
        <v>1</v>
      </c>
    </row>
    <row r="39" spans="1:3" ht="15" thickTop="1" x14ac:dyDescent="0.3">
      <c r="A39" s="7"/>
    </row>
    <row r="40" spans="1:3" ht="15.6" x14ac:dyDescent="0.3">
      <c r="A40" s="2" t="s">
        <v>7408</v>
      </c>
    </row>
    <row r="41" spans="1:3" x14ac:dyDescent="0.3">
      <c r="A41" s="45" t="s">
        <v>7409</v>
      </c>
      <c r="B41" s="3" t="s">
        <v>7399</v>
      </c>
      <c r="C41" s="3" t="s">
        <v>7410</v>
      </c>
    </row>
    <row r="42" spans="1:3" x14ac:dyDescent="0.3">
      <c r="A42" s="42" t="s">
        <v>7411</v>
      </c>
      <c r="B42" s="31">
        <f>COUNTIF(Squirrel_Data!P2:P3024,TRUE)</f>
        <v>730</v>
      </c>
      <c r="C42" s="36">
        <f t="shared" ref="C42:C55" si="0">IF($B$6&gt;0,B42/$B$6,0)</f>
        <v>0.24148197155143897</v>
      </c>
    </row>
    <row r="43" spans="1:3" x14ac:dyDescent="0.3">
      <c r="A43" s="43" t="s">
        <v>7412</v>
      </c>
      <c r="B43" s="33">
        <f>COUNTIF(Squirrel_Data!Q2:Q3024,TRUE)</f>
        <v>279</v>
      </c>
      <c r="C43" s="37">
        <f t="shared" si="0"/>
        <v>9.2292424743632154E-2</v>
      </c>
    </row>
    <row r="44" spans="1:3" x14ac:dyDescent="0.3">
      <c r="A44" s="43" t="s">
        <v>7413</v>
      </c>
      <c r="B44" s="33">
        <f>COUNTIF(Squirrel_Data!R2:R3024,TRUE)</f>
        <v>658</v>
      </c>
      <c r="C44" s="37">
        <f t="shared" si="0"/>
        <v>0.21766457161759842</v>
      </c>
    </row>
    <row r="45" spans="1:3" x14ac:dyDescent="0.3">
      <c r="A45" s="43" t="s">
        <v>7414</v>
      </c>
      <c r="B45" s="33">
        <f>COUNTIF(Squirrel_Data!S2:S3024,TRUE)</f>
        <v>760</v>
      </c>
      <c r="C45" s="37">
        <f t="shared" si="0"/>
        <v>0.25140588819053922</v>
      </c>
    </row>
    <row r="46" spans="1:3" x14ac:dyDescent="0.3">
      <c r="A46" s="43" t="s">
        <v>7415</v>
      </c>
      <c r="B46" s="33">
        <f>COUNTIF(Squirrel_Data!T2:T3024,TRUE)</f>
        <v>1435</v>
      </c>
      <c r="C46" s="37">
        <f t="shared" si="0"/>
        <v>0.47469401257029442</v>
      </c>
    </row>
    <row r="47" spans="1:3" x14ac:dyDescent="0.3">
      <c r="A47" s="43" t="s">
        <v>7416</v>
      </c>
      <c r="B47" s="33">
        <f>COUNTIF(Squirrel_Data!V2:V3024,TRUE)</f>
        <v>102</v>
      </c>
      <c r="C47" s="37">
        <f t="shared" si="0"/>
        <v>3.3741316572940785E-2</v>
      </c>
    </row>
    <row r="48" spans="1:3" x14ac:dyDescent="0.3">
      <c r="A48" s="43" t="s">
        <v>7417</v>
      </c>
      <c r="B48" s="33">
        <f>COUNTIF(Squirrel_Data!W2:W3024,TRUE)</f>
        <v>50</v>
      </c>
      <c r="C48" s="37">
        <f t="shared" si="0"/>
        <v>1.6539861065167052E-2</v>
      </c>
    </row>
    <row r="49" spans="1:5" x14ac:dyDescent="0.3">
      <c r="A49" s="43" t="s">
        <v>7418</v>
      </c>
      <c r="B49" s="33">
        <f>COUNTIF(Squirrel_Data!X2:X3024,TRUE)</f>
        <v>3</v>
      </c>
      <c r="C49" s="37">
        <f t="shared" si="0"/>
        <v>9.9239166391002311E-4</v>
      </c>
    </row>
    <row r="50" spans="1:5" x14ac:dyDescent="0.3">
      <c r="A50" s="43" t="s">
        <v>7419</v>
      </c>
      <c r="B50" s="33">
        <f>COUNTIF(Squirrel_Data!Y2:Y3024,TRUE)</f>
        <v>155</v>
      </c>
      <c r="C50" s="37">
        <f t="shared" si="0"/>
        <v>5.127356930201786E-2</v>
      </c>
    </row>
    <row r="51" spans="1:5" x14ac:dyDescent="0.3">
      <c r="A51" s="43" t="s">
        <v>7420</v>
      </c>
      <c r="B51" s="33">
        <f>COUNTIF(Squirrel_Data!Z2:Z3024,TRUE)</f>
        <v>434</v>
      </c>
      <c r="C51" s="37">
        <f t="shared" si="0"/>
        <v>0.14356599404565001</v>
      </c>
    </row>
    <row r="52" spans="1:5" x14ac:dyDescent="0.3">
      <c r="A52" s="43" t="s">
        <v>7421</v>
      </c>
      <c r="B52" s="33">
        <f>COUNTIF(Squirrel_Data!AA2:AA3024,TRUE)</f>
        <v>178</v>
      </c>
      <c r="C52" s="37">
        <f t="shared" si="0"/>
        <v>5.8881905391994706E-2</v>
      </c>
    </row>
    <row r="53" spans="1:5" x14ac:dyDescent="0.3">
      <c r="A53" s="43" t="s">
        <v>7422</v>
      </c>
      <c r="B53" s="33">
        <f>COUNTIF(Squirrel_Data!AB2:AB3024,TRUE)</f>
        <v>1454</v>
      </c>
      <c r="C53" s="37">
        <f t="shared" si="0"/>
        <v>0.4809791597750579</v>
      </c>
    </row>
    <row r="54" spans="1:5" x14ac:dyDescent="0.3">
      <c r="A54" s="43" t="s">
        <v>7423</v>
      </c>
      <c r="B54" s="33">
        <f>COUNTIF(Squirrel_Data!AC2:AC3024,TRUE)</f>
        <v>678</v>
      </c>
      <c r="C54" s="37">
        <f t="shared" si="0"/>
        <v>0.22428051604366522</v>
      </c>
    </row>
    <row r="55" spans="1:5" x14ac:dyDescent="0.3">
      <c r="A55" s="44" t="s">
        <v>7424</v>
      </c>
      <c r="B55" s="38">
        <f>COUNTA(Squirrel_Data!AD2:AD3024)</f>
        <v>240</v>
      </c>
      <c r="C55" s="39">
        <f t="shared" si="0"/>
        <v>7.9391333112801846E-2</v>
      </c>
    </row>
    <row r="56" spans="1:5" ht="15" thickBot="1" x14ac:dyDescent="0.35">
      <c r="A56" s="51" t="s">
        <v>7401</v>
      </c>
      <c r="B56" s="55">
        <f>SUM(B42:B55)</f>
        <v>7156</v>
      </c>
      <c r="C56" s="56">
        <f>SUM(C42:C55)</f>
        <v>2.3671849156467086</v>
      </c>
    </row>
    <row r="57" spans="1:5" ht="15" thickTop="1" x14ac:dyDescent="0.3">
      <c r="A57" s="7"/>
    </row>
    <row r="58" spans="1:5" ht="15.6" x14ac:dyDescent="0.3">
      <c r="A58" s="2" t="s">
        <v>7425</v>
      </c>
    </row>
    <row r="59" spans="1:5" x14ac:dyDescent="0.3">
      <c r="A59" s="45" t="s">
        <v>7426</v>
      </c>
      <c r="B59" s="3" t="s">
        <v>7399</v>
      </c>
      <c r="C59" s="3" t="s">
        <v>7427</v>
      </c>
      <c r="D59" s="3" t="s">
        <v>7428</v>
      </c>
      <c r="E59" s="3" t="s">
        <v>7430</v>
      </c>
    </row>
    <row r="60" spans="1:5" x14ac:dyDescent="0.3">
      <c r="A60" s="42">
        <v>10062018</v>
      </c>
      <c r="B60" s="31">
        <f>COUNTIF(Squirrel_Data!F2:F3024,A60)</f>
        <v>337</v>
      </c>
      <c r="C60" s="40">
        <f t="shared" ref="C60:C70" si="1">IF($B$6&gt;0,B60/$B$6,0)</f>
        <v>0.11147866357922594</v>
      </c>
      <c r="D60" s="20">
        <f t="shared" ref="D60:D70" si="2">DATE(RIGHT(A60,4),LEFT(A60,2),MID(A60,3,2))</f>
        <v>43379</v>
      </c>
      <c r="E60" s="15" t="str">
        <f t="shared" ref="E60:E70" si="3">TEXT(D60,"dddd")</f>
        <v>Saturday</v>
      </c>
    </row>
    <row r="61" spans="1:5" x14ac:dyDescent="0.3">
      <c r="A61" s="43">
        <v>10072018</v>
      </c>
      <c r="B61" s="33">
        <f>COUNTIF(Squirrel_Data!F2:F3024,A61)</f>
        <v>405</v>
      </c>
      <c r="C61" s="41">
        <f t="shared" si="1"/>
        <v>0.13397287462785312</v>
      </c>
      <c r="D61" s="21">
        <f t="shared" si="2"/>
        <v>43380</v>
      </c>
      <c r="E61" s="16" t="str">
        <f t="shared" si="3"/>
        <v>Sunday</v>
      </c>
    </row>
    <row r="62" spans="1:5" x14ac:dyDescent="0.3">
      <c r="A62" s="43">
        <v>10082018</v>
      </c>
      <c r="B62" s="33">
        <f>COUNTIF(Squirrel_Data!F2:F3024,A62)</f>
        <v>285</v>
      </c>
      <c r="C62" s="41">
        <f t="shared" si="1"/>
        <v>9.4277208071452206E-2</v>
      </c>
      <c r="D62" s="21">
        <f t="shared" si="2"/>
        <v>43381</v>
      </c>
      <c r="E62" s="16" t="str">
        <f t="shared" si="3"/>
        <v>Monday</v>
      </c>
    </row>
    <row r="63" spans="1:5" x14ac:dyDescent="0.3">
      <c r="A63" s="43">
        <v>10102018</v>
      </c>
      <c r="B63" s="33">
        <f>COUNTIF(Squirrel_Data!F2:F3024,A63)</f>
        <v>335</v>
      </c>
      <c r="C63" s="41">
        <f t="shared" si="1"/>
        <v>0.11081706913661925</v>
      </c>
      <c r="D63" s="21">
        <f t="shared" si="2"/>
        <v>43383</v>
      </c>
      <c r="E63" s="16" t="str">
        <f t="shared" si="3"/>
        <v>Wednesday</v>
      </c>
    </row>
    <row r="64" spans="1:5" x14ac:dyDescent="0.3">
      <c r="A64" s="43">
        <v>10122018</v>
      </c>
      <c r="B64" s="33">
        <f>COUNTIF(Squirrel_Data!F2:F3024,A64)</f>
        <v>218</v>
      </c>
      <c r="C64" s="41">
        <f t="shared" si="1"/>
        <v>7.2113794244128351E-2</v>
      </c>
      <c r="D64" s="21">
        <f t="shared" si="2"/>
        <v>43385</v>
      </c>
      <c r="E64" s="16" t="str">
        <f t="shared" si="3"/>
        <v>Friday</v>
      </c>
    </row>
    <row r="65" spans="1:5" x14ac:dyDescent="0.3">
      <c r="A65" s="43">
        <v>10132018</v>
      </c>
      <c r="B65" s="33">
        <f>COUNTIF(Squirrel_Data!F2:F3024,A65)</f>
        <v>434</v>
      </c>
      <c r="C65" s="41">
        <f t="shared" si="1"/>
        <v>0.14356599404565001</v>
      </c>
      <c r="D65" s="21">
        <f t="shared" si="2"/>
        <v>43386</v>
      </c>
      <c r="E65" s="16" t="str">
        <f t="shared" si="3"/>
        <v>Saturday</v>
      </c>
    </row>
    <row r="66" spans="1:5" x14ac:dyDescent="0.3">
      <c r="A66" s="43">
        <v>10142018</v>
      </c>
      <c r="B66" s="33">
        <f>COUNTIF(Squirrel_Data!F2:F3024,A66)</f>
        <v>368</v>
      </c>
      <c r="C66" s="41">
        <f t="shared" si="1"/>
        <v>0.1217333774396295</v>
      </c>
      <c r="D66" s="21">
        <f t="shared" si="2"/>
        <v>43387</v>
      </c>
      <c r="E66" s="16" t="str">
        <f t="shared" si="3"/>
        <v>Sunday</v>
      </c>
    </row>
    <row r="67" spans="1:5" x14ac:dyDescent="0.3">
      <c r="A67" s="43">
        <v>10172018</v>
      </c>
      <c r="B67" s="33">
        <f>COUNTIF(Squirrel_Data!F2:F3024,A67)</f>
        <v>216</v>
      </c>
      <c r="C67" s="41">
        <f t="shared" si="1"/>
        <v>7.1452199801521663E-2</v>
      </c>
      <c r="D67" s="21">
        <f t="shared" si="2"/>
        <v>43390</v>
      </c>
      <c r="E67" s="16" t="str">
        <f t="shared" si="3"/>
        <v>Wednesday</v>
      </c>
    </row>
    <row r="68" spans="1:5" x14ac:dyDescent="0.3">
      <c r="A68" s="43">
        <v>10182018</v>
      </c>
      <c r="B68" s="33">
        <f>COUNTIF(Squirrel_Data!F2:F3024,A68)</f>
        <v>200</v>
      </c>
      <c r="C68" s="41">
        <f t="shared" si="1"/>
        <v>6.6159444260668207E-2</v>
      </c>
      <c r="D68" s="21">
        <f t="shared" si="2"/>
        <v>43391</v>
      </c>
      <c r="E68" s="16" t="str">
        <f t="shared" si="3"/>
        <v>Thursday</v>
      </c>
    </row>
    <row r="69" spans="1:5" x14ac:dyDescent="0.3">
      <c r="A69" s="43">
        <v>10192018</v>
      </c>
      <c r="B69" s="33">
        <f>COUNTIF(Squirrel_Data!F2:F3024,A69)</f>
        <v>158</v>
      </c>
      <c r="C69" s="41">
        <f t="shared" si="1"/>
        <v>5.2265960965927886E-2</v>
      </c>
      <c r="D69" s="21">
        <f t="shared" si="2"/>
        <v>43392</v>
      </c>
      <c r="E69" s="16" t="str">
        <f t="shared" si="3"/>
        <v>Friday</v>
      </c>
    </row>
    <row r="70" spans="1:5" x14ac:dyDescent="0.3">
      <c r="A70" s="43">
        <v>10202018</v>
      </c>
      <c r="B70" s="33">
        <f>COUNTIF(Squirrel_Data!F2:F3024,A70)</f>
        <v>67</v>
      </c>
      <c r="C70" s="41">
        <f t="shared" si="1"/>
        <v>2.2163413827323852E-2</v>
      </c>
      <c r="D70" s="21">
        <f t="shared" si="2"/>
        <v>43393</v>
      </c>
      <c r="E70" s="16" t="str">
        <f t="shared" si="3"/>
        <v>Saturday</v>
      </c>
    </row>
    <row r="71" spans="1:5" ht="15" thickBot="1" x14ac:dyDescent="0.35">
      <c r="A71" s="51" t="s">
        <v>7401</v>
      </c>
      <c r="B71" s="55">
        <f>SUM(B60:B70)</f>
        <v>3023</v>
      </c>
      <c r="C71" s="57">
        <f>SUM(C60:C70)</f>
        <v>0.99999999999999989</v>
      </c>
      <c r="D71" s="22" t="s">
        <v>7429</v>
      </c>
      <c r="E71" s="17"/>
    </row>
    <row r="72" spans="1:5" ht="15" thickTop="1" x14ac:dyDescent="0.3">
      <c r="A72" s="7"/>
    </row>
    <row r="73" spans="1:5" ht="15.6" x14ac:dyDescent="0.3">
      <c r="A73" s="10" t="s">
        <v>7444</v>
      </c>
    </row>
    <row r="74" spans="1:5" x14ac:dyDescent="0.3">
      <c r="A74" s="3" t="s">
        <v>3</v>
      </c>
      <c r="B74" s="3" t="s">
        <v>7399</v>
      </c>
    </row>
    <row r="75" spans="1:5" x14ac:dyDescent="0.3">
      <c r="A75" s="12" t="s">
        <v>729</v>
      </c>
      <c r="B75" s="23">
        <v>32</v>
      </c>
    </row>
    <row r="76" spans="1:5" x14ac:dyDescent="0.3">
      <c r="A76" s="13" t="s">
        <v>47</v>
      </c>
      <c r="B76" s="24">
        <v>30</v>
      </c>
    </row>
    <row r="77" spans="1:5" x14ac:dyDescent="0.3">
      <c r="A77" s="13" t="s">
        <v>100</v>
      </c>
      <c r="B77" s="24">
        <v>28</v>
      </c>
    </row>
    <row r="78" spans="1:5" x14ac:dyDescent="0.3">
      <c r="A78" s="13" t="s">
        <v>851</v>
      </c>
      <c r="B78" s="24">
        <v>27</v>
      </c>
    </row>
    <row r="79" spans="1:5" x14ac:dyDescent="0.3">
      <c r="A79" s="14" t="s">
        <v>92</v>
      </c>
      <c r="B79" s="25">
        <v>26</v>
      </c>
    </row>
    <row r="80" spans="1:5" x14ac:dyDescent="0.3">
      <c r="A80" s="7"/>
    </row>
    <row r="81" spans="1:1" ht="15.6" x14ac:dyDescent="0.3">
      <c r="A81" s="2" t="s">
        <v>7434</v>
      </c>
    </row>
    <row r="82" spans="1:1" ht="27.6" x14ac:dyDescent="0.3">
      <c r="A82" s="46" t="s">
        <v>7435</v>
      </c>
    </row>
    <row r="83" spans="1:1" x14ac:dyDescent="0.3">
      <c r="A83" s="46" t="s">
        <v>7436</v>
      </c>
    </row>
    <row r="84" spans="1:1" ht="27.6" x14ac:dyDescent="0.3">
      <c r="A84" s="46" t="s">
        <v>7437</v>
      </c>
    </row>
    <row r="85" spans="1:1" x14ac:dyDescent="0.3">
      <c r="A85" s="46" t="s">
        <v>7438</v>
      </c>
    </row>
    <row r="86" spans="1:1" ht="28.8" x14ac:dyDescent="0.3">
      <c r="A86" s="47" t="s">
        <v>7443</v>
      </c>
    </row>
    <row r="87" spans="1:1" x14ac:dyDescent="0.3">
      <c r="A87" s="47"/>
    </row>
    <row r="88" spans="1:1" x14ac:dyDescent="0.3">
      <c r="A88" s="47"/>
    </row>
    <row r="89" spans="1:1" x14ac:dyDescent="0.3">
      <c r="A89" s="27" t="s">
        <v>7445</v>
      </c>
    </row>
    <row r="91" spans="1:1" ht="15.6" x14ac:dyDescent="0.3">
      <c r="A91" s="48" t="s">
        <v>7439</v>
      </c>
    </row>
    <row r="92" spans="1:1" ht="24.6" x14ac:dyDescent="0.3">
      <c r="A92" s="49" t="s">
        <v>7440</v>
      </c>
    </row>
    <row r="93" spans="1:1" ht="36.6" x14ac:dyDescent="0.3">
      <c r="A93" s="49" t="s">
        <v>7441</v>
      </c>
    </row>
    <row r="94" spans="1:1" x14ac:dyDescent="0.3">
      <c r="A94" s="50" t="s">
        <v>7442</v>
      </c>
    </row>
    <row r="97" spans="1:1" ht="18" x14ac:dyDescent="0.35">
      <c r="A97" s="54" t="s">
        <v>7446</v>
      </c>
    </row>
    <row r="98" spans="1:1" x14ac:dyDescent="0.3">
      <c r="A98" s="8" t="s">
        <v>7447</v>
      </c>
    </row>
    <row r="100" spans="1:1" x14ac:dyDescent="0.3">
      <c r="A100" s="6" t="s">
        <v>7448</v>
      </c>
    </row>
    <row r="101" spans="1:1" x14ac:dyDescent="0.3">
      <c r="A101" s="26" t="s">
        <v>7449</v>
      </c>
    </row>
    <row r="102" spans="1:1" x14ac:dyDescent="0.3">
      <c r="A102" s="26" t="s">
        <v>7450</v>
      </c>
    </row>
    <row r="104" spans="1:1" x14ac:dyDescent="0.3">
      <c r="A104" s="6" t="s">
        <v>7451</v>
      </c>
    </row>
    <row r="105" spans="1:1" x14ac:dyDescent="0.3">
      <c r="A105" s="26" t="s">
        <v>7452</v>
      </c>
    </row>
    <row r="106" spans="1:1" x14ac:dyDescent="0.3">
      <c r="A106" s="26" t="s">
        <v>7453</v>
      </c>
    </row>
    <row r="107" spans="1:1" x14ac:dyDescent="0.3">
      <c r="A107" s="26" t="s">
        <v>7454</v>
      </c>
    </row>
    <row r="108" spans="1:1" x14ac:dyDescent="0.3">
      <c r="A108" s="26" t="s">
        <v>7455</v>
      </c>
    </row>
    <row r="110" spans="1:1" x14ac:dyDescent="0.3">
      <c r="A110" s="6" t="s">
        <v>7456</v>
      </c>
    </row>
    <row r="111" spans="1:1" x14ac:dyDescent="0.3">
      <c r="A111" s="26" t="s">
        <v>7457</v>
      </c>
    </row>
    <row r="112" spans="1:1" x14ac:dyDescent="0.3">
      <c r="A112" s="26" t="s">
        <v>7458</v>
      </c>
    </row>
    <row r="113" spans="1:1" x14ac:dyDescent="0.3">
      <c r="A113" s="26" t="s">
        <v>7459</v>
      </c>
    </row>
    <row r="114" spans="1:1" x14ac:dyDescent="0.3">
      <c r="A114" s="26" t="s">
        <v>7460</v>
      </c>
    </row>
    <row r="115" spans="1:1" x14ac:dyDescent="0.3">
      <c r="A115" s="26" t="s">
        <v>7461</v>
      </c>
    </row>
    <row r="116" spans="1:1" x14ac:dyDescent="0.3">
      <c r="A116" s="26" t="s">
        <v>7462</v>
      </c>
    </row>
    <row r="118" spans="1:1" x14ac:dyDescent="0.3">
      <c r="A118" s="6" t="s">
        <v>7463</v>
      </c>
    </row>
    <row r="119" spans="1:1" x14ac:dyDescent="0.3">
      <c r="A119" s="26" t="s">
        <v>7464</v>
      </c>
    </row>
    <row r="120" spans="1:1" x14ac:dyDescent="0.3">
      <c r="A120" s="26" t="s">
        <v>7465</v>
      </c>
    </row>
    <row r="121" spans="1:1" x14ac:dyDescent="0.3">
      <c r="A121" s="26" t="s">
        <v>7466</v>
      </c>
    </row>
    <row r="123" spans="1:1" x14ac:dyDescent="0.3">
      <c r="A123" s="6" t="s">
        <v>7467</v>
      </c>
    </row>
    <row r="124" spans="1:1" x14ac:dyDescent="0.3">
      <c r="A124" s="26" t="s">
        <v>7468</v>
      </c>
    </row>
    <row r="125" spans="1:1" x14ac:dyDescent="0.3">
      <c r="A125" s="26" t="s">
        <v>7469</v>
      </c>
    </row>
    <row r="126" spans="1:1" x14ac:dyDescent="0.3">
      <c r="A126" s="26" t="s">
        <v>7470</v>
      </c>
    </row>
    <row r="127" spans="1:1" x14ac:dyDescent="0.3">
      <c r="A127" s="26" t="s">
        <v>7471</v>
      </c>
    </row>
    <row r="128" spans="1:1" x14ac:dyDescent="0.3">
      <c r="A128" s="26" t="s">
        <v>7472</v>
      </c>
    </row>
    <row r="130" spans="1:1" x14ac:dyDescent="0.3">
      <c r="A130" s="6" t="s">
        <v>7473</v>
      </c>
    </row>
    <row r="131" spans="1:1" x14ac:dyDescent="0.3">
      <c r="A131" s="26" t="s">
        <v>7474</v>
      </c>
    </row>
    <row r="133" spans="1:1" x14ac:dyDescent="0.3">
      <c r="A133" s="6" t="s">
        <v>7475</v>
      </c>
    </row>
    <row r="134" spans="1:1" x14ac:dyDescent="0.3">
      <c r="A134" s="26" t="s">
        <v>7476</v>
      </c>
    </row>
    <row r="136" spans="1:1" x14ac:dyDescent="0.3">
      <c r="A136" s="6" t="s">
        <v>7477</v>
      </c>
    </row>
    <row r="137" spans="1:1" x14ac:dyDescent="0.3">
      <c r="A137" s="26" t="s">
        <v>7478</v>
      </c>
    </row>
    <row r="138" spans="1:1" x14ac:dyDescent="0.3">
      <c r="A138" s="26" t="s">
        <v>7479</v>
      </c>
    </row>
    <row r="140" spans="1:1" x14ac:dyDescent="0.3">
      <c r="A140" s="6" t="s">
        <v>7480</v>
      </c>
    </row>
    <row r="141" spans="1:1" x14ac:dyDescent="0.3">
      <c r="A141" s="26" t="s">
        <v>7481</v>
      </c>
    </row>
    <row r="142" spans="1:1" x14ac:dyDescent="0.3">
      <c r="A142" s="26" t="s">
        <v>7482</v>
      </c>
    </row>
    <row r="143" spans="1:1" x14ac:dyDescent="0.3">
      <c r="A143" s="26" t="s">
        <v>7483</v>
      </c>
    </row>
    <row r="144" spans="1:1" x14ac:dyDescent="0.3">
      <c r="A144" s="26" t="s">
        <v>7484</v>
      </c>
    </row>
    <row r="145" spans="1:1" x14ac:dyDescent="0.3">
      <c r="A145" s="26" t="s">
        <v>7485</v>
      </c>
    </row>
    <row r="147" spans="1:1" x14ac:dyDescent="0.3">
      <c r="A147" s="6" t="s">
        <v>7487</v>
      </c>
    </row>
    <row r="148" spans="1:1" x14ac:dyDescent="0.3">
      <c r="A148" s="26" t="s">
        <v>7486</v>
      </c>
    </row>
    <row r="149" spans="1:1" x14ac:dyDescent="0.3">
      <c r="A149" s="26" t="s">
        <v>7488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5CF52-C4C3-437F-8860-309FD96CCE6F}">
  <sheetPr>
    <tabColor theme="6"/>
  </sheetPr>
  <dimension ref="A1:E147"/>
  <sheetViews>
    <sheetView workbookViewId="0">
      <selection activeCell="A10" sqref="A10:XFD10"/>
    </sheetView>
  </sheetViews>
  <sheetFormatPr defaultRowHeight="14.4" x14ac:dyDescent="0.3"/>
  <cols>
    <col min="1" max="1" width="102.44140625" customWidth="1"/>
    <col min="2" max="2" width="19.88671875" bestFit="1" customWidth="1"/>
    <col min="3" max="3" width="44" bestFit="1" customWidth="1"/>
    <col min="4" max="4" width="13.88671875" bestFit="1" customWidth="1"/>
    <col min="5" max="5" width="11" bestFit="1" customWidth="1"/>
    <col min="6" max="6" width="10.5546875" bestFit="1" customWidth="1"/>
    <col min="8" max="8" width="12.44140625" bestFit="1" customWidth="1"/>
    <col min="9" max="9" width="15.5546875" bestFit="1" customWidth="1"/>
    <col min="10" max="10" width="12.109375" bestFit="1" customWidth="1"/>
    <col min="11" max="11" width="7" bestFit="1" customWidth="1"/>
    <col min="12" max="12" width="10.5546875" bestFit="1" customWidth="1"/>
  </cols>
  <sheetData>
    <row r="1" spans="1:3" ht="23.4" x14ac:dyDescent="0.45">
      <c r="A1" s="53" t="s">
        <v>7499</v>
      </c>
    </row>
    <row r="2" spans="1:3" x14ac:dyDescent="0.3">
      <c r="A2" s="11" t="s">
        <v>7495</v>
      </c>
    </row>
    <row r="4" spans="1:3" ht="15.6" x14ac:dyDescent="0.3">
      <c r="A4" s="2" t="s">
        <v>7386</v>
      </c>
    </row>
    <row r="5" spans="1:3" x14ac:dyDescent="0.3">
      <c r="A5" s="3" t="s">
        <v>7387</v>
      </c>
      <c r="B5" s="3" t="s">
        <v>7388</v>
      </c>
      <c r="C5" s="3" t="s">
        <v>7389</v>
      </c>
    </row>
    <row r="6" spans="1:3" x14ac:dyDescent="0.3">
      <c r="A6" s="42" t="s">
        <v>7390</v>
      </c>
      <c r="B6" s="31">
        <f>COUNTA(Fake_Squirrel_Data!AC2:AC1001)</f>
        <v>1000</v>
      </c>
      <c r="C6" s="32" t="s">
        <v>7391</v>
      </c>
    </row>
    <row r="7" spans="1:3" x14ac:dyDescent="0.3">
      <c r="A7" s="43" t="s">
        <v>7392</v>
      </c>
      <c r="B7" s="33" cm="1">
        <f t="array" ref="B7">SUMPRODUCT(1/COUNTIF(Fake_Squirrel_Data!AC2:AC1001,Fake_Squirrel_Data!AC2:AC1001&amp;""))</f>
        <v>1000</v>
      </c>
      <c r="C7" s="34" t="s">
        <v>7432</v>
      </c>
    </row>
    <row r="8" spans="1:3" x14ac:dyDescent="0.3">
      <c r="A8" s="43" t="s">
        <v>7393</v>
      </c>
      <c r="B8" s="33" cm="1">
        <f t="array" ref="B8">ROUND(SUMPRODUCT(1/COUNTIF(Fake_Squirrel_Data!C2:C1001,Fake_Squirrel_Data!C2:C1001)),0)</f>
        <v>324</v>
      </c>
      <c r="C8" s="34" t="s">
        <v>7394</v>
      </c>
    </row>
    <row r="9" spans="1:3" x14ac:dyDescent="0.3">
      <c r="A9" s="43" t="s">
        <v>7395</v>
      </c>
      <c r="B9" s="35" t="s">
        <v>7396</v>
      </c>
      <c r="C9" s="34" t="s">
        <v>7397</v>
      </c>
    </row>
    <row r="10" spans="1:3" x14ac:dyDescent="0.3">
      <c r="A10" s="7"/>
    </row>
    <row r="11" spans="1:3" ht="15.6" x14ac:dyDescent="0.3">
      <c r="A11" s="2" t="s">
        <v>7398</v>
      </c>
    </row>
    <row r="12" spans="1:3" x14ac:dyDescent="0.3">
      <c r="A12" s="45" t="s">
        <v>4</v>
      </c>
      <c r="B12" s="3" t="s">
        <v>7399</v>
      </c>
      <c r="C12" s="3" t="s">
        <v>7400</v>
      </c>
    </row>
    <row r="13" spans="1:3" x14ac:dyDescent="0.3">
      <c r="A13" s="42" t="s">
        <v>38</v>
      </c>
      <c r="B13" s="31">
        <f>COUNTIF(Fake_Squirrel_Data!D2:D1001,"AM")</f>
        <v>473</v>
      </c>
      <c r="C13" s="36">
        <f>IF($B$6&gt;0,B13/$B$6,0)</f>
        <v>0.47299999999999998</v>
      </c>
    </row>
    <row r="14" spans="1:3" x14ac:dyDescent="0.3">
      <c r="A14" s="43" t="s">
        <v>33</v>
      </c>
      <c r="B14" s="33">
        <f>COUNTIF(Fake_Squirrel_Data!D2:D1001,"PM")</f>
        <v>527</v>
      </c>
      <c r="C14" s="37">
        <f>IF($B$6&gt;0,B14/$B$6,0)</f>
        <v>0.52700000000000002</v>
      </c>
    </row>
    <row r="15" spans="1:3" ht="15" thickBot="1" x14ac:dyDescent="0.35">
      <c r="A15" s="51" t="s">
        <v>7401</v>
      </c>
      <c r="B15" s="55">
        <f>SUM(B13:B14)</f>
        <v>1000</v>
      </c>
      <c r="C15" s="56">
        <f>SUM(C13:C14)</f>
        <v>1</v>
      </c>
    </row>
    <row r="16" spans="1:3" ht="15" thickTop="1" x14ac:dyDescent="0.3">
      <c r="A16" s="7"/>
    </row>
    <row r="17" spans="1:3" ht="15.6" x14ac:dyDescent="0.3">
      <c r="A17" s="2" t="s">
        <v>7402</v>
      </c>
    </row>
    <row r="18" spans="1:3" x14ac:dyDescent="0.3">
      <c r="A18" s="45" t="s">
        <v>7</v>
      </c>
      <c r="B18" s="3" t="s">
        <v>7399</v>
      </c>
      <c r="C18" s="3" t="s">
        <v>7400</v>
      </c>
    </row>
    <row r="19" spans="1:3" x14ac:dyDescent="0.3">
      <c r="A19" s="42" t="s">
        <v>48</v>
      </c>
      <c r="B19" s="31">
        <f>COUNTIF(Fake_Squirrel_Data!G2:G1001,"Adult")</f>
        <v>330</v>
      </c>
      <c r="C19" s="36">
        <f>IF($B$6&gt;0,B19/$B$6,0)</f>
        <v>0.33</v>
      </c>
    </row>
    <row r="20" spans="1:3" x14ac:dyDescent="0.3">
      <c r="A20" s="43" t="s">
        <v>105</v>
      </c>
      <c r="B20" s="33">
        <f>COUNTIF(Fake_Squirrel_Data!G2:G1001,"Juvenile")</f>
        <v>337</v>
      </c>
      <c r="C20" s="37">
        <f>IF($B$6&gt;0,B20/$B$6,0)</f>
        <v>0.33700000000000002</v>
      </c>
    </row>
    <row r="21" spans="1:3" x14ac:dyDescent="0.3">
      <c r="A21" s="43" t="s">
        <v>7403</v>
      </c>
      <c r="B21" s="33">
        <f>COUNTIF(Fake_Squirrel_Data!G2:G1001,"?")</f>
        <v>333</v>
      </c>
      <c r="C21" s="37">
        <f>IF($B$6&gt;0,B21/$B$6,0)</f>
        <v>0.33300000000000002</v>
      </c>
    </row>
    <row r="22" spans="1:3" x14ac:dyDescent="0.3">
      <c r="A22" s="43" t="s">
        <v>7431</v>
      </c>
      <c r="B22" s="33">
        <v>0</v>
      </c>
      <c r="C22" s="41">
        <v>0</v>
      </c>
    </row>
    <row r="23" spans="1:3" ht="15" thickBot="1" x14ac:dyDescent="0.35">
      <c r="A23" s="51" t="s">
        <v>7401</v>
      </c>
      <c r="B23" s="55">
        <f>SUM(B19:B21)</f>
        <v>1000</v>
      </c>
      <c r="C23" s="55">
        <f>SUM(C19:C21)</f>
        <v>1</v>
      </c>
    </row>
    <row r="24" spans="1:3" ht="15" thickTop="1" x14ac:dyDescent="0.3">
      <c r="A24" s="7"/>
    </row>
    <row r="25" spans="1:3" ht="15.6" x14ac:dyDescent="0.3">
      <c r="A25" s="2" t="s">
        <v>7404</v>
      </c>
    </row>
    <row r="26" spans="1:3" x14ac:dyDescent="0.3">
      <c r="A26" s="45" t="s">
        <v>7405</v>
      </c>
      <c r="B26" s="3" t="s">
        <v>7399</v>
      </c>
      <c r="C26" s="3" t="s">
        <v>7400</v>
      </c>
    </row>
    <row r="27" spans="1:3" x14ac:dyDescent="0.3">
      <c r="A27" s="42" t="s">
        <v>42</v>
      </c>
      <c r="B27" s="31">
        <f>COUNTIF(Fake_Squirrel_Data!H2:H1001,"Gray")</f>
        <v>332</v>
      </c>
      <c r="C27" s="36">
        <f>IF($B$6&gt;0,B27/$B$6,0)</f>
        <v>0.33200000000000002</v>
      </c>
    </row>
    <row r="28" spans="1:3" x14ac:dyDescent="0.3">
      <c r="A28" s="43" t="s">
        <v>53</v>
      </c>
      <c r="B28" s="33">
        <f>COUNTIF(Fake_Squirrel_Data!H2:H1001,"Cinnamon")</f>
        <v>346</v>
      </c>
      <c r="C28" s="37">
        <f>IF($B$6&gt;0,B28/$B$6,0)</f>
        <v>0.34599999999999997</v>
      </c>
    </row>
    <row r="29" spans="1:3" x14ac:dyDescent="0.3">
      <c r="A29" s="43" t="s">
        <v>176</v>
      </c>
      <c r="B29" s="33">
        <f>COUNTIF(Fake_Squirrel_Data!H2:H1001,"Black")</f>
        <v>322</v>
      </c>
      <c r="C29" s="37">
        <f>IF($B$6&gt;0,B29/$B$6,0)</f>
        <v>0.32200000000000001</v>
      </c>
    </row>
    <row r="30" spans="1:3" x14ac:dyDescent="0.3">
      <c r="A30" s="43" t="s">
        <v>7406</v>
      </c>
      <c r="B30" s="33">
        <f>$B$6-SUM(B27:B29)</f>
        <v>0</v>
      </c>
      <c r="C30" s="37">
        <f>IF($B$6&gt;0,B30/$B$6,0)</f>
        <v>0</v>
      </c>
    </row>
    <row r="31" spans="1:3" ht="15" thickBot="1" x14ac:dyDescent="0.35">
      <c r="A31" s="51" t="s">
        <v>7401</v>
      </c>
      <c r="B31" s="55">
        <f>SUM(B27:B30)</f>
        <v>1000</v>
      </c>
      <c r="C31" s="56">
        <f>SUM(C27:C30)</f>
        <v>1</v>
      </c>
    </row>
    <row r="32" spans="1:3" ht="15" thickTop="1" x14ac:dyDescent="0.3">
      <c r="A32" s="7"/>
    </row>
    <row r="33" spans="1:3" ht="15.6" x14ac:dyDescent="0.3">
      <c r="A33" s="2" t="s">
        <v>7407</v>
      </c>
    </row>
    <row r="34" spans="1:3" x14ac:dyDescent="0.3">
      <c r="A34" s="45" t="s">
        <v>12</v>
      </c>
      <c r="B34" s="3" t="s">
        <v>7399</v>
      </c>
      <c r="C34" s="3" t="s">
        <v>7400</v>
      </c>
    </row>
    <row r="35" spans="1:3" x14ac:dyDescent="0.3">
      <c r="A35" s="42" t="s">
        <v>65</v>
      </c>
      <c r="B35" s="31">
        <f>COUNTIF(Fake_Squirrel_Data!L2:L1001,"Ground Plane")</f>
        <v>479</v>
      </c>
      <c r="C35" s="36">
        <f>IF($B$6&gt;0,B35/$B$6,0)</f>
        <v>0.47899999999999998</v>
      </c>
    </row>
    <row r="36" spans="1:3" x14ac:dyDescent="0.3">
      <c r="A36" s="43" t="s">
        <v>44</v>
      </c>
      <c r="B36" s="33">
        <f>COUNTIF(Fake_Squirrel_Data!L2:L1001,"Above Ground")</f>
        <v>521</v>
      </c>
      <c r="C36" s="37">
        <f>IF($B$6&gt;0,B36/$B$6,0)</f>
        <v>0.52100000000000002</v>
      </c>
    </row>
    <row r="37" spans="1:3" x14ac:dyDescent="0.3">
      <c r="A37" s="43" t="s">
        <v>7406</v>
      </c>
      <c r="B37" s="33">
        <f>$B$6-SUM(B35:B36)</f>
        <v>0</v>
      </c>
      <c r="C37" s="37">
        <f>IF($B$6&gt;0,B37/$B$6,0)</f>
        <v>0</v>
      </c>
    </row>
    <row r="38" spans="1:3" ht="15" thickBot="1" x14ac:dyDescent="0.35">
      <c r="A38" s="51" t="s">
        <v>7401</v>
      </c>
      <c r="B38" s="55">
        <f>SUM(B35:B37)</f>
        <v>1000</v>
      </c>
      <c r="C38" s="56">
        <f>SUM(C35:C37)</f>
        <v>1</v>
      </c>
    </row>
    <row r="39" spans="1:3" ht="15" thickTop="1" x14ac:dyDescent="0.3">
      <c r="A39" s="7"/>
    </row>
    <row r="40" spans="1:3" ht="15.6" x14ac:dyDescent="0.3">
      <c r="A40" s="2" t="s">
        <v>7408</v>
      </c>
    </row>
    <row r="41" spans="1:3" x14ac:dyDescent="0.3">
      <c r="A41" s="45" t="s">
        <v>7409</v>
      </c>
      <c r="B41" s="3" t="s">
        <v>7399</v>
      </c>
      <c r="C41" s="3" t="s">
        <v>7410</v>
      </c>
    </row>
    <row r="42" spans="1:3" x14ac:dyDescent="0.3">
      <c r="A42" s="42" t="s">
        <v>7411</v>
      </c>
      <c r="B42" s="31">
        <f>COUNTIF(Fake_Squirrel_Data!O2:O1001,TRUE)</f>
        <v>491</v>
      </c>
      <c r="C42" s="36">
        <f t="shared" ref="C42:C55" si="0">IF($B$6&gt;0,B42/$B$6,0)</f>
        <v>0.49099999999999999</v>
      </c>
    </row>
    <row r="43" spans="1:3" x14ac:dyDescent="0.3">
      <c r="A43" s="43" t="s">
        <v>7412</v>
      </c>
      <c r="B43" s="33">
        <f>COUNTIF(Fake_Squirrel_Data!P2:P1001,TRUE)</f>
        <v>471</v>
      </c>
      <c r="C43" s="37">
        <f t="shared" si="0"/>
        <v>0.47099999999999997</v>
      </c>
    </row>
    <row r="44" spans="1:3" x14ac:dyDescent="0.3">
      <c r="A44" s="43" t="s">
        <v>7413</v>
      </c>
      <c r="B44" s="33">
        <f>COUNTIF(Fake_Squirrel_Data!Q2:Q1001,TRUE)</f>
        <v>490</v>
      </c>
      <c r="C44" s="37">
        <f t="shared" si="0"/>
        <v>0.49</v>
      </c>
    </row>
    <row r="45" spans="1:3" x14ac:dyDescent="0.3">
      <c r="A45" s="43" t="s">
        <v>7414</v>
      </c>
      <c r="B45" s="33">
        <f>COUNTIF(Fake_Squirrel_Data!R2:R1001,TRUE)</f>
        <v>513</v>
      </c>
      <c r="C45" s="37">
        <f t="shared" si="0"/>
        <v>0.51300000000000001</v>
      </c>
    </row>
    <row r="46" spans="1:3" x14ac:dyDescent="0.3">
      <c r="A46" s="43" t="s">
        <v>7415</v>
      </c>
      <c r="B46" s="33">
        <f>COUNTIF(Fake_Squirrel_Data!S2:S1001,TRUE)</f>
        <v>501</v>
      </c>
      <c r="C46" s="37">
        <f t="shared" si="0"/>
        <v>0.501</v>
      </c>
    </row>
    <row r="47" spans="1:3" x14ac:dyDescent="0.3">
      <c r="A47" s="43" t="s">
        <v>7416</v>
      </c>
      <c r="B47" s="33">
        <f>COUNTIF(Fake_Squirrel_Data!T2:T1001,TRUE)</f>
        <v>510</v>
      </c>
      <c r="C47" s="37">
        <f t="shared" si="0"/>
        <v>0.51</v>
      </c>
    </row>
    <row r="48" spans="1:3" x14ac:dyDescent="0.3">
      <c r="A48" s="43" t="s">
        <v>7417</v>
      </c>
      <c r="B48" s="33">
        <f>COUNTIF(Fake_Squirrel_Data!U2:U1001,TRUE)</f>
        <v>497</v>
      </c>
      <c r="C48" s="37">
        <f t="shared" si="0"/>
        <v>0.497</v>
      </c>
    </row>
    <row r="49" spans="1:5" x14ac:dyDescent="0.3">
      <c r="A49" s="43" t="s">
        <v>7418</v>
      </c>
      <c r="B49" s="33">
        <f>COUNTIF(Fake_Squirrel_Data!V2:V1001,TRUE)</f>
        <v>479</v>
      </c>
      <c r="C49" s="37">
        <f t="shared" si="0"/>
        <v>0.47899999999999998</v>
      </c>
    </row>
    <row r="50" spans="1:5" x14ac:dyDescent="0.3">
      <c r="A50" s="43" t="s">
        <v>7419</v>
      </c>
      <c r="B50" s="33">
        <f>COUNTIF(Fake_Squirrel_Data!W2:W1001,TRUE)</f>
        <v>513</v>
      </c>
      <c r="C50" s="37">
        <f t="shared" si="0"/>
        <v>0.51300000000000001</v>
      </c>
    </row>
    <row r="51" spans="1:5" x14ac:dyDescent="0.3">
      <c r="A51" s="43" t="s">
        <v>7420</v>
      </c>
      <c r="B51" s="33">
        <f>COUNTIF(Fake_Squirrel_Data!X2:X1001,TRUE)</f>
        <v>492</v>
      </c>
      <c r="C51" s="37">
        <f t="shared" si="0"/>
        <v>0.49199999999999999</v>
      </c>
    </row>
    <row r="52" spans="1:5" x14ac:dyDescent="0.3">
      <c r="A52" s="43" t="s">
        <v>7421</v>
      </c>
      <c r="B52" s="33">
        <f>COUNTIF(Fake_Squirrel_Data!Y2:Y1001,TRUE)</f>
        <v>505</v>
      </c>
      <c r="C52" s="37">
        <f t="shared" si="0"/>
        <v>0.505</v>
      </c>
    </row>
    <row r="53" spans="1:5" x14ac:dyDescent="0.3">
      <c r="A53" s="43" t="s">
        <v>7422</v>
      </c>
      <c r="B53" s="33">
        <f>COUNTIF(Fake_Squirrel_Data!Z2:Z1001,TRUE)</f>
        <v>503</v>
      </c>
      <c r="C53" s="37">
        <f t="shared" si="0"/>
        <v>0.503</v>
      </c>
    </row>
    <row r="54" spans="1:5" x14ac:dyDescent="0.3">
      <c r="A54" s="43" t="s">
        <v>7423</v>
      </c>
      <c r="B54" s="33">
        <f>COUNTIF(Fake_Squirrel_Data!AA2:AA1001,TRUE)</f>
        <v>483</v>
      </c>
      <c r="C54" s="37">
        <f t="shared" si="0"/>
        <v>0.48299999999999998</v>
      </c>
    </row>
    <row r="55" spans="1:5" x14ac:dyDescent="0.3">
      <c r="A55" s="44" t="s">
        <v>7424</v>
      </c>
      <c r="B55" s="38">
        <f>COUNTA(Fake_Squirrel_Data!AB2:AB1001)</f>
        <v>1000</v>
      </c>
      <c r="C55" s="39">
        <f t="shared" si="0"/>
        <v>1</v>
      </c>
    </row>
    <row r="56" spans="1:5" ht="15" thickBot="1" x14ac:dyDescent="0.35">
      <c r="A56" s="51" t="s">
        <v>7401</v>
      </c>
      <c r="B56" s="55">
        <f>SUM(B42:B55)</f>
        <v>7448</v>
      </c>
      <c r="C56" s="56">
        <f>SUM(C42:C55)</f>
        <v>7.4479999999999995</v>
      </c>
    </row>
    <row r="57" spans="1:5" ht="15" thickTop="1" x14ac:dyDescent="0.3">
      <c r="A57" s="7"/>
    </row>
    <row r="58" spans="1:5" ht="15.6" x14ac:dyDescent="0.3">
      <c r="A58" s="2" t="s">
        <v>7425</v>
      </c>
    </row>
    <row r="59" spans="1:5" x14ac:dyDescent="0.3">
      <c r="A59" s="62" t="s">
        <v>7426</v>
      </c>
      <c r="B59" s="29" t="s">
        <v>7399</v>
      </c>
      <c r="C59" s="29" t="s">
        <v>7427</v>
      </c>
      <c r="D59" s="29" t="s">
        <v>7428</v>
      </c>
      <c r="E59" s="30" t="s">
        <v>7430</v>
      </c>
    </row>
    <row r="60" spans="1:5" x14ac:dyDescent="0.3">
      <c r="A60" s="42">
        <v>43379</v>
      </c>
      <c r="B60" s="31">
        <f>COUNTIF(Fake_Squirrel_Data!E2:E1001,A60)</f>
        <v>59</v>
      </c>
      <c r="C60" s="40">
        <f t="shared" ref="C60:C74" si="1">IF($B$6&gt;0,B60/$B$6,0)</f>
        <v>5.8999999999999997E-2</v>
      </c>
      <c r="D60" s="20">
        <f t="shared" ref="D60:D74" si="2">A60</f>
        <v>43379</v>
      </c>
      <c r="E60" s="15" t="str">
        <f t="shared" ref="E60:E74" si="3">TEXT(A60,"dddd")</f>
        <v>Saturday</v>
      </c>
    </row>
    <row r="61" spans="1:5" x14ac:dyDescent="0.3">
      <c r="A61" s="43">
        <v>43380</v>
      </c>
      <c r="B61" s="33">
        <f>COUNTIF(Fake_Squirrel_Data!E2:E1001,A61)</f>
        <v>56</v>
      </c>
      <c r="C61" s="41">
        <f t="shared" si="1"/>
        <v>5.6000000000000001E-2</v>
      </c>
      <c r="D61" s="21">
        <f t="shared" si="2"/>
        <v>43380</v>
      </c>
      <c r="E61" s="16" t="str">
        <f t="shared" si="3"/>
        <v>Sunday</v>
      </c>
    </row>
    <row r="62" spans="1:5" x14ac:dyDescent="0.3">
      <c r="A62" s="43">
        <v>43381</v>
      </c>
      <c r="B62" s="33">
        <f>COUNTIF(Fake_Squirrel_Data!E2:E1001,A62)</f>
        <v>63</v>
      </c>
      <c r="C62" s="41">
        <f t="shared" si="1"/>
        <v>6.3E-2</v>
      </c>
      <c r="D62" s="21">
        <f t="shared" si="2"/>
        <v>43381</v>
      </c>
      <c r="E62" s="16" t="str">
        <f t="shared" si="3"/>
        <v>Monday</v>
      </c>
    </row>
    <row r="63" spans="1:5" x14ac:dyDescent="0.3">
      <c r="A63" s="43">
        <v>43382</v>
      </c>
      <c r="B63" s="33">
        <f>COUNTIF(Fake_Squirrel_Data!E2:E1001,A63)</f>
        <v>63</v>
      </c>
      <c r="C63" s="41">
        <f t="shared" si="1"/>
        <v>6.3E-2</v>
      </c>
      <c r="D63" s="21">
        <f t="shared" si="2"/>
        <v>43382</v>
      </c>
      <c r="E63" s="16" t="str">
        <f t="shared" si="3"/>
        <v>Tuesday</v>
      </c>
    </row>
    <row r="64" spans="1:5" x14ac:dyDescent="0.3">
      <c r="A64" s="43">
        <v>43383</v>
      </c>
      <c r="B64" s="33">
        <f>COUNTIF(Fake_Squirrel_Data!E2:E1001,A64)</f>
        <v>57</v>
      </c>
      <c r="C64" s="41">
        <f t="shared" si="1"/>
        <v>5.7000000000000002E-2</v>
      </c>
      <c r="D64" s="21">
        <f t="shared" si="2"/>
        <v>43383</v>
      </c>
      <c r="E64" s="16" t="str">
        <f t="shared" si="3"/>
        <v>Wednesday</v>
      </c>
    </row>
    <row r="65" spans="1:5" x14ac:dyDescent="0.3">
      <c r="A65" s="43">
        <v>43384</v>
      </c>
      <c r="B65" s="33">
        <f>COUNTIF(Fake_Squirrel_Data!E2:E1001,A65)</f>
        <v>71</v>
      </c>
      <c r="C65" s="41">
        <f t="shared" si="1"/>
        <v>7.0999999999999994E-2</v>
      </c>
      <c r="D65" s="21">
        <f t="shared" si="2"/>
        <v>43384</v>
      </c>
      <c r="E65" s="16" t="str">
        <f t="shared" si="3"/>
        <v>Thursday</v>
      </c>
    </row>
    <row r="66" spans="1:5" x14ac:dyDescent="0.3">
      <c r="A66" s="43">
        <v>43385</v>
      </c>
      <c r="B66" s="33">
        <f>COUNTIF(Fake_Squirrel_Data!E2:E1001,A66)</f>
        <v>64</v>
      </c>
      <c r="C66" s="41">
        <f t="shared" si="1"/>
        <v>6.4000000000000001E-2</v>
      </c>
      <c r="D66" s="21">
        <f t="shared" si="2"/>
        <v>43385</v>
      </c>
      <c r="E66" s="16" t="str">
        <f t="shared" si="3"/>
        <v>Friday</v>
      </c>
    </row>
    <row r="67" spans="1:5" x14ac:dyDescent="0.3">
      <c r="A67" s="43">
        <v>43386</v>
      </c>
      <c r="B67" s="33">
        <f>COUNTIF(Fake_Squirrel_Data!E2:E1001,A67)</f>
        <v>84</v>
      </c>
      <c r="C67" s="41">
        <f t="shared" si="1"/>
        <v>8.4000000000000005E-2</v>
      </c>
      <c r="D67" s="21">
        <f t="shared" si="2"/>
        <v>43386</v>
      </c>
      <c r="E67" s="16" t="str">
        <f t="shared" si="3"/>
        <v>Saturday</v>
      </c>
    </row>
    <row r="68" spans="1:5" x14ac:dyDescent="0.3">
      <c r="A68" s="43">
        <v>43387</v>
      </c>
      <c r="B68" s="33">
        <f>COUNTIF(Fake_Squirrel_Data!E2:E1001,A68)</f>
        <v>58</v>
      </c>
      <c r="C68" s="41">
        <f t="shared" si="1"/>
        <v>5.8000000000000003E-2</v>
      </c>
      <c r="D68" s="21">
        <f t="shared" si="2"/>
        <v>43387</v>
      </c>
      <c r="E68" s="16" t="str">
        <f t="shared" si="3"/>
        <v>Sunday</v>
      </c>
    </row>
    <row r="69" spans="1:5" x14ac:dyDescent="0.3">
      <c r="A69" s="43">
        <v>43388</v>
      </c>
      <c r="B69" s="33">
        <f>COUNTIF(Fake_Squirrel_Data!E2:E1001,A69)</f>
        <v>66</v>
      </c>
      <c r="C69" s="41">
        <f t="shared" si="1"/>
        <v>6.6000000000000003E-2</v>
      </c>
      <c r="D69" s="21">
        <f t="shared" si="2"/>
        <v>43388</v>
      </c>
      <c r="E69" s="16" t="str">
        <f t="shared" si="3"/>
        <v>Monday</v>
      </c>
    </row>
    <row r="70" spans="1:5" x14ac:dyDescent="0.3">
      <c r="A70" s="43">
        <v>43389</v>
      </c>
      <c r="B70" s="33">
        <f>COUNTIF(Fake_Squirrel_Data!E2:E1001,A70)</f>
        <v>72</v>
      </c>
      <c r="C70" s="41">
        <f t="shared" si="1"/>
        <v>7.1999999999999995E-2</v>
      </c>
      <c r="D70" s="21">
        <f t="shared" si="2"/>
        <v>43389</v>
      </c>
      <c r="E70" s="16" t="str">
        <f t="shared" si="3"/>
        <v>Tuesday</v>
      </c>
    </row>
    <row r="71" spans="1:5" x14ac:dyDescent="0.3">
      <c r="A71" s="43">
        <v>43390</v>
      </c>
      <c r="B71" s="33">
        <f>COUNTIF(Fake_Squirrel_Data!E2:E1001,A71)</f>
        <v>69</v>
      </c>
      <c r="C71" s="41">
        <f t="shared" si="1"/>
        <v>6.9000000000000006E-2</v>
      </c>
      <c r="D71" s="59">
        <f t="shared" si="2"/>
        <v>43390</v>
      </c>
      <c r="E71" s="17" t="str">
        <f t="shared" si="3"/>
        <v>Wednesday</v>
      </c>
    </row>
    <row r="72" spans="1:5" x14ac:dyDescent="0.3">
      <c r="A72" s="43">
        <v>43391</v>
      </c>
      <c r="B72" s="33">
        <f>COUNTIF(Fake_Squirrel_Data!E2:E1001,A72)</f>
        <v>75</v>
      </c>
      <c r="C72" s="41">
        <f t="shared" si="1"/>
        <v>7.4999999999999997E-2</v>
      </c>
      <c r="D72" s="21">
        <f t="shared" si="2"/>
        <v>43391</v>
      </c>
      <c r="E72" s="16" t="str">
        <f t="shared" si="3"/>
        <v>Thursday</v>
      </c>
    </row>
    <row r="73" spans="1:5" x14ac:dyDescent="0.3">
      <c r="A73" s="43">
        <v>43392</v>
      </c>
      <c r="B73" s="33">
        <f>COUNTIF(Fake_Squirrel_Data!E2:E1001,A73)</f>
        <v>66</v>
      </c>
      <c r="C73" s="41">
        <f t="shared" si="1"/>
        <v>6.6000000000000003E-2</v>
      </c>
      <c r="D73" s="21">
        <f t="shared" si="2"/>
        <v>43392</v>
      </c>
      <c r="E73" s="16" t="str">
        <f t="shared" si="3"/>
        <v>Friday</v>
      </c>
    </row>
    <row r="74" spans="1:5" x14ac:dyDescent="0.3">
      <c r="A74" s="43">
        <v>43393</v>
      </c>
      <c r="B74" s="33">
        <f>COUNTIF(Fake_Squirrel_Data!E2:E1001,A74)</f>
        <v>77</v>
      </c>
      <c r="C74" s="41">
        <f t="shared" si="1"/>
        <v>7.6999999999999999E-2</v>
      </c>
      <c r="D74" s="21">
        <f t="shared" si="2"/>
        <v>43393</v>
      </c>
      <c r="E74" s="16" t="str">
        <f t="shared" si="3"/>
        <v>Saturday</v>
      </c>
    </row>
    <row r="75" spans="1:5" ht="15" thickBot="1" x14ac:dyDescent="0.35">
      <c r="A75" s="63" t="s">
        <v>7401</v>
      </c>
      <c r="B75" s="64">
        <f>SUM(B60:B74)</f>
        <v>1000</v>
      </c>
      <c r="C75" s="57">
        <f>SUM(C60:C74)</f>
        <v>1</v>
      </c>
      <c r="D75" s="22" t="s">
        <v>7505</v>
      </c>
      <c r="E75" s="17"/>
    </row>
    <row r="76" spans="1:5" ht="15" thickTop="1" x14ac:dyDescent="0.3">
      <c r="A76" s="13"/>
      <c r="B76" s="24"/>
    </row>
    <row r="77" spans="1:5" ht="15.6" x14ac:dyDescent="0.3">
      <c r="A77" s="67" t="s">
        <v>7444</v>
      </c>
      <c r="B77" s="23"/>
    </row>
    <row r="78" spans="1:5" x14ac:dyDescent="0.3">
      <c r="A78" s="65" t="s">
        <v>3</v>
      </c>
      <c r="B78" s="66" t="s">
        <v>7399</v>
      </c>
    </row>
    <row r="79" spans="1:5" x14ac:dyDescent="0.3">
      <c r="A79" s="69" t="s">
        <v>119</v>
      </c>
      <c r="B79" s="31">
        <v>9</v>
      </c>
    </row>
    <row r="80" spans="1:5" x14ac:dyDescent="0.3">
      <c r="A80" s="70" t="s">
        <v>1221</v>
      </c>
      <c r="B80" s="33">
        <v>8</v>
      </c>
    </row>
    <row r="81" spans="1:2" x14ac:dyDescent="0.3">
      <c r="A81" s="70" t="s">
        <v>764</v>
      </c>
      <c r="B81" s="33">
        <v>8</v>
      </c>
    </row>
    <row r="82" spans="1:2" x14ac:dyDescent="0.3">
      <c r="A82" s="71" t="s">
        <v>627</v>
      </c>
      <c r="B82" s="33">
        <v>7</v>
      </c>
    </row>
    <row r="83" spans="1:2" x14ac:dyDescent="0.3">
      <c r="A83" s="72" t="s">
        <v>796</v>
      </c>
      <c r="B83" s="33">
        <v>7</v>
      </c>
    </row>
    <row r="84" spans="1:2" x14ac:dyDescent="0.3">
      <c r="A84" s="68" t="s">
        <v>7511</v>
      </c>
      <c r="B84" s="17"/>
    </row>
    <row r="85" spans="1:2" x14ac:dyDescent="0.3">
      <c r="A85" s="50"/>
    </row>
    <row r="86" spans="1:2" x14ac:dyDescent="0.3">
      <c r="A86" s="50"/>
    </row>
    <row r="87" spans="1:2" x14ac:dyDescent="0.3">
      <c r="A87" s="46"/>
    </row>
    <row r="88" spans="1:2" ht="15.6" x14ac:dyDescent="0.3">
      <c r="A88" s="48" t="s">
        <v>7434</v>
      </c>
    </row>
    <row r="89" spans="1:2" x14ac:dyDescent="0.3">
      <c r="A89" s="46" t="s">
        <v>7498</v>
      </c>
    </row>
    <row r="90" spans="1:2" x14ac:dyDescent="0.3">
      <c r="A90" s="46" t="s">
        <v>7436</v>
      </c>
    </row>
    <row r="91" spans="1:2" x14ac:dyDescent="0.3">
      <c r="A91" s="60" t="s">
        <v>7506</v>
      </c>
    </row>
    <row r="92" spans="1:2" x14ac:dyDescent="0.3">
      <c r="A92" s="46" t="s">
        <v>7507</v>
      </c>
    </row>
    <row r="93" spans="1:2" x14ac:dyDescent="0.3">
      <c r="A93" s="61" t="s">
        <v>7508</v>
      </c>
    </row>
    <row r="94" spans="1:2" x14ac:dyDescent="0.3">
      <c r="A94" s="49"/>
    </row>
    <row r="95" spans="1:2" ht="15.6" x14ac:dyDescent="0.3">
      <c r="A95" s="48" t="s">
        <v>7439</v>
      </c>
    </row>
    <row r="96" spans="1:2" ht="24.6" x14ac:dyDescent="0.3">
      <c r="A96" s="50" t="s">
        <v>7509</v>
      </c>
    </row>
    <row r="97" spans="1:1" x14ac:dyDescent="0.3">
      <c r="A97" s="28" t="s">
        <v>7510</v>
      </c>
    </row>
    <row r="99" spans="1:1" ht="18" x14ac:dyDescent="0.35">
      <c r="A99" s="54" t="s">
        <v>7446</v>
      </c>
    </row>
    <row r="100" spans="1:1" x14ac:dyDescent="0.3">
      <c r="A100" s="8" t="s">
        <v>7447</v>
      </c>
    </row>
    <row r="102" spans="1:1" x14ac:dyDescent="0.3">
      <c r="A102" s="6" t="s">
        <v>7448</v>
      </c>
    </row>
    <row r="103" spans="1:1" x14ac:dyDescent="0.3">
      <c r="A103" s="26" t="s">
        <v>7449</v>
      </c>
    </row>
    <row r="104" spans="1:1" x14ac:dyDescent="0.3">
      <c r="A104" s="26" t="s">
        <v>7450</v>
      </c>
    </row>
    <row r="106" spans="1:1" x14ac:dyDescent="0.3">
      <c r="A106" s="6" t="s">
        <v>7451</v>
      </c>
    </row>
    <row r="107" spans="1:1" x14ac:dyDescent="0.3">
      <c r="A107" s="26" t="s">
        <v>7489</v>
      </c>
    </row>
    <row r="108" spans="1:1" x14ac:dyDescent="0.3">
      <c r="A108" s="26" t="s">
        <v>7490</v>
      </c>
    </row>
    <row r="109" spans="1:1" x14ac:dyDescent="0.3">
      <c r="A109" s="26" t="s">
        <v>7491</v>
      </c>
    </row>
    <row r="110" spans="1:1" x14ac:dyDescent="0.3">
      <c r="A110" s="26" t="s">
        <v>7496</v>
      </c>
    </row>
    <row r="112" spans="1:1" x14ac:dyDescent="0.3">
      <c r="A112" s="6" t="s">
        <v>7456</v>
      </c>
    </row>
    <row r="113" spans="1:1" x14ac:dyDescent="0.3">
      <c r="A113" s="26" t="s">
        <v>7457</v>
      </c>
    </row>
    <row r="114" spans="1:1" x14ac:dyDescent="0.3">
      <c r="A114" s="26" t="s">
        <v>7458</v>
      </c>
    </row>
    <row r="115" spans="1:1" x14ac:dyDescent="0.3">
      <c r="A115" s="26" t="s">
        <v>7459</v>
      </c>
    </row>
    <row r="116" spans="1:1" x14ac:dyDescent="0.3">
      <c r="A116" s="26" t="s">
        <v>7460</v>
      </c>
    </row>
    <row r="117" spans="1:1" x14ac:dyDescent="0.3">
      <c r="A117" s="26" t="s">
        <v>7461</v>
      </c>
    </row>
    <row r="118" spans="1:1" x14ac:dyDescent="0.3">
      <c r="A118" s="26" t="s">
        <v>7497</v>
      </c>
    </row>
    <row r="120" spans="1:1" x14ac:dyDescent="0.3">
      <c r="A120" s="6" t="s">
        <v>7500</v>
      </c>
    </row>
    <row r="121" spans="1:1" x14ac:dyDescent="0.3">
      <c r="A121" s="26" t="s">
        <v>7501</v>
      </c>
    </row>
    <row r="122" spans="1:1" x14ac:dyDescent="0.3">
      <c r="A122" s="26" t="s">
        <v>7468</v>
      </c>
    </row>
    <row r="123" spans="1:1" x14ac:dyDescent="0.3">
      <c r="A123" s="26" t="s">
        <v>7469</v>
      </c>
    </row>
    <row r="124" spans="1:1" x14ac:dyDescent="0.3">
      <c r="A124" s="26" t="s">
        <v>7470</v>
      </c>
    </row>
    <row r="125" spans="1:1" x14ac:dyDescent="0.3">
      <c r="A125" s="26" t="s">
        <v>7471</v>
      </c>
    </row>
    <row r="126" spans="1:1" x14ac:dyDescent="0.3">
      <c r="A126" s="26" t="s">
        <v>7472</v>
      </c>
    </row>
    <row r="128" spans="1:1" x14ac:dyDescent="0.3">
      <c r="A128" s="6" t="s">
        <v>7473</v>
      </c>
    </row>
    <row r="129" spans="1:1" x14ac:dyDescent="0.3">
      <c r="A129" s="26" t="s">
        <v>7502</v>
      </c>
    </row>
    <row r="131" spans="1:1" x14ac:dyDescent="0.3">
      <c r="A131" s="6" t="s">
        <v>7503</v>
      </c>
    </row>
    <row r="132" spans="1:1" x14ac:dyDescent="0.3">
      <c r="A132" s="26" t="s">
        <v>7504</v>
      </c>
    </row>
    <row r="134" spans="1:1" x14ac:dyDescent="0.3">
      <c r="A134" s="6" t="s">
        <v>7477</v>
      </c>
    </row>
    <row r="135" spans="1:1" x14ac:dyDescent="0.3">
      <c r="A135" s="26" t="s">
        <v>7478</v>
      </c>
    </row>
    <row r="136" spans="1:1" x14ac:dyDescent="0.3">
      <c r="A136" s="26" t="s">
        <v>7479</v>
      </c>
    </row>
    <row r="138" spans="1:1" x14ac:dyDescent="0.3">
      <c r="A138" s="6" t="s">
        <v>7480</v>
      </c>
    </row>
    <row r="139" spans="1:1" x14ac:dyDescent="0.3">
      <c r="A139" s="26" t="s">
        <v>7481</v>
      </c>
    </row>
    <row r="140" spans="1:1" x14ac:dyDescent="0.3">
      <c r="A140" s="26" t="s">
        <v>7482</v>
      </c>
    </row>
    <row r="141" spans="1:1" x14ac:dyDescent="0.3">
      <c r="A141" s="26" t="s">
        <v>7483</v>
      </c>
    </row>
    <row r="142" spans="1:1" x14ac:dyDescent="0.3">
      <c r="A142" s="26" t="s">
        <v>7484</v>
      </c>
    </row>
    <row r="143" spans="1:1" x14ac:dyDescent="0.3">
      <c r="A143" s="26" t="s">
        <v>7485</v>
      </c>
    </row>
    <row r="145" spans="1:1" x14ac:dyDescent="0.3">
      <c r="A145" s="6" t="s">
        <v>7492</v>
      </c>
    </row>
    <row r="146" spans="1:1" x14ac:dyDescent="0.3">
      <c r="A146" s="26" t="s">
        <v>7493</v>
      </c>
    </row>
    <row r="147" spans="1:1" x14ac:dyDescent="0.3">
      <c r="A147" s="26" t="s">
        <v>7494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206A6-D9F9-4A7D-829F-23B195EB957E}">
  <sheetPr>
    <tabColor theme="6"/>
  </sheetPr>
  <dimension ref="A1:E147"/>
  <sheetViews>
    <sheetView workbookViewId="0">
      <selection activeCell="A2" sqref="A2"/>
    </sheetView>
  </sheetViews>
  <sheetFormatPr defaultRowHeight="14.4" x14ac:dyDescent="0.3"/>
  <cols>
    <col min="1" max="1" width="106.77734375" customWidth="1"/>
    <col min="2" max="2" width="19.88671875" bestFit="1" customWidth="1"/>
    <col min="3" max="3" width="44" bestFit="1" customWidth="1"/>
    <col min="4" max="4" width="13.88671875" bestFit="1" customWidth="1"/>
    <col min="5" max="5" width="11" bestFit="1" customWidth="1"/>
    <col min="6" max="6" width="10.5546875" bestFit="1" customWidth="1"/>
    <col min="8" max="8" width="12.44140625" bestFit="1" customWidth="1"/>
    <col min="9" max="9" width="15.5546875" bestFit="1" customWidth="1"/>
    <col min="10" max="10" width="12.109375" bestFit="1" customWidth="1"/>
    <col min="11" max="11" width="7" bestFit="1" customWidth="1"/>
    <col min="12" max="12" width="10.5546875" bestFit="1" customWidth="1"/>
  </cols>
  <sheetData>
    <row r="1" spans="1:3" ht="23.4" x14ac:dyDescent="0.45">
      <c r="A1" s="53" t="s">
        <v>9591</v>
      </c>
    </row>
    <row r="2" spans="1:3" x14ac:dyDescent="0.3">
      <c r="A2" s="11" t="s">
        <v>9592</v>
      </c>
    </row>
    <row r="4" spans="1:3" ht="15.6" x14ac:dyDescent="0.3">
      <c r="A4" s="2" t="s">
        <v>7386</v>
      </c>
    </row>
    <row r="5" spans="1:3" x14ac:dyDescent="0.3">
      <c r="A5" s="3" t="s">
        <v>7387</v>
      </c>
      <c r="B5" s="3" t="s">
        <v>7388</v>
      </c>
      <c r="C5" s="3" t="s">
        <v>7389</v>
      </c>
    </row>
    <row r="6" spans="1:3" x14ac:dyDescent="0.3">
      <c r="A6" s="42" t="s">
        <v>7390</v>
      </c>
      <c r="B6" s="31">
        <f>COUNTA(Empirical_Random_Squirrel_Data!AC2:AC1001)</f>
        <v>1000</v>
      </c>
      <c r="C6" s="32" t="s">
        <v>7391</v>
      </c>
    </row>
    <row r="7" spans="1:3" x14ac:dyDescent="0.3">
      <c r="A7" s="43" t="s">
        <v>7392</v>
      </c>
      <c r="B7" s="33" cm="1">
        <f t="array" ref="B7">SUMPRODUCT(1/COUNTIF(Empirical_Random_Squirrel_Data!AC2:AC1001,Empirical_Random_Squirrel_Data!AC2:AC1001&amp;""))</f>
        <v>1000</v>
      </c>
      <c r="C7" s="34" t="s">
        <v>9593</v>
      </c>
    </row>
    <row r="8" spans="1:3" x14ac:dyDescent="0.3">
      <c r="A8" s="43" t="s">
        <v>7393</v>
      </c>
      <c r="B8" s="33" cm="1">
        <f t="array" ref="B8">ROUND(SUMPRODUCT(1/COUNTIF(Empirical_Random_Squirrel_Data!C2:C1001,Empirical_Random_Squirrel_Data!C2:C1001)),0)</f>
        <v>286</v>
      </c>
      <c r="C8" s="34" t="s">
        <v>7394</v>
      </c>
    </row>
    <row r="9" spans="1:3" x14ac:dyDescent="0.3">
      <c r="A9" s="43" t="s">
        <v>7395</v>
      </c>
      <c r="B9" s="35" t="s">
        <v>7396</v>
      </c>
      <c r="C9" s="34" t="s">
        <v>7397</v>
      </c>
    </row>
    <row r="10" spans="1:3" x14ac:dyDescent="0.3">
      <c r="A10" s="7"/>
    </row>
    <row r="11" spans="1:3" ht="15.6" x14ac:dyDescent="0.3">
      <c r="A11" s="2" t="s">
        <v>7398</v>
      </c>
    </row>
    <row r="12" spans="1:3" x14ac:dyDescent="0.3">
      <c r="A12" s="45" t="s">
        <v>4</v>
      </c>
      <c r="B12" s="3" t="s">
        <v>7399</v>
      </c>
      <c r="C12" s="3" t="s">
        <v>7400</v>
      </c>
    </row>
    <row r="13" spans="1:3" x14ac:dyDescent="0.3">
      <c r="A13" s="42" t="s">
        <v>38</v>
      </c>
      <c r="B13" s="31">
        <f>COUNTIF(Empirical_Random_Squirrel_Data!D2:D1001,"AM")</f>
        <v>441</v>
      </c>
      <c r="C13" s="36">
        <f>IF($B$6&gt;0,B13/$B$6,0)</f>
        <v>0.441</v>
      </c>
    </row>
    <row r="14" spans="1:3" x14ac:dyDescent="0.3">
      <c r="A14" s="43" t="s">
        <v>33</v>
      </c>
      <c r="B14" s="33">
        <f>COUNTIF(Empirical_Random_Squirrel_Data!D2:D1001,"PM")</f>
        <v>559</v>
      </c>
      <c r="C14" s="37">
        <f>IF($B$6&gt;0,B14/$B$6,0)</f>
        <v>0.55900000000000005</v>
      </c>
    </row>
    <row r="15" spans="1:3" ht="15" thickBot="1" x14ac:dyDescent="0.35">
      <c r="A15" s="51" t="s">
        <v>7401</v>
      </c>
      <c r="B15" s="55">
        <f>SUM(B13:B14)</f>
        <v>1000</v>
      </c>
      <c r="C15" s="56">
        <f>SUM(C13:C14)</f>
        <v>1</v>
      </c>
    </row>
    <row r="16" spans="1:3" ht="15" thickTop="1" x14ac:dyDescent="0.3">
      <c r="A16" s="7"/>
    </row>
    <row r="17" spans="1:3" ht="15.6" x14ac:dyDescent="0.3">
      <c r="A17" s="2" t="s">
        <v>7402</v>
      </c>
    </row>
    <row r="18" spans="1:3" x14ac:dyDescent="0.3">
      <c r="A18" s="45" t="s">
        <v>7</v>
      </c>
      <c r="B18" s="3" t="s">
        <v>7399</v>
      </c>
      <c r="C18" s="3" t="s">
        <v>7400</v>
      </c>
    </row>
    <row r="19" spans="1:3" x14ac:dyDescent="0.3">
      <c r="A19" s="42" t="s">
        <v>48</v>
      </c>
      <c r="B19" s="31">
        <f>COUNTIF(Empirical_Random_Squirrel_Data!G2:G1001,"Adult")</f>
        <v>880</v>
      </c>
      <c r="C19" s="36">
        <f>IF($B$6&gt;0,B19/$B$6,0)</f>
        <v>0.88</v>
      </c>
    </row>
    <row r="20" spans="1:3" x14ac:dyDescent="0.3">
      <c r="A20" s="43" t="s">
        <v>105</v>
      </c>
      <c r="B20" s="33">
        <f>COUNTIF(Empirical_Random_Squirrel_Data!G2:G1001,"Juvenile")</f>
        <v>118</v>
      </c>
      <c r="C20" s="37">
        <f>IF($B$6&gt;0,B20/$B$6,0)</f>
        <v>0.11799999999999999</v>
      </c>
    </row>
    <row r="21" spans="1:3" x14ac:dyDescent="0.3">
      <c r="A21" s="43" t="s">
        <v>7403</v>
      </c>
      <c r="B21" s="33">
        <f>COUNTIF(Empirical_Random_Squirrel_Data!G2:G1001,"?")</f>
        <v>2</v>
      </c>
      <c r="C21" s="37">
        <f>IF($B$6&gt;0,B21/$B$6,0)</f>
        <v>2E-3</v>
      </c>
    </row>
    <row r="22" spans="1:3" x14ac:dyDescent="0.3">
      <c r="A22" s="43" t="s">
        <v>7431</v>
      </c>
      <c r="B22" s="33">
        <v>0</v>
      </c>
      <c r="C22" s="41">
        <v>0</v>
      </c>
    </row>
    <row r="23" spans="1:3" ht="15" thickBot="1" x14ac:dyDescent="0.35">
      <c r="A23" s="51" t="s">
        <v>7401</v>
      </c>
      <c r="B23" s="55">
        <f>SUM(B19:B21)</f>
        <v>1000</v>
      </c>
      <c r="C23" s="55">
        <f>SUM(C19:C21)</f>
        <v>1</v>
      </c>
    </row>
    <row r="24" spans="1:3" ht="15" thickTop="1" x14ac:dyDescent="0.3">
      <c r="A24" s="7"/>
    </row>
    <row r="25" spans="1:3" ht="15.6" x14ac:dyDescent="0.3">
      <c r="A25" s="2" t="s">
        <v>7404</v>
      </c>
    </row>
    <row r="26" spans="1:3" x14ac:dyDescent="0.3">
      <c r="A26" s="45" t="s">
        <v>7405</v>
      </c>
      <c r="B26" s="3" t="s">
        <v>7399</v>
      </c>
      <c r="C26" s="3" t="s">
        <v>7400</v>
      </c>
    </row>
    <row r="27" spans="1:3" x14ac:dyDescent="0.3">
      <c r="A27" s="42" t="s">
        <v>42</v>
      </c>
      <c r="B27" s="31">
        <f>COUNTIF(Empirical_Random_Squirrel_Data!H2:H1001,"Gray")</f>
        <v>830</v>
      </c>
      <c r="C27" s="36">
        <f>IF($B$6&gt;0,B27/$B$6,0)</f>
        <v>0.83</v>
      </c>
    </row>
    <row r="28" spans="1:3" x14ac:dyDescent="0.3">
      <c r="A28" s="43" t="s">
        <v>53</v>
      </c>
      <c r="B28" s="33">
        <f>COUNTIF(Empirical_Random_Squirrel_Data!H2:H1001,"Cinnamon")</f>
        <v>138</v>
      </c>
      <c r="C28" s="37">
        <f>IF($B$6&gt;0,B28/$B$6,0)</f>
        <v>0.13800000000000001</v>
      </c>
    </row>
    <row r="29" spans="1:3" x14ac:dyDescent="0.3">
      <c r="A29" s="43" t="s">
        <v>176</v>
      </c>
      <c r="B29" s="33">
        <f>COUNTIF(Empirical_Random_Squirrel_Data!H2:H1001,"Black")</f>
        <v>32</v>
      </c>
      <c r="C29" s="37">
        <f>IF($B$6&gt;0,B29/$B$6,0)</f>
        <v>3.2000000000000001E-2</v>
      </c>
    </row>
    <row r="30" spans="1:3" x14ac:dyDescent="0.3">
      <c r="A30" s="43" t="s">
        <v>7406</v>
      </c>
      <c r="B30" s="33">
        <f>$B$6-SUM(B27:B29)</f>
        <v>0</v>
      </c>
      <c r="C30" s="37">
        <f>IF($B$6&gt;0,B30/$B$6,0)</f>
        <v>0</v>
      </c>
    </row>
    <row r="31" spans="1:3" ht="15" thickBot="1" x14ac:dyDescent="0.35">
      <c r="A31" s="51" t="s">
        <v>7401</v>
      </c>
      <c r="B31" s="55">
        <f>SUM(B27:B30)</f>
        <v>1000</v>
      </c>
      <c r="C31" s="56">
        <f>SUM(C27:C30)</f>
        <v>1</v>
      </c>
    </row>
    <row r="32" spans="1:3" ht="15" thickTop="1" x14ac:dyDescent="0.3">
      <c r="A32" s="7"/>
    </row>
    <row r="33" spans="1:3" ht="15.6" x14ac:dyDescent="0.3">
      <c r="A33" s="2" t="s">
        <v>7407</v>
      </c>
    </row>
    <row r="34" spans="1:3" x14ac:dyDescent="0.3">
      <c r="A34" s="45" t="s">
        <v>12</v>
      </c>
      <c r="B34" s="3" t="s">
        <v>7399</v>
      </c>
      <c r="C34" s="3" t="s">
        <v>7400</v>
      </c>
    </row>
    <row r="35" spans="1:3" x14ac:dyDescent="0.3">
      <c r="A35" s="42" t="s">
        <v>65</v>
      </c>
      <c r="B35" s="31">
        <f>COUNTIF(Empirical_Random_Squirrel_Data!L2:L1001,"Ground Plane")</f>
        <v>712</v>
      </c>
      <c r="C35" s="36">
        <f>IF($B$6&gt;0,B35/$B$6,0)</f>
        <v>0.71199999999999997</v>
      </c>
    </row>
    <row r="36" spans="1:3" x14ac:dyDescent="0.3">
      <c r="A36" s="43" t="s">
        <v>44</v>
      </c>
      <c r="B36" s="33">
        <f>COUNTIF(Empirical_Random_Squirrel_Data!L2:L1001,"Above Ground")</f>
        <v>288</v>
      </c>
      <c r="C36" s="37">
        <f>IF($B$6&gt;0,B36/$B$6,0)</f>
        <v>0.28799999999999998</v>
      </c>
    </row>
    <row r="37" spans="1:3" x14ac:dyDescent="0.3">
      <c r="A37" s="43" t="s">
        <v>7406</v>
      </c>
      <c r="B37" s="33">
        <f>$B$6-SUM(B35:B36)</f>
        <v>0</v>
      </c>
      <c r="C37" s="37">
        <f>IF($B$6&gt;0,B37/$B$6,0)</f>
        <v>0</v>
      </c>
    </row>
    <row r="38" spans="1:3" ht="15" thickBot="1" x14ac:dyDescent="0.35">
      <c r="A38" s="51" t="s">
        <v>7401</v>
      </c>
      <c r="B38" s="55">
        <f>SUM(B35:B37)</f>
        <v>1000</v>
      </c>
      <c r="C38" s="56">
        <f>SUM(C35:C37)</f>
        <v>1</v>
      </c>
    </row>
    <row r="39" spans="1:3" ht="15" thickTop="1" x14ac:dyDescent="0.3">
      <c r="A39" s="7"/>
    </row>
    <row r="40" spans="1:3" ht="15.6" x14ac:dyDescent="0.3">
      <c r="A40" s="2" t="s">
        <v>7408</v>
      </c>
    </row>
    <row r="41" spans="1:3" x14ac:dyDescent="0.3">
      <c r="A41" s="45" t="s">
        <v>7409</v>
      </c>
      <c r="B41" s="3" t="s">
        <v>7399</v>
      </c>
      <c r="C41" s="3" t="s">
        <v>7410</v>
      </c>
    </row>
    <row r="42" spans="1:3" x14ac:dyDescent="0.3">
      <c r="A42" s="42" t="s">
        <v>7411</v>
      </c>
      <c r="B42" s="31">
        <f>COUNTIF(Empirical_Random_Squirrel_Data!O2:O1001,TRUE)</f>
        <v>261</v>
      </c>
      <c r="C42" s="36">
        <f t="shared" ref="C42:C55" si="0">IF($B$6&gt;0,B42/$B$6,0)</f>
        <v>0.26100000000000001</v>
      </c>
    </row>
    <row r="43" spans="1:3" x14ac:dyDescent="0.3">
      <c r="A43" s="43" t="s">
        <v>7412</v>
      </c>
      <c r="B43" s="33">
        <f>COUNTIF(Empirical_Random_Squirrel_Data!P2:P1001,TRUE)</f>
        <v>91</v>
      </c>
      <c r="C43" s="37">
        <f t="shared" si="0"/>
        <v>9.0999999999999998E-2</v>
      </c>
    </row>
    <row r="44" spans="1:3" x14ac:dyDescent="0.3">
      <c r="A44" s="43" t="s">
        <v>7413</v>
      </c>
      <c r="B44" s="33">
        <f>COUNTIF(Empirical_Random_Squirrel_Data!Q2:Q1001,TRUE)</f>
        <v>231</v>
      </c>
      <c r="C44" s="37">
        <f t="shared" si="0"/>
        <v>0.23100000000000001</v>
      </c>
    </row>
    <row r="45" spans="1:3" x14ac:dyDescent="0.3">
      <c r="A45" s="43" t="s">
        <v>7414</v>
      </c>
      <c r="B45" s="33">
        <f>COUNTIF(Empirical_Random_Squirrel_Data!R2:R1001,TRUE)</f>
        <v>248</v>
      </c>
      <c r="C45" s="37">
        <f t="shared" si="0"/>
        <v>0.248</v>
      </c>
    </row>
    <row r="46" spans="1:3" x14ac:dyDescent="0.3">
      <c r="A46" s="43" t="s">
        <v>7415</v>
      </c>
      <c r="B46" s="33">
        <f>COUNTIF(Empirical_Random_Squirrel_Data!S2:S1001,TRUE)</f>
        <v>436</v>
      </c>
      <c r="C46" s="37">
        <f t="shared" si="0"/>
        <v>0.436</v>
      </c>
    </row>
    <row r="47" spans="1:3" x14ac:dyDescent="0.3">
      <c r="A47" s="43" t="s">
        <v>7416</v>
      </c>
      <c r="B47" s="33">
        <f>COUNTIF(Empirical_Random_Squirrel_Data!T2:T1001,TRUE)</f>
        <v>35</v>
      </c>
      <c r="C47" s="37">
        <f t="shared" si="0"/>
        <v>3.5000000000000003E-2</v>
      </c>
    </row>
    <row r="48" spans="1:3" x14ac:dyDescent="0.3">
      <c r="A48" s="43" t="s">
        <v>7417</v>
      </c>
      <c r="B48" s="33">
        <f>COUNTIF(Empirical_Random_Squirrel_Data!U2:U1001,TRUE)</f>
        <v>17</v>
      </c>
      <c r="C48" s="37">
        <f t="shared" si="0"/>
        <v>1.7000000000000001E-2</v>
      </c>
    </row>
    <row r="49" spans="1:5" x14ac:dyDescent="0.3">
      <c r="A49" s="43" t="s">
        <v>7418</v>
      </c>
      <c r="B49" s="33">
        <f>COUNTIF(Empirical_Random_Squirrel_Data!V2:V1001,TRUE)</f>
        <v>0</v>
      </c>
      <c r="C49" s="37">
        <f t="shared" si="0"/>
        <v>0</v>
      </c>
    </row>
    <row r="50" spans="1:5" x14ac:dyDescent="0.3">
      <c r="A50" s="43" t="s">
        <v>7419</v>
      </c>
      <c r="B50" s="33">
        <f>COUNTIF(Empirical_Random_Squirrel_Data!W2:W1001,TRUE)</f>
        <v>50</v>
      </c>
      <c r="C50" s="37">
        <f t="shared" si="0"/>
        <v>0.05</v>
      </c>
    </row>
    <row r="51" spans="1:5" x14ac:dyDescent="0.3">
      <c r="A51" s="43" t="s">
        <v>7420</v>
      </c>
      <c r="B51" s="33">
        <f>COUNTIF(Empirical_Random_Squirrel_Data!X2:X1001,TRUE)</f>
        <v>143</v>
      </c>
      <c r="C51" s="37">
        <f t="shared" si="0"/>
        <v>0.14299999999999999</v>
      </c>
    </row>
    <row r="52" spans="1:5" x14ac:dyDescent="0.3">
      <c r="A52" s="43" t="s">
        <v>7421</v>
      </c>
      <c r="B52" s="33">
        <f>COUNTIF(Empirical_Random_Squirrel_Data!Y2:Y1001,TRUE)</f>
        <v>48</v>
      </c>
      <c r="C52" s="37">
        <f t="shared" si="0"/>
        <v>4.8000000000000001E-2</v>
      </c>
    </row>
    <row r="53" spans="1:5" x14ac:dyDescent="0.3">
      <c r="A53" s="43" t="s">
        <v>7422</v>
      </c>
      <c r="B53" s="33">
        <f>COUNTIF(Empirical_Random_Squirrel_Data!Z2:Z1001,TRUE)</f>
        <v>485</v>
      </c>
      <c r="C53" s="37">
        <f t="shared" si="0"/>
        <v>0.48499999999999999</v>
      </c>
    </row>
    <row r="54" spans="1:5" x14ac:dyDescent="0.3">
      <c r="A54" s="43" t="s">
        <v>7423</v>
      </c>
      <c r="B54" s="33">
        <f>COUNTIF(Empirical_Random_Squirrel_Data!AA2:AA1001,TRUE)</f>
        <v>217</v>
      </c>
      <c r="C54" s="37">
        <f t="shared" si="0"/>
        <v>0.217</v>
      </c>
    </row>
    <row r="55" spans="1:5" x14ac:dyDescent="0.3">
      <c r="A55" s="44" t="s">
        <v>7424</v>
      </c>
      <c r="B55" s="38">
        <f>COUNTA(Empirical_Random_Squirrel_Data!AB2:AB1001)</f>
        <v>1000</v>
      </c>
      <c r="C55" s="39">
        <f t="shared" si="0"/>
        <v>1</v>
      </c>
    </row>
    <row r="56" spans="1:5" ht="15" thickBot="1" x14ac:dyDescent="0.35">
      <c r="A56" s="51" t="s">
        <v>7401</v>
      </c>
      <c r="B56" s="55">
        <f>SUM(B42:B55)</f>
        <v>3262</v>
      </c>
      <c r="C56" s="56">
        <f>SUM(C42:C55)</f>
        <v>3.262</v>
      </c>
    </row>
    <row r="57" spans="1:5" ht="15" thickTop="1" x14ac:dyDescent="0.3">
      <c r="A57" s="7"/>
    </row>
    <row r="58" spans="1:5" ht="15.6" x14ac:dyDescent="0.3">
      <c r="A58" s="2" t="s">
        <v>7425</v>
      </c>
    </row>
    <row r="59" spans="1:5" x14ac:dyDescent="0.3">
      <c r="A59" s="62" t="s">
        <v>7426</v>
      </c>
      <c r="B59" s="29" t="s">
        <v>7399</v>
      </c>
      <c r="C59" s="29" t="s">
        <v>7427</v>
      </c>
      <c r="D59" s="29" t="s">
        <v>7428</v>
      </c>
      <c r="E59" s="30" t="s">
        <v>7430</v>
      </c>
    </row>
    <row r="60" spans="1:5" x14ac:dyDescent="0.3">
      <c r="A60" s="42">
        <v>43379</v>
      </c>
      <c r="B60" s="31">
        <f>COUNTIF(Empirical_Random_Squirrel_Data!E2:E1001,A60)</f>
        <v>55</v>
      </c>
      <c r="C60" s="40">
        <f t="shared" ref="C60:C74" si="1">IF($B$6&gt;0,B60/$B$6,0)</f>
        <v>5.5E-2</v>
      </c>
      <c r="D60" s="20">
        <f t="shared" ref="D60:D74" si="2">A60</f>
        <v>43379</v>
      </c>
      <c r="E60" s="15" t="str">
        <f t="shared" ref="E60:E74" si="3">TEXT(A60,"dddd")</f>
        <v>Saturday</v>
      </c>
    </row>
    <row r="61" spans="1:5" x14ac:dyDescent="0.3">
      <c r="A61" s="43">
        <v>43380</v>
      </c>
      <c r="B61" s="33">
        <f>COUNTIF(Empirical_Random_Squirrel_Data!E2:E1001,A61)</f>
        <v>67</v>
      </c>
      <c r="C61" s="41">
        <f t="shared" si="1"/>
        <v>6.7000000000000004E-2</v>
      </c>
      <c r="D61" s="21">
        <f t="shared" si="2"/>
        <v>43380</v>
      </c>
      <c r="E61" s="16" t="str">
        <f t="shared" si="3"/>
        <v>Sunday</v>
      </c>
    </row>
    <row r="62" spans="1:5" x14ac:dyDescent="0.3">
      <c r="A62" s="43">
        <v>43381</v>
      </c>
      <c r="B62" s="33">
        <f>COUNTIF(Empirical_Random_Squirrel_Data!E2:E1001,A62)</f>
        <v>68</v>
      </c>
      <c r="C62" s="41">
        <f t="shared" si="1"/>
        <v>6.8000000000000005E-2</v>
      </c>
      <c r="D62" s="21">
        <f t="shared" si="2"/>
        <v>43381</v>
      </c>
      <c r="E62" s="16" t="str">
        <f t="shared" si="3"/>
        <v>Monday</v>
      </c>
    </row>
    <row r="63" spans="1:5" x14ac:dyDescent="0.3">
      <c r="A63" s="43">
        <v>43382</v>
      </c>
      <c r="B63" s="33">
        <f>COUNTIF(Empirical_Random_Squirrel_Data!E2:E1001,A63)</f>
        <v>70</v>
      </c>
      <c r="C63" s="41">
        <f t="shared" si="1"/>
        <v>7.0000000000000007E-2</v>
      </c>
      <c r="D63" s="21">
        <f t="shared" si="2"/>
        <v>43382</v>
      </c>
      <c r="E63" s="16" t="str">
        <f t="shared" si="3"/>
        <v>Tuesday</v>
      </c>
    </row>
    <row r="64" spans="1:5" x14ac:dyDescent="0.3">
      <c r="A64" s="43">
        <v>43383</v>
      </c>
      <c r="B64" s="33">
        <f>COUNTIF(Empirical_Random_Squirrel_Data!E2:E1001,A64)</f>
        <v>56</v>
      </c>
      <c r="C64" s="41">
        <f t="shared" si="1"/>
        <v>5.6000000000000001E-2</v>
      </c>
      <c r="D64" s="21">
        <f t="shared" si="2"/>
        <v>43383</v>
      </c>
      <c r="E64" s="16" t="str">
        <f t="shared" si="3"/>
        <v>Wednesday</v>
      </c>
    </row>
    <row r="65" spans="1:5" x14ac:dyDescent="0.3">
      <c r="A65" s="43">
        <v>43384</v>
      </c>
      <c r="B65" s="33">
        <f>COUNTIF(Empirical_Random_Squirrel_Data!E2:E1001,A65)</f>
        <v>79</v>
      </c>
      <c r="C65" s="41">
        <f t="shared" si="1"/>
        <v>7.9000000000000001E-2</v>
      </c>
      <c r="D65" s="21">
        <f t="shared" si="2"/>
        <v>43384</v>
      </c>
      <c r="E65" s="16" t="str">
        <f t="shared" si="3"/>
        <v>Thursday</v>
      </c>
    </row>
    <row r="66" spans="1:5" x14ac:dyDescent="0.3">
      <c r="A66" s="43">
        <v>43385</v>
      </c>
      <c r="B66" s="33">
        <f>COUNTIF(Empirical_Random_Squirrel_Data!E2:E1001,A66)</f>
        <v>74</v>
      </c>
      <c r="C66" s="41">
        <f t="shared" si="1"/>
        <v>7.3999999999999996E-2</v>
      </c>
      <c r="D66" s="21">
        <f t="shared" si="2"/>
        <v>43385</v>
      </c>
      <c r="E66" s="16" t="str">
        <f t="shared" si="3"/>
        <v>Friday</v>
      </c>
    </row>
    <row r="67" spans="1:5" x14ac:dyDescent="0.3">
      <c r="A67" s="43">
        <v>43386</v>
      </c>
      <c r="B67" s="33">
        <f>COUNTIF(Empirical_Random_Squirrel_Data!E2:E1001,A67)</f>
        <v>53</v>
      </c>
      <c r="C67" s="41">
        <f t="shared" si="1"/>
        <v>5.2999999999999999E-2</v>
      </c>
      <c r="D67" s="21">
        <f t="shared" si="2"/>
        <v>43386</v>
      </c>
      <c r="E67" s="16" t="str">
        <f t="shared" si="3"/>
        <v>Saturday</v>
      </c>
    </row>
    <row r="68" spans="1:5" x14ac:dyDescent="0.3">
      <c r="A68" s="43">
        <v>43387</v>
      </c>
      <c r="B68" s="33">
        <f>COUNTIF(Empirical_Random_Squirrel_Data!E2:E1001,A68)</f>
        <v>69</v>
      </c>
      <c r="C68" s="41">
        <f t="shared" si="1"/>
        <v>6.9000000000000006E-2</v>
      </c>
      <c r="D68" s="21">
        <f t="shared" si="2"/>
        <v>43387</v>
      </c>
      <c r="E68" s="16" t="str">
        <f t="shared" si="3"/>
        <v>Sunday</v>
      </c>
    </row>
    <row r="69" spans="1:5" x14ac:dyDescent="0.3">
      <c r="A69" s="43">
        <v>43388</v>
      </c>
      <c r="B69" s="33">
        <f>COUNTIF(Empirical_Random_Squirrel_Data!E2:E1001,A69)</f>
        <v>63</v>
      </c>
      <c r="C69" s="41">
        <f t="shared" si="1"/>
        <v>6.3E-2</v>
      </c>
      <c r="D69" s="21">
        <f t="shared" si="2"/>
        <v>43388</v>
      </c>
      <c r="E69" s="16" t="str">
        <f t="shared" si="3"/>
        <v>Monday</v>
      </c>
    </row>
    <row r="70" spans="1:5" x14ac:dyDescent="0.3">
      <c r="A70" s="43">
        <v>43389</v>
      </c>
      <c r="B70" s="33">
        <f>COUNTIF(Empirical_Random_Squirrel_Data!E2:E1001,A70)</f>
        <v>76</v>
      </c>
      <c r="C70" s="41">
        <f t="shared" si="1"/>
        <v>7.5999999999999998E-2</v>
      </c>
      <c r="D70" s="21">
        <f t="shared" si="2"/>
        <v>43389</v>
      </c>
      <c r="E70" s="16" t="str">
        <f t="shared" si="3"/>
        <v>Tuesday</v>
      </c>
    </row>
    <row r="71" spans="1:5" x14ac:dyDescent="0.3">
      <c r="A71" s="43">
        <v>43390</v>
      </c>
      <c r="B71" s="33">
        <f>COUNTIF(Empirical_Random_Squirrel_Data!E2:E1001,A71)</f>
        <v>77</v>
      </c>
      <c r="C71" s="41">
        <f t="shared" si="1"/>
        <v>7.6999999999999999E-2</v>
      </c>
      <c r="D71" s="59">
        <f t="shared" si="2"/>
        <v>43390</v>
      </c>
      <c r="E71" s="17" t="str">
        <f t="shared" si="3"/>
        <v>Wednesday</v>
      </c>
    </row>
    <row r="72" spans="1:5" x14ac:dyDescent="0.3">
      <c r="A72" s="43">
        <v>43391</v>
      </c>
      <c r="B72" s="33">
        <f>COUNTIF(Empirical_Random_Squirrel_Data!E2:E1001,A72)</f>
        <v>75</v>
      </c>
      <c r="C72" s="41">
        <f t="shared" si="1"/>
        <v>7.4999999999999997E-2</v>
      </c>
      <c r="D72" s="21">
        <f t="shared" si="2"/>
        <v>43391</v>
      </c>
      <c r="E72" s="16" t="str">
        <f t="shared" si="3"/>
        <v>Thursday</v>
      </c>
    </row>
    <row r="73" spans="1:5" x14ac:dyDescent="0.3">
      <c r="A73" s="43">
        <v>43392</v>
      </c>
      <c r="B73" s="33">
        <f>COUNTIF(Empirical_Random_Squirrel_Data!E2:E1001,A73)</f>
        <v>58</v>
      </c>
      <c r="C73" s="41">
        <f t="shared" si="1"/>
        <v>5.8000000000000003E-2</v>
      </c>
      <c r="D73" s="21">
        <f t="shared" si="2"/>
        <v>43392</v>
      </c>
      <c r="E73" s="16" t="str">
        <f t="shared" si="3"/>
        <v>Friday</v>
      </c>
    </row>
    <row r="74" spans="1:5" x14ac:dyDescent="0.3">
      <c r="A74" s="43">
        <v>43393</v>
      </c>
      <c r="B74" s="33">
        <f>COUNTIF(Empirical_Random_Squirrel_Data!E2:E1001,A74)</f>
        <v>60</v>
      </c>
      <c r="C74" s="41">
        <f t="shared" si="1"/>
        <v>0.06</v>
      </c>
      <c r="D74" s="21">
        <f t="shared" si="2"/>
        <v>43393</v>
      </c>
      <c r="E74" s="16" t="str">
        <f t="shared" si="3"/>
        <v>Saturday</v>
      </c>
    </row>
    <row r="75" spans="1:5" ht="15" thickBot="1" x14ac:dyDescent="0.35">
      <c r="A75" s="63" t="s">
        <v>7401</v>
      </c>
      <c r="B75" s="64">
        <f>SUM(B60:B74)</f>
        <v>1000</v>
      </c>
      <c r="C75" s="57">
        <f>SUM(C60:C74)</f>
        <v>0.99999999999999978</v>
      </c>
      <c r="D75" s="22" t="s">
        <v>7505</v>
      </c>
      <c r="E75" s="17"/>
    </row>
    <row r="76" spans="1:5" ht="15" thickTop="1" x14ac:dyDescent="0.3">
      <c r="A76" s="13"/>
      <c r="B76" s="24"/>
    </row>
    <row r="77" spans="1:5" ht="15.6" x14ac:dyDescent="0.3">
      <c r="A77" s="67" t="s">
        <v>7444</v>
      </c>
      <c r="B77" s="23"/>
    </row>
    <row r="78" spans="1:5" x14ac:dyDescent="0.3">
      <c r="A78" s="65" t="s">
        <v>3</v>
      </c>
      <c r="B78" s="66" t="s">
        <v>7399</v>
      </c>
    </row>
    <row r="79" spans="1:5" x14ac:dyDescent="0.3">
      <c r="A79" s="69" t="s">
        <v>119</v>
      </c>
      <c r="B79" s="31">
        <v>9</v>
      </c>
    </row>
    <row r="80" spans="1:5" x14ac:dyDescent="0.3">
      <c r="A80" s="70" t="s">
        <v>1221</v>
      </c>
      <c r="B80" s="33">
        <v>8</v>
      </c>
    </row>
    <row r="81" spans="1:2" x14ac:dyDescent="0.3">
      <c r="A81" s="70" t="s">
        <v>764</v>
      </c>
      <c r="B81" s="33">
        <v>8</v>
      </c>
    </row>
    <row r="82" spans="1:2" x14ac:dyDescent="0.3">
      <c r="A82" s="71" t="s">
        <v>627</v>
      </c>
      <c r="B82" s="33">
        <v>7</v>
      </c>
    </row>
    <row r="83" spans="1:2" x14ac:dyDescent="0.3">
      <c r="A83" s="72" t="s">
        <v>796</v>
      </c>
      <c r="B83" s="33">
        <v>7</v>
      </c>
    </row>
    <row r="84" spans="1:2" x14ac:dyDescent="0.3">
      <c r="A84" s="68" t="s">
        <v>9600</v>
      </c>
      <c r="B84" s="17"/>
    </row>
    <row r="85" spans="1:2" x14ac:dyDescent="0.3">
      <c r="A85" s="50"/>
    </row>
    <row r="86" spans="1:2" x14ac:dyDescent="0.3">
      <c r="A86" s="50"/>
    </row>
    <row r="87" spans="1:2" x14ac:dyDescent="0.3">
      <c r="A87" s="46"/>
    </row>
    <row r="88" spans="1:2" ht="15.6" x14ac:dyDescent="0.3">
      <c r="A88" s="48" t="s">
        <v>7434</v>
      </c>
    </row>
    <row r="89" spans="1:2" x14ac:dyDescent="0.3">
      <c r="A89" s="46" t="s">
        <v>9601</v>
      </c>
    </row>
    <row r="90" spans="1:2" x14ac:dyDescent="0.3">
      <c r="A90" s="46" t="s">
        <v>7436</v>
      </c>
    </row>
    <row r="91" spans="1:2" x14ac:dyDescent="0.3">
      <c r="A91" s="60" t="s">
        <v>7506</v>
      </c>
    </row>
    <row r="92" spans="1:2" x14ac:dyDescent="0.3">
      <c r="A92" s="46" t="s">
        <v>7507</v>
      </c>
    </row>
    <row r="93" spans="1:2" x14ac:dyDescent="0.3">
      <c r="A93" s="61" t="s">
        <v>9594</v>
      </c>
    </row>
    <row r="94" spans="1:2" x14ac:dyDescent="0.3">
      <c r="A94" s="49"/>
    </row>
    <row r="95" spans="1:2" ht="15.6" x14ac:dyDescent="0.3">
      <c r="A95" s="48" t="s">
        <v>7439</v>
      </c>
    </row>
    <row r="96" spans="1:2" x14ac:dyDescent="0.3">
      <c r="A96" s="50" t="s">
        <v>9595</v>
      </c>
    </row>
    <row r="97" spans="1:1" x14ac:dyDescent="0.3">
      <c r="A97" s="28" t="s">
        <v>9596</v>
      </c>
    </row>
    <row r="99" spans="1:1" ht="18" x14ac:dyDescent="0.35">
      <c r="A99" s="54" t="s">
        <v>7446</v>
      </c>
    </row>
    <row r="100" spans="1:1" x14ac:dyDescent="0.3">
      <c r="A100" s="8" t="s">
        <v>7447</v>
      </c>
    </row>
    <row r="102" spans="1:1" x14ac:dyDescent="0.3">
      <c r="A102" s="6" t="s">
        <v>7448</v>
      </c>
    </row>
    <row r="103" spans="1:1" x14ac:dyDescent="0.3">
      <c r="A103" s="26" t="s">
        <v>7449</v>
      </c>
    </row>
    <row r="104" spans="1:1" x14ac:dyDescent="0.3">
      <c r="A104" s="26" t="s">
        <v>7450</v>
      </c>
    </row>
    <row r="106" spans="1:1" x14ac:dyDescent="0.3">
      <c r="A106" s="6" t="s">
        <v>7451</v>
      </c>
    </row>
    <row r="107" spans="1:1" x14ac:dyDescent="0.3">
      <c r="A107" s="26" t="s">
        <v>7489</v>
      </c>
    </row>
    <row r="108" spans="1:1" x14ac:dyDescent="0.3">
      <c r="A108" s="26" t="s">
        <v>7490</v>
      </c>
    </row>
    <row r="109" spans="1:1" x14ac:dyDescent="0.3">
      <c r="A109" s="26" t="s">
        <v>7491</v>
      </c>
    </row>
    <row r="110" spans="1:1" x14ac:dyDescent="0.3">
      <c r="A110" s="26" t="s">
        <v>9597</v>
      </c>
    </row>
    <row r="112" spans="1:1" x14ac:dyDescent="0.3">
      <c r="A112" s="6" t="s">
        <v>7456</v>
      </c>
    </row>
    <row r="113" spans="1:1" x14ac:dyDescent="0.3">
      <c r="A113" s="26" t="s">
        <v>7457</v>
      </c>
    </row>
    <row r="114" spans="1:1" x14ac:dyDescent="0.3">
      <c r="A114" s="26" t="s">
        <v>7458</v>
      </c>
    </row>
    <row r="115" spans="1:1" x14ac:dyDescent="0.3">
      <c r="A115" s="26" t="s">
        <v>7459</v>
      </c>
    </row>
    <row r="116" spans="1:1" x14ac:dyDescent="0.3">
      <c r="A116" s="26" t="s">
        <v>7460</v>
      </c>
    </row>
    <row r="117" spans="1:1" x14ac:dyDescent="0.3">
      <c r="A117" s="26" t="s">
        <v>7461</v>
      </c>
    </row>
    <row r="118" spans="1:1" x14ac:dyDescent="0.3">
      <c r="A118" s="26" t="s">
        <v>9602</v>
      </c>
    </row>
    <row r="120" spans="1:1" x14ac:dyDescent="0.3">
      <c r="A120" s="6" t="s">
        <v>7500</v>
      </c>
    </row>
    <row r="121" spans="1:1" x14ac:dyDescent="0.3">
      <c r="A121" s="26" t="s">
        <v>7501</v>
      </c>
    </row>
    <row r="122" spans="1:1" x14ac:dyDescent="0.3">
      <c r="A122" s="26" t="s">
        <v>7468</v>
      </c>
    </row>
    <row r="123" spans="1:1" x14ac:dyDescent="0.3">
      <c r="A123" s="26" t="s">
        <v>7469</v>
      </c>
    </row>
    <row r="124" spans="1:1" x14ac:dyDescent="0.3">
      <c r="A124" s="26" t="s">
        <v>7470</v>
      </c>
    </row>
    <row r="125" spans="1:1" x14ac:dyDescent="0.3">
      <c r="A125" s="26" t="s">
        <v>7471</v>
      </c>
    </row>
    <row r="126" spans="1:1" x14ac:dyDescent="0.3">
      <c r="A126" s="26" t="s">
        <v>7472</v>
      </c>
    </row>
    <row r="128" spans="1:1" x14ac:dyDescent="0.3">
      <c r="A128" s="6" t="s">
        <v>7473</v>
      </c>
    </row>
    <row r="129" spans="1:1" x14ac:dyDescent="0.3">
      <c r="A129" s="26" t="s">
        <v>9598</v>
      </c>
    </row>
    <row r="131" spans="1:1" x14ac:dyDescent="0.3">
      <c r="A131" s="6" t="s">
        <v>7503</v>
      </c>
    </row>
    <row r="132" spans="1:1" x14ac:dyDescent="0.3">
      <c r="A132" s="26" t="s">
        <v>7504</v>
      </c>
    </row>
    <row r="134" spans="1:1" x14ac:dyDescent="0.3">
      <c r="A134" s="6" t="s">
        <v>7477</v>
      </c>
    </row>
    <row r="135" spans="1:1" x14ac:dyDescent="0.3">
      <c r="A135" s="26" t="s">
        <v>7478</v>
      </c>
    </row>
    <row r="136" spans="1:1" x14ac:dyDescent="0.3">
      <c r="A136" s="26" t="s">
        <v>7479</v>
      </c>
    </row>
    <row r="138" spans="1:1" x14ac:dyDescent="0.3">
      <c r="A138" s="6" t="s">
        <v>7480</v>
      </c>
    </row>
    <row r="139" spans="1:1" x14ac:dyDescent="0.3">
      <c r="A139" s="26" t="s">
        <v>7481</v>
      </c>
    </row>
    <row r="140" spans="1:1" x14ac:dyDescent="0.3">
      <c r="A140" s="26" t="s">
        <v>7482</v>
      </c>
    </row>
    <row r="141" spans="1:1" x14ac:dyDescent="0.3">
      <c r="A141" s="26" t="s">
        <v>7483</v>
      </c>
    </row>
    <row r="142" spans="1:1" x14ac:dyDescent="0.3">
      <c r="A142" s="26" t="s">
        <v>7484</v>
      </c>
    </row>
    <row r="143" spans="1:1" x14ac:dyDescent="0.3">
      <c r="A143" s="26" t="s">
        <v>7485</v>
      </c>
    </row>
    <row r="145" spans="1:1" x14ac:dyDescent="0.3">
      <c r="A145" s="6" t="s">
        <v>9599</v>
      </c>
    </row>
    <row r="146" spans="1:1" x14ac:dyDescent="0.3">
      <c r="A146" s="26" t="s">
        <v>7493</v>
      </c>
    </row>
    <row r="147" spans="1:1" x14ac:dyDescent="0.3">
      <c r="A147" s="26" t="s">
        <v>7494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BC136-D53D-40DF-B1A1-9F35AFD7BFAD}">
  <sheetPr>
    <tabColor theme="3"/>
  </sheetPr>
  <dimension ref="A1:AE3024"/>
  <sheetViews>
    <sheetView workbookViewId="0">
      <selection activeCell="F2" sqref="F2"/>
    </sheetView>
  </sheetViews>
  <sheetFormatPr defaultRowHeight="14.4" x14ac:dyDescent="0.3"/>
  <cols>
    <col min="3" max="3" width="17.88671875" customWidth="1"/>
    <col min="4" max="4" width="9.5546875" customWidth="1"/>
    <col min="7" max="7" width="23.6640625" customWidth="1"/>
    <col min="9" max="9" width="17.21875" customWidth="1"/>
    <col min="10" max="10" width="18.109375" customWidth="1"/>
    <col min="11" max="11" width="38.44140625" customWidth="1"/>
    <col min="12" max="12" width="12.21875" customWidth="1"/>
    <col min="13" max="13" width="10" customWidth="1"/>
    <col min="14" max="14" width="32.33203125" customWidth="1"/>
    <col min="15" max="15" width="17.21875" customWidth="1"/>
    <col min="16" max="17" width="9.44140625" customWidth="1"/>
    <col min="18" max="18" width="10.44140625" customWidth="1"/>
    <col min="20" max="20" width="9.88671875" customWidth="1"/>
    <col min="21" max="21" width="15.77734375" customWidth="1"/>
    <col min="25" max="25" width="10.109375" customWidth="1"/>
    <col min="26" max="26" width="13.33203125" customWidth="1"/>
    <col min="27" max="27" width="12.77734375" customWidth="1"/>
    <col min="28" max="28" width="11.5546875" customWidth="1"/>
    <col min="29" max="29" width="11.109375" customWidth="1"/>
    <col min="30" max="30" width="17.88671875" customWidth="1"/>
    <col min="31" max="31" width="9.88671875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-73.956134493790003</v>
      </c>
      <c r="B2">
        <v>40.794082388409997</v>
      </c>
      <c r="C2" t="s">
        <v>31</v>
      </c>
      <c r="D2" t="s">
        <v>32</v>
      </c>
      <c r="E2" t="s">
        <v>33</v>
      </c>
      <c r="F2">
        <v>10142018</v>
      </c>
      <c r="G2">
        <v>3</v>
      </c>
      <c r="K2" t="s">
        <v>34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E2" t="s">
        <v>35</v>
      </c>
    </row>
    <row r="3" spans="1:31" x14ac:dyDescent="0.3">
      <c r="A3">
        <v>-73.968857469110006</v>
      </c>
      <c r="B3">
        <v>40.783782520839999</v>
      </c>
      <c r="C3" t="s">
        <v>36</v>
      </c>
      <c r="D3" t="s">
        <v>37</v>
      </c>
      <c r="E3" t="s">
        <v>38</v>
      </c>
      <c r="F3">
        <v>10192018</v>
      </c>
      <c r="G3">
        <v>4</v>
      </c>
      <c r="K3" t="s">
        <v>34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E3" t="s">
        <v>39</v>
      </c>
    </row>
    <row r="4" spans="1:31" x14ac:dyDescent="0.3">
      <c r="A4">
        <v>-73.974281148489993</v>
      </c>
      <c r="B4">
        <v>40.775533619080001</v>
      </c>
      <c r="C4" t="s">
        <v>40</v>
      </c>
      <c r="D4" t="s">
        <v>41</v>
      </c>
      <c r="E4" t="s">
        <v>33</v>
      </c>
      <c r="F4">
        <v>10142018</v>
      </c>
      <c r="G4">
        <v>8</v>
      </c>
      <c r="I4" t="s">
        <v>42</v>
      </c>
      <c r="K4" t="s">
        <v>43</v>
      </c>
      <c r="M4" t="s">
        <v>44</v>
      </c>
      <c r="N4">
        <v>10</v>
      </c>
      <c r="P4" t="b">
        <v>0</v>
      </c>
      <c r="Q4" t="b">
        <v>1</v>
      </c>
      <c r="R4" t="b">
        <v>0</v>
      </c>
      <c r="S4" t="b">
        <v>0</v>
      </c>
      <c r="T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E4" t="s">
        <v>45</v>
      </c>
    </row>
    <row r="5" spans="1:31" x14ac:dyDescent="0.3">
      <c r="A5">
        <v>-73.959641390390004</v>
      </c>
      <c r="B5">
        <v>40.790312888899997</v>
      </c>
      <c r="C5" t="s">
        <v>46</v>
      </c>
      <c r="D5" t="s">
        <v>47</v>
      </c>
      <c r="E5" t="s">
        <v>33</v>
      </c>
      <c r="F5">
        <v>10172018</v>
      </c>
      <c r="G5">
        <v>14</v>
      </c>
      <c r="H5" t="s">
        <v>48</v>
      </c>
      <c r="I5" t="s">
        <v>42</v>
      </c>
      <c r="K5" t="s">
        <v>43</v>
      </c>
      <c r="L5" t="s">
        <v>49</v>
      </c>
      <c r="P5" t="b">
        <v>0</v>
      </c>
      <c r="Q5" t="b">
        <v>0</v>
      </c>
      <c r="R5" t="b">
        <v>0</v>
      </c>
      <c r="S5" t="b">
        <v>1</v>
      </c>
      <c r="T5" t="b">
        <v>1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1</v>
      </c>
      <c r="AE5" t="s">
        <v>50</v>
      </c>
    </row>
    <row r="6" spans="1:31" x14ac:dyDescent="0.3">
      <c r="A6">
        <v>-73.970267647260002</v>
      </c>
      <c r="B6">
        <v>40.776212685490002</v>
      </c>
      <c r="C6" t="s">
        <v>51</v>
      </c>
      <c r="D6" t="s">
        <v>52</v>
      </c>
      <c r="E6" t="s">
        <v>38</v>
      </c>
      <c r="F6">
        <v>10172018</v>
      </c>
      <c r="G6">
        <v>5</v>
      </c>
      <c r="H6" t="s">
        <v>48</v>
      </c>
      <c r="I6" t="s">
        <v>42</v>
      </c>
      <c r="J6" t="s">
        <v>53</v>
      </c>
      <c r="K6" t="s">
        <v>54</v>
      </c>
      <c r="M6" t="s">
        <v>44</v>
      </c>
      <c r="O6" t="s">
        <v>55</v>
      </c>
      <c r="P6" t="b">
        <v>0</v>
      </c>
      <c r="Q6" t="b">
        <v>0</v>
      </c>
      <c r="R6" t="b">
        <v>0</v>
      </c>
      <c r="S6" t="b">
        <v>0</v>
      </c>
      <c r="T6" t="b">
        <v>1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E6" t="s">
        <v>56</v>
      </c>
    </row>
    <row r="7" spans="1:31" x14ac:dyDescent="0.3">
      <c r="A7">
        <v>-73.968361351620004</v>
      </c>
      <c r="B7">
        <v>40.772590884750002</v>
      </c>
      <c r="C7" t="s">
        <v>57</v>
      </c>
      <c r="D7" t="s">
        <v>58</v>
      </c>
      <c r="E7" t="s">
        <v>38</v>
      </c>
      <c r="F7">
        <v>10102018</v>
      </c>
      <c r="G7">
        <v>3</v>
      </c>
      <c r="H7" t="s">
        <v>48</v>
      </c>
      <c r="I7" t="s">
        <v>53</v>
      </c>
      <c r="J7" t="s">
        <v>59</v>
      </c>
      <c r="K7" t="s">
        <v>60</v>
      </c>
      <c r="P7" t="b">
        <v>0</v>
      </c>
      <c r="Q7" t="b">
        <v>0</v>
      </c>
      <c r="R7" t="b">
        <v>0</v>
      </c>
      <c r="S7" t="b">
        <v>0</v>
      </c>
      <c r="T7" t="b">
        <v>1</v>
      </c>
      <c r="V7" t="b">
        <v>0</v>
      </c>
      <c r="W7" t="b">
        <v>0</v>
      </c>
      <c r="X7" t="b">
        <v>0</v>
      </c>
      <c r="Y7" t="b">
        <v>0</v>
      </c>
      <c r="Z7" t="b">
        <v>1</v>
      </c>
      <c r="AA7" t="b">
        <v>0</v>
      </c>
      <c r="AB7" t="b">
        <v>1</v>
      </c>
      <c r="AC7" t="b">
        <v>0</v>
      </c>
      <c r="AE7" t="s">
        <v>61</v>
      </c>
    </row>
    <row r="8" spans="1:31" x14ac:dyDescent="0.3">
      <c r="A8">
        <v>-73.954120178980006</v>
      </c>
      <c r="B8">
        <v>40.793181170110003</v>
      </c>
      <c r="C8" t="s">
        <v>62</v>
      </c>
      <c r="D8" t="s">
        <v>63</v>
      </c>
      <c r="E8" t="s">
        <v>38</v>
      </c>
      <c r="F8">
        <v>10102018</v>
      </c>
      <c r="G8">
        <v>2</v>
      </c>
      <c r="H8" t="s">
        <v>48</v>
      </c>
      <c r="I8" t="s">
        <v>42</v>
      </c>
      <c r="K8" t="s">
        <v>43</v>
      </c>
      <c r="L8" t="s">
        <v>64</v>
      </c>
      <c r="M8" t="s">
        <v>65</v>
      </c>
      <c r="N8" t="b">
        <v>0</v>
      </c>
      <c r="P8" t="b">
        <v>0</v>
      </c>
      <c r="Q8" t="b">
        <v>0</v>
      </c>
      <c r="R8" t="b">
        <v>0</v>
      </c>
      <c r="S8" t="b">
        <v>0</v>
      </c>
      <c r="T8" t="b">
        <v>1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E8" t="s">
        <v>66</v>
      </c>
    </row>
    <row r="9" spans="1:31" x14ac:dyDescent="0.3">
      <c r="A9">
        <v>-73.958269431229994</v>
      </c>
      <c r="B9">
        <v>40.79173678203</v>
      </c>
      <c r="C9" t="s">
        <v>67</v>
      </c>
      <c r="D9" t="s">
        <v>68</v>
      </c>
      <c r="E9" t="s">
        <v>38</v>
      </c>
      <c r="F9">
        <v>10082018</v>
      </c>
      <c r="G9">
        <v>2</v>
      </c>
      <c r="H9" t="s">
        <v>48</v>
      </c>
      <c r="I9" t="s">
        <v>42</v>
      </c>
      <c r="K9" t="s">
        <v>43</v>
      </c>
      <c r="M9" t="s">
        <v>65</v>
      </c>
      <c r="N9" t="b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1</v>
      </c>
      <c r="AC9" t="b">
        <v>0</v>
      </c>
      <c r="AE9" t="s">
        <v>69</v>
      </c>
    </row>
    <row r="10" spans="1:31" x14ac:dyDescent="0.3">
      <c r="A10">
        <v>-73.967428595529995</v>
      </c>
      <c r="B10">
        <v>40.782972391969999</v>
      </c>
      <c r="C10" t="s">
        <v>70</v>
      </c>
      <c r="D10" t="s">
        <v>71</v>
      </c>
      <c r="E10" t="s">
        <v>33</v>
      </c>
      <c r="F10">
        <v>10062018</v>
      </c>
      <c r="G10">
        <v>1</v>
      </c>
      <c r="H10" t="s">
        <v>48</v>
      </c>
      <c r="I10" t="s">
        <v>42</v>
      </c>
      <c r="K10" t="s">
        <v>43</v>
      </c>
      <c r="M10" t="s">
        <v>65</v>
      </c>
      <c r="N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V10" t="b">
        <v>0</v>
      </c>
      <c r="W10" t="b">
        <v>0</v>
      </c>
      <c r="X10" t="b">
        <v>0</v>
      </c>
      <c r="Y10" t="b">
        <v>1</v>
      </c>
      <c r="Z10" t="b">
        <v>1</v>
      </c>
      <c r="AA10" t="b">
        <v>0</v>
      </c>
      <c r="AB10" t="b">
        <v>0</v>
      </c>
      <c r="AC10" t="b">
        <v>0</v>
      </c>
      <c r="AE10" t="s">
        <v>72</v>
      </c>
    </row>
    <row r="11" spans="1:31" x14ac:dyDescent="0.3">
      <c r="A11">
        <v>-73.972250019680004</v>
      </c>
      <c r="B11">
        <v>40.774287959900001</v>
      </c>
      <c r="C11" t="s">
        <v>73</v>
      </c>
      <c r="D11" t="s">
        <v>74</v>
      </c>
      <c r="E11" t="s">
        <v>38</v>
      </c>
      <c r="F11">
        <v>10102018</v>
      </c>
      <c r="G11">
        <v>3</v>
      </c>
      <c r="H11" t="s">
        <v>48</v>
      </c>
      <c r="I11" t="s">
        <v>42</v>
      </c>
      <c r="J11" t="s">
        <v>53</v>
      </c>
      <c r="K11" t="s">
        <v>54</v>
      </c>
      <c r="M11" t="s">
        <v>44</v>
      </c>
      <c r="N11">
        <v>30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s">
        <v>75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1</v>
      </c>
      <c r="AC11" t="b">
        <v>0</v>
      </c>
      <c r="AE11" t="s">
        <v>76</v>
      </c>
    </row>
    <row r="12" spans="1:31" x14ac:dyDescent="0.3">
      <c r="A12">
        <v>-73.969506353529994</v>
      </c>
      <c r="B12">
        <v>40.782350767819999</v>
      </c>
      <c r="C12" t="s">
        <v>77</v>
      </c>
      <c r="D12" t="s">
        <v>78</v>
      </c>
      <c r="E12" t="s">
        <v>33</v>
      </c>
      <c r="F12">
        <v>10132018</v>
      </c>
      <c r="G12">
        <v>5</v>
      </c>
      <c r="H12" t="s">
        <v>48</v>
      </c>
      <c r="I12" t="s">
        <v>42</v>
      </c>
      <c r="J12" t="s">
        <v>59</v>
      </c>
      <c r="K12" t="s">
        <v>79</v>
      </c>
      <c r="M12" t="s">
        <v>65</v>
      </c>
      <c r="N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1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1</v>
      </c>
      <c r="AC12" t="b">
        <v>0</v>
      </c>
      <c r="AE12" t="s">
        <v>80</v>
      </c>
    </row>
    <row r="13" spans="1:31" x14ac:dyDescent="0.3">
      <c r="A13">
        <v>-73.964003282649998</v>
      </c>
      <c r="B13">
        <v>40.78203098254</v>
      </c>
      <c r="C13" t="s">
        <v>81</v>
      </c>
      <c r="D13" t="s">
        <v>82</v>
      </c>
      <c r="E13" t="s">
        <v>33</v>
      </c>
      <c r="F13">
        <v>10142018</v>
      </c>
      <c r="G13">
        <v>6</v>
      </c>
      <c r="H13" t="s">
        <v>48</v>
      </c>
      <c r="I13" t="s">
        <v>42</v>
      </c>
      <c r="K13" t="s">
        <v>43</v>
      </c>
      <c r="M13" t="s">
        <v>65</v>
      </c>
      <c r="N13" t="b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1</v>
      </c>
      <c r="AA13" t="b">
        <v>0</v>
      </c>
      <c r="AB13" t="b">
        <v>1</v>
      </c>
      <c r="AC13" t="b">
        <v>0</v>
      </c>
      <c r="AE13" t="s">
        <v>83</v>
      </c>
    </row>
    <row r="14" spans="1:31" x14ac:dyDescent="0.3">
      <c r="A14">
        <v>-73.953217050489997</v>
      </c>
      <c r="B14">
        <v>40.791966973999997</v>
      </c>
      <c r="C14" t="s">
        <v>84</v>
      </c>
      <c r="D14" t="s">
        <v>85</v>
      </c>
      <c r="E14" t="s">
        <v>33</v>
      </c>
      <c r="F14">
        <v>10072018</v>
      </c>
      <c r="G14">
        <v>1</v>
      </c>
      <c r="H14" t="s">
        <v>48</v>
      </c>
      <c r="I14" t="s">
        <v>42</v>
      </c>
      <c r="J14" t="s">
        <v>53</v>
      </c>
      <c r="K14" t="s">
        <v>54</v>
      </c>
      <c r="M14" t="s">
        <v>65</v>
      </c>
      <c r="N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1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1</v>
      </c>
      <c r="AC14" t="b">
        <v>0</v>
      </c>
      <c r="AE14" t="s">
        <v>86</v>
      </c>
    </row>
    <row r="15" spans="1:31" x14ac:dyDescent="0.3">
      <c r="A15">
        <v>-73.976860363070003</v>
      </c>
      <c r="B15">
        <v>40.770279590500003</v>
      </c>
      <c r="C15" t="s">
        <v>87</v>
      </c>
      <c r="D15" t="s">
        <v>88</v>
      </c>
      <c r="E15" t="s">
        <v>33</v>
      </c>
      <c r="F15">
        <v>10102018</v>
      </c>
      <c r="G15">
        <v>9</v>
      </c>
      <c r="H15" t="s">
        <v>48</v>
      </c>
      <c r="I15" t="s">
        <v>53</v>
      </c>
      <c r="J15" t="s">
        <v>42</v>
      </c>
      <c r="K15" t="s">
        <v>89</v>
      </c>
      <c r="M15" t="s">
        <v>65</v>
      </c>
      <c r="N15" t="b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E15" t="s">
        <v>90</v>
      </c>
    </row>
    <row r="16" spans="1:31" x14ac:dyDescent="0.3">
      <c r="A16">
        <v>-73.970610589700001</v>
      </c>
      <c r="B16">
        <v>40.769812482150002</v>
      </c>
      <c r="C16" t="s">
        <v>91</v>
      </c>
      <c r="D16" t="s">
        <v>92</v>
      </c>
      <c r="E16" t="s">
        <v>38</v>
      </c>
      <c r="F16">
        <v>10062018</v>
      </c>
      <c r="G16">
        <v>5</v>
      </c>
      <c r="H16" t="s">
        <v>48</v>
      </c>
      <c r="I16" t="s">
        <v>42</v>
      </c>
      <c r="J16" t="s">
        <v>53</v>
      </c>
      <c r="K16" t="s">
        <v>54</v>
      </c>
      <c r="M16" t="s">
        <v>44</v>
      </c>
      <c r="N16">
        <v>10</v>
      </c>
      <c r="P16" t="b">
        <v>0</v>
      </c>
      <c r="Q16" t="b">
        <v>1</v>
      </c>
      <c r="R16" t="b">
        <v>0</v>
      </c>
      <c r="S16" t="b">
        <v>0</v>
      </c>
      <c r="T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1</v>
      </c>
      <c r="AC16" t="b">
        <v>0</v>
      </c>
      <c r="AE16" t="s">
        <v>93</v>
      </c>
    </row>
    <row r="17" spans="1:31" x14ac:dyDescent="0.3">
      <c r="A17">
        <v>-73.970378172620002</v>
      </c>
      <c r="B17">
        <v>40.778752613030001</v>
      </c>
      <c r="C17" t="s">
        <v>94</v>
      </c>
      <c r="D17" t="s">
        <v>95</v>
      </c>
      <c r="E17" t="s">
        <v>33</v>
      </c>
      <c r="F17">
        <v>10182018</v>
      </c>
      <c r="G17">
        <v>3</v>
      </c>
      <c r="H17" t="s">
        <v>48</v>
      </c>
      <c r="I17" t="s">
        <v>42</v>
      </c>
      <c r="J17" t="s">
        <v>96</v>
      </c>
      <c r="K17" t="s">
        <v>97</v>
      </c>
      <c r="M17" t="s">
        <v>44</v>
      </c>
      <c r="N17">
        <v>6</v>
      </c>
      <c r="P17" t="b">
        <v>1</v>
      </c>
      <c r="Q17" t="b">
        <v>0</v>
      </c>
      <c r="R17" t="b">
        <v>0</v>
      </c>
      <c r="S17" t="b">
        <v>1</v>
      </c>
      <c r="T17" t="b">
        <v>1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1</v>
      </c>
      <c r="AC17" t="b">
        <v>0</v>
      </c>
      <c r="AE17" t="s">
        <v>98</v>
      </c>
    </row>
    <row r="18" spans="1:31" x14ac:dyDescent="0.3">
      <c r="A18">
        <v>-73.970392521050002</v>
      </c>
      <c r="B18">
        <v>40.776503200500002</v>
      </c>
      <c r="C18" t="s">
        <v>99</v>
      </c>
      <c r="D18" t="s">
        <v>100</v>
      </c>
      <c r="E18" t="s">
        <v>38</v>
      </c>
      <c r="F18">
        <v>10082018</v>
      </c>
      <c r="G18">
        <v>23</v>
      </c>
      <c r="H18" t="s">
        <v>48</v>
      </c>
      <c r="I18" t="s">
        <v>42</v>
      </c>
      <c r="K18" t="s">
        <v>43</v>
      </c>
      <c r="M18" t="s">
        <v>65</v>
      </c>
      <c r="N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1</v>
      </c>
      <c r="U18" t="s">
        <v>101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1</v>
      </c>
      <c r="AC18" t="b">
        <v>0</v>
      </c>
      <c r="AE18" t="s">
        <v>102</v>
      </c>
    </row>
    <row r="19" spans="1:31" x14ac:dyDescent="0.3">
      <c r="A19">
        <v>-73.96381794397</v>
      </c>
      <c r="B19">
        <v>40.792417326390002</v>
      </c>
      <c r="C19" t="s">
        <v>103</v>
      </c>
      <c r="D19" t="s">
        <v>104</v>
      </c>
      <c r="E19" t="s">
        <v>33</v>
      </c>
      <c r="F19">
        <v>10132018</v>
      </c>
      <c r="G19">
        <v>3</v>
      </c>
      <c r="H19" t="s">
        <v>105</v>
      </c>
      <c r="I19" t="s">
        <v>42</v>
      </c>
      <c r="J19" t="s">
        <v>53</v>
      </c>
      <c r="K19" t="s">
        <v>54</v>
      </c>
      <c r="M19" t="s">
        <v>65</v>
      </c>
      <c r="N19" t="b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1</v>
      </c>
      <c r="AC19" t="b">
        <v>0</v>
      </c>
      <c r="AE19" t="s">
        <v>106</v>
      </c>
    </row>
    <row r="20" spans="1:31" x14ac:dyDescent="0.3">
      <c r="A20">
        <v>-73.958407097470001</v>
      </c>
      <c r="B20">
        <v>40.791381249060002</v>
      </c>
      <c r="C20" t="s">
        <v>107</v>
      </c>
      <c r="D20" t="s">
        <v>68</v>
      </c>
      <c r="E20" t="s">
        <v>38</v>
      </c>
      <c r="F20">
        <v>10082018</v>
      </c>
      <c r="G20">
        <v>1</v>
      </c>
      <c r="H20" t="s">
        <v>48</v>
      </c>
      <c r="I20" t="s">
        <v>42</v>
      </c>
      <c r="K20" t="s">
        <v>43</v>
      </c>
      <c r="M20" t="s">
        <v>65</v>
      </c>
      <c r="N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s">
        <v>108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1</v>
      </c>
      <c r="AC20" t="b">
        <v>0</v>
      </c>
      <c r="AE20" t="s">
        <v>109</v>
      </c>
    </row>
    <row r="21" spans="1:31" x14ac:dyDescent="0.3">
      <c r="A21">
        <v>-73.967113068009994</v>
      </c>
      <c r="B21">
        <v>40.77848597002</v>
      </c>
      <c r="C21" t="s">
        <v>110</v>
      </c>
      <c r="D21" t="s">
        <v>111</v>
      </c>
      <c r="E21" t="s">
        <v>38</v>
      </c>
      <c r="F21">
        <v>10072018</v>
      </c>
      <c r="G21">
        <v>7</v>
      </c>
      <c r="H21" t="s">
        <v>48</v>
      </c>
      <c r="I21" t="s">
        <v>42</v>
      </c>
      <c r="J21" t="s">
        <v>59</v>
      </c>
      <c r="K21" t="s">
        <v>79</v>
      </c>
      <c r="M21" t="s">
        <v>44</v>
      </c>
      <c r="N21">
        <v>24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V21" t="b">
        <v>0</v>
      </c>
      <c r="W21" t="b">
        <v>0</v>
      </c>
      <c r="X21" t="b">
        <v>0</v>
      </c>
      <c r="Y21" t="b">
        <v>1</v>
      </c>
      <c r="Z21" t="b">
        <v>0</v>
      </c>
      <c r="AA21" t="b">
        <v>0</v>
      </c>
      <c r="AB21" t="b">
        <v>1</v>
      </c>
      <c r="AC21" t="b">
        <v>0</v>
      </c>
      <c r="AE21" t="s">
        <v>112</v>
      </c>
    </row>
    <row r="22" spans="1:31" x14ac:dyDescent="0.3">
      <c r="A22">
        <v>-73.964986601600003</v>
      </c>
      <c r="B22">
        <v>40.776492969449997</v>
      </c>
      <c r="C22" t="s">
        <v>113</v>
      </c>
      <c r="D22" t="s">
        <v>114</v>
      </c>
      <c r="E22" t="s">
        <v>38</v>
      </c>
      <c r="F22">
        <v>10082018</v>
      </c>
      <c r="G22">
        <v>1</v>
      </c>
      <c r="H22" t="s">
        <v>48</v>
      </c>
      <c r="I22" t="s">
        <v>53</v>
      </c>
      <c r="J22" t="s">
        <v>115</v>
      </c>
      <c r="K22" t="s">
        <v>116</v>
      </c>
      <c r="M22" t="s">
        <v>65</v>
      </c>
      <c r="N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V22" t="b">
        <v>0</v>
      </c>
      <c r="W22" t="b">
        <v>0</v>
      </c>
      <c r="X22" t="b">
        <v>0</v>
      </c>
      <c r="Y22" t="b">
        <v>0</v>
      </c>
      <c r="Z22" t="b">
        <v>1</v>
      </c>
      <c r="AA22" t="b">
        <v>0</v>
      </c>
      <c r="AB22" t="b">
        <v>1</v>
      </c>
      <c r="AC22" t="b">
        <v>0</v>
      </c>
      <c r="AE22" t="s">
        <v>117</v>
      </c>
    </row>
    <row r="23" spans="1:31" x14ac:dyDescent="0.3">
      <c r="A23">
        <v>-73.967062855820004</v>
      </c>
      <c r="B23">
        <v>40.773499142090003</v>
      </c>
      <c r="C23" t="s">
        <v>118</v>
      </c>
      <c r="D23" t="s">
        <v>119</v>
      </c>
      <c r="E23" t="s">
        <v>38</v>
      </c>
      <c r="F23">
        <v>10132018</v>
      </c>
      <c r="G23">
        <v>1</v>
      </c>
      <c r="H23" t="s">
        <v>48</v>
      </c>
      <c r="I23" t="s">
        <v>53</v>
      </c>
      <c r="J23" t="s">
        <v>59</v>
      </c>
      <c r="K23" t="s">
        <v>60</v>
      </c>
      <c r="M23" t="s">
        <v>65</v>
      </c>
      <c r="N23" t="b">
        <v>0</v>
      </c>
      <c r="O23" t="s">
        <v>120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s">
        <v>121</v>
      </c>
      <c r="V23" t="b">
        <v>0</v>
      </c>
      <c r="W23" t="b">
        <v>0</v>
      </c>
      <c r="X23" t="b">
        <v>0</v>
      </c>
      <c r="Y23" t="b">
        <v>0</v>
      </c>
      <c r="Z23" t="b">
        <v>1</v>
      </c>
      <c r="AA23" t="b">
        <v>0</v>
      </c>
      <c r="AB23" t="b">
        <v>0</v>
      </c>
      <c r="AC23" t="b">
        <v>1</v>
      </c>
      <c r="AE23" t="s">
        <v>122</v>
      </c>
    </row>
    <row r="24" spans="1:31" x14ac:dyDescent="0.3">
      <c r="A24">
        <v>-73.958736593110004</v>
      </c>
      <c r="B24">
        <v>40.790852437060003</v>
      </c>
      <c r="C24" t="s">
        <v>123</v>
      </c>
      <c r="D24" t="s">
        <v>124</v>
      </c>
      <c r="E24" t="s">
        <v>33</v>
      </c>
      <c r="F24">
        <v>10082018</v>
      </c>
      <c r="G24">
        <v>7</v>
      </c>
      <c r="H24" t="s">
        <v>48</v>
      </c>
      <c r="I24" t="s">
        <v>42</v>
      </c>
      <c r="K24" t="s">
        <v>43</v>
      </c>
      <c r="M24" t="s">
        <v>65</v>
      </c>
      <c r="N24" t="b">
        <v>0</v>
      </c>
      <c r="P24" t="b">
        <v>1</v>
      </c>
      <c r="Q24" t="b">
        <v>1</v>
      </c>
      <c r="R24" t="b">
        <v>0</v>
      </c>
      <c r="S24" t="b">
        <v>0</v>
      </c>
      <c r="T24" t="b">
        <v>1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1</v>
      </c>
      <c r="AC24" t="b">
        <v>0</v>
      </c>
      <c r="AE24" t="s">
        <v>125</v>
      </c>
    </row>
    <row r="25" spans="1:31" x14ac:dyDescent="0.3">
      <c r="A25">
        <v>-73.967178671529993</v>
      </c>
      <c r="B25">
        <v>40.786735279120002</v>
      </c>
      <c r="C25" t="s">
        <v>126</v>
      </c>
      <c r="D25" t="s">
        <v>127</v>
      </c>
      <c r="E25" t="s">
        <v>38</v>
      </c>
      <c r="F25">
        <v>10132018</v>
      </c>
      <c r="G25">
        <v>4</v>
      </c>
      <c r="I25" t="s">
        <v>42</v>
      </c>
      <c r="J25" t="s">
        <v>59</v>
      </c>
      <c r="K25" t="s">
        <v>79</v>
      </c>
      <c r="M25" t="s">
        <v>65</v>
      </c>
      <c r="N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1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1</v>
      </c>
      <c r="AE25" t="s">
        <v>128</v>
      </c>
    </row>
    <row r="26" spans="1:31" x14ac:dyDescent="0.3">
      <c r="A26">
        <v>-73.969294329159993</v>
      </c>
      <c r="B26">
        <v>40.776953610249997</v>
      </c>
      <c r="C26" t="s">
        <v>129</v>
      </c>
      <c r="D26" t="s">
        <v>130</v>
      </c>
      <c r="E26" t="s">
        <v>38</v>
      </c>
      <c r="F26">
        <v>10132018</v>
      </c>
      <c r="G26">
        <v>1</v>
      </c>
      <c r="H26" t="s">
        <v>48</v>
      </c>
      <c r="I26" t="s">
        <v>42</v>
      </c>
      <c r="J26" t="s">
        <v>59</v>
      </c>
      <c r="K26" t="s">
        <v>79</v>
      </c>
      <c r="M26" t="s">
        <v>65</v>
      </c>
      <c r="N26" t="b">
        <v>0</v>
      </c>
      <c r="P26" t="b">
        <v>1</v>
      </c>
      <c r="Q26" t="b">
        <v>0</v>
      </c>
      <c r="R26" t="b">
        <v>0</v>
      </c>
      <c r="S26" t="b">
        <v>0</v>
      </c>
      <c r="T26" t="b">
        <v>1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E26" t="s">
        <v>131</v>
      </c>
    </row>
    <row r="27" spans="1:31" x14ac:dyDescent="0.3">
      <c r="A27">
        <v>-73.954005410050002</v>
      </c>
      <c r="B27">
        <v>40.795244599980002</v>
      </c>
      <c r="C27" t="s">
        <v>132</v>
      </c>
      <c r="D27" t="s">
        <v>133</v>
      </c>
      <c r="E27" t="s">
        <v>33</v>
      </c>
      <c r="F27">
        <v>10132018</v>
      </c>
      <c r="G27">
        <v>6</v>
      </c>
      <c r="H27" t="s">
        <v>48</v>
      </c>
      <c r="I27" t="s">
        <v>42</v>
      </c>
      <c r="J27" t="s">
        <v>53</v>
      </c>
      <c r="K27" t="s">
        <v>54</v>
      </c>
      <c r="M27" t="s">
        <v>65</v>
      </c>
      <c r="N27" t="b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E27" t="s">
        <v>134</v>
      </c>
    </row>
    <row r="28" spans="1:31" x14ac:dyDescent="0.3">
      <c r="A28">
        <v>-73.957653015730003</v>
      </c>
      <c r="B28">
        <v>40.786865949039999</v>
      </c>
      <c r="C28" t="s">
        <v>135</v>
      </c>
      <c r="D28" t="s">
        <v>136</v>
      </c>
      <c r="E28" t="s">
        <v>33</v>
      </c>
      <c r="F28">
        <v>10072018</v>
      </c>
      <c r="G28">
        <v>1</v>
      </c>
      <c r="I28" t="s">
        <v>42</v>
      </c>
      <c r="J28" t="s">
        <v>53</v>
      </c>
      <c r="K28" t="s">
        <v>54</v>
      </c>
      <c r="M28" t="s">
        <v>65</v>
      </c>
      <c r="N28" t="b">
        <v>0</v>
      </c>
      <c r="P28" t="b">
        <v>0</v>
      </c>
      <c r="Q28" t="b">
        <v>0</v>
      </c>
      <c r="R28" t="b">
        <v>0</v>
      </c>
      <c r="S28" t="b">
        <v>1</v>
      </c>
      <c r="T28" t="b">
        <v>1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E28" t="s">
        <v>137</v>
      </c>
    </row>
    <row r="29" spans="1:31" x14ac:dyDescent="0.3">
      <c r="A29">
        <v>-73.973803325749998</v>
      </c>
      <c r="B29">
        <v>40.771184689419997</v>
      </c>
      <c r="C29" t="s">
        <v>138</v>
      </c>
      <c r="D29" t="s">
        <v>139</v>
      </c>
      <c r="E29" t="s">
        <v>38</v>
      </c>
      <c r="F29">
        <v>10062018</v>
      </c>
      <c r="G29">
        <v>2</v>
      </c>
      <c r="H29" t="s">
        <v>48</v>
      </c>
      <c r="I29" t="s">
        <v>42</v>
      </c>
      <c r="K29" t="s">
        <v>43</v>
      </c>
      <c r="M29" t="s">
        <v>65</v>
      </c>
      <c r="N29" t="b">
        <v>0</v>
      </c>
      <c r="O29" t="s">
        <v>140</v>
      </c>
      <c r="P29" t="b">
        <v>0</v>
      </c>
      <c r="Q29" t="b">
        <v>0</v>
      </c>
      <c r="R29" t="b">
        <v>0</v>
      </c>
      <c r="S29" t="b">
        <v>1</v>
      </c>
      <c r="T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E29" t="s">
        <v>141</v>
      </c>
    </row>
    <row r="30" spans="1:31" x14ac:dyDescent="0.3">
      <c r="A30">
        <v>-73.970440268100006</v>
      </c>
      <c r="B30">
        <v>40.779896562120001</v>
      </c>
      <c r="C30" t="s">
        <v>142</v>
      </c>
      <c r="D30" t="s">
        <v>143</v>
      </c>
      <c r="E30" t="s">
        <v>33</v>
      </c>
      <c r="F30">
        <v>10132018</v>
      </c>
      <c r="G30">
        <v>5</v>
      </c>
      <c r="H30" t="s">
        <v>48</v>
      </c>
      <c r="I30" t="s">
        <v>42</v>
      </c>
      <c r="K30" t="s">
        <v>43</v>
      </c>
      <c r="M30" t="s">
        <v>65</v>
      </c>
      <c r="N30" t="b">
        <v>0</v>
      </c>
      <c r="P30" t="b">
        <v>0</v>
      </c>
      <c r="Q30" t="b">
        <v>0</v>
      </c>
      <c r="R30" t="b">
        <v>0</v>
      </c>
      <c r="S30" t="b">
        <v>1</v>
      </c>
      <c r="T30" t="b">
        <v>0</v>
      </c>
      <c r="U30" t="s">
        <v>144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1</v>
      </c>
      <c r="AC30" t="b">
        <v>0</v>
      </c>
      <c r="AE30" t="s">
        <v>145</v>
      </c>
    </row>
    <row r="31" spans="1:31" x14ac:dyDescent="0.3">
      <c r="A31">
        <v>-73.97569760767</v>
      </c>
      <c r="B31">
        <v>40.775389733190003</v>
      </c>
      <c r="C31" t="s">
        <v>146</v>
      </c>
      <c r="D31" t="s">
        <v>147</v>
      </c>
      <c r="E31" t="s">
        <v>33</v>
      </c>
      <c r="F31">
        <v>10142018</v>
      </c>
      <c r="G31">
        <v>1</v>
      </c>
      <c r="H31" t="s">
        <v>48</v>
      </c>
      <c r="I31" t="s">
        <v>42</v>
      </c>
      <c r="J31" t="s">
        <v>148</v>
      </c>
      <c r="K31" t="s">
        <v>149</v>
      </c>
      <c r="L31" t="s">
        <v>150</v>
      </c>
      <c r="M31" t="s">
        <v>65</v>
      </c>
      <c r="N31" t="b">
        <v>0</v>
      </c>
      <c r="O31" t="s">
        <v>151</v>
      </c>
      <c r="P31" t="b">
        <v>0</v>
      </c>
      <c r="Q31" t="b">
        <v>0</v>
      </c>
      <c r="R31" t="b">
        <v>0</v>
      </c>
      <c r="S31" t="b">
        <v>0</v>
      </c>
      <c r="T31" t="b">
        <v>1</v>
      </c>
      <c r="V31" t="b">
        <v>0</v>
      </c>
      <c r="W31" t="b">
        <v>0</v>
      </c>
      <c r="X31" t="b">
        <v>0</v>
      </c>
      <c r="Y31" t="b">
        <v>0</v>
      </c>
      <c r="Z31" t="b">
        <v>1</v>
      </c>
      <c r="AA31" t="b">
        <v>0</v>
      </c>
      <c r="AB31" t="b">
        <v>1</v>
      </c>
      <c r="AC31" t="b">
        <v>0</v>
      </c>
      <c r="AE31" t="s">
        <v>152</v>
      </c>
    </row>
    <row r="32" spans="1:31" x14ac:dyDescent="0.3">
      <c r="A32">
        <v>-73.966243899670005</v>
      </c>
      <c r="B32">
        <v>40.789038180939997</v>
      </c>
      <c r="C32" t="s">
        <v>153</v>
      </c>
      <c r="D32" t="s">
        <v>154</v>
      </c>
      <c r="E32" t="s">
        <v>33</v>
      </c>
      <c r="F32">
        <v>10072018</v>
      </c>
      <c r="G32">
        <v>5</v>
      </c>
      <c r="H32" t="s">
        <v>48</v>
      </c>
      <c r="I32" t="s">
        <v>53</v>
      </c>
      <c r="K32" t="s">
        <v>155</v>
      </c>
      <c r="M32" t="s">
        <v>65</v>
      </c>
      <c r="N32" t="b">
        <v>0</v>
      </c>
      <c r="P32" t="b">
        <v>1</v>
      </c>
      <c r="Q32" t="b">
        <v>0</v>
      </c>
      <c r="R32" t="b">
        <v>0</v>
      </c>
      <c r="S32" t="b">
        <v>0</v>
      </c>
      <c r="T32" t="b">
        <v>1</v>
      </c>
      <c r="V32" t="b">
        <v>0</v>
      </c>
      <c r="W32" t="b">
        <v>0</v>
      </c>
      <c r="X32" t="b">
        <v>0</v>
      </c>
      <c r="Y32" t="b">
        <v>0</v>
      </c>
      <c r="Z32" t="b">
        <v>1</v>
      </c>
      <c r="AA32" t="b">
        <v>0</v>
      </c>
      <c r="AB32" t="b">
        <v>0</v>
      </c>
      <c r="AC32" t="b">
        <v>1</v>
      </c>
      <c r="AE32" t="s">
        <v>156</v>
      </c>
    </row>
    <row r="33" spans="1:31" x14ac:dyDescent="0.3">
      <c r="A33">
        <v>-73.964315392040007</v>
      </c>
      <c r="B33">
        <v>40.782081851699999</v>
      </c>
      <c r="C33" t="s">
        <v>157</v>
      </c>
      <c r="D33" t="s">
        <v>82</v>
      </c>
      <c r="E33" t="s">
        <v>33</v>
      </c>
      <c r="F33">
        <v>10142018</v>
      </c>
      <c r="G33">
        <v>5</v>
      </c>
      <c r="H33" t="s">
        <v>48</v>
      </c>
      <c r="I33" t="s">
        <v>42</v>
      </c>
      <c r="J33" t="s">
        <v>53</v>
      </c>
      <c r="K33" t="s">
        <v>54</v>
      </c>
      <c r="M33" t="s">
        <v>65</v>
      </c>
      <c r="N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E33" t="s">
        <v>158</v>
      </c>
    </row>
    <row r="34" spans="1:31" x14ac:dyDescent="0.3">
      <c r="A34">
        <v>-73.974207345289997</v>
      </c>
      <c r="B34">
        <v>40.77579573805</v>
      </c>
      <c r="C34" t="s">
        <v>159</v>
      </c>
      <c r="D34" t="s">
        <v>160</v>
      </c>
      <c r="E34" t="s">
        <v>38</v>
      </c>
      <c r="F34">
        <v>10072018</v>
      </c>
      <c r="G34">
        <v>1</v>
      </c>
      <c r="H34" t="s">
        <v>48</v>
      </c>
      <c r="I34" t="s">
        <v>42</v>
      </c>
      <c r="J34" t="s">
        <v>53</v>
      </c>
      <c r="K34" t="s">
        <v>54</v>
      </c>
      <c r="M34" t="s">
        <v>65</v>
      </c>
      <c r="N34" t="b">
        <v>0</v>
      </c>
      <c r="P34" t="b">
        <v>0</v>
      </c>
      <c r="Q34" t="b">
        <v>1</v>
      </c>
      <c r="R34" t="b">
        <v>0</v>
      </c>
      <c r="S34" t="b">
        <v>0</v>
      </c>
      <c r="T34" t="b">
        <v>0</v>
      </c>
      <c r="V34" t="b">
        <v>0</v>
      </c>
      <c r="W34" t="b">
        <v>0</v>
      </c>
      <c r="X34" t="b">
        <v>0</v>
      </c>
      <c r="Y34" t="b">
        <v>1</v>
      </c>
      <c r="Z34" t="b">
        <v>0</v>
      </c>
      <c r="AA34" t="b">
        <v>0</v>
      </c>
      <c r="AB34" t="b">
        <v>1</v>
      </c>
      <c r="AC34" t="b">
        <v>0</v>
      </c>
      <c r="AE34" t="s">
        <v>161</v>
      </c>
    </row>
    <row r="35" spans="1:31" x14ac:dyDescent="0.3">
      <c r="A35">
        <v>-73.971614706159997</v>
      </c>
      <c r="B35">
        <v>40.781391103620003</v>
      </c>
      <c r="C35" t="s">
        <v>162</v>
      </c>
      <c r="D35" t="s">
        <v>163</v>
      </c>
      <c r="E35" t="s">
        <v>33</v>
      </c>
      <c r="F35">
        <v>10182018</v>
      </c>
      <c r="G35">
        <v>1</v>
      </c>
      <c r="H35" t="s">
        <v>48</v>
      </c>
      <c r="I35" t="s">
        <v>42</v>
      </c>
      <c r="K35" t="s">
        <v>43</v>
      </c>
      <c r="M35" t="s">
        <v>44</v>
      </c>
      <c r="N35">
        <v>30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E35" t="s">
        <v>164</v>
      </c>
    </row>
    <row r="36" spans="1:31" x14ac:dyDescent="0.3">
      <c r="A36">
        <v>-73.956570038620001</v>
      </c>
      <c r="B36">
        <v>40.790256100089998</v>
      </c>
      <c r="C36" t="s">
        <v>165</v>
      </c>
      <c r="D36" t="s">
        <v>166</v>
      </c>
      <c r="E36" t="s">
        <v>38</v>
      </c>
      <c r="F36">
        <v>10192018</v>
      </c>
      <c r="G36">
        <v>2</v>
      </c>
      <c r="H36" t="s">
        <v>105</v>
      </c>
      <c r="I36" t="s">
        <v>42</v>
      </c>
      <c r="J36" t="s">
        <v>53</v>
      </c>
      <c r="K36" t="s">
        <v>54</v>
      </c>
      <c r="M36" t="s">
        <v>65</v>
      </c>
      <c r="N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s">
        <v>167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E36" t="s">
        <v>168</v>
      </c>
    </row>
    <row r="37" spans="1:31" x14ac:dyDescent="0.3">
      <c r="A37">
        <v>-73.953541065709999</v>
      </c>
      <c r="B37">
        <v>40.792871176010003</v>
      </c>
      <c r="C37" t="s">
        <v>169</v>
      </c>
      <c r="D37" t="s">
        <v>63</v>
      </c>
      <c r="E37" t="s">
        <v>33</v>
      </c>
      <c r="F37">
        <v>10082018</v>
      </c>
      <c r="G37">
        <v>2</v>
      </c>
      <c r="H37" t="s">
        <v>48</v>
      </c>
      <c r="I37" t="s">
        <v>42</v>
      </c>
      <c r="K37" t="s">
        <v>43</v>
      </c>
      <c r="M37" t="s">
        <v>65</v>
      </c>
      <c r="N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1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1</v>
      </c>
      <c r="AC37" t="b">
        <v>0</v>
      </c>
      <c r="AE37" t="s">
        <v>170</v>
      </c>
    </row>
    <row r="38" spans="1:31" x14ac:dyDescent="0.3">
      <c r="A38">
        <v>-73.963915929839999</v>
      </c>
      <c r="B38">
        <v>40.789177463800002</v>
      </c>
      <c r="C38" t="s">
        <v>171</v>
      </c>
      <c r="D38" t="s">
        <v>172</v>
      </c>
      <c r="E38" t="s">
        <v>38</v>
      </c>
      <c r="F38">
        <v>10072018</v>
      </c>
      <c r="G38">
        <v>6</v>
      </c>
      <c r="H38" t="s">
        <v>48</v>
      </c>
      <c r="I38" t="s">
        <v>42</v>
      </c>
      <c r="J38" t="s">
        <v>53</v>
      </c>
      <c r="K38" t="s">
        <v>54</v>
      </c>
      <c r="M38" t="s">
        <v>65</v>
      </c>
      <c r="N38" t="b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1</v>
      </c>
      <c r="AE38" t="s">
        <v>173</v>
      </c>
    </row>
    <row r="39" spans="1:31" x14ac:dyDescent="0.3">
      <c r="A39">
        <v>-73.957956433860005</v>
      </c>
      <c r="B39">
        <v>40.795933779499997</v>
      </c>
      <c r="C39" t="s">
        <v>174</v>
      </c>
      <c r="D39" t="s">
        <v>175</v>
      </c>
      <c r="E39" t="s">
        <v>33</v>
      </c>
      <c r="F39">
        <v>10142018</v>
      </c>
      <c r="G39">
        <v>9</v>
      </c>
      <c r="H39" t="s">
        <v>48</v>
      </c>
      <c r="I39" t="s">
        <v>176</v>
      </c>
      <c r="K39" t="s">
        <v>177</v>
      </c>
      <c r="M39" t="s">
        <v>65</v>
      </c>
      <c r="N39" t="b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b">
        <v>0</v>
      </c>
      <c r="AC39" t="b">
        <v>0</v>
      </c>
      <c r="AE39" t="s">
        <v>178</v>
      </c>
    </row>
    <row r="40" spans="1:31" x14ac:dyDescent="0.3">
      <c r="A40">
        <v>-73.957464809749993</v>
      </c>
      <c r="B40">
        <v>40.78925084286</v>
      </c>
      <c r="C40" t="s">
        <v>179</v>
      </c>
      <c r="D40" t="s">
        <v>180</v>
      </c>
      <c r="E40" t="s">
        <v>33</v>
      </c>
      <c r="F40">
        <v>10082018</v>
      </c>
      <c r="G40">
        <v>2</v>
      </c>
      <c r="H40" t="s">
        <v>105</v>
      </c>
      <c r="I40" t="s">
        <v>42</v>
      </c>
      <c r="J40" t="s">
        <v>53</v>
      </c>
      <c r="K40" t="s">
        <v>54</v>
      </c>
      <c r="M40" t="s">
        <v>44</v>
      </c>
      <c r="N40">
        <v>8</v>
      </c>
      <c r="P40" t="b">
        <v>1</v>
      </c>
      <c r="Q40" t="b">
        <v>0</v>
      </c>
      <c r="R40" t="b">
        <v>1</v>
      </c>
      <c r="S40" t="b">
        <v>0</v>
      </c>
      <c r="T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1</v>
      </c>
      <c r="AA40" t="b">
        <v>0</v>
      </c>
      <c r="AB40" t="b">
        <v>1</v>
      </c>
      <c r="AC40" t="b">
        <v>0</v>
      </c>
      <c r="AE40" t="s">
        <v>181</v>
      </c>
    </row>
    <row r="41" spans="1:31" x14ac:dyDescent="0.3">
      <c r="A41">
        <v>-73.970252675330002</v>
      </c>
      <c r="B41">
        <v>40.77059995882</v>
      </c>
      <c r="C41" t="s">
        <v>182</v>
      </c>
      <c r="D41" t="s">
        <v>183</v>
      </c>
      <c r="E41" t="s">
        <v>38</v>
      </c>
      <c r="F41">
        <v>10172018</v>
      </c>
      <c r="G41">
        <v>6</v>
      </c>
      <c r="H41" t="s">
        <v>48</v>
      </c>
      <c r="I41" t="s">
        <v>42</v>
      </c>
      <c r="J41" t="s">
        <v>53</v>
      </c>
      <c r="K41" t="s">
        <v>54</v>
      </c>
      <c r="M41" t="s">
        <v>44</v>
      </c>
      <c r="N41">
        <v>6</v>
      </c>
      <c r="P41" t="b">
        <v>0</v>
      </c>
      <c r="Q41" t="b">
        <v>1</v>
      </c>
      <c r="R41" t="b">
        <v>0</v>
      </c>
      <c r="S41" t="b">
        <v>1</v>
      </c>
      <c r="T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1</v>
      </c>
      <c r="AC41" t="b">
        <v>0</v>
      </c>
      <c r="AE41" t="s">
        <v>184</v>
      </c>
    </row>
    <row r="42" spans="1:31" x14ac:dyDescent="0.3">
      <c r="A42">
        <v>-73.957964594040007</v>
      </c>
      <c r="B42">
        <v>40.791861349839998</v>
      </c>
      <c r="C42" t="s">
        <v>185</v>
      </c>
      <c r="D42" t="s">
        <v>186</v>
      </c>
      <c r="E42" t="s">
        <v>38</v>
      </c>
      <c r="F42">
        <v>10072018</v>
      </c>
      <c r="G42">
        <v>1</v>
      </c>
      <c r="H42" t="s">
        <v>48</v>
      </c>
      <c r="I42" t="s">
        <v>42</v>
      </c>
      <c r="J42" t="s">
        <v>59</v>
      </c>
      <c r="K42" t="s">
        <v>79</v>
      </c>
      <c r="M42" t="s">
        <v>44</v>
      </c>
      <c r="N42">
        <v>25</v>
      </c>
      <c r="P42" t="b">
        <v>1</v>
      </c>
      <c r="Q42" t="b">
        <v>0</v>
      </c>
      <c r="R42" t="b">
        <v>1</v>
      </c>
      <c r="S42" t="b">
        <v>0</v>
      </c>
      <c r="T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1</v>
      </c>
      <c r="AE42" t="s">
        <v>187</v>
      </c>
    </row>
    <row r="43" spans="1:31" x14ac:dyDescent="0.3">
      <c r="A43">
        <v>-73.967325341730003</v>
      </c>
      <c r="B43">
        <v>40.7749505253</v>
      </c>
      <c r="C43" t="s">
        <v>188</v>
      </c>
      <c r="D43" t="s">
        <v>189</v>
      </c>
      <c r="E43" t="s">
        <v>33</v>
      </c>
      <c r="F43">
        <v>10102018</v>
      </c>
      <c r="G43">
        <v>2</v>
      </c>
      <c r="H43" t="s">
        <v>48</v>
      </c>
      <c r="I43" t="s">
        <v>42</v>
      </c>
      <c r="K43" t="s">
        <v>43</v>
      </c>
      <c r="M43" t="s">
        <v>44</v>
      </c>
      <c r="N43">
        <v>5</v>
      </c>
      <c r="O43" t="s">
        <v>190</v>
      </c>
      <c r="P43" t="b">
        <v>0</v>
      </c>
      <c r="Q43" t="b">
        <v>0</v>
      </c>
      <c r="R43" t="b">
        <v>0</v>
      </c>
      <c r="S43" t="b">
        <v>0</v>
      </c>
      <c r="T43" t="b">
        <v>1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1</v>
      </c>
      <c r="AC43" t="b">
        <v>0</v>
      </c>
      <c r="AE43" t="s">
        <v>191</v>
      </c>
    </row>
    <row r="44" spans="1:31" x14ac:dyDescent="0.3">
      <c r="A44">
        <v>-73.959593319540005</v>
      </c>
      <c r="B44">
        <v>40.790584733240003</v>
      </c>
      <c r="C44" t="s">
        <v>192</v>
      </c>
      <c r="D44" t="s">
        <v>47</v>
      </c>
      <c r="E44" t="s">
        <v>38</v>
      </c>
      <c r="F44">
        <v>10072018</v>
      </c>
      <c r="G44">
        <v>13</v>
      </c>
      <c r="H44" t="s">
        <v>48</v>
      </c>
      <c r="I44" t="s">
        <v>42</v>
      </c>
      <c r="K44" t="s">
        <v>43</v>
      </c>
      <c r="M44" t="s">
        <v>44</v>
      </c>
      <c r="N44">
        <v>50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E44" t="s">
        <v>193</v>
      </c>
    </row>
    <row r="45" spans="1:31" x14ac:dyDescent="0.3">
      <c r="A45">
        <v>-73.960222211670001</v>
      </c>
      <c r="B45">
        <v>40.79377969942</v>
      </c>
      <c r="C45" t="s">
        <v>194</v>
      </c>
      <c r="D45" t="s">
        <v>195</v>
      </c>
      <c r="E45" t="s">
        <v>38</v>
      </c>
      <c r="F45">
        <v>10072018</v>
      </c>
      <c r="G45">
        <v>5</v>
      </c>
      <c r="H45" t="s">
        <v>48</v>
      </c>
      <c r="I45" t="s">
        <v>42</v>
      </c>
      <c r="K45" t="s">
        <v>43</v>
      </c>
      <c r="M45" t="s">
        <v>44</v>
      </c>
      <c r="N45">
        <v>4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E45" t="s">
        <v>196</v>
      </c>
    </row>
    <row r="46" spans="1:31" x14ac:dyDescent="0.3">
      <c r="A46">
        <v>-73.960260992079995</v>
      </c>
      <c r="B46">
        <v>40.794288304559998</v>
      </c>
      <c r="C46" t="s">
        <v>197</v>
      </c>
      <c r="D46" t="s">
        <v>195</v>
      </c>
      <c r="E46" t="s">
        <v>33</v>
      </c>
      <c r="F46">
        <v>10132018</v>
      </c>
      <c r="G46">
        <v>3</v>
      </c>
      <c r="I46" t="s">
        <v>42</v>
      </c>
      <c r="J46" t="s">
        <v>53</v>
      </c>
      <c r="K46" t="s">
        <v>54</v>
      </c>
      <c r="M46" t="s">
        <v>65</v>
      </c>
      <c r="N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1</v>
      </c>
      <c r="AE46" t="s">
        <v>198</v>
      </c>
    </row>
    <row r="47" spans="1:31" x14ac:dyDescent="0.3">
      <c r="A47">
        <v>-73.968063507089994</v>
      </c>
      <c r="B47">
        <v>40.779249873650002</v>
      </c>
      <c r="C47" t="s">
        <v>199</v>
      </c>
      <c r="D47" t="s">
        <v>200</v>
      </c>
      <c r="E47" t="s">
        <v>38</v>
      </c>
      <c r="F47">
        <v>10172018</v>
      </c>
      <c r="G47">
        <v>5</v>
      </c>
      <c r="H47" t="s">
        <v>48</v>
      </c>
      <c r="I47" t="s">
        <v>176</v>
      </c>
      <c r="K47" t="s">
        <v>177</v>
      </c>
      <c r="M47" t="s">
        <v>44</v>
      </c>
      <c r="N47">
        <v>10</v>
      </c>
      <c r="O47" t="s">
        <v>201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1</v>
      </c>
      <c r="AC47" t="b">
        <v>0</v>
      </c>
      <c r="AE47" t="s">
        <v>202</v>
      </c>
    </row>
    <row r="48" spans="1:31" x14ac:dyDescent="0.3">
      <c r="A48">
        <v>-73.980166643540002</v>
      </c>
      <c r="B48">
        <v>40.768690533920001</v>
      </c>
      <c r="C48" t="s">
        <v>203</v>
      </c>
      <c r="D48" t="s">
        <v>204</v>
      </c>
      <c r="E48" t="s">
        <v>33</v>
      </c>
      <c r="F48">
        <v>10132018</v>
      </c>
      <c r="G48">
        <v>1</v>
      </c>
      <c r="H48" t="s">
        <v>48</v>
      </c>
      <c r="I48" t="s">
        <v>42</v>
      </c>
      <c r="J48" t="s">
        <v>59</v>
      </c>
      <c r="K48" t="s">
        <v>79</v>
      </c>
      <c r="M48" t="s">
        <v>65</v>
      </c>
      <c r="N48" t="b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s">
        <v>205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E48" t="s">
        <v>206</v>
      </c>
    </row>
    <row r="49" spans="1:31" x14ac:dyDescent="0.3">
      <c r="A49">
        <v>-73.96756343269</v>
      </c>
      <c r="B49">
        <v>40.781347735250002</v>
      </c>
      <c r="C49" t="s">
        <v>207</v>
      </c>
      <c r="D49" t="s">
        <v>208</v>
      </c>
      <c r="E49" t="s">
        <v>38</v>
      </c>
      <c r="F49">
        <v>10072018</v>
      </c>
      <c r="G49">
        <v>1</v>
      </c>
      <c r="H49" t="s">
        <v>105</v>
      </c>
      <c r="I49" t="s">
        <v>42</v>
      </c>
      <c r="K49" t="s">
        <v>43</v>
      </c>
      <c r="M49" t="s">
        <v>65</v>
      </c>
      <c r="N49" t="b">
        <v>0</v>
      </c>
      <c r="P49" t="b">
        <v>0</v>
      </c>
      <c r="Q49" t="b">
        <v>0</v>
      </c>
      <c r="R49" t="b">
        <v>1</v>
      </c>
      <c r="S49" t="b">
        <v>1</v>
      </c>
      <c r="T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s">
        <v>209</v>
      </c>
      <c r="AE49" t="s">
        <v>210</v>
      </c>
    </row>
    <row r="50" spans="1:31" x14ac:dyDescent="0.3">
      <c r="A50">
        <v>-73.958497064319999</v>
      </c>
      <c r="B50">
        <v>40.798288634869998</v>
      </c>
      <c r="C50" t="s">
        <v>211</v>
      </c>
      <c r="D50" t="s">
        <v>212</v>
      </c>
      <c r="E50" t="s">
        <v>38</v>
      </c>
      <c r="F50">
        <v>10192018</v>
      </c>
      <c r="G50">
        <v>3</v>
      </c>
      <c r="H50" t="s">
        <v>105</v>
      </c>
      <c r="I50" t="s">
        <v>42</v>
      </c>
      <c r="J50" t="s">
        <v>59</v>
      </c>
      <c r="K50" t="s">
        <v>79</v>
      </c>
      <c r="M50" t="s">
        <v>65</v>
      </c>
      <c r="N50" t="b">
        <v>0</v>
      </c>
      <c r="P50" t="b">
        <v>1</v>
      </c>
      <c r="Q50" t="b">
        <v>1</v>
      </c>
      <c r="R50" t="b">
        <v>0</v>
      </c>
      <c r="S50" t="b">
        <v>0</v>
      </c>
      <c r="T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1</v>
      </c>
      <c r="AA50" t="b">
        <v>1</v>
      </c>
      <c r="AB50" t="b">
        <v>0</v>
      </c>
      <c r="AC50" t="b">
        <v>0</v>
      </c>
      <c r="AE50" t="s">
        <v>213</v>
      </c>
    </row>
    <row r="51" spans="1:31" x14ac:dyDescent="0.3">
      <c r="A51">
        <v>-73.976029824120005</v>
      </c>
      <c r="B51">
        <v>40.76819543669</v>
      </c>
      <c r="C51" t="s">
        <v>214</v>
      </c>
      <c r="D51" t="s">
        <v>215</v>
      </c>
      <c r="E51" t="s">
        <v>33</v>
      </c>
      <c r="F51">
        <v>10082018</v>
      </c>
      <c r="G51">
        <v>7</v>
      </c>
      <c r="H51" t="s">
        <v>48</v>
      </c>
      <c r="I51" t="s">
        <v>42</v>
      </c>
      <c r="J51" t="s">
        <v>53</v>
      </c>
      <c r="K51" t="s">
        <v>54</v>
      </c>
      <c r="M51" t="s">
        <v>65</v>
      </c>
      <c r="N51" t="b">
        <v>0</v>
      </c>
      <c r="P51" t="b">
        <v>0</v>
      </c>
      <c r="Q51" t="b">
        <v>0</v>
      </c>
      <c r="R51" t="b">
        <v>0</v>
      </c>
      <c r="S51" t="b">
        <v>1</v>
      </c>
      <c r="T51" t="b">
        <v>1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1</v>
      </c>
      <c r="AC51" t="b">
        <v>0</v>
      </c>
      <c r="AE51" t="s">
        <v>216</v>
      </c>
    </row>
    <row r="52" spans="1:31" x14ac:dyDescent="0.3">
      <c r="A52">
        <v>-73.956880214980004</v>
      </c>
      <c r="B52">
        <v>40.797239913379997</v>
      </c>
      <c r="C52" t="s">
        <v>217</v>
      </c>
      <c r="D52" t="s">
        <v>218</v>
      </c>
      <c r="E52" t="s">
        <v>33</v>
      </c>
      <c r="F52">
        <v>10062018</v>
      </c>
      <c r="G52">
        <v>1</v>
      </c>
      <c r="H52" t="s">
        <v>48</v>
      </c>
      <c r="I52" t="s">
        <v>42</v>
      </c>
      <c r="K52" t="s">
        <v>43</v>
      </c>
      <c r="M52" t="s">
        <v>65</v>
      </c>
      <c r="N52" t="b">
        <v>0</v>
      </c>
      <c r="P52" t="b">
        <v>1</v>
      </c>
      <c r="Q52" t="b">
        <v>0</v>
      </c>
      <c r="R52" t="b">
        <v>0</v>
      </c>
      <c r="S52" t="b">
        <v>0</v>
      </c>
      <c r="T52" t="b">
        <v>1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1</v>
      </c>
      <c r="AC52" t="b">
        <v>0</v>
      </c>
      <c r="AE52" t="s">
        <v>219</v>
      </c>
    </row>
    <row r="53" spans="1:31" x14ac:dyDescent="0.3">
      <c r="A53">
        <v>-73.972464243640005</v>
      </c>
      <c r="B53">
        <v>40.769052644109998</v>
      </c>
      <c r="C53" t="s">
        <v>220</v>
      </c>
      <c r="D53" t="s">
        <v>221</v>
      </c>
      <c r="E53" t="s">
        <v>38</v>
      </c>
      <c r="F53">
        <v>10082018</v>
      </c>
      <c r="G53">
        <v>2</v>
      </c>
      <c r="H53" t="s">
        <v>105</v>
      </c>
      <c r="I53" t="s">
        <v>42</v>
      </c>
      <c r="K53" t="s">
        <v>43</v>
      </c>
      <c r="M53" t="s">
        <v>65</v>
      </c>
      <c r="N53" t="b">
        <v>0</v>
      </c>
      <c r="O53" t="s">
        <v>222</v>
      </c>
      <c r="P53" t="b">
        <v>0</v>
      </c>
      <c r="Q53" t="b">
        <v>0</v>
      </c>
      <c r="R53" t="b">
        <v>0</v>
      </c>
      <c r="S53" t="b">
        <v>0</v>
      </c>
      <c r="T53" t="b">
        <v>1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1</v>
      </c>
      <c r="AC53" t="b">
        <v>0</v>
      </c>
      <c r="AE53" t="s">
        <v>223</v>
      </c>
    </row>
    <row r="54" spans="1:31" x14ac:dyDescent="0.3">
      <c r="A54">
        <v>-73.969017583850004</v>
      </c>
      <c r="B54">
        <v>40.776043272000003</v>
      </c>
      <c r="C54" t="s">
        <v>224</v>
      </c>
      <c r="D54" t="s">
        <v>225</v>
      </c>
      <c r="E54" t="s">
        <v>38</v>
      </c>
      <c r="F54">
        <v>10072018</v>
      </c>
      <c r="G54">
        <v>5</v>
      </c>
      <c r="H54" t="s">
        <v>105</v>
      </c>
      <c r="I54" t="s">
        <v>42</v>
      </c>
      <c r="J54" t="s">
        <v>53</v>
      </c>
      <c r="K54" t="s">
        <v>54</v>
      </c>
      <c r="M54" t="s">
        <v>65</v>
      </c>
      <c r="N54" t="b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1</v>
      </c>
      <c r="AC54" t="b">
        <v>0</v>
      </c>
      <c r="AE54" t="s">
        <v>226</v>
      </c>
    </row>
    <row r="55" spans="1:31" x14ac:dyDescent="0.3">
      <c r="A55">
        <v>-73.970408282139999</v>
      </c>
      <c r="B55">
        <v>40.769028098600003</v>
      </c>
      <c r="C55" t="s">
        <v>227</v>
      </c>
      <c r="D55" t="s">
        <v>228</v>
      </c>
      <c r="E55" t="s">
        <v>33</v>
      </c>
      <c r="F55">
        <v>10132018</v>
      </c>
      <c r="G55">
        <v>6</v>
      </c>
      <c r="H55" t="s">
        <v>48</v>
      </c>
      <c r="I55" t="s">
        <v>42</v>
      </c>
      <c r="J55" t="s">
        <v>53</v>
      </c>
      <c r="K55" t="s">
        <v>54</v>
      </c>
      <c r="M55" t="s">
        <v>65</v>
      </c>
      <c r="N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s">
        <v>229</v>
      </c>
      <c r="V55" t="b">
        <v>0</v>
      </c>
      <c r="W55" t="b">
        <v>0</v>
      </c>
      <c r="X55" t="b">
        <v>0</v>
      </c>
      <c r="Y55" t="b">
        <v>0</v>
      </c>
      <c r="Z55" t="b">
        <v>1</v>
      </c>
      <c r="AA55" t="b">
        <v>0</v>
      </c>
      <c r="AB55" t="b">
        <v>0</v>
      </c>
      <c r="AC55" t="b">
        <v>0</v>
      </c>
      <c r="AE55" t="s">
        <v>230</v>
      </c>
    </row>
    <row r="56" spans="1:31" x14ac:dyDescent="0.3">
      <c r="A56">
        <v>-73.968491071230005</v>
      </c>
      <c r="B56">
        <v>40.776881164000002</v>
      </c>
      <c r="C56" t="s">
        <v>231</v>
      </c>
      <c r="D56" t="s">
        <v>232</v>
      </c>
      <c r="E56" t="s">
        <v>33</v>
      </c>
      <c r="F56">
        <v>10102018</v>
      </c>
      <c r="G56">
        <v>5</v>
      </c>
      <c r="H56" t="s">
        <v>48</v>
      </c>
      <c r="I56" t="s">
        <v>42</v>
      </c>
      <c r="K56" t="s">
        <v>43</v>
      </c>
      <c r="M56" t="s">
        <v>65</v>
      </c>
      <c r="N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1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1</v>
      </c>
      <c r="AC56" t="b">
        <v>0</v>
      </c>
      <c r="AE56" t="s">
        <v>233</v>
      </c>
    </row>
    <row r="57" spans="1:31" x14ac:dyDescent="0.3">
      <c r="A57">
        <v>-73.97686748129</v>
      </c>
      <c r="B57">
        <v>40.773523264890002</v>
      </c>
      <c r="C57" t="s">
        <v>234</v>
      </c>
      <c r="D57" t="s">
        <v>235</v>
      </c>
      <c r="E57" t="s">
        <v>33</v>
      </c>
      <c r="F57">
        <v>10122018</v>
      </c>
      <c r="G57">
        <v>2</v>
      </c>
      <c r="H57" t="s">
        <v>48</v>
      </c>
      <c r="I57" t="s">
        <v>42</v>
      </c>
      <c r="J57" t="s">
        <v>96</v>
      </c>
      <c r="K57" t="s">
        <v>97</v>
      </c>
      <c r="M57" t="s">
        <v>65</v>
      </c>
      <c r="N57" t="b">
        <v>0</v>
      </c>
      <c r="O57" t="s">
        <v>236</v>
      </c>
      <c r="P57" t="b">
        <v>0</v>
      </c>
      <c r="Q57" t="b">
        <v>0</v>
      </c>
      <c r="R57" t="b">
        <v>0</v>
      </c>
      <c r="S57" t="b">
        <v>0</v>
      </c>
      <c r="T57" t="b">
        <v>1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1</v>
      </c>
      <c r="AE57" t="s">
        <v>237</v>
      </c>
    </row>
    <row r="58" spans="1:31" x14ac:dyDescent="0.3">
      <c r="A58">
        <v>-73.979708486660002</v>
      </c>
      <c r="B58">
        <v>40.769888524130003</v>
      </c>
      <c r="C58" t="s">
        <v>238</v>
      </c>
      <c r="D58" t="s">
        <v>239</v>
      </c>
      <c r="E58" t="s">
        <v>33</v>
      </c>
      <c r="F58">
        <v>10172018</v>
      </c>
      <c r="G58">
        <v>6</v>
      </c>
      <c r="H58" t="s">
        <v>48</v>
      </c>
      <c r="I58" t="s">
        <v>42</v>
      </c>
      <c r="J58" t="s">
        <v>53</v>
      </c>
      <c r="K58" t="s">
        <v>54</v>
      </c>
      <c r="M58" t="s">
        <v>65</v>
      </c>
      <c r="N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1</v>
      </c>
      <c r="AE58" t="s">
        <v>240</v>
      </c>
    </row>
    <row r="59" spans="1:31" x14ac:dyDescent="0.3">
      <c r="A59">
        <v>-73.952819267980004</v>
      </c>
      <c r="B59">
        <v>40.79231304028</v>
      </c>
      <c r="C59" t="s">
        <v>241</v>
      </c>
      <c r="D59" t="s">
        <v>85</v>
      </c>
      <c r="E59" t="s">
        <v>38</v>
      </c>
      <c r="F59">
        <v>10172018</v>
      </c>
      <c r="G59">
        <v>2</v>
      </c>
      <c r="H59" t="s">
        <v>48</v>
      </c>
      <c r="I59" t="s">
        <v>42</v>
      </c>
      <c r="J59" t="s">
        <v>53</v>
      </c>
      <c r="K59" t="s">
        <v>54</v>
      </c>
      <c r="L59" t="s">
        <v>242</v>
      </c>
      <c r="M59" t="s">
        <v>65</v>
      </c>
      <c r="N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1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1</v>
      </c>
      <c r="AC59" t="b">
        <v>0</v>
      </c>
      <c r="AE59" t="s">
        <v>243</v>
      </c>
    </row>
    <row r="60" spans="1:31" x14ac:dyDescent="0.3">
      <c r="A60">
        <v>-73.974563003849994</v>
      </c>
      <c r="B60">
        <v>40.769260262869999</v>
      </c>
      <c r="C60" t="s">
        <v>244</v>
      </c>
      <c r="D60" t="s">
        <v>245</v>
      </c>
      <c r="E60" t="s">
        <v>38</v>
      </c>
      <c r="F60">
        <v>10082018</v>
      </c>
      <c r="G60">
        <v>6</v>
      </c>
      <c r="H60" t="s">
        <v>48</v>
      </c>
      <c r="I60" t="s">
        <v>53</v>
      </c>
      <c r="J60" t="s">
        <v>59</v>
      </c>
      <c r="K60" t="s">
        <v>60</v>
      </c>
      <c r="M60" t="s">
        <v>65</v>
      </c>
      <c r="N60" t="b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1</v>
      </c>
      <c r="AB60" t="b">
        <v>0</v>
      </c>
      <c r="AC60" t="b">
        <v>0</v>
      </c>
      <c r="AE60" t="s">
        <v>246</v>
      </c>
    </row>
    <row r="61" spans="1:31" x14ac:dyDescent="0.3">
      <c r="A61">
        <v>-73.959500233949996</v>
      </c>
      <c r="B61">
        <v>40.790336578869997</v>
      </c>
      <c r="C61" t="s">
        <v>247</v>
      </c>
      <c r="D61" t="s">
        <v>47</v>
      </c>
      <c r="E61" t="s">
        <v>33</v>
      </c>
      <c r="F61">
        <v>10172018</v>
      </c>
      <c r="G61">
        <v>13</v>
      </c>
      <c r="H61" t="s">
        <v>48</v>
      </c>
      <c r="I61" t="s">
        <v>42</v>
      </c>
      <c r="K61" t="s">
        <v>43</v>
      </c>
      <c r="L61" t="s">
        <v>49</v>
      </c>
      <c r="P61" t="b">
        <v>0</v>
      </c>
      <c r="Q61" t="b">
        <v>0</v>
      </c>
      <c r="R61" t="b">
        <v>0</v>
      </c>
      <c r="S61" t="b">
        <v>1</v>
      </c>
      <c r="T61" t="b">
        <v>1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1</v>
      </c>
      <c r="AC61" t="b">
        <v>0</v>
      </c>
      <c r="AE61" t="s">
        <v>248</v>
      </c>
    </row>
    <row r="62" spans="1:31" x14ac:dyDescent="0.3">
      <c r="A62">
        <v>-73.974182499229997</v>
      </c>
      <c r="B62">
        <v>40.768948665800004</v>
      </c>
      <c r="C62" t="s">
        <v>249</v>
      </c>
      <c r="D62" t="s">
        <v>250</v>
      </c>
      <c r="E62" t="s">
        <v>33</v>
      </c>
      <c r="F62">
        <v>10072018</v>
      </c>
      <c r="G62">
        <v>3</v>
      </c>
      <c r="H62" t="s">
        <v>48</v>
      </c>
      <c r="I62" t="s">
        <v>42</v>
      </c>
      <c r="J62" t="s">
        <v>53</v>
      </c>
      <c r="K62" t="s">
        <v>54</v>
      </c>
      <c r="M62" t="s">
        <v>65</v>
      </c>
      <c r="N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s">
        <v>251</v>
      </c>
      <c r="V62" t="b">
        <v>0</v>
      </c>
      <c r="W62" t="b">
        <v>0</v>
      </c>
      <c r="X62" t="b">
        <v>0</v>
      </c>
      <c r="Y62" t="b">
        <v>0</v>
      </c>
      <c r="Z62" t="b">
        <v>1</v>
      </c>
      <c r="AA62" t="b">
        <v>0</v>
      </c>
      <c r="AB62" t="b">
        <v>1</v>
      </c>
      <c r="AC62" t="b">
        <v>0</v>
      </c>
      <c r="AE62" t="s">
        <v>252</v>
      </c>
    </row>
    <row r="63" spans="1:31" x14ac:dyDescent="0.3">
      <c r="A63">
        <v>-73.974924390119995</v>
      </c>
      <c r="B63">
        <v>40.77613935518</v>
      </c>
      <c r="C63" t="s">
        <v>253</v>
      </c>
      <c r="D63" t="s">
        <v>41</v>
      </c>
      <c r="E63" t="s">
        <v>33</v>
      </c>
      <c r="F63">
        <v>10142018</v>
      </c>
      <c r="G63">
        <v>5</v>
      </c>
      <c r="H63" t="s">
        <v>48</v>
      </c>
      <c r="I63" t="s">
        <v>42</v>
      </c>
      <c r="K63" t="s">
        <v>43</v>
      </c>
      <c r="M63" t="s">
        <v>65</v>
      </c>
      <c r="N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1</v>
      </c>
      <c r="AC63" t="b">
        <v>0</v>
      </c>
      <c r="AE63" t="s">
        <v>254</v>
      </c>
    </row>
    <row r="64" spans="1:31" x14ac:dyDescent="0.3">
      <c r="A64">
        <v>-73.968381325560003</v>
      </c>
      <c r="B64">
        <v>40.778014344379997</v>
      </c>
      <c r="C64" t="s">
        <v>255</v>
      </c>
      <c r="D64" t="s">
        <v>256</v>
      </c>
      <c r="E64" t="s">
        <v>33</v>
      </c>
      <c r="F64">
        <v>10182018</v>
      </c>
      <c r="G64">
        <v>6</v>
      </c>
      <c r="H64" t="s">
        <v>48</v>
      </c>
      <c r="I64" t="s">
        <v>53</v>
      </c>
      <c r="J64" t="s">
        <v>42</v>
      </c>
      <c r="K64" t="s">
        <v>89</v>
      </c>
      <c r="M64" t="s">
        <v>65</v>
      </c>
      <c r="N64" t="b">
        <v>0</v>
      </c>
      <c r="O64" t="s">
        <v>257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V64" t="b">
        <v>0</v>
      </c>
      <c r="W64" t="b">
        <v>0</v>
      </c>
      <c r="X64" t="b">
        <v>0</v>
      </c>
      <c r="Y64" t="b">
        <v>0</v>
      </c>
      <c r="Z64" t="b">
        <v>1</v>
      </c>
      <c r="AA64" t="b">
        <v>0</v>
      </c>
      <c r="AB64" t="b">
        <v>1</v>
      </c>
      <c r="AC64" t="b">
        <v>0</v>
      </c>
      <c r="AE64" t="s">
        <v>258</v>
      </c>
    </row>
    <row r="65" spans="1:31" x14ac:dyDescent="0.3">
      <c r="A65">
        <v>-73.969424032749998</v>
      </c>
      <c r="B65">
        <v>40.775589812669999</v>
      </c>
      <c r="C65" t="s">
        <v>259</v>
      </c>
      <c r="D65" t="s">
        <v>260</v>
      </c>
      <c r="E65" t="s">
        <v>38</v>
      </c>
      <c r="F65">
        <v>10072018</v>
      </c>
      <c r="G65">
        <v>2</v>
      </c>
      <c r="H65" t="s">
        <v>48</v>
      </c>
      <c r="I65" t="s">
        <v>53</v>
      </c>
      <c r="J65" t="s">
        <v>59</v>
      </c>
      <c r="K65" t="s">
        <v>60</v>
      </c>
      <c r="P65" t="b">
        <v>0</v>
      </c>
      <c r="Q65" t="b">
        <v>0</v>
      </c>
      <c r="R65" t="b">
        <v>0</v>
      </c>
      <c r="S65" t="b">
        <v>1</v>
      </c>
      <c r="T65" t="b">
        <v>1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1</v>
      </c>
      <c r="AC65" t="b">
        <v>0</v>
      </c>
      <c r="AE65" t="s">
        <v>261</v>
      </c>
    </row>
    <row r="66" spans="1:31" x14ac:dyDescent="0.3">
      <c r="A66">
        <v>-73.968900097900004</v>
      </c>
      <c r="B66">
        <v>40.78283647352</v>
      </c>
      <c r="C66" t="s">
        <v>262</v>
      </c>
      <c r="D66" t="s">
        <v>78</v>
      </c>
      <c r="E66" t="s">
        <v>33</v>
      </c>
      <c r="F66">
        <v>10132018</v>
      </c>
      <c r="G66">
        <v>10</v>
      </c>
      <c r="H66" t="s">
        <v>48</v>
      </c>
      <c r="I66" t="s">
        <v>42</v>
      </c>
      <c r="J66" t="s">
        <v>59</v>
      </c>
      <c r="K66" t="s">
        <v>79</v>
      </c>
      <c r="M66" t="s">
        <v>65</v>
      </c>
      <c r="N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1</v>
      </c>
      <c r="U66" t="s">
        <v>263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1</v>
      </c>
      <c r="AC66" t="b">
        <v>0</v>
      </c>
      <c r="AE66" t="s">
        <v>264</v>
      </c>
    </row>
    <row r="67" spans="1:31" x14ac:dyDescent="0.3">
      <c r="A67">
        <v>-73.980452886750001</v>
      </c>
      <c r="B67">
        <v>40.769675365600001</v>
      </c>
      <c r="C67" t="s">
        <v>265</v>
      </c>
      <c r="D67" t="s">
        <v>239</v>
      </c>
      <c r="E67" t="s">
        <v>33</v>
      </c>
      <c r="F67">
        <v>10172018</v>
      </c>
      <c r="G67">
        <v>5</v>
      </c>
      <c r="H67" t="s">
        <v>48</v>
      </c>
      <c r="I67" t="s">
        <v>42</v>
      </c>
      <c r="J67" t="s">
        <v>53</v>
      </c>
      <c r="K67" t="s">
        <v>54</v>
      </c>
      <c r="M67" t="s">
        <v>65</v>
      </c>
      <c r="N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1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E67" t="s">
        <v>266</v>
      </c>
    </row>
    <row r="68" spans="1:31" x14ac:dyDescent="0.3">
      <c r="A68">
        <v>-73.957624599249996</v>
      </c>
      <c r="B68">
        <v>40.787386251000001</v>
      </c>
      <c r="C68" t="s">
        <v>267</v>
      </c>
      <c r="D68" t="s">
        <v>268</v>
      </c>
      <c r="E68" t="s">
        <v>33</v>
      </c>
      <c r="F68">
        <v>10062018</v>
      </c>
      <c r="G68">
        <v>1</v>
      </c>
      <c r="H68" t="s">
        <v>48</v>
      </c>
      <c r="I68" t="s">
        <v>42</v>
      </c>
      <c r="K68" t="s">
        <v>43</v>
      </c>
      <c r="M68" t="s">
        <v>44</v>
      </c>
      <c r="N68">
        <v>50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s">
        <v>121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1</v>
      </c>
      <c r="AC68" t="b">
        <v>0</v>
      </c>
      <c r="AE68" t="s">
        <v>269</v>
      </c>
    </row>
    <row r="69" spans="1:31" x14ac:dyDescent="0.3">
      <c r="A69">
        <v>-73.966600793560005</v>
      </c>
      <c r="B69">
        <v>40.78450981316</v>
      </c>
      <c r="C69" t="s">
        <v>270</v>
      </c>
      <c r="D69" t="s">
        <v>271</v>
      </c>
      <c r="E69" t="s">
        <v>33</v>
      </c>
      <c r="F69">
        <v>10142018</v>
      </c>
      <c r="G69">
        <v>3</v>
      </c>
      <c r="H69" t="s">
        <v>48</v>
      </c>
      <c r="I69" t="s">
        <v>42</v>
      </c>
      <c r="K69" t="s">
        <v>43</v>
      </c>
      <c r="M69" t="s">
        <v>44</v>
      </c>
      <c r="N69">
        <v>8</v>
      </c>
      <c r="P69" t="b">
        <v>0</v>
      </c>
      <c r="Q69" t="b">
        <v>1</v>
      </c>
      <c r="R69" t="b">
        <v>0</v>
      </c>
      <c r="S69" t="b">
        <v>0</v>
      </c>
      <c r="T69" t="b">
        <v>0</v>
      </c>
      <c r="U69" t="s">
        <v>272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E69" t="s">
        <v>273</v>
      </c>
    </row>
    <row r="70" spans="1:31" x14ac:dyDescent="0.3">
      <c r="A70">
        <v>-73.961484836089994</v>
      </c>
      <c r="B70">
        <v>40.792264552189998</v>
      </c>
      <c r="C70" t="s">
        <v>274</v>
      </c>
      <c r="D70" t="s">
        <v>275</v>
      </c>
      <c r="E70" t="s">
        <v>33</v>
      </c>
      <c r="F70">
        <v>10072018</v>
      </c>
      <c r="G70">
        <v>3</v>
      </c>
      <c r="H70" t="s">
        <v>48</v>
      </c>
      <c r="I70" t="s">
        <v>42</v>
      </c>
      <c r="J70" t="s">
        <v>59</v>
      </c>
      <c r="K70" t="s">
        <v>79</v>
      </c>
      <c r="M70" t="s">
        <v>65</v>
      </c>
      <c r="N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1</v>
      </c>
      <c r="V70" t="b">
        <v>0</v>
      </c>
      <c r="W70" t="b">
        <v>0</v>
      </c>
      <c r="X70" t="b">
        <v>0</v>
      </c>
      <c r="Y70" t="b">
        <v>0</v>
      </c>
      <c r="Z70" t="b">
        <v>1</v>
      </c>
      <c r="AA70" t="b">
        <v>0</v>
      </c>
      <c r="AB70" t="b">
        <v>1</v>
      </c>
      <c r="AC70" t="b">
        <v>0</v>
      </c>
      <c r="AE70" t="s">
        <v>276</v>
      </c>
    </row>
    <row r="71" spans="1:31" x14ac:dyDescent="0.3">
      <c r="A71">
        <v>-73.954665418410002</v>
      </c>
      <c r="B71">
        <v>40.794763924149997</v>
      </c>
      <c r="C71" t="s">
        <v>277</v>
      </c>
      <c r="D71" t="s">
        <v>278</v>
      </c>
      <c r="E71" t="s">
        <v>33</v>
      </c>
      <c r="F71">
        <v>10202018</v>
      </c>
      <c r="G71">
        <v>9</v>
      </c>
      <c r="H71" t="s">
        <v>48</v>
      </c>
      <c r="I71" t="s">
        <v>42</v>
      </c>
      <c r="J71" t="s">
        <v>96</v>
      </c>
      <c r="K71" t="s">
        <v>97</v>
      </c>
      <c r="M71" t="s">
        <v>65</v>
      </c>
      <c r="N71" t="b">
        <v>0</v>
      </c>
      <c r="P71" t="b">
        <v>0</v>
      </c>
      <c r="Q71" t="b">
        <v>0</v>
      </c>
      <c r="R71" t="b">
        <v>0</v>
      </c>
      <c r="S71" t="b">
        <v>1</v>
      </c>
      <c r="T71" t="b">
        <v>1</v>
      </c>
      <c r="V71" t="b">
        <v>0</v>
      </c>
      <c r="W71" t="b">
        <v>0</v>
      </c>
      <c r="X71" t="b">
        <v>0</v>
      </c>
      <c r="Y71" t="b">
        <v>1</v>
      </c>
      <c r="Z71" t="b">
        <v>0</v>
      </c>
      <c r="AA71" t="b">
        <v>0</v>
      </c>
      <c r="AB71" t="b">
        <v>1</v>
      </c>
      <c r="AC71" t="b">
        <v>0</v>
      </c>
      <c r="AE71" t="s">
        <v>279</v>
      </c>
    </row>
    <row r="72" spans="1:31" x14ac:dyDescent="0.3">
      <c r="A72">
        <v>-73.966711402719994</v>
      </c>
      <c r="B72">
        <v>40.776880470249999</v>
      </c>
      <c r="C72" t="s">
        <v>280</v>
      </c>
      <c r="D72" t="s">
        <v>281</v>
      </c>
      <c r="E72" t="s">
        <v>33</v>
      </c>
      <c r="F72">
        <v>10172018</v>
      </c>
      <c r="G72">
        <v>1</v>
      </c>
      <c r="H72" t="s">
        <v>48</v>
      </c>
      <c r="I72" t="s">
        <v>42</v>
      </c>
      <c r="J72" t="s">
        <v>96</v>
      </c>
      <c r="K72" t="s">
        <v>97</v>
      </c>
      <c r="M72" t="s">
        <v>65</v>
      </c>
      <c r="N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1</v>
      </c>
      <c r="AC72" t="b">
        <v>0</v>
      </c>
      <c r="AE72" t="s">
        <v>282</v>
      </c>
    </row>
    <row r="73" spans="1:31" x14ac:dyDescent="0.3">
      <c r="A73">
        <v>-73.953003556460004</v>
      </c>
      <c r="B73">
        <v>40.792182245760003</v>
      </c>
      <c r="C73" t="s">
        <v>283</v>
      </c>
      <c r="D73" t="s">
        <v>85</v>
      </c>
      <c r="E73" t="s">
        <v>33</v>
      </c>
      <c r="F73">
        <v>10072018</v>
      </c>
      <c r="G73">
        <v>7</v>
      </c>
      <c r="H73" t="s">
        <v>48</v>
      </c>
      <c r="I73" t="s">
        <v>42</v>
      </c>
      <c r="K73" t="s">
        <v>43</v>
      </c>
      <c r="M73" t="s">
        <v>65</v>
      </c>
      <c r="N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1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1</v>
      </c>
      <c r="AC73" t="b">
        <v>0</v>
      </c>
      <c r="AE73" t="s">
        <v>284</v>
      </c>
    </row>
    <row r="74" spans="1:31" x14ac:dyDescent="0.3">
      <c r="A74">
        <v>-73.961569657769999</v>
      </c>
      <c r="B74">
        <v>40.795127862240001</v>
      </c>
      <c r="C74" t="s">
        <v>285</v>
      </c>
      <c r="D74" t="s">
        <v>286</v>
      </c>
      <c r="E74" t="s">
        <v>38</v>
      </c>
      <c r="F74">
        <v>10142018</v>
      </c>
      <c r="G74">
        <v>3</v>
      </c>
      <c r="H74" t="s">
        <v>48</v>
      </c>
      <c r="I74" t="s">
        <v>42</v>
      </c>
      <c r="J74" t="s">
        <v>59</v>
      </c>
      <c r="K74" t="s">
        <v>79</v>
      </c>
      <c r="M74" t="s">
        <v>65</v>
      </c>
      <c r="N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1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1</v>
      </c>
      <c r="AC74" t="b">
        <v>0</v>
      </c>
      <c r="AE74" t="s">
        <v>287</v>
      </c>
    </row>
    <row r="75" spans="1:31" x14ac:dyDescent="0.3">
      <c r="A75">
        <v>-73.964474835999994</v>
      </c>
      <c r="B75">
        <v>40.788384010469997</v>
      </c>
      <c r="C75" t="s">
        <v>288</v>
      </c>
      <c r="D75" t="s">
        <v>289</v>
      </c>
      <c r="E75" t="s">
        <v>33</v>
      </c>
      <c r="F75">
        <v>10062018</v>
      </c>
      <c r="G75">
        <v>1</v>
      </c>
      <c r="H75" t="s">
        <v>48</v>
      </c>
      <c r="I75" t="s">
        <v>42</v>
      </c>
      <c r="J75" t="s">
        <v>53</v>
      </c>
      <c r="K75" t="s">
        <v>54</v>
      </c>
      <c r="M75" t="s">
        <v>65</v>
      </c>
      <c r="N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s">
        <v>290</v>
      </c>
      <c r="V75" t="b">
        <v>0</v>
      </c>
      <c r="W75" t="b">
        <v>0</v>
      </c>
      <c r="X75" t="b">
        <v>0</v>
      </c>
      <c r="Y75" t="b">
        <v>1</v>
      </c>
      <c r="Z75" t="b">
        <v>0</v>
      </c>
      <c r="AA75" t="b">
        <v>0</v>
      </c>
      <c r="AB75" t="b">
        <v>0</v>
      </c>
      <c r="AC75" t="b">
        <v>1</v>
      </c>
      <c r="AD75" t="s">
        <v>291</v>
      </c>
      <c r="AE75" t="s">
        <v>292</v>
      </c>
    </row>
    <row r="76" spans="1:31" x14ac:dyDescent="0.3">
      <c r="A76">
        <v>-73.961070559289993</v>
      </c>
      <c r="B76">
        <v>40.791482966110003</v>
      </c>
      <c r="C76" t="s">
        <v>293</v>
      </c>
      <c r="D76" t="s">
        <v>294</v>
      </c>
      <c r="E76" t="s">
        <v>38</v>
      </c>
      <c r="F76">
        <v>10132018</v>
      </c>
      <c r="G76">
        <v>6</v>
      </c>
      <c r="H76" t="s">
        <v>48</v>
      </c>
      <c r="I76" t="s">
        <v>53</v>
      </c>
      <c r="K76" t="s">
        <v>155</v>
      </c>
      <c r="M76" t="s">
        <v>65</v>
      </c>
      <c r="N76" t="b">
        <v>0</v>
      </c>
      <c r="P76" t="b">
        <v>1</v>
      </c>
      <c r="Q76" t="b">
        <v>0</v>
      </c>
      <c r="R76" t="b">
        <v>0</v>
      </c>
      <c r="S76" t="b">
        <v>1</v>
      </c>
      <c r="T76" t="b">
        <v>1</v>
      </c>
      <c r="U76" t="s">
        <v>295</v>
      </c>
      <c r="V76" t="b">
        <v>0</v>
      </c>
      <c r="W76" t="b">
        <v>0</v>
      </c>
      <c r="X76" t="b">
        <v>0</v>
      </c>
      <c r="Y76" t="b">
        <v>0</v>
      </c>
      <c r="Z76" t="b">
        <v>1</v>
      </c>
      <c r="AA76" t="b">
        <v>1</v>
      </c>
      <c r="AB76" t="b">
        <v>0</v>
      </c>
      <c r="AC76" t="b">
        <v>0</v>
      </c>
      <c r="AE76" t="s">
        <v>296</v>
      </c>
    </row>
    <row r="77" spans="1:31" x14ac:dyDescent="0.3">
      <c r="A77">
        <v>-73.96884544836</v>
      </c>
      <c r="B77">
        <v>40.784530128820002</v>
      </c>
      <c r="C77" t="s">
        <v>297</v>
      </c>
      <c r="D77" t="s">
        <v>298</v>
      </c>
      <c r="E77" t="s">
        <v>38</v>
      </c>
      <c r="F77">
        <v>10082018</v>
      </c>
      <c r="G77">
        <v>5</v>
      </c>
      <c r="H77" t="s">
        <v>48</v>
      </c>
      <c r="I77" t="s">
        <v>42</v>
      </c>
      <c r="J77" t="s">
        <v>59</v>
      </c>
      <c r="K77" t="s">
        <v>79</v>
      </c>
      <c r="M77" t="s">
        <v>44</v>
      </c>
      <c r="N77">
        <v>3</v>
      </c>
      <c r="O77" t="s">
        <v>299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V77" t="b">
        <v>0</v>
      </c>
      <c r="W77" t="b">
        <v>0</v>
      </c>
      <c r="X77" t="b">
        <v>0</v>
      </c>
      <c r="Y77" t="b">
        <v>1</v>
      </c>
      <c r="Z77" t="b">
        <v>0</v>
      </c>
      <c r="AA77" t="b">
        <v>0</v>
      </c>
      <c r="AB77" t="b">
        <v>0</v>
      </c>
      <c r="AC77" t="b">
        <v>1</v>
      </c>
      <c r="AE77" t="s">
        <v>300</v>
      </c>
    </row>
    <row r="78" spans="1:31" x14ac:dyDescent="0.3">
      <c r="A78">
        <v>-73.957823716839997</v>
      </c>
      <c r="B78">
        <v>40.798095947100002</v>
      </c>
      <c r="C78" t="s">
        <v>301</v>
      </c>
      <c r="D78" t="s">
        <v>212</v>
      </c>
      <c r="E78" t="s">
        <v>33</v>
      </c>
      <c r="F78">
        <v>10142018</v>
      </c>
      <c r="G78">
        <v>6</v>
      </c>
      <c r="H78" t="s">
        <v>48</v>
      </c>
      <c r="I78" t="s">
        <v>42</v>
      </c>
      <c r="J78" t="s">
        <v>53</v>
      </c>
      <c r="K78" t="s">
        <v>54</v>
      </c>
      <c r="M78" t="s">
        <v>65</v>
      </c>
      <c r="N78" t="b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1</v>
      </c>
      <c r="AC78" t="b">
        <v>0</v>
      </c>
      <c r="AE78" t="s">
        <v>302</v>
      </c>
    </row>
    <row r="79" spans="1:31" x14ac:dyDescent="0.3">
      <c r="A79">
        <v>-73.968827120239993</v>
      </c>
      <c r="B79">
        <v>40.780971944530002</v>
      </c>
      <c r="C79" t="s">
        <v>303</v>
      </c>
      <c r="D79" t="s">
        <v>304</v>
      </c>
      <c r="E79" t="s">
        <v>33</v>
      </c>
      <c r="F79">
        <v>10182018</v>
      </c>
      <c r="G79">
        <v>1</v>
      </c>
      <c r="H79" t="s">
        <v>48</v>
      </c>
      <c r="I79" t="s">
        <v>42</v>
      </c>
      <c r="J79" t="s">
        <v>59</v>
      </c>
      <c r="K79" t="s">
        <v>79</v>
      </c>
      <c r="M79" t="s">
        <v>65</v>
      </c>
      <c r="N79" t="b">
        <v>0</v>
      </c>
      <c r="P79" t="b">
        <v>1</v>
      </c>
      <c r="Q79" t="b">
        <v>1</v>
      </c>
      <c r="R79" t="b">
        <v>0</v>
      </c>
      <c r="S79" t="b">
        <v>1</v>
      </c>
      <c r="T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1</v>
      </c>
      <c r="AA79" t="b">
        <v>0</v>
      </c>
      <c r="AB79" t="b">
        <v>1</v>
      </c>
      <c r="AC79" t="b">
        <v>0</v>
      </c>
      <c r="AE79" t="s">
        <v>305</v>
      </c>
    </row>
    <row r="80" spans="1:31" x14ac:dyDescent="0.3">
      <c r="A80">
        <v>-73.961708874989995</v>
      </c>
      <c r="B80">
        <v>40.794458508239998</v>
      </c>
      <c r="C80" t="s">
        <v>306</v>
      </c>
      <c r="D80" t="s">
        <v>286</v>
      </c>
      <c r="E80" t="s">
        <v>33</v>
      </c>
      <c r="F80">
        <v>10132018</v>
      </c>
      <c r="G80">
        <v>6</v>
      </c>
      <c r="H80" t="s">
        <v>48</v>
      </c>
      <c r="I80" t="s">
        <v>53</v>
      </c>
      <c r="K80" t="s">
        <v>155</v>
      </c>
      <c r="M80" t="s">
        <v>65</v>
      </c>
      <c r="N80" t="b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1</v>
      </c>
      <c r="AE80" t="s">
        <v>307</v>
      </c>
    </row>
    <row r="81" spans="1:31" x14ac:dyDescent="0.3">
      <c r="A81">
        <v>-73.970182482590005</v>
      </c>
      <c r="B81">
        <v>40.776653057929998</v>
      </c>
      <c r="C81" t="s">
        <v>308</v>
      </c>
      <c r="D81" t="s">
        <v>100</v>
      </c>
      <c r="E81" t="s">
        <v>38</v>
      </c>
      <c r="F81">
        <v>10082018</v>
      </c>
      <c r="G81">
        <v>9</v>
      </c>
      <c r="H81" t="s">
        <v>48</v>
      </c>
      <c r="I81" t="s">
        <v>42</v>
      </c>
      <c r="K81" t="s">
        <v>43</v>
      </c>
      <c r="M81" t="s">
        <v>65</v>
      </c>
      <c r="N81" t="b">
        <v>0</v>
      </c>
      <c r="P81" t="b">
        <v>1</v>
      </c>
      <c r="Q81" t="b">
        <v>1</v>
      </c>
      <c r="R81" t="b">
        <v>0</v>
      </c>
      <c r="S81" t="b">
        <v>0</v>
      </c>
      <c r="T81" t="b">
        <v>0</v>
      </c>
      <c r="V81" t="b">
        <v>1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1</v>
      </c>
      <c r="AE81" t="s">
        <v>309</v>
      </c>
    </row>
    <row r="82" spans="1:31" x14ac:dyDescent="0.3">
      <c r="A82">
        <v>-73.96764104975</v>
      </c>
      <c r="B82">
        <v>40.776604351300001</v>
      </c>
      <c r="C82" t="s">
        <v>310</v>
      </c>
      <c r="D82" t="s">
        <v>311</v>
      </c>
      <c r="E82" t="s">
        <v>33</v>
      </c>
      <c r="F82">
        <v>10192018</v>
      </c>
      <c r="G82">
        <v>5</v>
      </c>
      <c r="H82" t="s">
        <v>48</v>
      </c>
      <c r="I82" t="s">
        <v>42</v>
      </c>
      <c r="J82" t="s">
        <v>53</v>
      </c>
      <c r="K82" t="s">
        <v>54</v>
      </c>
      <c r="M82" t="s">
        <v>44</v>
      </c>
      <c r="N82">
        <v>4</v>
      </c>
      <c r="P82" t="b">
        <v>0</v>
      </c>
      <c r="Q82" t="b">
        <v>0</v>
      </c>
      <c r="R82" t="b">
        <v>1</v>
      </c>
      <c r="S82" t="b">
        <v>0</v>
      </c>
      <c r="T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E82" t="s">
        <v>312</v>
      </c>
    </row>
    <row r="83" spans="1:31" x14ac:dyDescent="0.3">
      <c r="A83">
        <v>-73.970872605069999</v>
      </c>
      <c r="B83">
        <v>40.77235720302</v>
      </c>
      <c r="C83" t="s">
        <v>313</v>
      </c>
      <c r="D83" t="s">
        <v>314</v>
      </c>
      <c r="E83" t="s">
        <v>38</v>
      </c>
      <c r="F83">
        <v>10072018</v>
      </c>
      <c r="G83">
        <v>2</v>
      </c>
      <c r="H83" t="s">
        <v>48</v>
      </c>
      <c r="I83" t="s">
        <v>42</v>
      </c>
      <c r="K83" t="s">
        <v>43</v>
      </c>
      <c r="M83" t="s">
        <v>44</v>
      </c>
      <c r="N83">
        <v>70</v>
      </c>
      <c r="P83" t="b">
        <v>0</v>
      </c>
      <c r="Q83" t="b">
        <v>0</v>
      </c>
      <c r="R83" t="b">
        <v>1</v>
      </c>
      <c r="S83" t="b">
        <v>0</v>
      </c>
      <c r="T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E83" t="s">
        <v>315</v>
      </c>
    </row>
    <row r="84" spans="1:31" x14ac:dyDescent="0.3">
      <c r="A84">
        <v>-73.954145346580006</v>
      </c>
      <c r="B84">
        <v>40.798216222379999</v>
      </c>
      <c r="C84" t="s">
        <v>316</v>
      </c>
      <c r="D84" t="s">
        <v>317</v>
      </c>
      <c r="E84" t="s">
        <v>33</v>
      </c>
      <c r="F84">
        <v>10122018</v>
      </c>
      <c r="G84">
        <v>6</v>
      </c>
      <c r="H84" t="s">
        <v>48</v>
      </c>
      <c r="I84" t="s">
        <v>53</v>
      </c>
      <c r="J84" t="s">
        <v>115</v>
      </c>
      <c r="K84" t="s">
        <v>116</v>
      </c>
      <c r="M84" t="s">
        <v>65</v>
      </c>
      <c r="N84" t="b">
        <v>0</v>
      </c>
      <c r="P84" t="b">
        <v>1</v>
      </c>
      <c r="Q84" t="b">
        <v>0</v>
      </c>
      <c r="R84" t="b">
        <v>0</v>
      </c>
      <c r="S84" t="b">
        <v>0</v>
      </c>
      <c r="T84" t="b">
        <v>1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1</v>
      </c>
      <c r="AE84" t="s">
        <v>318</v>
      </c>
    </row>
    <row r="85" spans="1:31" x14ac:dyDescent="0.3">
      <c r="A85">
        <v>-73.968360829600002</v>
      </c>
      <c r="B85">
        <v>40.784292740529999</v>
      </c>
      <c r="C85" t="s">
        <v>319</v>
      </c>
      <c r="D85" t="s">
        <v>320</v>
      </c>
      <c r="E85" t="s">
        <v>38</v>
      </c>
      <c r="F85">
        <v>10132018</v>
      </c>
      <c r="G85">
        <v>4</v>
      </c>
      <c r="H85" t="s">
        <v>48</v>
      </c>
      <c r="I85" t="s">
        <v>53</v>
      </c>
      <c r="K85" t="s">
        <v>155</v>
      </c>
      <c r="M85" t="s">
        <v>65</v>
      </c>
      <c r="N85" t="b">
        <v>0</v>
      </c>
      <c r="O85" t="s">
        <v>321</v>
      </c>
      <c r="P85" t="b">
        <v>0</v>
      </c>
      <c r="Q85" t="b">
        <v>0</v>
      </c>
      <c r="R85" t="b">
        <v>0</v>
      </c>
      <c r="S85" t="b">
        <v>0</v>
      </c>
      <c r="T85" t="b">
        <v>1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1</v>
      </c>
      <c r="AD85" t="s">
        <v>322</v>
      </c>
      <c r="AE85" t="s">
        <v>323</v>
      </c>
    </row>
    <row r="86" spans="1:31" x14ac:dyDescent="0.3">
      <c r="A86">
        <v>-73.968052057989993</v>
      </c>
      <c r="B86">
        <v>40.77733866653</v>
      </c>
      <c r="C86" t="s">
        <v>324</v>
      </c>
      <c r="D86" t="s">
        <v>232</v>
      </c>
      <c r="E86" t="s">
        <v>33</v>
      </c>
      <c r="F86">
        <v>10102018</v>
      </c>
      <c r="G86">
        <v>6</v>
      </c>
      <c r="H86" t="s">
        <v>48</v>
      </c>
      <c r="I86" t="s">
        <v>42</v>
      </c>
      <c r="K86" t="s">
        <v>43</v>
      </c>
      <c r="M86" t="s">
        <v>65</v>
      </c>
      <c r="N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1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1</v>
      </c>
      <c r="AC86" t="b">
        <v>0</v>
      </c>
      <c r="AE86" t="s">
        <v>325</v>
      </c>
    </row>
    <row r="87" spans="1:31" x14ac:dyDescent="0.3">
      <c r="A87">
        <v>-73.978718087070007</v>
      </c>
      <c r="B87">
        <v>40.771587786330002</v>
      </c>
      <c r="C87" t="s">
        <v>326</v>
      </c>
      <c r="D87" t="s">
        <v>327</v>
      </c>
      <c r="E87" t="s">
        <v>38</v>
      </c>
      <c r="F87">
        <v>10062018</v>
      </c>
      <c r="G87">
        <v>5</v>
      </c>
      <c r="H87" t="s">
        <v>48</v>
      </c>
      <c r="I87" t="s">
        <v>42</v>
      </c>
      <c r="J87" t="s">
        <v>53</v>
      </c>
      <c r="K87" t="s">
        <v>54</v>
      </c>
      <c r="M87" t="s">
        <v>65</v>
      </c>
      <c r="N87" t="b">
        <v>0</v>
      </c>
      <c r="O87" t="s">
        <v>328</v>
      </c>
      <c r="P87" t="b">
        <v>0</v>
      </c>
      <c r="Q87" t="b">
        <v>0</v>
      </c>
      <c r="R87" t="b">
        <v>0</v>
      </c>
      <c r="S87" t="b">
        <v>0</v>
      </c>
      <c r="T87" t="b">
        <v>1</v>
      </c>
      <c r="V87" t="b">
        <v>0</v>
      </c>
      <c r="W87" t="b">
        <v>0</v>
      </c>
      <c r="X87" t="b">
        <v>0</v>
      </c>
      <c r="Y87" t="b">
        <v>1</v>
      </c>
      <c r="Z87" t="b">
        <v>0</v>
      </c>
      <c r="AA87" t="b">
        <v>0</v>
      </c>
      <c r="AB87" t="b">
        <v>0</v>
      </c>
      <c r="AC87" t="b">
        <v>1</v>
      </c>
      <c r="AE87" t="s">
        <v>329</v>
      </c>
    </row>
    <row r="88" spans="1:31" x14ac:dyDescent="0.3">
      <c r="A88">
        <v>-73.956590586830004</v>
      </c>
      <c r="B88">
        <v>40.789565406850002</v>
      </c>
      <c r="C88" t="s">
        <v>330</v>
      </c>
      <c r="D88" t="s">
        <v>331</v>
      </c>
      <c r="E88" t="s">
        <v>33</v>
      </c>
      <c r="F88">
        <v>10062018</v>
      </c>
      <c r="G88">
        <v>1</v>
      </c>
      <c r="I88" t="s">
        <v>42</v>
      </c>
      <c r="K88" t="s">
        <v>43</v>
      </c>
      <c r="M88" t="s">
        <v>44</v>
      </c>
      <c r="O88" t="s">
        <v>332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E88" t="s">
        <v>333</v>
      </c>
    </row>
    <row r="89" spans="1:31" x14ac:dyDescent="0.3">
      <c r="A89">
        <v>-73.956575973360003</v>
      </c>
      <c r="B89">
        <v>40.79924616748</v>
      </c>
      <c r="C89" t="s">
        <v>334</v>
      </c>
      <c r="D89" t="s">
        <v>335</v>
      </c>
      <c r="E89" t="s">
        <v>38</v>
      </c>
      <c r="F89">
        <v>10072018</v>
      </c>
      <c r="G89">
        <v>2</v>
      </c>
      <c r="K89" t="s">
        <v>34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V89" t="b">
        <v>0</v>
      </c>
      <c r="W89" t="b">
        <v>1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E89" t="s">
        <v>336</v>
      </c>
    </row>
    <row r="90" spans="1:31" x14ac:dyDescent="0.3">
      <c r="A90">
        <v>-73.955153949830006</v>
      </c>
      <c r="B90">
        <v>40.798738465630002</v>
      </c>
      <c r="C90" t="s">
        <v>337</v>
      </c>
      <c r="D90" t="s">
        <v>338</v>
      </c>
      <c r="E90" t="s">
        <v>38</v>
      </c>
      <c r="F90">
        <v>10142018</v>
      </c>
      <c r="G90">
        <v>1</v>
      </c>
      <c r="H90" t="s">
        <v>48</v>
      </c>
      <c r="I90" t="s">
        <v>42</v>
      </c>
      <c r="J90" t="s">
        <v>176</v>
      </c>
      <c r="K90" t="s">
        <v>339</v>
      </c>
      <c r="M90" t="s">
        <v>65</v>
      </c>
      <c r="N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1</v>
      </c>
      <c r="U90" t="s">
        <v>340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1</v>
      </c>
      <c r="AC90" t="b">
        <v>0</v>
      </c>
      <c r="AE90" t="s">
        <v>341</v>
      </c>
    </row>
    <row r="91" spans="1:31" x14ac:dyDescent="0.3">
      <c r="A91">
        <v>-73.964197181399996</v>
      </c>
      <c r="B91">
        <v>40.781353795939999</v>
      </c>
      <c r="C91" t="s">
        <v>342</v>
      </c>
      <c r="D91" t="s">
        <v>343</v>
      </c>
      <c r="E91" t="s">
        <v>33</v>
      </c>
      <c r="F91">
        <v>10072018</v>
      </c>
      <c r="G91">
        <v>1</v>
      </c>
      <c r="H91" t="s">
        <v>48</v>
      </c>
      <c r="I91" t="s">
        <v>42</v>
      </c>
      <c r="J91" t="s">
        <v>53</v>
      </c>
      <c r="K91" t="s">
        <v>54</v>
      </c>
      <c r="M91" t="s">
        <v>65</v>
      </c>
      <c r="N91" t="b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V91" t="b">
        <v>0</v>
      </c>
      <c r="W91" t="b">
        <v>0</v>
      </c>
      <c r="X91" t="b">
        <v>0</v>
      </c>
      <c r="Y91" t="b">
        <v>1</v>
      </c>
      <c r="Z91" t="b">
        <v>0</v>
      </c>
      <c r="AA91" t="b">
        <v>0</v>
      </c>
      <c r="AB91" t="b">
        <v>1</v>
      </c>
      <c r="AC91" t="b">
        <v>0</v>
      </c>
      <c r="AE91" t="s">
        <v>344</v>
      </c>
    </row>
    <row r="92" spans="1:31" x14ac:dyDescent="0.3">
      <c r="A92">
        <v>-73.969288397089997</v>
      </c>
      <c r="B92">
        <v>40.776855370310003</v>
      </c>
      <c r="C92" t="s">
        <v>345</v>
      </c>
      <c r="D92" t="s">
        <v>100</v>
      </c>
      <c r="E92" t="s">
        <v>38</v>
      </c>
      <c r="F92">
        <v>10082018</v>
      </c>
      <c r="G92">
        <v>2</v>
      </c>
      <c r="H92" t="s">
        <v>48</v>
      </c>
      <c r="I92" t="s">
        <v>42</v>
      </c>
      <c r="K92" t="s">
        <v>43</v>
      </c>
      <c r="M92" t="s">
        <v>65</v>
      </c>
      <c r="N92" t="b">
        <v>0</v>
      </c>
      <c r="P92" t="b">
        <v>1</v>
      </c>
      <c r="Q92" t="b">
        <v>0</v>
      </c>
      <c r="R92" t="b">
        <v>0</v>
      </c>
      <c r="S92" t="b">
        <v>0</v>
      </c>
      <c r="T92" t="b">
        <v>1</v>
      </c>
      <c r="U92" t="s">
        <v>101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1</v>
      </c>
      <c r="AE92" t="s">
        <v>346</v>
      </c>
    </row>
    <row r="93" spans="1:31" x14ac:dyDescent="0.3">
      <c r="A93">
        <v>-73.970854967080001</v>
      </c>
      <c r="B93">
        <v>40.769958701909999</v>
      </c>
      <c r="C93" t="s">
        <v>347</v>
      </c>
      <c r="D93" t="s">
        <v>92</v>
      </c>
      <c r="E93" t="s">
        <v>33</v>
      </c>
      <c r="F93">
        <v>10062018</v>
      </c>
      <c r="G93">
        <v>4</v>
      </c>
      <c r="H93" t="s">
        <v>48</v>
      </c>
      <c r="I93" t="s">
        <v>42</v>
      </c>
      <c r="K93" t="s">
        <v>43</v>
      </c>
      <c r="M93" t="s">
        <v>44</v>
      </c>
      <c r="N93">
        <v>12</v>
      </c>
      <c r="O93" t="s">
        <v>348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s">
        <v>121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1</v>
      </c>
      <c r="AC93" t="b">
        <v>0</v>
      </c>
      <c r="AE93" t="s">
        <v>349</v>
      </c>
    </row>
    <row r="94" spans="1:31" x14ac:dyDescent="0.3">
      <c r="A94">
        <v>-73.963974400560005</v>
      </c>
      <c r="B94">
        <v>40.782511195079998</v>
      </c>
      <c r="C94" t="s">
        <v>350</v>
      </c>
      <c r="D94" t="s">
        <v>82</v>
      </c>
      <c r="E94" t="s">
        <v>38</v>
      </c>
      <c r="F94">
        <v>10072018</v>
      </c>
      <c r="G94">
        <v>1</v>
      </c>
      <c r="H94" t="s">
        <v>48</v>
      </c>
      <c r="I94" t="s">
        <v>42</v>
      </c>
      <c r="J94" t="s">
        <v>53</v>
      </c>
      <c r="K94" t="s">
        <v>54</v>
      </c>
      <c r="M94" t="s">
        <v>65</v>
      </c>
      <c r="N94" t="b">
        <v>0</v>
      </c>
      <c r="P94" t="b">
        <v>0</v>
      </c>
      <c r="Q94" t="b">
        <v>0</v>
      </c>
      <c r="R94" t="b">
        <v>1</v>
      </c>
      <c r="S94" t="b">
        <v>0</v>
      </c>
      <c r="T94" t="b">
        <v>1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1</v>
      </c>
      <c r="AC94" t="b">
        <v>0</v>
      </c>
      <c r="AE94" t="s">
        <v>351</v>
      </c>
    </row>
    <row r="95" spans="1:31" x14ac:dyDescent="0.3">
      <c r="A95">
        <v>-73.973027791139998</v>
      </c>
      <c r="B95">
        <v>40.771214548880003</v>
      </c>
      <c r="C95" t="s">
        <v>352</v>
      </c>
      <c r="D95" t="s">
        <v>353</v>
      </c>
      <c r="E95" t="s">
        <v>38</v>
      </c>
      <c r="F95">
        <v>10082018</v>
      </c>
      <c r="G95">
        <v>16</v>
      </c>
      <c r="H95" t="s">
        <v>105</v>
      </c>
      <c r="I95" t="s">
        <v>42</v>
      </c>
      <c r="K95" t="s">
        <v>43</v>
      </c>
      <c r="M95" t="s">
        <v>44</v>
      </c>
      <c r="N95">
        <v>2</v>
      </c>
      <c r="O95" t="s">
        <v>190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1</v>
      </c>
      <c r="AE95" t="s">
        <v>354</v>
      </c>
    </row>
    <row r="96" spans="1:31" x14ac:dyDescent="0.3">
      <c r="A96">
        <v>-73.971054140570004</v>
      </c>
      <c r="B96">
        <v>40.772469160569997</v>
      </c>
      <c r="C96" t="s">
        <v>355</v>
      </c>
      <c r="D96" t="s">
        <v>314</v>
      </c>
      <c r="E96" t="s">
        <v>33</v>
      </c>
      <c r="F96">
        <v>10192018</v>
      </c>
      <c r="G96">
        <v>5</v>
      </c>
      <c r="H96" t="s">
        <v>48</v>
      </c>
      <c r="I96" t="s">
        <v>176</v>
      </c>
      <c r="K96" t="s">
        <v>177</v>
      </c>
      <c r="M96" t="s">
        <v>44</v>
      </c>
      <c r="N96">
        <v>10</v>
      </c>
      <c r="O96" t="s">
        <v>356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1</v>
      </c>
      <c r="AC96" t="b">
        <v>0</v>
      </c>
      <c r="AE96" t="s">
        <v>357</v>
      </c>
    </row>
    <row r="97" spans="1:31" x14ac:dyDescent="0.3">
      <c r="A97">
        <v>-73.976159253250003</v>
      </c>
      <c r="B97">
        <v>40.774721358539999</v>
      </c>
      <c r="C97" t="s">
        <v>358</v>
      </c>
      <c r="D97" t="s">
        <v>147</v>
      </c>
      <c r="E97" t="s">
        <v>38</v>
      </c>
      <c r="F97">
        <v>10062018</v>
      </c>
      <c r="G97">
        <v>4</v>
      </c>
      <c r="H97" t="s">
        <v>105</v>
      </c>
      <c r="I97" t="s">
        <v>42</v>
      </c>
      <c r="K97" t="s">
        <v>43</v>
      </c>
      <c r="M97" t="s">
        <v>44</v>
      </c>
      <c r="N97">
        <v>10</v>
      </c>
      <c r="O97" t="s">
        <v>359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s">
        <v>360</v>
      </c>
      <c r="V97" t="b">
        <v>0</v>
      </c>
      <c r="W97" t="b">
        <v>0</v>
      </c>
      <c r="X97" t="b">
        <v>0</v>
      </c>
      <c r="Y97" t="b">
        <v>0</v>
      </c>
      <c r="Z97" t="b">
        <v>1</v>
      </c>
      <c r="AA97" t="b">
        <v>0</v>
      </c>
      <c r="AB97" t="b">
        <v>0</v>
      </c>
      <c r="AC97" t="b">
        <v>0</v>
      </c>
      <c r="AE97" t="s">
        <v>361</v>
      </c>
    </row>
    <row r="98" spans="1:31" x14ac:dyDescent="0.3">
      <c r="A98">
        <v>-73.954400765870005</v>
      </c>
      <c r="B98">
        <v>40.795068972309998</v>
      </c>
      <c r="C98" t="s">
        <v>362</v>
      </c>
      <c r="D98" t="s">
        <v>363</v>
      </c>
      <c r="E98" t="s">
        <v>33</v>
      </c>
      <c r="F98">
        <v>10132018</v>
      </c>
      <c r="G98">
        <v>5</v>
      </c>
      <c r="H98" t="s">
        <v>105</v>
      </c>
      <c r="I98" t="s">
        <v>42</v>
      </c>
      <c r="J98" t="s">
        <v>53</v>
      </c>
      <c r="K98" t="s">
        <v>54</v>
      </c>
      <c r="M98" t="s">
        <v>65</v>
      </c>
      <c r="N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1</v>
      </c>
      <c r="U98" t="s">
        <v>364</v>
      </c>
      <c r="V98" t="b">
        <v>1</v>
      </c>
      <c r="W98" t="b">
        <v>1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E98" t="s">
        <v>365</v>
      </c>
    </row>
    <row r="99" spans="1:31" x14ac:dyDescent="0.3">
      <c r="A99">
        <v>-73.957598616140004</v>
      </c>
      <c r="B99">
        <v>40.799368134970003</v>
      </c>
      <c r="C99" t="s">
        <v>366</v>
      </c>
      <c r="D99" t="s">
        <v>367</v>
      </c>
      <c r="E99" t="s">
        <v>33</v>
      </c>
      <c r="F99">
        <v>10142018</v>
      </c>
      <c r="G99">
        <v>1</v>
      </c>
      <c r="H99" t="s">
        <v>48</v>
      </c>
      <c r="I99" t="s">
        <v>42</v>
      </c>
      <c r="J99" t="s">
        <v>59</v>
      </c>
      <c r="K99" t="s">
        <v>79</v>
      </c>
      <c r="M99" t="s">
        <v>44</v>
      </c>
      <c r="N99">
        <v>25</v>
      </c>
      <c r="O99" t="s">
        <v>368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s">
        <v>369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1</v>
      </c>
      <c r="AE99" t="s">
        <v>370</v>
      </c>
    </row>
    <row r="100" spans="1:31" x14ac:dyDescent="0.3">
      <c r="A100">
        <v>-73.960770137040001</v>
      </c>
      <c r="B100">
        <v>40.795541899089997</v>
      </c>
      <c r="C100" t="s">
        <v>371</v>
      </c>
      <c r="D100" t="s">
        <v>372</v>
      </c>
      <c r="E100" t="s">
        <v>33</v>
      </c>
      <c r="F100">
        <v>10132018</v>
      </c>
      <c r="G100">
        <v>7</v>
      </c>
      <c r="I100" t="s">
        <v>42</v>
      </c>
      <c r="K100" t="s">
        <v>43</v>
      </c>
      <c r="M100" t="s">
        <v>65</v>
      </c>
      <c r="N100" t="b">
        <v>0</v>
      </c>
      <c r="O100" t="s">
        <v>373</v>
      </c>
      <c r="P100" t="b">
        <v>0</v>
      </c>
      <c r="Q100" t="b">
        <v>1</v>
      </c>
      <c r="R100" t="b">
        <v>0</v>
      </c>
      <c r="S100" t="b">
        <v>0</v>
      </c>
      <c r="T100" t="b">
        <v>0</v>
      </c>
      <c r="U100" t="s">
        <v>374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1</v>
      </c>
      <c r="AE100" t="s">
        <v>375</v>
      </c>
    </row>
    <row r="101" spans="1:31" x14ac:dyDescent="0.3">
      <c r="A101">
        <v>-73.976403652299993</v>
      </c>
      <c r="B101">
        <v>40.77058461851</v>
      </c>
      <c r="C101" t="s">
        <v>376</v>
      </c>
      <c r="D101" t="s">
        <v>88</v>
      </c>
      <c r="E101" t="s">
        <v>38</v>
      </c>
      <c r="F101">
        <v>10062018</v>
      </c>
      <c r="G101">
        <v>5</v>
      </c>
      <c r="H101" t="s">
        <v>48</v>
      </c>
      <c r="I101" t="s">
        <v>42</v>
      </c>
      <c r="J101" t="s">
        <v>96</v>
      </c>
      <c r="K101" t="s">
        <v>97</v>
      </c>
      <c r="M101" t="s">
        <v>65</v>
      </c>
      <c r="N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1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1</v>
      </c>
      <c r="AC101" t="b">
        <v>0</v>
      </c>
      <c r="AE101" t="s">
        <v>377</v>
      </c>
    </row>
    <row r="102" spans="1:31" x14ac:dyDescent="0.3">
      <c r="A102">
        <v>-73.958924955520004</v>
      </c>
      <c r="B102">
        <v>40.7908193285</v>
      </c>
      <c r="C102" t="s">
        <v>378</v>
      </c>
      <c r="D102" t="s">
        <v>47</v>
      </c>
      <c r="E102" t="s">
        <v>33</v>
      </c>
      <c r="F102">
        <v>10172018</v>
      </c>
      <c r="G102">
        <v>3</v>
      </c>
      <c r="H102" t="s">
        <v>48</v>
      </c>
      <c r="I102" t="s">
        <v>42</v>
      </c>
      <c r="K102" t="s">
        <v>43</v>
      </c>
      <c r="M102" t="s">
        <v>44</v>
      </c>
      <c r="N102">
        <v>2</v>
      </c>
      <c r="O102" t="s">
        <v>379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s">
        <v>380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1</v>
      </c>
      <c r="AC102" t="b">
        <v>0</v>
      </c>
      <c r="AE102" t="s">
        <v>381</v>
      </c>
    </row>
    <row r="103" spans="1:31" x14ac:dyDescent="0.3">
      <c r="A103">
        <v>-73.963462341880003</v>
      </c>
      <c r="B103">
        <v>40.791768540450001</v>
      </c>
      <c r="C103" t="s">
        <v>382</v>
      </c>
      <c r="D103" t="s">
        <v>383</v>
      </c>
      <c r="E103" t="s">
        <v>33</v>
      </c>
      <c r="F103">
        <v>10172018</v>
      </c>
      <c r="G103">
        <v>4</v>
      </c>
      <c r="H103" t="s">
        <v>48</v>
      </c>
      <c r="I103" t="s">
        <v>42</v>
      </c>
      <c r="J103" t="s">
        <v>59</v>
      </c>
      <c r="K103" t="s">
        <v>79</v>
      </c>
      <c r="M103" t="s">
        <v>65</v>
      </c>
      <c r="N103" t="b">
        <v>0</v>
      </c>
      <c r="P103" t="b">
        <v>0</v>
      </c>
      <c r="Q103" t="b">
        <v>0</v>
      </c>
      <c r="R103" t="b">
        <v>0</v>
      </c>
      <c r="S103" t="b">
        <v>1</v>
      </c>
      <c r="T103" t="b">
        <v>1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E103" t="s">
        <v>384</v>
      </c>
    </row>
    <row r="104" spans="1:31" x14ac:dyDescent="0.3">
      <c r="A104">
        <v>-73.952111015490004</v>
      </c>
      <c r="B104">
        <v>40.79784491433</v>
      </c>
      <c r="C104" t="s">
        <v>385</v>
      </c>
      <c r="D104" t="s">
        <v>386</v>
      </c>
      <c r="E104" t="s">
        <v>38</v>
      </c>
      <c r="F104">
        <v>10182018</v>
      </c>
      <c r="G104">
        <v>3</v>
      </c>
      <c r="H104" t="s">
        <v>48</v>
      </c>
      <c r="I104" t="s">
        <v>42</v>
      </c>
      <c r="J104" t="s">
        <v>53</v>
      </c>
      <c r="K104" t="s">
        <v>54</v>
      </c>
      <c r="M104" t="s">
        <v>65</v>
      </c>
      <c r="N104" t="b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s">
        <v>387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1</v>
      </c>
      <c r="AE104" t="s">
        <v>388</v>
      </c>
    </row>
    <row r="105" spans="1:31" x14ac:dyDescent="0.3">
      <c r="A105">
        <v>-73.957480902819995</v>
      </c>
      <c r="B105">
        <v>40.795001362020002</v>
      </c>
      <c r="C105" t="s">
        <v>389</v>
      </c>
      <c r="D105" t="s">
        <v>390</v>
      </c>
      <c r="E105" t="s">
        <v>33</v>
      </c>
      <c r="F105">
        <v>10142018</v>
      </c>
      <c r="G105">
        <v>4</v>
      </c>
      <c r="H105" t="s">
        <v>48</v>
      </c>
      <c r="I105" t="s">
        <v>42</v>
      </c>
      <c r="K105" t="s">
        <v>43</v>
      </c>
      <c r="M105" t="s">
        <v>65</v>
      </c>
      <c r="N105" t="b">
        <v>0</v>
      </c>
      <c r="P105" t="b">
        <v>0</v>
      </c>
      <c r="Q105" t="b">
        <v>1</v>
      </c>
      <c r="R105" t="b">
        <v>0</v>
      </c>
      <c r="S105" t="b">
        <v>0</v>
      </c>
      <c r="T105" t="b">
        <v>1</v>
      </c>
      <c r="U105" t="s">
        <v>391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1</v>
      </c>
      <c r="AE105" t="s">
        <v>392</v>
      </c>
    </row>
    <row r="106" spans="1:31" x14ac:dyDescent="0.3">
      <c r="A106">
        <v>-73.957043771770003</v>
      </c>
      <c r="B106">
        <v>40.794850940800004</v>
      </c>
      <c r="C106" t="s">
        <v>393</v>
      </c>
      <c r="D106" t="s">
        <v>394</v>
      </c>
      <c r="E106" t="s">
        <v>33</v>
      </c>
      <c r="F106">
        <v>10062018</v>
      </c>
      <c r="G106">
        <v>3</v>
      </c>
      <c r="H106" t="s">
        <v>48</v>
      </c>
      <c r="I106" t="s">
        <v>42</v>
      </c>
      <c r="J106" t="s">
        <v>53</v>
      </c>
      <c r="K106" t="s">
        <v>54</v>
      </c>
      <c r="M106" t="s">
        <v>65</v>
      </c>
      <c r="N106" t="b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1</v>
      </c>
      <c r="AD106" t="s">
        <v>395</v>
      </c>
      <c r="AE106" t="s">
        <v>396</v>
      </c>
    </row>
    <row r="107" spans="1:31" x14ac:dyDescent="0.3">
      <c r="A107">
        <v>-73.967097592710005</v>
      </c>
      <c r="B107">
        <v>40.78541193425</v>
      </c>
      <c r="C107" t="s">
        <v>397</v>
      </c>
      <c r="D107" t="s">
        <v>398</v>
      </c>
      <c r="E107" t="s">
        <v>38</v>
      </c>
      <c r="F107">
        <v>10132018</v>
      </c>
      <c r="G107">
        <v>1</v>
      </c>
      <c r="I107" t="s">
        <v>42</v>
      </c>
      <c r="K107" t="s">
        <v>43</v>
      </c>
      <c r="M107" t="s">
        <v>44</v>
      </c>
      <c r="N107">
        <v>50</v>
      </c>
      <c r="P107" t="b">
        <v>1</v>
      </c>
      <c r="Q107" t="b">
        <v>0</v>
      </c>
      <c r="R107" t="b">
        <v>0</v>
      </c>
      <c r="S107" t="b">
        <v>1</v>
      </c>
      <c r="T107" t="b">
        <v>0</v>
      </c>
      <c r="U107" t="s">
        <v>399</v>
      </c>
      <c r="V107" t="b">
        <v>0</v>
      </c>
      <c r="W107" t="b">
        <v>0</v>
      </c>
      <c r="X107" t="b">
        <v>0</v>
      </c>
      <c r="Y107" t="b">
        <v>0</v>
      </c>
      <c r="Z107" t="b">
        <v>1</v>
      </c>
      <c r="AA107" t="b">
        <v>0</v>
      </c>
      <c r="AB107" t="b">
        <v>0</v>
      </c>
      <c r="AC107" t="b">
        <v>1</v>
      </c>
      <c r="AE107" t="s">
        <v>400</v>
      </c>
    </row>
    <row r="108" spans="1:31" x14ac:dyDescent="0.3">
      <c r="A108">
        <v>-73.971131879029997</v>
      </c>
      <c r="B108">
        <v>40.770194155029998</v>
      </c>
      <c r="C108" t="s">
        <v>401</v>
      </c>
      <c r="D108" t="s">
        <v>402</v>
      </c>
      <c r="E108" t="s">
        <v>38</v>
      </c>
      <c r="F108">
        <v>10102018</v>
      </c>
      <c r="G108">
        <v>2</v>
      </c>
      <c r="H108" t="s">
        <v>48</v>
      </c>
      <c r="I108" t="s">
        <v>42</v>
      </c>
      <c r="K108" t="s">
        <v>43</v>
      </c>
      <c r="M108" t="s">
        <v>44</v>
      </c>
      <c r="N108">
        <v>3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1</v>
      </c>
      <c r="AA108" t="b">
        <v>0</v>
      </c>
      <c r="AB108" t="b">
        <v>0</v>
      </c>
      <c r="AC108" t="b">
        <v>1</v>
      </c>
      <c r="AE108" t="s">
        <v>403</v>
      </c>
    </row>
    <row r="109" spans="1:31" x14ac:dyDescent="0.3">
      <c r="A109">
        <v>-73.976324338379996</v>
      </c>
      <c r="B109">
        <v>40.770540931569997</v>
      </c>
      <c r="C109" t="s">
        <v>404</v>
      </c>
      <c r="D109" t="s">
        <v>88</v>
      </c>
      <c r="E109" t="s">
        <v>33</v>
      </c>
      <c r="F109">
        <v>10102018</v>
      </c>
      <c r="G109">
        <v>13</v>
      </c>
      <c r="H109" t="s">
        <v>48</v>
      </c>
      <c r="I109" t="s">
        <v>42</v>
      </c>
      <c r="J109" t="s">
        <v>59</v>
      </c>
      <c r="K109" t="s">
        <v>79</v>
      </c>
      <c r="M109" t="s">
        <v>44</v>
      </c>
      <c r="N109">
        <v>20</v>
      </c>
      <c r="O109" t="s">
        <v>405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E109" t="s">
        <v>406</v>
      </c>
    </row>
    <row r="110" spans="1:31" x14ac:dyDescent="0.3">
      <c r="A110">
        <v>-73.96517544644</v>
      </c>
      <c r="B110">
        <v>40.77551819416</v>
      </c>
      <c r="C110" t="s">
        <v>407</v>
      </c>
      <c r="D110" t="s">
        <v>408</v>
      </c>
      <c r="E110" t="s">
        <v>38</v>
      </c>
      <c r="F110">
        <v>10082018</v>
      </c>
      <c r="G110">
        <v>1</v>
      </c>
      <c r="H110" t="s">
        <v>48</v>
      </c>
      <c r="I110" t="s">
        <v>42</v>
      </c>
      <c r="J110" t="s">
        <v>53</v>
      </c>
      <c r="K110" t="s">
        <v>54</v>
      </c>
      <c r="M110" t="s">
        <v>44</v>
      </c>
      <c r="N110">
        <v>7</v>
      </c>
      <c r="O110" t="s">
        <v>190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1</v>
      </c>
      <c r="AC110" t="b">
        <v>0</v>
      </c>
      <c r="AE110" t="s">
        <v>409</v>
      </c>
    </row>
    <row r="111" spans="1:31" x14ac:dyDescent="0.3">
      <c r="A111">
        <v>-73.970010061759993</v>
      </c>
      <c r="B111">
        <v>40.781573995940001</v>
      </c>
      <c r="C111" t="s">
        <v>410</v>
      </c>
      <c r="D111" t="s">
        <v>411</v>
      </c>
      <c r="E111" t="s">
        <v>33</v>
      </c>
      <c r="F111">
        <v>10182018</v>
      </c>
      <c r="G111">
        <v>1</v>
      </c>
      <c r="H111" t="s">
        <v>48</v>
      </c>
      <c r="I111" t="s">
        <v>42</v>
      </c>
      <c r="J111" t="s">
        <v>148</v>
      </c>
      <c r="K111" t="s">
        <v>149</v>
      </c>
      <c r="M111" t="s">
        <v>44</v>
      </c>
      <c r="N111">
        <v>20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s">
        <v>412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E111" t="s">
        <v>413</v>
      </c>
    </row>
    <row r="112" spans="1:31" x14ac:dyDescent="0.3">
      <c r="A112">
        <v>-73.971905618210002</v>
      </c>
      <c r="B112">
        <v>40.776238547059997</v>
      </c>
      <c r="C112" t="s">
        <v>414</v>
      </c>
      <c r="D112" t="s">
        <v>415</v>
      </c>
      <c r="E112" t="s">
        <v>33</v>
      </c>
      <c r="F112">
        <v>10182018</v>
      </c>
      <c r="G112">
        <v>10</v>
      </c>
      <c r="H112" t="s">
        <v>48</v>
      </c>
      <c r="I112" t="s">
        <v>42</v>
      </c>
      <c r="J112" t="s">
        <v>96</v>
      </c>
      <c r="K112" t="s">
        <v>97</v>
      </c>
      <c r="M112" t="s">
        <v>65</v>
      </c>
      <c r="N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1</v>
      </c>
      <c r="V112" t="b">
        <v>0</v>
      </c>
      <c r="W112" t="b">
        <v>0</v>
      </c>
      <c r="X112" t="b">
        <v>0</v>
      </c>
      <c r="Y112" t="b">
        <v>0</v>
      </c>
      <c r="Z112" t="b">
        <v>1</v>
      </c>
      <c r="AA112" t="b">
        <v>0</v>
      </c>
      <c r="AB112" t="b">
        <v>1</v>
      </c>
      <c r="AC112" t="b">
        <v>0</v>
      </c>
      <c r="AE112" t="s">
        <v>416</v>
      </c>
    </row>
    <row r="113" spans="1:31" x14ac:dyDescent="0.3">
      <c r="A113">
        <v>-73.953004092360004</v>
      </c>
      <c r="B113">
        <v>40.792289617690003</v>
      </c>
      <c r="C113" t="s">
        <v>417</v>
      </c>
      <c r="D113" t="s">
        <v>85</v>
      </c>
      <c r="E113" t="s">
        <v>33</v>
      </c>
      <c r="F113">
        <v>10072018</v>
      </c>
      <c r="G113">
        <v>10</v>
      </c>
      <c r="H113" t="s">
        <v>105</v>
      </c>
      <c r="I113" t="s">
        <v>42</v>
      </c>
      <c r="J113" t="s">
        <v>59</v>
      </c>
      <c r="K113" t="s">
        <v>79</v>
      </c>
      <c r="M113" t="s">
        <v>65</v>
      </c>
      <c r="N113" t="b">
        <v>0</v>
      </c>
      <c r="P113" t="b">
        <v>0</v>
      </c>
      <c r="Q113" t="b">
        <v>0</v>
      </c>
      <c r="R113" t="b">
        <v>0</v>
      </c>
      <c r="S113" t="b">
        <v>1</v>
      </c>
      <c r="T113" t="b">
        <v>0</v>
      </c>
      <c r="U113" t="s">
        <v>418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1</v>
      </c>
      <c r="AC113" t="b">
        <v>0</v>
      </c>
      <c r="AE113" t="s">
        <v>419</v>
      </c>
    </row>
    <row r="114" spans="1:31" x14ac:dyDescent="0.3">
      <c r="A114">
        <v>-73.957209376050002</v>
      </c>
      <c r="B114">
        <v>40.798848730019998</v>
      </c>
      <c r="C114" t="s">
        <v>420</v>
      </c>
      <c r="D114" t="s">
        <v>367</v>
      </c>
      <c r="E114" t="s">
        <v>38</v>
      </c>
      <c r="F114">
        <v>10102018</v>
      </c>
      <c r="G114">
        <v>6</v>
      </c>
      <c r="H114" t="s">
        <v>48</v>
      </c>
      <c r="I114" t="s">
        <v>42</v>
      </c>
      <c r="J114" t="s">
        <v>96</v>
      </c>
      <c r="K114" t="s">
        <v>97</v>
      </c>
      <c r="M114" t="s">
        <v>44</v>
      </c>
      <c r="N114">
        <v>6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E114" t="s">
        <v>421</v>
      </c>
    </row>
    <row r="115" spans="1:31" x14ac:dyDescent="0.3">
      <c r="A115">
        <v>-73.9607746338</v>
      </c>
      <c r="B115">
        <v>40.793958106940003</v>
      </c>
      <c r="C115" t="s">
        <v>422</v>
      </c>
      <c r="D115" t="s">
        <v>423</v>
      </c>
      <c r="E115" t="s">
        <v>38</v>
      </c>
      <c r="F115">
        <v>10102018</v>
      </c>
      <c r="G115">
        <v>1</v>
      </c>
      <c r="H115" t="s">
        <v>48</v>
      </c>
      <c r="I115" t="s">
        <v>42</v>
      </c>
      <c r="K115" t="s">
        <v>43</v>
      </c>
      <c r="M115" t="s">
        <v>65</v>
      </c>
      <c r="N115" t="b">
        <v>0</v>
      </c>
      <c r="O115" t="s">
        <v>424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s">
        <v>425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1</v>
      </c>
      <c r="AC115" t="b">
        <v>0</v>
      </c>
      <c r="AE115" t="s">
        <v>426</v>
      </c>
    </row>
    <row r="116" spans="1:31" x14ac:dyDescent="0.3">
      <c r="A116">
        <v>-73.956634604650006</v>
      </c>
      <c r="B116">
        <v>40.797392339650003</v>
      </c>
      <c r="C116" t="s">
        <v>427</v>
      </c>
      <c r="D116" t="s">
        <v>428</v>
      </c>
      <c r="E116" t="s">
        <v>33</v>
      </c>
      <c r="F116">
        <v>10132018</v>
      </c>
      <c r="G116">
        <v>1</v>
      </c>
      <c r="H116" t="s">
        <v>48</v>
      </c>
      <c r="I116" t="s">
        <v>42</v>
      </c>
      <c r="J116" t="s">
        <v>53</v>
      </c>
      <c r="K116" t="s">
        <v>54</v>
      </c>
      <c r="M116" t="s">
        <v>65</v>
      </c>
      <c r="N116" t="b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E116" t="s">
        <v>429</v>
      </c>
    </row>
    <row r="117" spans="1:31" x14ac:dyDescent="0.3">
      <c r="A117">
        <v>-73.959203888770006</v>
      </c>
      <c r="B117">
        <v>40.796382675380002</v>
      </c>
      <c r="C117" t="s">
        <v>430</v>
      </c>
      <c r="D117" t="s">
        <v>431</v>
      </c>
      <c r="E117" t="s">
        <v>33</v>
      </c>
      <c r="F117">
        <v>10182018</v>
      </c>
      <c r="G117">
        <v>2</v>
      </c>
      <c r="H117" t="s">
        <v>48</v>
      </c>
      <c r="I117" t="s">
        <v>42</v>
      </c>
      <c r="J117" t="s">
        <v>96</v>
      </c>
      <c r="K117" t="s">
        <v>97</v>
      </c>
      <c r="M117" t="s">
        <v>65</v>
      </c>
      <c r="N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1</v>
      </c>
      <c r="U117" t="s">
        <v>432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E117" t="s">
        <v>433</v>
      </c>
    </row>
    <row r="118" spans="1:31" x14ac:dyDescent="0.3">
      <c r="A118">
        <v>-73.951111871110001</v>
      </c>
      <c r="B118">
        <v>40.795081334590002</v>
      </c>
      <c r="C118" t="s">
        <v>434</v>
      </c>
      <c r="D118" t="s">
        <v>435</v>
      </c>
      <c r="E118" t="s">
        <v>38</v>
      </c>
      <c r="F118">
        <v>10182018</v>
      </c>
      <c r="G118">
        <v>1</v>
      </c>
      <c r="H118" t="s">
        <v>48</v>
      </c>
      <c r="I118" t="s">
        <v>53</v>
      </c>
      <c r="K118" t="s">
        <v>155</v>
      </c>
      <c r="M118" t="s">
        <v>65</v>
      </c>
      <c r="N118" t="b">
        <v>0</v>
      </c>
      <c r="P118" t="b">
        <v>1</v>
      </c>
      <c r="Q118" t="b">
        <v>0</v>
      </c>
      <c r="R118" t="b">
        <v>0</v>
      </c>
      <c r="S118" t="b">
        <v>0</v>
      </c>
      <c r="T118" t="b">
        <v>1</v>
      </c>
      <c r="U118" t="s">
        <v>436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E118" t="s">
        <v>437</v>
      </c>
    </row>
    <row r="119" spans="1:31" x14ac:dyDescent="0.3">
      <c r="A119">
        <v>-73.97699397964</v>
      </c>
      <c r="B119">
        <v>40.772953757300002</v>
      </c>
      <c r="C119" t="s">
        <v>438</v>
      </c>
      <c r="D119" t="s">
        <v>439</v>
      </c>
      <c r="E119" t="s">
        <v>38</v>
      </c>
      <c r="F119">
        <v>10082018</v>
      </c>
      <c r="G119">
        <v>10</v>
      </c>
      <c r="H119" t="s">
        <v>48</v>
      </c>
      <c r="I119" t="s">
        <v>42</v>
      </c>
      <c r="K119" t="s">
        <v>43</v>
      </c>
      <c r="M119" t="s">
        <v>65</v>
      </c>
      <c r="N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1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1</v>
      </c>
      <c r="AC119" t="b">
        <v>0</v>
      </c>
      <c r="AE119" t="s">
        <v>440</v>
      </c>
    </row>
    <row r="120" spans="1:31" x14ac:dyDescent="0.3">
      <c r="A120">
        <v>-73.971252780949996</v>
      </c>
      <c r="B120">
        <v>40.77633103926</v>
      </c>
      <c r="C120" t="s">
        <v>441</v>
      </c>
      <c r="D120" t="s">
        <v>415</v>
      </c>
      <c r="E120" t="s">
        <v>38</v>
      </c>
      <c r="F120">
        <v>10142018</v>
      </c>
      <c r="G120">
        <v>8</v>
      </c>
      <c r="H120" t="s">
        <v>48</v>
      </c>
      <c r="I120" t="s">
        <v>42</v>
      </c>
      <c r="J120" t="s">
        <v>53</v>
      </c>
      <c r="K120" t="s">
        <v>54</v>
      </c>
      <c r="L120" t="s">
        <v>442</v>
      </c>
      <c r="M120" t="s">
        <v>65</v>
      </c>
      <c r="N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1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1</v>
      </c>
      <c r="AE120" t="s">
        <v>443</v>
      </c>
    </row>
    <row r="121" spans="1:31" x14ac:dyDescent="0.3">
      <c r="A121">
        <v>-73.967114709010005</v>
      </c>
      <c r="B121">
        <v>40.777262464110002</v>
      </c>
      <c r="C121" t="s">
        <v>444</v>
      </c>
      <c r="D121" t="s">
        <v>281</v>
      </c>
      <c r="E121" t="s">
        <v>38</v>
      </c>
      <c r="F121">
        <v>10102018</v>
      </c>
      <c r="G121">
        <v>3</v>
      </c>
      <c r="H121" t="s">
        <v>48</v>
      </c>
      <c r="I121" t="s">
        <v>42</v>
      </c>
      <c r="J121" t="s">
        <v>59</v>
      </c>
      <c r="K121" t="s">
        <v>79</v>
      </c>
      <c r="M121" t="s">
        <v>65</v>
      </c>
      <c r="N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1</v>
      </c>
      <c r="U121" t="s">
        <v>445</v>
      </c>
      <c r="V121" t="b">
        <v>1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1</v>
      </c>
      <c r="AE121" t="s">
        <v>446</v>
      </c>
    </row>
    <row r="122" spans="1:31" x14ac:dyDescent="0.3">
      <c r="A122">
        <v>-73.958866025020001</v>
      </c>
      <c r="B122">
        <v>40.798259794750003</v>
      </c>
      <c r="C122" t="s">
        <v>447</v>
      </c>
      <c r="D122" t="s">
        <v>448</v>
      </c>
      <c r="E122" t="s">
        <v>38</v>
      </c>
      <c r="F122">
        <v>10102018</v>
      </c>
      <c r="G122">
        <v>3</v>
      </c>
      <c r="H122" t="s">
        <v>48</v>
      </c>
      <c r="I122" t="s">
        <v>42</v>
      </c>
      <c r="J122" t="s">
        <v>53</v>
      </c>
      <c r="K122" t="s">
        <v>54</v>
      </c>
      <c r="M122" t="s">
        <v>65</v>
      </c>
      <c r="N122" t="b">
        <v>0</v>
      </c>
      <c r="O122" t="s">
        <v>449</v>
      </c>
      <c r="P122" t="b">
        <v>0</v>
      </c>
      <c r="Q122" t="b">
        <v>0</v>
      </c>
      <c r="R122" t="b">
        <v>0</v>
      </c>
      <c r="S122" t="b">
        <v>1</v>
      </c>
      <c r="T122" t="b">
        <v>1</v>
      </c>
      <c r="V122" t="b">
        <v>0</v>
      </c>
      <c r="W122" t="b">
        <v>0</v>
      </c>
      <c r="X122" t="b">
        <v>0</v>
      </c>
      <c r="Y122" t="b">
        <v>1</v>
      </c>
      <c r="Z122" t="b">
        <v>0</v>
      </c>
      <c r="AA122" t="b">
        <v>0</v>
      </c>
      <c r="AB122" t="b">
        <v>1</v>
      </c>
      <c r="AC122" t="b">
        <v>1</v>
      </c>
      <c r="AD122" t="s">
        <v>450</v>
      </c>
      <c r="AE122" t="s">
        <v>451</v>
      </c>
    </row>
    <row r="123" spans="1:31" x14ac:dyDescent="0.3">
      <c r="A123">
        <v>-73.965160154179998</v>
      </c>
      <c r="B123">
        <v>40.776184178800001</v>
      </c>
      <c r="C123" t="s">
        <v>452</v>
      </c>
      <c r="D123" t="s">
        <v>408</v>
      </c>
      <c r="E123" t="s">
        <v>33</v>
      </c>
      <c r="F123">
        <v>10122018</v>
      </c>
      <c r="G123">
        <v>7</v>
      </c>
      <c r="H123" t="s">
        <v>48</v>
      </c>
      <c r="I123" t="s">
        <v>53</v>
      </c>
      <c r="K123" t="s">
        <v>155</v>
      </c>
      <c r="M123" t="s">
        <v>65</v>
      </c>
      <c r="N123" t="b">
        <v>0</v>
      </c>
      <c r="P123" t="b">
        <v>1</v>
      </c>
      <c r="Q123" t="b">
        <v>0</v>
      </c>
      <c r="R123" t="b">
        <v>0</v>
      </c>
      <c r="S123" t="b">
        <v>0</v>
      </c>
      <c r="T123" t="b">
        <v>1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E123" t="s">
        <v>453</v>
      </c>
    </row>
    <row r="124" spans="1:31" x14ac:dyDescent="0.3">
      <c r="A124">
        <v>-73.979215547370003</v>
      </c>
      <c r="B124">
        <v>40.769371179990003</v>
      </c>
      <c r="C124" t="s">
        <v>454</v>
      </c>
      <c r="D124" t="s">
        <v>455</v>
      </c>
      <c r="E124" t="s">
        <v>33</v>
      </c>
      <c r="F124">
        <v>10072018</v>
      </c>
      <c r="G124">
        <v>11</v>
      </c>
      <c r="H124" t="s">
        <v>48</v>
      </c>
      <c r="I124" t="s">
        <v>42</v>
      </c>
      <c r="K124" t="s">
        <v>43</v>
      </c>
      <c r="M124" t="s">
        <v>44</v>
      </c>
      <c r="N124">
        <v>5</v>
      </c>
      <c r="O124" t="s">
        <v>456</v>
      </c>
      <c r="P124" t="b">
        <v>0</v>
      </c>
      <c r="Q124" t="b">
        <v>0</v>
      </c>
      <c r="R124" t="b">
        <v>1</v>
      </c>
      <c r="S124" t="b">
        <v>0</v>
      </c>
      <c r="T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E124" t="s">
        <v>457</v>
      </c>
    </row>
    <row r="125" spans="1:31" x14ac:dyDescent="0.3">
      <c r="A125">
        <v>-73.966410050440004</v>
      </c>
      <c r="B125">
        <v>40.782877889230001</v>
      </c>
      <c r="C125" t="s">
        <v>458</v>
      </c>
      <c r="D125" t="s">
        <v>459</v>
      </c>
      <c r="E125" t="s">
        <v>38</v>
      </c>
      <c r="F125">
        <v>10082018</v>
      </c>
      <c r="G125">
        <v>2</v>
      </c>
      <c r="H125" t="s">
        <v>48</v>
      </c>
      <c r="I125" t="s">
        <v>42</v>
      </c>
      <c r="K125" t="s">
        <v>43</v>
      </c>
      <c r="M125" t="s">
        <v>65</v>
      </c>
      <c r="N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1</v>
      </c>
      <c r="V125" t="b">
        <v>0</v>
      </c>
      <c r="W125" t="b">
        <v>0</v>
      </c>
      <c r="X125" t="b">
        <v>0</v>
      </c>
      <c r="Y125" t="b">
        <v>0</v>
      </c>
      <c r="Z125" t="b">
        <v>1</v>
      </c>
      <c r="AA125" t="b">
        <v>0</v>
      </c>
      <c r="AB125" t="b">
        <v>1</v>
      </c>
      <c r="AC125" t="b">
        <v>0</v>
      </c>
      <c r="AE125" t="s">
        <v>460</v>
      </c>
    </row>
    <row r="126" spans="1:31" x14ac:dyDescent="0.3">
      <c r="A126">
        <v>-73.974622909459995</v>
      </c>
      <c r="B126">
        <v>40.774846706200002</v>
      </c>
      <c r="C126" t="s">
        <v>461</v>
      </c>
      <c r="D126" t="s">
        <v>462</v>
      </c>
      <c r="E126" t="s">
        <v>33</v>
      </c>
      <c r="F126">
        <v>10142018</v>
      </c>
      <c r="G126">
        <v>5</v>
      </c>
      <c r="H126" t="s">
        <v>48</v>
      </c>
      <c r="I126" t="s">
        <v>42</v>
      </c>
      <c r="J126" t="s">
        <v>59</v>
      </c>
      <c r="K126" t="s">
        <v>79</v>
      </c>
      <c r="M126" t="s">
        <v>65</v>
      </c>
      <c r="N126" t="b">
        <v>0</v>
      </c>
      <c r="P126" t="b">
        <v>0</v>
      </c>
      <c r="Q126" t="b">
        <v>0</v>
      </c>
      <c r="R126" t="b">
        <v>0</v>
      </c>
      <c r="S126" t="b">
        <v>1</v>
      </c>
      <c r="T126" t="b">
        <v>1</v>
      </c>
      <c r="V126" t="b">
        <v>0</v>
      </c>
      <c r="W126" t="b">
        <v>0</v>
      </c>
      <c r="X126" t="b">
        <v>0</v>
      </c>
      <c r="Y126" t="b">
        <v>0</v>
      </c>
      <c r="Z126" t="b">
        <v>1</v>
      </c>
      <c r="AA126" t="b">
        <v>0</v>
      </c>
      <c r="AB126" t="b">
        <v>0</v>
      </c>
      <c r="AC126" t="b">
        <v>0</v>
      </c>
      <c r="AD126" t="s">
        <v>463</v>
      </c>
      <c r="AE126" t="s">
        <v>464</v>
      </c>
    </row>
    <row r="127" spans="1:31" x14ac:dyDescent="0.3">
      <c r="A127">
        <v>-73.970509295889997</v>
      </c>
      <c r="B127">
        <v>40.776109297300003</v>
      </c>
      <c r="C127" t="s">
        <v>465</v>
      </c>
      <c r="D127" t="s">
        <v>52</v>
      </c>
      <c r="E127" t="s">
        <v>33</v>
      </c>
      <c r="F127">
        <v>10082018</v>
      </c>
      <c r="G127">
        <v>7</v>
      </c>
      <c r="H127" t="s">
        <v>48</v>
      </c>
      <c r="I127" t="s">
        <v>42</v>
      </c>
      <c r="K127" t="s">
        <v>43</v>
      </c>
      <c r="M127" t="s">
        <v>65</v>
      </c>
      <c r="N127" t="b">
        <v>0</v>
      </c>
      <c r="P127" t="b">
        <v>0</v>
      </c>
      <c r="Q127" t="b">
        <v>0</v>
      </c>
      <c r="R127" t="b">
        <v>0</v>
      </c>
      <c r="S127" t="b">
        <v>1</v>
      </c>
      <c r="T127" t="b">
        <v>1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1</v>
      </c>
      <c r="AC127" t="b">
        <v>0</v>
      </c>
      <c r="AE127" t="s">
        <v>466</v>
      </c>
    </row>
    <row r="128" spans="1:31" x14ac:dyDescent="0.3">
      <c r="A128">
        <v>-73.958165594939999</v>
      </c>
      <c r="B128">
        <v>40.799770819000003</v>
      </c>
      <c r="C128" t="s">
        <v>467</v>
      </c>
      <c r="D128" t="s">
        <v>468</v>
      </c>
      <c r="E128" t="s">
        <v>33</v>
      </c>
      <c r="F128">
        <v>10072018</v>
      </c>
      <c r="G128">
        <v>6</v>
      </c>
      <c r="H128" t="s">
        <v>48</v>
      </c>
      <c r="I128" t="s">
        <v>176</v>
      </c>
      <c r="K128" t="s">
        <v>177</v>
      </c>
      <c r="M128" t="s">
        <v>65</v>
      </c>
      <c r="N128" t="b">
        <v>0</v>
      </c>
      <c r="P128" t="b">
        <v>1</v>
      </c>
      <c r="Q128" t="b">
        <v>0</v>
      </c>
      <c r="R128" t="b">
        <v>1</v>
      </c>
      <c r="S128" t="b">
        <v>1</v>
      </c>
      <c r="T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1</v>
      </c>
      <c r="AE128" t="s">
        <v>469</v>
      </c>
    </row>
    <row r="129" spans="1:31" x14ac:dyDescent="0.3">
      <c r="A129">
        <v>-73.975556078620002</v>
      </c>
      <c r="B129">
        <v>40.766299231760001</v>
      </c>
      <c r="C129" t="s">
        <v>470</v>
      </c>
      <c r="D129" t="s">
        <v>471</v>
      </c>
      <c r="E129" t="s">
        <v>38</v>
      </c>
      <c r="F129">
        <v>10062018</v>
      </c>
      <c r="G129">
        <v>5</v>
      </c>
      <c r="H129" t="s">
        <v>48</v>
      </c>
      <c r="I129" t="s">
        <v>42</v>
      </c>
      <c r="J129" t="s">
        <v>96</v>
      </c>
      <c r="K129" t="s">
        <v>97</v>
      </c>
      <c r="M129" t="s">
        <v>65</v>
      </c>
      <c r="N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1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s">
        <v>472</v>
      </c>
      <c r="AE129" t="s">
        <v>473</v>
      </c>
    </row>
    <row r="130" spans="1:31" x14ac:dyDescent="0.3">
      <c r="A130">
        <v>-73.969643353400002</v>
      </c>
      <c r="B130">
        <v>40.782820808380002</v>
      </c>
      <c r="C130" t="s">
        <v>474</v>
      </c>
      <c r="D130" t="s">
        <v>78</v>
      </c>
      <c r="E130" t="s">
        <v>38</v>
      </c>
      <c r="F130">
        <v>10072018</v>
      </c>
      <c r="G130">
        <v>1</v>
      </c>
      <c r="H130" t="s">
        <v>48</v>
      </c>
      <c r="I130" t="s">
        <v>42</v>
      </c>
      <c r="J130" t="s">
        <v>53</v>
      </c>
      <c r="K130" t="s">
        <v>54</v>
      </c>
      <c r="M130" t="s">
        <v>65</v>
      </c>
      <c r="N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1</v>
      </c>
      <c r="U130" t="s">
        <v>475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1</v>
      </c>
      <c r="AC130" t="b">
        <v>0</v>
      </c>
      <c r="AE130" t="s">
        <v>476</v>
      </c>
    </row>
    <row r="131" spans="1:31" x14ac:dyDescent="0.3">
      <c r="A131">
        <v>-73.966471160699996</v>
      </c>
      <c r="B131">
        <v>40.787896428769997</v>
      </c>
      <c r="C131" t="s">
        <v>477</v>
      </c>
      <c r="D131" t="s">
        <v>478</v>
      </c>
      <c r="E131" t="s">
        <v>33</v>
      </c>
      <c r="F131">
        <v>10062018</v>
      </c>
      <c r="G131">
        <v>6</v>
      </c>
      <c r="H131" t="s">
        <v>48</v>
      </c>
      <c r="I131" t="s">
        <v>42</v>
      </c>
      <c r="J131" t="s">
        <v>53</v>
      </c>
      <c r="K131" t="s">
        <v>54</v>
      </c>
      <c r="M131" t="s">
        <v>65</v>
      </c>
      <c r="N131" t="b">
        <v>0</v>
      </c>
      <c r="O131" t="s">
        <v>479</v>
      </c>
      <c r="P131" t="b">
        <v>0</v>
      </c>
      <c r="Q131" t="b">
        <v>0</v>
      </c>
      <c r="R131" t="b">
        <v>1</v>
      </c>
      <c r="S131" t="b">
        <v>0</v>
      </c>
      <c r="T131" t="b">
        <v>0</v>
      </c>
      <c r="V131" t="b">
        <v>0</v>
      </c>
      <c r="W131" t="b">
        <v>0</v>
      </c>
      <c r="X131" t="b">
        <v>0</v>
      </c>
      <c r="Y131" t="b">
        <v>1</v>
      </c>
      <c r="Z131" t="b">
        <v>0</v>
      </c>
      <c r="AA131" t="b">
        <v>0</v>
      </c>
      <c r="AB131" t="b">
        <v>0</v>
      </c>
      <c r="AC131" t="b">
        <v>0</v>
      </c>
      <c r="AD131" t="s">
        <v>480</v>
      </c>
      <c r="AE131" t="s">
        <v>481</v>
      </c>
    </row>
    <row r="132" spans="1:31" x14ac:dyDescent="0.3">
      <c r="A132">
        <v>-73.95759438156</v>
      </c>
      <c r="B132">
        <v>40.793375526680002</v>
      </c>
      <c r="C132" t="s">
        <v>482</v>
      </c>
      <c r="D132" t="s">
        <v>483</v>
      </c>
      <c r="E132" t="s">
        <v>33</v>
      </c>
      <c r="F132">
        <v>10062018</v>
      </c>
      <c r="G132">
        <v>7</v>
      </c>
      <c r="H132" t="s">
        <v>48</v>
      </c>
      <c r="I132" t="s">
        <v>42</v>
      </c>
      <c r="K132" t="s">
        <v>43</v>
      </c>
      <c r="M132" t="s">
        <v>65</v>
      </c>
      <c r="N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1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1</v>
      </c>
      <c r="AC132" t="b">
        <v>1</v>
      </c>
      <c r="AE132" t="s">
        <v>484</v>
      </c>
    </row>
    <row r="133" spans="1:31" x14ac:dyDescent="0.3">
      <c r="A133">
        <v>-73.96941681186</v>
      </c>
      <c r="B133">
        <v>40.772887737799998</v>
      </c>
      <c r="C133" t="s">
        <v>485</v>
      </c>
      <c r="D133" t="s">
        <v>486</v>
      </c>
      <c r="E133" t="s">
        <v>33</v>
      </c>
      <c r="F133">
        <v>10132018</v>
      </c>
      <c r="G133">
        <v>1</v>
      </c>
      <c r="H133" t="s">
        <v>48</v>
      </c>
      <c r="I133" t="s">
        <v>42</v>
      </c>
      <c r="J133" t="s">
        <v>53</v>
      </c>
      <c r="K133" t="s">
        <v>54</v>
      </c>
      <c r="M133" t="s">
        <v>44</v>
      </c>
      <c r="N133">
        <v>5</v>
      </c>
      <c r="O133" t="s">
        <v>487</v>
      </c>
      <c r="P133" t="b">
        <v>0</v>
      </c>
      <c r="Q133" t="b">
        <v>0</v>
      </c>
      <c r="R133" t="b">
        <v>1</v>
      </c>
      <c r="S133" t="b">
        <v>0</v>
      </c>
      <c r="T133" t="b">
        <v>1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1</v>
      </c>
      <c r="AD133" t="s">
        <v>488</v>
      </c>
      <c r="AE133" t="s">
        <v>489</v>
      </c>
    </row>
    <row r="134" spans="1:31" x14ac:dyDescent="0.3">
      <c r="A134">
        <v>-73.95286825078</v>
      </c>
      <c r="B134">
        <v>40.792580780830001</v>
      </c>
      <c r="C134" t="s">
        <v>490</v>
      </c>
      <c r="D134" t="s">
        <v>85</v>
      </c>
      <c r="E134" t="s">
        <v>33</v>
      </c>
      <c r="F134">
        <v>10072018</v>
      </c>
      <c r="G134">
        <v>13</v>
      </c>
      <c r="H134" t="s">
        <v>48</v>
      </c>
      <c r="I134" t="s">
        <v>42</v>
      </c>
      <c r="J134" t="s">
        <v>53</v>
      </c>
      <c r="K134" t="s">
        <v>54</v>
      </c>
      <c r="M134" t="s">
        <v>65</v>
      </c>
      <c r="N134" t="b">
        <v>0</v>
      </c>
      <c r="P134" t="b">
        <v>0</v>
      </c>
      <c r="Q134" t="b">
        <v>0</v>
      </c>
      <c r="R134" t="b">
        <v>0</v>
      </c>
      <c r="S134" t="b">
        <v>1</v>
      </c>
      <c r="T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1</v>
      </c>
      <c r="AA134" t="b">
        <v>1</v>
      </c>
      <c r="AB134" t="b">
        <v>0</v>
      </c>
      <c r="AC134" t="b">
        <v>0</v>
      </c>
      <c r="AE134" t="s">
        <v>491</v>
      </c>
    </row>
    <row r="135" spans="1:31" x14ac:dyDescent="0.3">
      <c r="A135">
        <v>-73.978241711509995</v>
      </c>
      <c r="B135">
        <v>40.772466503639997</v>
      </c>
      <c r="C135" t="s">
        <v>492</v>
      </c>
      <c r="D135" t="s">
        <v>493</v>
      </c>
      <c r="E135" t="s">
        <v>38</v>
      </c>
      <c r="F135">
        <v>10062018</v>
      </c>
      <c r="G135">
        <v>1</v>
      </c>
      <c r="H135" t="s">
        <v>48</v>
      </c>
      <c r="I135" t="s">
        <v>42</v>
      </c>
      <c r="J135" t="s">
        <v>59</v>
      </c>
      <c r="K135" t="s">
        <v>79</v>
      </c>
      <c r="M135" t="s">
        <v>44</v>
      </c>
      <c r="N135">
        <v>10</v>
      </c>
      <c r="O135" t="s">
        <v>456</v>
      </c>
      <c r="P135" t="b">
        <v>0</v>
      </c>
      <c r="Q135" t="b">
        <v>0</v>
      </c>
      <c r="R135" t="b">
        <v>0</v>
      </c>
      <c r="S135" t="b">
        <v>0</v>
      </c>
      <c r="T135" t="b">
        <v>1</v>
      </c>
      <c r="V135" t="b">
        <v>0</v>
      </c>
      <c r="W135" t="b">
        <v>1</v>
      </c>
      <c r="X135" t="b">
        <v>0</v>
      </c>
      <c r="Y135" t="b">
        <v>0</v>
      </c>
      <c r="Z135" t="b">
        <v>1</v>
      </c>
      <c r="AA135" t="b">
        <v>0</v>
      </c>
      <c r="AB135" t="b">
        <v>0</v>
      </c>
      <c r="AC135" t="b">
        <v>0</v>
      </c>
      <c r="AD135" t="s">
        <v>494</v>
      </c>
      <c r="AE135" t="s">
        <v>495</v>
      </c>
    </row>
    <row r="136" spans="1:31" x14ac:dyDescent="0.3">
      <c r="A136">
        <v>-73.972144293979994</v>
      </c>
      <c r="B136">
        <v>40.770075080230001</v>
      </c>
      <c r="C136" t="s">
        <v>496</v>
      </c>
      <c r="D136" t="s">
        <v>402</v>
      </c>
      <c r="E136" t="s">
        <v>33</v>
      </c>
      <c r="F136">
        <v>10182018</v>
      </c>
      <c r="G136">
        <v>3</v>
      </c>
      <c r="H136" t="s">
        <v>48</v>
      </c>
      <c r="I136" t="s">
        <v>42</v>
      </c>
      <c r="K136" t="s">
        <v>43</v>
      </c>
      <c r="M136" t="s">
        <v>65</v>
      </c>
      <c r="N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1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E136" t="s">
        <v>497</v>
      </c>
    </row>
    <row r="137" spans="1:31" x14ac:dyDescent="0.3">
      <c r="A137">
        <v>-73.969847380869993</v>
      </c>
      <c r="B137">
        <v>40.776988461229998</v>
      </c>
      <c r="C137" t="s">
        <v>498</v>
      </c>
      <c r="D137" t="s">
        <v>100</v>
      </c>
      <c r="E137" t="s">
        <v>38</v>
      </c>
      <c r="F137">
        <v>10082018</v>
      </c>
      <c r="G137">
        <v>5</v>
      </c>
      <c r="H137" t="s">
        <v>48</v>
      </c>
      <c r="I137" t="s">
        <v>42</v>
      </c>
      <c r="K137" t="s">
        <v>43</v>
      </c>
      <c r="M137" t="s">
        <v>44</v>
      </c>
      <c r="N137">
        <v>25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s">
        <v>499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1</v>
      </c>
      <c r="AC137" t="b">
        <v>0</v>
      </c>
      <c r="AE137" t="s">
        <v>500</v>
      </c>
    </row>
    <row r="138" spans="1:31" x14ac:dyDescent="0.3">
      <c r="A138">
        <v>-73.976865278570003</v>
      </c>
      <c r="B138">
        <v>40.768483816820002</v>
      </c>
      <c r="C138" t="s">
        <v>501</v>
      </c>
      <c r="D138" t="s">
        <v>502</v>
      </c>
      <c r="E138" t="s">
        <v>33</v>
      </c>
      <c r="F138">
        <v>10102018</v>
      </c>
      <c r="G138">
        <v>3</v>
      </c>
      <c r="H138" t="s">
        <v>48</v>
      </c>
      <c r="I138" t="s">
        <v>53</v>
      </c>
      <c r="J138" t="s">
        <v>59</v>
      </c>
      <c r="K138" t="s">
        <v>60</v>
      </c>
      <c r="M138" t="s">
        <v>65</v>
      </c>
      <c r="N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E138" t="s">
        <v>503</v>
      </c>
    </row>
    <row r="139" spans="1:31" x14ac:dyDescent="0.3">
      <c r="A139">
        <v>-73.959099284139995</v>
      </c>
      <c r="B139">
        <v>40.793758098570002</v>
      </c>
      <c r="C139" t="s">
        <v>504</v>
      </c>
      <c r="D139" t="s">
        <v>505</v>
      </c>
      <c r="E139" t="s">
        <v>33</v>
      </c>
      <c r="F139">
        <v>10132018</v>
      </c>
      <c r="G139">
        <v>9</v>
      </c>
      <c r="H139" t="s">
        <v>48</v>
      </c>
      <c r="I139" t="s">
        <v>42</v>
      </c>
      <c r="J139" t="s">
        <v>59</v>
      </c>
      <c r="K139" t="s">
        <v>79</v>
      </c>
      <c r="M139" t="s">
        <v>65</v>
      </c>
      <c r="N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1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1</v>
      </c>
      <c r="AC139" t="b">
        <v>0</v>
      </c>
      <c r="AE139" t="s">
        <v>506</v>
      </c>
    </row>
    <row r="140" spans="1:31" x14ac:dyDescent="0.3">
      <c r="A140">
        <v>-73.972406398679993</v>
      </c>
      <c r="B140">
        <v>40.770571189800002</v>
      </c>
      <c r="C140" t="s">
        <v>507</v>
      </c>
      <c r="D140" t="s">
        <v>353</v>
      </c>
      <c r="E140" t="s">
        <v>33</v>
      </c>
      <c r="F140">
        <v>10122018</v>
      </c>
      <c r="G140">
        <v>1</v>
      </c>
      <c r="H140" t="s">
        <v>48</v>
      </c>
      <c r="I140" t="s">
        <v>42</v>
      </c>
      <c r="K140" t="s">
        <v>43</v>
      </c>
      <c r="M140" t="s">
        <v>65</v>
      </c>
      <c r="N140" t="b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1</v>
      </c>
      <c r="AC140" t="b">
        <v>0</v>
      </c>
      <c r="AE140" t="s">
        <v>508</v>
      </c>
    </row>
    <row r="141" spans="1:31" x14ac:dyDescent="0.3">
      <c r="A141">
        <v>-73.966136131070002</v>
      </c>
      <c r="B141">
        <v>40.778787256119998</v>
      </c>
      <c r="C141" t="s">
        <v>509</v>
      </c>
      <c r="D141" t="s">
        <v>510</v>
      </c>
      <c r="E141" t="s">
        <v>33</v>
      </c>
      <c r="F141">
        <v>10132018</v>
      </c>
      <c r="G141">
        <v>1</v>
      </c>
      <c r="H141" t="s">
        <v>48</v>
      </c>
      <c r="I141" t="s">
        <v>42</v>
      </c>
      <c r="J141" t="s">
        <v>59</v>
      </c>
      <c r="K141" t="s">
        <v>79</v>
      </c>
      <c r="M141" t="s">
        <v>65</v>
      </c>
      <c r="N141" t="b">
        <v>0</v>
      </c>
      <c r="P141" t="b">
        <v>0</v>
      </c>
      <c r="Q141" t="b">
        <v>0</v>
      </c>
      <c r="R141" t="b">
        <v>0</v>
      </c>
      <c r="S141" t="b">
        <v>1</v>
      </c>
      <c r="T141" t="b">
        <v>1</v>
      </c>
      <c r="U141" t="s">
        <v>511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1</v>
      </c>
      <c r="AE141" t="s">
        <v>512</v>
      </c>
    </row>
    <row r="142" spans="1:31" x14ac:dyDescent="0.3">
      <c r="A142">
        <v>-73.973075060119996</v>
      </c>
      <c r="B142">
        <v>40.770130421189997</v>
      </c>
      <c r="C142" t="s">
        <v>513</v>
      </c>
      <c r="D142" t="s">
        <v>514</v>
      </c>
      <c r="E142" t="s">
        <v>33</v>
      </c>
      <c r="F142">
        <v>10082018</v>
      </c>
      <c r="G142">
        <v>1</v>
      </c>
      <c r="H142" t="s">
        <v>48</v>
      </c>
      <c r="I142" t="s">
        <v>42</v>
      </c>
      <c r="J142" t="s">
        <v>53</v>
      </c>
      <c r="K142" t="s">
        <v>54</v>
      </c>
      <c r="M142" t="s">
        <v>44</v>
      </c>
      <c r="N142">
        <v>10</v>
      </c>
      <c r="P142" t="b">
        <v>0</v>
      </c>
      <c r="Q142" t="b">
        <v>1</v>
      </c>
      <c r="R142" t="b">
        <v>0</v>
      </c>
      <c r="S142" t="b">
        <v>0</v>
      </c>
      <c r="T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E142" t="s">
        <v>515</v>
      </c>
    </row>
    <row r="143" spans="1:31" x14ac:dyDescent="0.3">
      <c r="A143">
        <v>-73.971970670610006</v>
      </c>
      <c r="B143">
        <v>40.772086812449999</v>
      </c>
      <c r="C143" t="s">
        <v>516</v>
      </c>
      <c r="D143" t="s">
        <v>517</v>
      </c>
      <c r="E143" t="s">
        <v>38</v>
      </c>
      <c r="F143">
        <v>10132018</v>
      </c>
      <c r="G143">
        <v>4</v>
      </c>
      <c r="H143" t="s">
        <v>48</v>
      </c>
      <c r="I143" t="s">
        <v>42</v>
      </c>
      <c r="J143" t="s">
        <v>53</v>
      </c>
      <c r="K143" t="s">
        <v>54</v>
      </c>
      <c r="M143" t="s">
        <v>65</v>
      </c>
      <c r="N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1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E143" t="s">
        <v>518</v>
      </c>
    </row>
    <row r="144" spans="1:31" x14ac:dyDescent="0.3">
      <c r="A144">
        <v>-73.956211745510004</v>
      </c>
      <c r="B144">
        <v>40.795104437820001</v>
      </c>
      <c r="C144" t="s">
        <v>519</v>
      </c>
      <c r="D144" t="s">
        <v>520</v>
      </c>
      <c r="E144" t="s">
        <v>38</v>
      </c>
      <c r="F144">
        <v>10102018</v>
      </c>
      <c r="G144">
        <v>9</v>
      </c>
      <c r="H144" t="s">
        <v>48</v>
      </c>
      <c r="I144" t="s">
        <v>42</v>
      </c>
      <c r="J144" t="s">
        <v>53</v>
      </c>
      <c r="K144" t="s">
        <v>54</v>
      </c>
      <c r="M144" t="s">
        <v>65</v>
      </c>
      <c r="N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1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1</v>
      </c>
      <c r="AC144" t="b">
        <v>0</v>
      </c>
      <c r="AE144" t="s">
        <v>521</v>
      </c>
    </row>
    <row r="145" spans="1:31" x14ac:dyDescent="0.3">
      <c r="A145">
        <v>-73.95640236266</v>
      </c>
      <c r="B145">
        <v>40.790542354620001</v>
      </c>
      <c r="C145" t="s">
        <v>522</v>
      </c>
      <c r="D145" t="s">
        <v>523</v>
      </c>
      <c r="E145" t="s">
        <v>38</v>
      </c>
      <c r="F145">
        <v>10132018</v>
      </c>
      <c r="G145">
        <v>2</v>
      </c>
      <c r="H145" t="s">
        <v>48</v>
      </c>
      <c r="I145" t="s">
        <v>42</v>
      </c>
      <c r="K145" t="s">
        <v>43</v>
      </c>
      <c r="M145" t="s">
        <v>44</v>
      </c>
      <c r="N145">
        <v>13</v>
      </c>
      <c r="O145" t="s">
        <v>524</v>
      </c>
      <c r="P145" t="b">
        <v>0</v>
      </c>
      <c r="Q145" t="b">
        <v>0</v>
      </c>
      <c r="R145" t="b">
        <v>1</v>
      </c>
      <c r="S145" t="b">
        <v>0</v>
      </c>
      <c r="T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1</v>
      </c>
      <c r="AC145" t="b">
        <v>1</v>
      </c>
      <c r="AE145" t="s">
        <v>525</v>
      </c>
    </row>
    <row r="146" spans="1:31" x14ac:dyDescent="0.3">
      <c r="A146">
        <v>-73.953262012829995</v>
      </c>
      <c r="B146">
        <v>40.7952475548</v>
      </c>
      <c r="C146" t="s">
        <v>526</v>
      </c>
      <c r="D146" t="s">
        <v>133</v>
      </c>
      <c r="E146" t="s">
        <v>38</v>
      </c>
      <c r="F146">
        <v>10182018</v>
      </c>
      <c r="G146">
        <v>1</v>
      </c>
      <c r="H146" t="s">
        <v>48</v>
      </c>
      <c r="I146" t="s">
        <v>42</v>
      </c>
      <c r="J146" t="s">
        <v>53</v>
      </c>
      <c r="K146" t="s">
        <v>54</v>
      </c>
      <c r="M146" t="s">
        <v>65</v>
      </c>
      <c r="N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s">
        <v>527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E146" t="s">
        <v>528</v>
      </c>
    </row>
    <row r="147" spans="1:31" x14ac:dyDescent="0.3">
      <c r="A147">
        <v>-73.957634932139996</v>
      </c>
      <c r="B147">
        <v>40.790440991239997</v>
      </c>
      <c r="C147" t="s">
        <v>529</v>
      </c>
      <c r="D147" t="s">
        <v>530</v>
      </c>
      <c r="E147" t="s">
        <v>33</v>
      </c>
      <c r="F147">
        <v>10132018</v>
      </c>
      <c r="G147">
        <v>3</v>
      </c>
      <c r="H147" t="s">
        <v>105</v>
      </c>
      <c r="I147" t="s">
        <v>42</v>
      </c>
      <c r="J147" t="s">
        <v>53</v>
      </c>
      <c r="K147" t="s">
        <v>54</v>
      </c>
      <c r="L147" t="s">
        <v>531</v>
      </c>
      <c r="M147" t="s">
        <v>65</v>
      </c>
      <c r="N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1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1</v>
      </c>
      <c r="AC147" t="b">
        <v>0</v>
      </c>
      <c r="AE147" t="s">
        <v>532</v>
      </c>
    </row>
    <row r="148" spans="1:31" x14ac:dyDescent="0.3">
      <c r="A148">
        <v>-73.976343082930001</v>
      </c>
      <c r="B148">
        <v>40.768635109720002</v>
      </c>
      <c r="C148" t="s">
        <v>533</v>
      </c>
      <c r="D148" t="s">
        <v>534</v>
      </c>
      <c r="E148" t="s">
        <v>33</v>
      </c>
      <c r="F148">
        <v>10082018</v>
      </c>
      <c r="G148">
        <v>11</v>
      </c>
      <c r="H148" t="s">
        <v>48</v>
      </c>
      <c r="I148" t="s">
        <v>53</v>
      </c>
      <c r="J148" t="s">
        <v>115</v>
      </c>
      <c r="K148" t="s">
        <v>116</v>
      </c>
      <c r="M148" t="s">
        <v>44</v>
      </c>
      <c r="N148">
        <v>3</v>
      </c>
      <c r="O148" t="s">
        <v>535</v>
      </c>
      <c r="P148" t="b">
        <v>0</v>
      </c>
      <c r="Q148" t="b">
        <v>1</v>
      </c>
      <c r="R148" t="b">
        <v>0</v>
      </c>
      <c r="S148" t="b">
        <v>0</v>
      </c>
      <c r="T148" t="b">
        <v>0</v>
      </c>
      <c r="U148" t="s">
        <v>536</v>
      </c>
      <c r="V148" t="b">
        <v>1</v>
      </c>
      <c r="W148" t="b">
        <v>0</v>
      </c>
      <c r="X148" t="b">
        <v>0</v>
      </c>
      <c r="Y148" t="b">
        <v>1</v>
      </c>
      <c r="Z148" t="b">
        <v>0</v>
      </c>
      <c r="AA148" t="b">
        <v>0</v>
      </c>
      <c r="AB148" t="b">
        <v>0</v>
      </c>
      <c r="AC148" t="b">
        <v>1</v>
      </c>
      <c r="AE148" t="s">
        <v>537</v>
      </c>
    </row>
    <row r="149" spans="1:31" x14ac:dyDescent="0.3">
      <c r="A149">
        <v>-73.971478913680002</v>
      </c>
      <c r="B149">
        <v>40.769488664519997</v>
      </c>
      <c r="C149" t="s">
        <v>538</v>
      </c>
      <c r="D149" t="s">
        <v>539</v>
      </c>
      <c r="E149" t="s">
        <v>38</v>
      </c>
      <c r="F149">
        <v>10082018</v>
      </c>
      <c r="G149">
        <v>1</v>
      </c>
      <c r="H149" t="s">
        <v>48</v>
      </c>
      <c r="I149" t="s">
        <v>53</v>
      </c>
      <c r="J149" t="s">
        <v>115</v>
      </c>
      <c r="K149" t="s">
        <v>116</v>
      </c>
      <c r="M149" t="s">
        <v>65</v>
      </c>
      <c r="N149" t="b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E149" t="s">
        <v>540</v>
      </c>
    </row>
    <row r="150" spans="1:31" x14ac:dyDescent="0.3">
      <c r="A150">
        <v>-73.975513371069994</v>
      </c>
      <c r="B150">
        <v>40.769788343599998</v>
      </c>
      <c r="C150" t="s">
        <v>541</v>
      </c>
      <c r="D150" t="s">
        <v>245</v>
      </c>
      <c r="E150" t="s">
        <v>38</v>
      </c>
      <c r="F150">
        <v>10082018</v>
      </c>
      <c r="G150">
        <v>8</v>
      </c>
      <c r="H150" t="s">
        <v>48</v>
      </c>
      <c r="I150" t="s">
        <v>42</v>
      </c>
      <c r="K150" t="s">
        <v>43</v>
      </c>
      <c r="M150" t="s">
        <v>65</v>
      </c>
      <c r="N150" t="b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1</v>
      </c>
      <c r="AC150" t="b">
        <v>0</v>
      </c>
      <c r="AE150" t="s">
        <v>542</v>
      </c>
    </row>
    <row r="151" spans="1:31" x14ac:dyDescent="0.3">
      <c r="A151">
        <v>-73.970234898279998</v>
      </c>
      <c r="B151">
        <v>40.777329541909999</v>
      </c>
      <c r="C151" t="s">
        <v>543</v>
      </c>
      <c r="D151" t="s">
        <v>544</v>
      </c>
      <c r="E151" t="s">
        <v>33</v>
      </c>
      <c r="F151">
        <v>10172018</v>
      </c>
      <c r="G151">
        <v>1</v>
      </c>
      <c r="H151" t="s">
        <v>48</v>
      </c>
      <c r="I151" t="s">
        <v>42</v>
      </c>
      <c r="J151" t="s">
        <v>53</v>
      </c>
      <c r="K151" t="s">
        <v>54</v>
      </c>
      <c r="M151" t="s">
        <v>65</v>
      </c>
      <c r="N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1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1</v>
      </c>
      <c r="AC151" t="b">
        <v>0</v>
      </c>
      <c r="AE151" t="s">
        <v>545</v>
      </c>
    </row>
    <row r="152" spans="1:31" x14ac:dyDescent="0.3">
      <c r="A152">
        <v>-73.968605608529998</v>
      </c>
      <c r="B152">
        <v>40.778165842489997</v>
      </c>
      <c r="C152" t="s">
        <v>546</v>
      </c>
      <c r="D152" t="s">
        <v>256</v>
      </c>
      <c r="E152" t="s">
        <v>38</v>
      </c>
      <c r="F152">
        <v>10142018</v>
      </c>
      <c r="G152">
        <v>3</v>
      </c>
      <c r="H152" t="s">
        <v>48</v>
      </c>
      <c r="I152" t="s">
        <v>42</v>
      </c>
      <c r="J152" t="s">
        <v>53</v>
      </c>
      <c r="K152" t="s">
        <v>54</v>
      </c>
      <c r="M152" t="s">
        <v>65</v>
      </c>
      <c r="N152" t="b">
        <v>0</v>
      </c>
      <c r="P152" t="b">
        <v>0</v>
      </c>
      <c r="Q152" t="b">
        <v>0</v>
      </c>
      <c r="R152" t="b">
        <v>0</v>
      </c>
      <c r="S152" t="b">
        <v>1</v>
      </c>
      <c r="T152" t="b">
        <v>1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1</v>
      </c>
      <c r="AB152" t="b">
        <v>0</v>
      </c>
      <c r="AC152" t="b">
        <v>0</v>
      </c>
      <c r="AE152" t="s">
        <v>547</v>
      </c>
    </row>
    <row r="153" spans="1:31" x14ac:dyDescent="0.3">
      <c r="A153">
        <v>-73.952214236040007</v>
      </c>
      <c r="B153">
        <v>40.794959848669997</v>
      </c>
      <c r="C153" t="s">
        <v>548</v>
      </c>
      <c r="D153" t="s">
        <v>549</v>
      </c>
      <c r="E153" t="s">
        <v>33</v>
      </c>
      <c r="F153">
        <v>10132018</v>
      </c>
      <c r="G153">
        <v>2</v>
      </c>
      <c r="H153" t="s">
        <v>105</v>
      </c>
      <c r="I153" t="s">
        <v>42</v>
      </c>
      <c r="J153" t="s">
        <v>96</v>
      </c>
      <c r="K153" t="s">
        <v>97</v>
      </c>
      <c r="M153" t="s">
        <v>65</v>
      </c>
      <c r="N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1</v>
      </c>
      <c r="V153" t="b">
        <v>0</v>
      </c>
      <c r="W153" t="b">
        <v>0</v>
      </c>
      <c r="X153" t="b">
        <v>0</v>
      </c>
      <c r="Y153" t="b">
        <v>0</v>
      </c>
      <c r="Z153" t="b">
        <v>1</v>
      </c>
      <c r="AA153" t="b">
        <v>0</v>
      </c>
      <c r="AB153" t="b">
        <v>1</v>
      </c>
      <c r="AC153" t="b">
        <v>0</v>
      </c>
      <c r="AE153" t="s">
        <v>550</v>
      </c>
    </row>
    <row r="154" spans="1:31" x14ac:dyDescent="0.3">
      <c r="A154">
        <v>-73.957658999749995</v>
      </c>
      <c r="B154">
        <v>40.797275187739999</v>
      </c>
      <c r="C154" t="s">
        <v>551</v>
      </c>
      <c r="D154" t="s">
        <v>218</v>
      </c>
      <c r="E154" t="s">
        <v>33</v>
      </c>
      <c r="F154">
        <v>10062018</v>
      </c>
      <c r="G154">
        <v>2</v>
      </c>
      <c r="H154" t="s">
        <v>48</v>
      </c>
      <c r="I154" t="s">
        <v>42</v>
      </c>
      <c r="K154" t="s">
        <v>43</v>
      </c>
      <c r="M154" t="s">
        <v>44</v>
      </c>
      <c r="N154">
        <v>50</v>
      </c>
      <c r="P154" t="b">
        <v>0</v>
      </c>
      <c r="Q154" t="b">
        <v>0</v>
      </c>
      <c r="R154" t="b">
        <v>1</v>
      </c>
      <c r="S154" t="b">
        <v>0</v>
      </c>
      <c r="T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s">
        <v>552</v>
      </c>
      <c r="AE154" t="s">
        <v>553</v>
      </c>
    </row>
    <row r="155" spans="1:31" x14ac:dyDescent="0.3">
      <c r="A155">
        <v>-73.963794687870006</v>
      </c>
      <c r="B155">
        <v>40.791570044689998</v>
      </c>
      <c r="C155" t="s">
        <v>554</v>
      </c>
      <c r="D155" t="s">
        <v>383</v>
      </c>
      <c r="E155" t="s">
        <v>38</v>
      </c>
      <c r="F155">
        <v>10102018</v>
      </c>
      <c r="G155">
        <v>4</v>
      </c>
      <c r="H155" t="s">
        <v>48</v>
      </c>
      <c r="I155" t="s">
        <v>42</v>
      </c>
      <c r="J155" t="s">
        <v>59</v>
      </c>
      <c r="K155" t="s">
        <v>79</v>
      </c>
      <c r="M155" t="s">
        <v>65</v>
      </c>
      <c r="N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1</v>
      </c>
      <c r="V155" t="b">
        <v>0</v>
      </c>
      <c r="W155" t="b">
        <v>0</v>
      </c>
      <c r="X155" t="b">
        <v>0</v>
      </c>
      <c r="Y155" t="b">
        <v>0</v>
      </c>
      <c r="Z155" t="b">
        <v>1</v>
      </c>
      <c r="AA155" t="b">
        <v>0</v>
      </c>
      <c r="AB155" t="b">
        <v>0</v>
      </c>
      <c r="AC155" t="b">
        <v>0</v>
      </c>
      <c r="AE155" t="s">
        <v>555</v>
      </c>
    </row>
    <row r="156" spans="1:31" x14ac:dyDescent="0.3">
      <c r="A156">
        <v>-73.971099112399997</v>
      </c>
      <c r="B156">
        <v>40.772388972660004</v>
      </c>
      <c r="C156" t="s">
        <v>556</v>
      </c>
      <c r="D156" t="s">
        <v>517</v>
      </c>
      <c r="E156" t="s">
        <v>33</v>
      </c>
      <c r="F156">
        <v>10142018</v>
      </c>
      <c r="G156">
        <v>2</v>
      </c>
      <c r="H156" t="s">
        <v>48</v>
      </c>
      <c r="I156" t="s">
        <v>42</v>
      </c>
      <c r="J156" t="s">
        <v>53</v>
      </c>
      <c r="K156" t="s">
        <v>54</v>
      </c>
      <c r="M156" t="s">
        <v>65</v>
      </c>
      <c r="N156" t="b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1</v>
      </c>
      <c r="AC156" t="b">
        <v>0</v>
      </c>
      <c r="AE156" t="s">
        <v>557</v>
      </c>
    </row>
    <row r="157" spans="1:31" x14ac:dyDescent="0.3">
      <c r="A157">
        <v>-73.963827033130002</v>
      </c>
      <c r="B157">
        <v>40.781045006520003</v>
      </c>
      <c r="C157" t="s">
        <v>558</v>
      </c>
      <c r="D157" t="s">
        <v>343</v>
      </c>
      <c r="E157" t="s">
        <v>33</v>
      </c>
      <c r="F157">
        <v>10072018</v>
      </c>
      <c r="G157">
        <v>2</v>
      </c>
      <c r="H157" t="s">
        <v>48</v>
      </c>
      <c r="I157" t="s">
        <v>42</v>
      </c>
      <c r="K157" t="s">
        <v>43</v>
      </c>
      <c r="M157" t="s">
        <v>65</v>
      </c>
      <c r="N157" t="b">
        <v>0</v>
      </c>
      <c r="P157" t="b">
        <v>0</v>
      </c>
      <c r="Q157" t="b">
        <v>0</v>
      </c>
      <c r="R157" t="b">
        <v>0</v>
      </c>
      <c r="S157" t="b">
        <v>1</v>
      </c>
      <c r="T157" t="b">
        <v>0</v>
      </c>
      <c r="V157" t="b">
        <v>0</v>
      </c>
      <c r="W157" t="b">
        <v>0</v>
      </c>
      <c r="X157" t="b">
        <v>0</v>
      </c>
      <c r="Y157" t="b">
        <v>1</v>
      </c>
      <c r="Z157" t="b">
        <v>0</v>
      </c>
      <c r="AA157" t="b">
        <v>0</v>
      </c>
      <c r="AB157" t="b">
        <v>0</v>
      </c>
      <c r="AC157" t="b">
        <v>1</v>
      </c>
      <c r="AE157" t="s">
        <v>559</v>
      </c>
    </row>
    <row r="158" spans="1:31" x14ac:dyDescent="0.3">
      <c r="A158">
        <v>-73.975601500579998</v>
      </c>
      <c r="B158">
        <v>40.767009032769998</v>
      </c>
      <c r="C158" t="s">
        <v>560</v>
      </c>
      <c r="D158" t="s">
        <v>471</v>
      </c>
      <c r="E158" t="s">
        <v>38</v>
      </c>
      <c r="F158">
        <v>10062018</v>
      </c>
      <c r="G158">
        <v>1</v>
      </c>
      <c r="H158" t="s">
        <v>48</v>
      </c>
      <c r="I158" t="s">
        <v>42</v>
      </c>
      <c r="J158" t="s">
        <v>53</v>
      </c>
      <c r="K158" t="s">
        <v>54</v>
      </c>
      <c r="M158" t="s">
        <v>65</v>
      </c>
      <c r="N158" t="b">
        <v>0</v>
      </c>
      <c r="O158" t="s">
        <v>561</v>
      </c>
      <c r="P158" t="b">
        <v>0</v>
      </c>
      <c r="Q158" t="b">
        <v>0</v>
      </c>
      <c r="R158" t="b">
        <v>0</v>
      </c>
      <c r="S158" t="b">
        <v>0</v>
      </c>
      <c r="T158" t="b">
        <v>1</v>
      </c>
      <c r="V158" t="b">
        <v>0</v>
      </c>
      <c r="W158" t="b">
        <v>0</v>
      </c>
      <c r="X158" t="b">
        <v>0</v>
      </c>
      <c r="Y158" t="b">
        <v>0</v>
      </c>
      <c r="Z158" t="b">
        <v>1</v>
      </c>
      <c r="AA158" t="b">
        <v>0</v>
      </c>
      <c r="AB158" t="b">
        <v>1</v>
      </c>
      <c r="AC158" t="b">
        <v>0</v>
      </c>
      <c r="AE158" t="s">
        <v>562</v>
      </c>
    </row>
    <row r="159" spans="1:31" x14ac:dyDescent="0.3">
      <c r="A159">
        <v>-73.964963255079994</v>
      </c>
      <c r="B159">
        <v>40.780918776199997</v>
      </c>
      <c r="C159" t="s">
        <v>563</v>
      </c>
      <c r="D159" t="s">
        <v>564</v>
      </c>
      <c r="E159" t="s">
        <v>33</v>
      </c>
      <c r="F159">
        <v>10072018</v>
      </c>
      <c r="G159">
        <v>1</v>
      </c>
      <c r="H159" t="s">
        <v>48</v>
      </c>
      <c r="I159" t="s">
        <v>42</v>
      </c>
      <c r="J159" t="s">
        <v>53</v>
      </c>
      <c r="K159" t="s">
        <v>54</v>
      </c>
      <c r="L159" t="s">
        <v>565</v>
      </c>
      <c r="M159" t="s">
        <v>65</v>
      </c>
      <c r="N159" t="b">
        <v>0</v>
      </c>
      <c r="P159" t="b">
        <v>0</v>
      </c>
      <c r="Q159" t="b">
        <v>0</v>
      </c>
      <c r="R159" t="b">
        <v>0</v>
      </c>
      <c r="S159" t="b">
        <v>1</v>
      </c>
      <c r="T159" t="b">
        <v>1</v>
      </c>
      <c r="V159" t="b">
        <v>0</v>
      </c>
      <c r="W159" t="b">
        <v>0</v>
      </c>
      <c r="X159" t="b">
        <v>0</v>
      </c>
      <c r="Y159" t="b">
        <v>0</v>
      </c>
      <c r="Z159" t="b">
        <v>1</v>
      </c>
      <c r="AA159" t="b">
        <v>0</v>
      </c>
      <c r="AB159" t="b">
        <v>1</v>
      </c>
      <c r="AC159" t="b">
        <v>0</v>
      </c>
      <c r="AE159" t="s">
        <v>566</v>
      </c>
    </row>
    <row r="160" spans="1:31" x14ac:dyDescent="0.3">
      <c r="A160">
        <v>-73.957219204340007</v>
      </c>
      <c r="B160">
        <v>40.793152905980001</v>
      </c>
      <c r="C160" t="s">
        <v>567</v>
      </c>
      <c r="D160" t="s">
        <v>483</v>
      </c>
      <c r="E160" t="s">
        <v>33</v>
      </c>
      <c r="F160">
        <v>10062018</v>
      </c>
      <c r="G160">
        <v>1</v>
      </c>
      <c r="H160" t="s">
        <v>48</v>
      </c>
      <c r="I160" t="s">
        <v>42</v>
      </c>
      <c r="J160" t="s">
        <v>96</v>
      </c>
      <c r="K160" t="s">
        <v>97</v>
      </c>
      <c r="M160" t="s">
        <v>65</v>
      </c>
      <c r="N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1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1</v>
      </c>
      <c r="AB160" t="b">
        <v>0</v>
      </c>
      <c r="AC160" t="b">
        <v>0</v>
      </c>
      <c r="AD160" t="s">
        <v>568</v>
      </c>
      <c r="AE160" t="s">
        <v>569</v>
      </c>
    </row>
    <row r="161" spans="1:31" x14ac:dyDescent="0.3">
      <c r="A161">
        <v>-73.971230886439997</v>
      </c>
      <c r="B161">
        <v>40.77145348474</v>
      </c>
      <c r="C161" t="s">
        <v>570</v>
      </c>
      <c r="D161" t="s">
        <v>571</v>
      </c>
      <c r="E161" t="s">
        <v>38</v>
      </c>
      <c r="F161">
        <v>10072018</v>
      </c>
      <c r="G161">
        <v>4</v>
      </c>
      <c r="H161" t="s">
        <v>48</v>
      </c>
      <c r="I161" t="s">
        <v>42</v>
      </c>
      <c r="J161" t="s">
        <v>59</v>
      </c>
      <c r="K161" t="s">
        <v>79</v>
      </c>
      <c r="M161" t="s">
        <v>44</v>
      </c>
      <c r="N161">
        <v>15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s">
        <v>75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1</v>
      </c>
      <c r="AC161" t="b">
        <v>0</v>
      </c>
      <c r="AE161" t="s">
        <v>572</v>
      </c>
    </row>
    <row r="162" spans="1:31" x14ac:dyDescent="0.3">
      <c r="A162">
        <v>-73.975867614430001</v>
      </c>
      <c r="B162">
        <v>40.770167158189999</v>
      </c>
      <c r="C162" t="s">
        <v>573</v>
      </c>
      <c r="D162" t="s">
        <v>574</v>
      </c>
      <c r="E162" t="s">
        <v>33</v>
      </c>
      <c r="F162">
        <v>10182018</v>
      </c>
      <c r="G162">
        <v>3</v>
      </c>
      <c r="H162" t="s">
        <v>48</v>
      </c>
      <c r="I162" t="s">
        <v>42</v>
      </c>
      <c r="J162" t="s">
        <v>59</v>
      </c>
      <c r="K162" t="s">
        <v>79</v>
      </c>
      <c r="M162" t="s">
        <v>65</v>
      </c>
      <c r="N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1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1</v>
      </c>
      <c r="AC162" t="b">
        <v>0</v>
      </c>
      <c r="AE162" t="s">
        <v>575</v>
      </c>
    </row>
    <row r="163" spans="1:31" x14ac:dyDescent="0.3">
      <c r="A163">
        <v>-73.969058856550006</v>
      </c>
      <c r="B163">
        <v>40.776635622699999</v>
      </c>
      <c r="C163" t="s">
        <v>576</v>
      </c>
      <c r="D163" t="s">
        <v>225</v>
      </c>
      <c r="E163" t="s">
        <v>33</v>
      </c>
      <c r="F163">
        <v>10122018</v>
      </c>
      <c r="G163">
        <v>6</v>
      </c>
      <c r="H163" t="s">
        <v>48</v>
      </c>
      <c r="I163" t="s">
        <v>53</v>
      </c>
      <c r="J163" t="s">
        <v>115</v>
      </c>
      <c r="K163" t="s">
        <v>116</v>
      </c>
      <c r="M163" t="s">
        <v>65</v>
      </c>
      <c r="N163" t="b">
        <v>0</v>
      </c>
      <c r="P163" t="b">
        <v>0</v>
      </c>
      <c r="Q163" t="b">
        <v>0</v>
      </c>
      <c r="R163" t="b">
        <v>0</v>
      </c>
      <c r="S163" t="b">
        <v>1</v>
      </c>
      <c r="T163" t="b">
        <v>1</v>
      </c>
      <c r="V163" t="b">
        <v>0</v>
      </c>
      <c r="W163" t="b">
        <v>0</v>
      </c>
      <c r="X163" t="b">
        <v>0</v>
      </c>
      <c r="Y163" t="b">
        <v>0</v>
      </c>
      <c r="Z163" t="b">
        <v>1</v>
      </c>
      <c r="AA163" t="b">
        <v>0</v>
      </c>
      <c r="AB163" t="b">
        <v>1</v>
      </c>
      <c r="AC163" t="b">
        <v>0</v>
      </c>
      <c r="AE163" t="s">
        <v>577</v>
      </c>
    </row>
    <row r="164" spans="1:31" x14ac:dyDescent="0.3">
      <c r="A164">
        <v>-73.9638463398</v>
      </c>
      <c r="B164">
        <v>40.783405171619997</v>
      </c>
      <c r="C164" t="s">
        <v>578</v>
      </c>
      <c r="D164" t="s">
        <v>579</v>
      </c>
      <c r="E164" t="s">
        <v>38</v>
      </c>
      <c r="F164">
        <v>10182018</v>
      </c>
      <c r="G164">
        <v>1</v>
      </c>
      <c r="H164" t="s">
        <v>48</v>
      </c>
      <c r="I164" t="s">
        <v>53</v>
      </c>
      <c r="J164" t="s">
        <v>42</v>
      </c>
      <c r="K164" t="s">
        <v>89</v>
      </c>
      <c r="M164" t="s">
        <v>44</v>
      </c>
      <c r="N164">
        <v>30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1</v>
      </c>
      <c r="AC164" t="b">
        <v>0</v>
      </c>
      <c r="AE164" t="s">
        <v>580</v>
      </c>
    </row>
    <row r="165" spans="1:31" x14ac:dyDescent="0.3">
      <c r="A165">
        <v>-73.959764277839994</v>
      </c>
      <c r="B165">
        <v>40.797636800390002</v>
      </c>
      <c r="C165" t="s">
        <v>581</v>
      </c>
      <c r="D165" t="s">
        <v>582</v>
      </c>
      <c r="E165" t="s">
        <v>33</v>
      </c>
      <c r="F165">
        <v>10142018</v>
      </c>
      <c r="G165">
        <v>2</v>
      </c>
      <c r="H165" t="s">
        <v>48</v>
      </c>
      <c r="I165" t="s">
        <v>42</v>
      </c>
      <c r="J165" t="s">
        <v>59</v>
      </c>
      <c r="K165" t="s">
        <v>79</v>
      </c>
      <c r="M165" t="s">
        <v>65</v>
      </c>
      <c r="N165" t="b">
        <v>0</v>
      </c>
      <c r="P165" t="b">
        <v>0</v>
      </c>
      <c r="Q165" t="b">
        <v>1</v>
      </c>
      <c r="R165" t="b">
        <v>0</v>
      </c>
      <c r="S165" t="b">
        <v>0</v>
      </c>
      <c r="T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E165" t="s">
        <v>583</v>
      </c>
    </row>
    <row r="166" spans="1:31" x14ac:dyDescent="0.3">
      <c r="A166">
        <v>-73.974569135300001</v>
      </c>
      <c r="B166">
        <v>40.777103558930001</v>
      </c>
      <c r="C166" t="s">
        <v>584</v>
      </c>
      <c r="D166" t="s">
        <v>585</v>
      </c>
      <c r="E166" t="s">
        <v>33</v>
      </c>
      <c r="F166">
        <v>10142018</v>
      </c>
      <c r="G166">
        <v>3</v>
      </c>
      <c r="H166" t="s">
        <v>48</v>
      </c>
      <c r="I166" t="s">
        <v>42</v>
      </c>
      <c r="J166" t="s">
        <v>53</v>
      </c>
      <c r="K166" t="s">
        <v>54</v>
      </c>
      <c r="M166" t="s">
        <v>44</v>
      </c>
      <c r="N166">
        <v>6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1</v>
      </c>
      <c r="AD166" t="s">
        <v>586</v>
      </c>
      <c r="AE166" t="s">
        <v>587</v>
      </c>
    </row>
    <row r="167" spans="1:31" x14ac:dyDescent="0.3">
      <c r="A167">
        <v>-73.974870641560003</v>
      </c>
      <c r="B167">
        <v>40.774417496509997</v>
      </c>
      <c r="C167" t="s">
        <v>588</v>
      </c>
      <c r="D167" t="s">
        <v>462</v>
      </c>
      <c r="E167" t="s">
        <v>38</v>
      </c>
      <c r="F167">
        <v>10062018</v>
      </c>
      <c r="G167">
        <v>2</v>
      </c>
      <c r="H167" t="s">
        <v>105</v>
      </c>
      <c r="I167" t="s">
        <v>42</v>
      </c>
      <c r="J167" t="s">
        <v>53</v>
      </c>
      <c r="K167" t="s">
        <v>54</v>
      </c>
      <c r="M167" t="s">
        <v>44</v>
      </c>
      <c r="O167" t="s">
        <v>589</v>
      </c>
      <c r="P167" t="b">
        <v>0</v>
      </c>
      <c r="Q167" t="b">
        <v>0</v>
      </c>
      <c r="R167" t="b">
        <v>1</v>
      </c>
      <c r="S167" t="b">
        <v>0</v>
      </c>
      <c r="T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1</v>
      </c>
      <c r="AC167" t="b">
        <v>0</v>
      </c>
      <c r="AE167" t="s">
        <v>590</v>
      </c>
    </row>
    <row r="168" spans="1:31" x14ac:dyDescent="0.3">
      <c r="A168">
        <v>-73.959720596630007</v>
      </c>
      <c r="B168">
        <v>40.796940951010001</v>
      </c>
      <c r="C168" t="s">
        <v>591</v>
      </c>
      <c r="D168" t="s">
        <v>431</v>
      </c>
      <c r="E168" t="s">
        <v>38</v>
      </c>
      <c r="F168">
        <v>10192018</v>
      </c>
      <c r="G168">
        <v>1</v>
      </c>
      <c r="H168" t="s">
        <v>48</v>
      </c>
      <c r="I168" t="s">
        <v>42</v>
      </c>
      <c r="J168" t="s">
        <v>59</v>
      </c>
      <c r="K168" t="s">
        <v>79</v>
      </c>
      <c r="M168" t="s">
        <v>65</v>
      </c>
      <c r="N168" t="b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1</v>
      </c>
      <c r="AE168" t="s">
        <v>592</v>
      </c>
    </row>
    <row r="169" spans="1:31" x14ac:dyDescent="0.3">
      <c r="A169">
        <v>-73.971086588090003</v>
      </c>
      <c r="B169">
        <v>40.771970323520002</v>
      </c>
      <c r="C169" t="s">
        <v>593</v>
      </c>
      <c r="D169" t="s">
        <v>571</v>
      </c>
      <c r="E169" t="s">
        <v>33</v>
      </c>
      <c r="F169">
        <v>10072018</v>
      </c>
      <c r="G169">
        <v>6</v>
      </c>
      <c r="H169" t="s">
        <v>48</v>
      </c>
      <c r="I169" t="s">
        <v>42</v>
      </c>
      <c r="K169" t="s">
        <v>43</v>
      </c>
      <c r="M169" t="s">
        <v>65</v>
      </c>
      <c r="N169" t="b">
        <v>0</v>
      </c>
      <c r="P169" t="b">
        <v>0</v>
      </c>
      <c r="Q169" t="b">
        <v>0</v>
      </c>
      <c r="R169" t="b">
        <v>0</v>
      </c>
      <c r="S169" t="b">
        <v>1</v>
      </c>
      <c r="T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E169" t="s">
        <v>594</v>
      </c>
    </row>
    <row r="170" spans="1:31" x14ac:dyDescent="0.3">
      <c r="A170">
        <v>-73.958535640769995</v>
      </c>
      <c r="B170">
        <v>40.798273789699998</v>
      </c>
      <c r="C170" t="s">
        <v>595</v>
      </c>
      <c r="D170" t="s">
        <v>212</v>
      </c>
      <c r="E170" t="s">
        <v>38</v>
      </c>
      <c r="F170">
        <v>10192018</v>
      </c>
      <c r="G170">
        <v>2</v>
      </c>
      <c r="H170" t="s">
        <v>105</v>
      </c>
      <c r="I170" t="s">
        <v>42</v>
      </c>
      <c r="J170" t="s">
        <v>59</v>
      </c>
      <c r="K170" t="s">
        <v>79</v>
      </c>
      <c r="M170" t="s">
        <v>65</v>
      </c>
      <c r="N170" t="b">
        <v>0</v>
      </c>
      <c r="P170" t="b">
        <v>1</v>
      </c>
      <c r="Q170" t="b">
        <v>1</v>
      </c>
      <c r="R170" t="b">
        <v>0</v>
      </c>
      <c r="S170" t="b">
        <v>0</v>
      </c>
      <c r="T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1</v>
      </c>
      <c r="AA170" t="b">
        <v>0</v>
      </c>
      <c r="AB170" t="b">
        <v>0</v>
      </c>
      <c r="AC170" t="b">
        <v>0</v>
      </c>
      <c r="AE170" t="s">
        <v>596</v>
      </c>
    </row>
    <row r="171" spans="1:31" x14ac:dyDescent="0.3">
      <c r="A171">
        <v>-73.958770180149997</v>
      </c>
      <c r="B171">
        <v>40.793412394150003</v>
      </c>
      <c r="C171" t="s">
        <v>597</v>
      </c>
      <c r="D171" t="s">
        <v>505</v>
      </c>
      <c r="E171" t="s">
        <v>33</v>
      </c>
      <c r="F171">
        <v>10132018</v>
      </c>
      <c r="G171">
        <v>4</v>
      </c>
      <c r="H171" t="s">
        <v>105</v>
      </c>
      <c r="I171" t="s">
        <v>42</v>
      </c>
      <c r="J171" t="s">
        <v>59</v>
      </c>
      <c r="K171" t="s">
        <v>79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E171" t="s">
        <v>598</v>
      </c>
    </row>
    <row r="172" spans="1:31" x14ac:dyDescent="0.3">
      <c r="A172">
        <v>-73.970727405580007</v>
      </c>
      <c r="B172">
        <v>40.77238890804</v>
      </c>
      <c r="C172" t="s">
        <v>599</v>
      </c>
      <c r="D172" t="s">
        <v>600</v>
      </c>
      <c r="E172" t="s">
        <v>33</v>
      </c>
      <c r="F172">
        <v>10172018</v>
      </c>
      <c r="G172">
        <v>10</v>
      </c>
      <c r="H172" t="s">
        <v>48</v>
      </c>
      <c r="I172" t="s">
        <v>42</v>
      </c>
      <c r="K172" t="s">
        <v>43</v>
      </c>
      <c r="M172" t="s">
        <v>65</v>
      </c>
      <c r="N172" t="b">
        <v>0</v>
      </c>
      <c r="P172" t="b">
        <v>0</v>
      </c>
      <c r="Q172" t="b">
        <v>1</v>
      </c>
      <c r="R172" t="b">
        <v>0</v>
      </c>
      <c r="S172" t="b">
        <v>0</v>
      </c>
      <c r="T172" t="b">
        <v>0</v>
      </c>
      <c r="U172" t="s">
        <v>601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1</v>
      </c>
      <c r="AC172" t="b">
        <v>0</v>
      </c>
      <c r="AE172" t="s">
        <v>602</v>
      </c>
    </row>
    <row r="173" spans="1:31" x14ac:dyDescent="0.3">
      <c r="A173">
        <v>-73.972006506659994</v>
      </c>
      <c r="B173">
        <v>40.776404378290003</v>
      </c>
      <c r="C173" t="s">
        <v>603</v>
      </c>
      <c r="D173" t="s">
        <v>604</v>
      </c>
      <c r="E173" t="s">
        <v>38</v>
      </c>
      <c r="F173">
        <v>10102018</v>
      </c>
      <c r="G173">
        <v>4</v>
      </c>
      <c r="H173" t="s">
        <v>48</v>
      </c>
      <c r="I173" t="s">
        <v>42</v>
      </c>
      <c r="K173" t="s">
        <v>43</v>
      </c>
      <c r="M173" t="s">
        <v>65</v>
      </c>
      <c r="N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1</v>
      </c>
      <c r="V173" t="b">
        <v>0</v>
      </c>
      <c r="W173" t="b">
        <v>0</v>
      </c>
      <c r="X173" t="b">
        <v>0</v>
      </c>
      <c r="Y173" t="b">
        <v>0</v>
      </c>
      <c r="Z173" t="b">
        <v>1</v>
      </c>
      <c r="AA173" t="b">
        <v>0</v>
      </c>
      <c r="AB173" t="b">
        <v>1</v>
      </c>
      <c r="AC173" t="b">
        <v>0</v>
      </c>
      <c r="AE173" t="s">
        <v>605</v>
      </c>
    </row>
    <row r="174" spans="1:31" x14ac:dyDescent="0.3">
      <c r="A174">
        <v>-73.961806463919999</v>
      </c>
      <c r="B174">
        <v>40.792158440039998</v>
      </c>
      <c r="C174" t="s">
        <v>606</v>
      </c>
      <c r="D174" t="s">
        <v>607</v>
      </c>
      <c r="E174" t="s">
        <v>33</v>
      </c>
      <c r="F174">
        <v>10132018</v>
      </c>
      <c r="G174">
        <v>12</v>
      </c>
      <c r="H174" t="s">
        <v>48</v>
      </c>
      <c r="I174" t="s">
        <v>42</v>
      </c>
      <c r="K174" t="s">
        <v>43</v>
      </c>
      <c r="M174" t="s">
        <v>65</v>
      </c>
      <c r="N174" t="b">
        <v>0</v>
      </c>
      <c r="P174" t="b">
        <v>1</v>
      </c>
      <c r="Q174" t="b">
        <v>0</v>
      </c>
      <c r="R174" t="b">
        <v>0</v>
      </c>
      <c r="S174" t="b">
        <v>0</v>
      </c>
      <c r="T174" t="b">
        <v>1</v>
      </c>
      <c r="V174" t="b">
        <v>0</v>
      </c>
      <c r="W174" t="b">
        <v>0</v>
      </c>
      <c r="X174" t="b">
        <v>0</v>
      </c>
      <c r="Y174" t="b">
        <v>0</v>
      </c>
      <c r="Z174" t="b">
        <v>1</v>
      </c>
      <c r="AA174" t="b">
        <v>1</v>
      </c>
      <c r="AB174" t="b">
        <v>0</v>
      </c>
      <c r="AC174" t="b">
        <v>0</v>
      </c>
      <c r="AE174" t="s">
        <v>608</v>
      </c>
    </row>
    <row r="175" spans="1:31" x14ac:dyDescent="0.3">
      <c r="A175">
        <v>-73.955443239329995</v>
      </c>
      <c r="B175">
        <v>40.79456690544</v>
      </c>
      <c r="C175" t="s">
        <v>609</v>
      </c>
      <c r="D175" t="s">
        <v>32</v>
      </c>
      <c r="E175" t="s">
        <v>33</v>
      </c>
      <c r="F175">
        <v>10142018</v>
      </c>
      <c r="G175">
        <v>1</v>
      </c>
      <c r="I175" t="s">
        <v>42</v>
      </c>
      <c r="K175" t="s">
        <v>43</v>
      </c>
      <c r="M175" t="s">
        <v>65</v>
      </c>
      <c r="N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1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1</v>
      </c>
      <c r="AE175" t="s">
        <v>610</v>
      </c>
    </row>
    <row r="176" spans="1:31" x14ac:dyDescent="0.3">
      <c r="A176">
        <v>-73.961378052249998</v>
      </c>
      <c r="B176">
        <v>40.790786197110002</v>
      </c>
      <c r="C176" t="s">
        <v>611</v>
      </c>
      <c r="D176" t="s">
        <v>612</v>
      </c>
      <c r="E176" t="s">
        <v>33</v>
      </c>
      <c r="F176">
        <v>10062018</v>
      </c>
      <c r="G176">
        <v>4</v>
      </c>
      <c r="H176" t="s">
        <v>48</v>
      </c>
      <c r="I176" t="s">
        <v>42</v>
      </c>
      <c r="K176" t="s">
        <v>43</v>
      </c>
      <c r="M176" t="s">
        <v>44</v>
      </c>
      <c r="N176">
        <v>30</v>
      </c>
      <c r="P176" t="b">
        <v>0</v>
      </c>
      <c r="Q176" t="b">
        <v>0</v>
      </c>
      <c r="R176" t="b">
        <v>0</v>
      </c>
      <c r="S176" t="b">
        <v>1</v>
      </c>
      <c r="T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1</v>
      </c>
      <c r="AC176" t="b">
        <v>0</v>
      </c>
      <c r="AE176" t="s">
        <v>613</v>
      </c>
    </row>
    <row r="177" spans="1:31" x14ac:dyDescent="0.3">
      <c r="A177">
        <v>-73.964690143230001</v>
      </c>
      <c r="B177">
        <v>40.775995869680003</v>
      </c>
      <c r="C177" t="s">
        <v>614</v>
      </c>
      <c r="D177" t="s">
        <v>408</v>
      </c>
      <c r="E177" t="s">
        <v>33</v>
      </c>
      <c r="F177">
        <v>10122018</v>
      </c>
      <c r="G177">
        <v>3</v>
      </c>
      <c r="H177" t="s">
        <v>48</v>
      </c>
      <c r="I177" t="s">
        <v>42</v>
      </c>
      <c r="K177" t="s">
        <v>43</v>
      </c>
      <c r="M177" t="s">
        <v>65</v>
      </c>
      <c r="N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1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E177" t="s">
        <v>615</v>
      </c>
    </row>
    <row r="178" spans="1:31" x14ac:dyDescent="0.3">
      <c r="A178">
        <v>-73.969082832520002</v>
      </c>
      <c r="B178">
        <v>40.781803817229999</v>
      </c>
      <c r="C178" t="s">
        <v>616</v>
      </c>
      <c r="D178" t="s">
        <v>304</v>
      </c>
      <c r="E178" t="s">
        <v>33</v>
      </c>
      <c r="F178">
        <v>10182018</v>
      </c>
      <c r="G178">
        <v>4</v>
      </c>
      <c r="H178" t="s">
        <v>48</v>
      </c>
      <c r="I178" t="s">
        <v>42</v>
      </c>
      <c r="J178" t="s">
        <v>53</v>
      </c>
      <c r="K178" t="s">
        <v>54</v>
      </c>
      <c r="M178" t="s">
        <v>65</v>
      </c>
      <c r="N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1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E178" t="s">
        <v>617</v>
      </c>
    </row>
    <row r="179" spans="1:31" x14ac:dyDescent="0.3">
      <c r="A179">
        <v>-73.970877586439997</v>
      </c>
      <c r="B179">
        <v>40.772473633540002</v>
      </c>
      <c r="C179" t="s">
        <v>618</v>
      </c>
      <c r="D179" t="s">
        <v>314</v>
      </c>
      <c r="E179" t="s">
        <v>33</v>
      </c>
      <c r="F179">
        <v>10192018</v>
      </c>
      <c r="G179">
        <v>12</v>
      </c>
      <c r="H179" t="s">
        <v>48</v>
      </c>
      <c r="I179" t="s">
        <v>176</v>
      </c>
      <c r="J179" t="s">
        <v>59</v>
      </c>
      <c r="K179" t="s">
        <v>619</v>
      </c>
      <c r="M179" t="s">
        <v>65</v>
      </c>
      <c r="N179" t="b">
        <v>0</v>
      </c>
      <c r="P179" t="b">
        <v>1</v>
      </c>
      <c r="Q179" t="b">
        <v>0</v>
      </c>
      <c r="R179" t="b">
        <v>0</v>
      </c>
      <c r="S179" t="b">
        <v>0</v>
      </c>
      <c r="T179" t="b">
        <v>1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1</v>
      </c>
      <c r="AE179" t="s">
        <v>620</v>
      </c>
    </row>
    <row r="180" spans="1:31" x14ac:dyDescent="0.3">
      <c r="A180">
        <v>-73.969105065600004</v>
      </c>
      <c r="B180">
        <v>40.780813953820001</v>
      </c>
      <c r="C180" t="s">
        <v>621</v>
      </c>
      <c r="D180" t="s">
        <v>622</v>
      </c>
      <c r="E180" t="s">
        <v>33</v>
      </c>
      <c r="F180">
        <v>10182018</v>
      </c>
      <c r="G180">
        <v>1</v>
      </c>
      <c r="I180" t="s">
        <v>176</v>
      </c>
      <c r="K180" t="s">
        <v>177</v>
      </c>
      <c r="M180" t="s">
        <v>65</v>
      </c>
      <c r="N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1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1</v>
      </c>
      <c r="AC180" t="b">
        <v>0</v>
      </c>
      <c r="AE180" t="s">
        <v>623</v>
      </c>
    </row>
    <row r="181" spans="1:31" x14ac:dyDescent="0.3">
      <c r="A181">
        <v>-73.976843463509994</v>
      </c>
      <c r="B181">
        <v>40.772849403869998</v>
      </c>
      <c r="C181" t="s">
        <v>624</v>
      </c>
      <c r="D181" t="s">
        <v>439</v>
      </c>
      <c r="E181" t="s">
        <v>38</v>
      </c>
      <c r="F181">
        <v>10082018</v>
      </c>
      <c r="G181">
        <v>11</v>
      </c>
      <c r="H181" t="s">
        <v>48</v>
      </c>
      <c r="I181" t="s">
        <v>42</v>
      </c>
      <c r="K181" t="s">
        <v>43</v>
      </c>
      <c r="M181" t="s">
        <v>65</v>
      </c>
      <c r="N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1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1</v>
      </c>
      <c r="AC181" t="b">
        <v>0</v>
      </c>
      <c r="AE181" t="s">
        <v>625</v>
      </c>
    </row>
    <row r="182" spans="1:31" x14ac:dyDescent="0.3">
      <c r="A182">
        <v>-73.955381181039996</v>
      </c>
      <c r="B182">
        <v>40.797089500790001</v>
      </c>
      <c r="C182" t="s">
        <v>626</v>
      </c>
      <c r="D182" t="s">
        <v>627</v>
      </c>
      <c r="E182" t="s">
        <v>38</v>
      </c>
      <c r="F182">
        <v>10142018</v>
      </c>
      <c r="G182">
        <v>2</v>
      </c>
      <c r="H182" t="s">
        <v>48</v>
      </c>
      <c r="I182" t="s">
        <v>42</v>
      </c>
      <c r="J182" t="s">
        <v>59</v>
      </c>
      <c r="K182" t="s">
        <v>79</v>
      </c>
      <c r="M182" t="s">
        <v>65</v>
      </c>
      <c r="N182" t="b">
        <v>0</v>
      </c>
      <c r="P182" t="b">
        <v>1</v>
      </c>
      <c r="Q182" t="b">
        <v>0</v>
      </c>
      <c r="R182" t="b">
        <v>0</v>
      </c>
      <c r="S182" t="b">
        <v>0</v>
      </c>
      <c r="T182" t="b">
        <v>1</v>
      </c>
      <c r="V182" t="b">
        <v>0</v>
      </c>
      <c r="W182" t="b">
        <v>0</v>
      </c>
      <c r="X182" t="b">
        <v>0</v>
      </c>
      <c r="Y182" t="b">
        <v>0</v>
      </c>
      <c r="Z182" t="b">
        <v>1</v>
      </c>
      <c r="AA182" t="b">
        <v>0</v>
      </c>
      <c r="AB182" t="b">
        <v>1</v>
      </c>
      <c r="AC182" t="b">
        <v>0</v>
      </c>
      <c r="AE182" t="s">
        <v>628</v>
      </c>
    </row>
    <row r="183" spans="1:31" x14ac:dyDescent="0.3">
      <c r="A183">
        <v>-73.958846841310006</v>
      </c>
      <c r="B183">
        <v>40.796385229899997</v>
      </c>
      <c r="C183" t="s">
        <v>629</v>
      </c>
      <c r="D183" t="s">
        <v>431</v>
      </c>
      <c r="E183" t="s">
        <v>38</v>
      </c>
      <c r="F183">
        <v>10192018</v>
      </c>
      <c r="G183">
        <v>5</v>
      </c>
      <c r="H183" t="s">
        <v>48</v>
      </c>
      <c r="I183" t="s">
        <v>42</v>
      </c>
      <c r="K183" t="s">
        <v>43</v>
      </c>
      <c r="M183" t="s">
        <v>44</v>
      </c>
      <c r="N183">
        <v>28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s">
        <v>630</v>
      </c>
      <c r="V183" t="b">
        <v>0</v>
      </c>
      <c r="W183" t="b">
        <v>1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E183" t="s">
        <v>631</v>
      </c>
    </row>
    <row r="184" spans="1:31" x14ac:dyDescent="0.3">
      <c r="A184">
        <v>-73.978813817299994</v>
      </c>
      <c r="B184">
        <v>40.769300175479998</v>
      </c>
      <c r="C184" t="s">
        <v>632</v>
      </c>
      <c r="D184" t="s">
        <v>455</v>
      </c>
      <c r="E184" t="s">
        <v>38</v>
      </c>
      <c r="F184">
        <v>10102018</v>
      </c>
      <c r="G184">
        <v>9</v>
      </c>
      <c r="H184" t="s">
        <v>105</v>
      </c>
      <c r="I184" t="s">
        <v>42</v>
      </c>
      <c r="K184" t="s">
        <v>43</v>
      </c>
      <c r="M184" t="s">
        <v>65</v>
      </c>
      <c r="N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1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1</v>
      </c>
      <c r="AE184" t="s">
        <v>633</v>
      </c>
    </row>
    <row r="185" spans="1:31" x14ac:dyDescent="0.3">
      <c r="A185">
        <v>-73.970016203409998</v>
      </c>
      <c r="B185">
        <v>40.781527747959998</v>
      </c>
      <c r="C185" t="s">
        <v>634</v>
      </c>
      <c r="D185" t="s">
        <v>411</v>
      </c>
      <c r="E185" t="s">
        <v>38</v>
      </c>
      <c r="F185">
        <v>10192018</v>
      </c>
      <c r="G185">
        <v>2</v>
      </c>
      <c r="H185" t="s">
        <v>105</v>
      </c>
      <c r="I185" t="s">
        <v>42</v>
      </c>
      <c r="J185" t="s">
        <v>96</v>
      </c>
      <c r="K185" t="s">
        <v>97</v>
      </c>
      <c r="M185" t="s">
        <v>65</v>
      </c>
      <c r="N185" t="b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s">
        <v>635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1</v>
      </c>
      <c r="AC185" t="b">
        <v>1</v>
      </c>
      <c r="AD185" t="s">
        <v>636</v>
      </c>
      <c r="AE185" t="s">
        <v>637</v>
      </c>
    </row>
    <row r="186" spans="1:31" x14ac:dyDescent="0.3">
      <c r="A186">
        <v>-73.957052877039999</v>
      </c>
      <c r="B186">
        <v>40.799097380409997</v>
      </c>
      <c r="C186" t="s">
        <v>638</v>
      </c>
      <c r="D186" t="s">
        <v>367</v>
      </c>
      <c r="E186" t="s">
        <v>38</v>
      </c>
      <c r="F186">
        <v>10102018</v>
      </c>
      <c r="G186">
        <v>7</v>
      </c>
      <c r="H186" t="s">
        <v>48</v>
      </c>
      <c r="I186" t="s">
        <v>53</v>
      </c>
      <c r="J186" t="s">
        <v>115</v>
      </c>
      <c r="K186" t="s">
        <v>116</v>
      </c>
      <c r="M186" t="s">
        <v>44</v>
      </c>
      <c r="N186">
        <v>10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V186" t="b">
        <v>1</v>
      </c>
      <c r="W186" t="b">
        <v>0</v>
      </c>
      <c r="X186" t="b">
        <v>0</v>
      </c>
      <c r="Y186" t="b">
        <v>1</v>
      </c>
      <c r="Z186" t="b">
        <v>0</v>
      </c>
      <c r="AA186" t="b">
        <v>1</v>
      </c>
      <c r="AB186" t="b">
        <v>0</v>
      </c>
      <c r="AC186" t="b">
        <v>0</v>
      </c>
      <c r="AD186" t="s">
        <v>639</v>
      </c>
      <c r="AE186" t="s">
        <v>640</v>
      </c>
    </row>
    <row r="187" spans="1:31" x14ac:dyDescent="0.3">
      <c r="A187">
        <v>-73.973548953790001</v>
      </c>
      <c r="B187">
        <v>40.768125791149998</v>
      </c>
      <c r="C187" t="s">
        <v>641</v>
      </c>
      <c r="D187" t="s">
        <v>642</v>
      </c>
      <c r="E187" t="s">
        <v>38</v>
      </c>
      <c r="F187">
        <v>10062018</v>
      </c>
      <c r="G187">
        <v>2</v>
      </c>
      <c r="I187" t="s">
        <v>42</v>
      </c>
      <c r="J187" t="s">
        <v>59</v>
      </c>
      <c r="K187" t="s">
        <v>79</v>
      </c>
      <c r="M187" t="s">
        <v>44</v>
      </c>
      <c r="N187">
        <v>12</v>
      </c>
      <c r="O187" t="s">
        <v>190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s">
        <v>643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1</v>
      </c>
      <c r="AC187" t="b">
        <v>0</v>
      </c>
      <c r="AE187" t="s">
        <v>644</v>
      </c>
    </row>
    <row r="188" spans="1:31" x14ac:dyDescent="0.3">
      <c r="A188">
        <v>-73.969550796519997</v>
      </c>
      <c r="B188">
        <v>40.774307042339998</v>
      </c>
      <c r="C188" t="s">
        <v>645</v>
      </c>
      <c r="D188" t="s">
        <v>646</v>
      </c>
      <c r="E188" t="s">
        <v>33</v>
      </c>
      <c r="F188">
        <v>10072018</v>
      </c>
      <c r="G188">
        <v>4</v>
      </c>
      <c r="H188" t="s">
        <v>48</v>
      </c>
      <c r="I188" t="s">
        <v>42</v>
      </c>
      <c r="J188" t="s">
        <v>53</v>
      </c>
      <c r="K188" t="s">
        <v>54</v>
      </c>
      <c r="M188" t="s">
        <v>65</v>
      </c>
      <c r="N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1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1</v>
      </c>
      <c r="AC188" t="b">
        <v>0</v>
      </c>
      <c r="AD188" t="s">
        <v>647</v>
      </c>
      <c r="AE188" t="s">
        <v>648</v>
      </c>
    </row>
    <row r="189" spans="1:31" x14ac:dyDescent="0.3">
      <c r="A189">
        <v>-73.978710506970003</v>
      </c>
      <c r="B189">
        <v>40.769370813389997</v>
      </c>
      <c r="C189" t="s">
        <v>649</v>
      </c>
      <c r="D189" t="s">
        <v>455</v>
      </c>
      <c r="E189" t="s">
        <v>38</v>
      </c>
      <c r="F189">
        <v>10102018</v>
      </c>
      <c r="G189">
        <v>8</v>
      </c>
      <c r="H189" t="s">
        <v>105</v>
      </c>
      <c r="I189" t="s">
        <v>42</v>
      </c>
      <c r="J189" t="s">
        <v>53</v>
      </c>
      <c r="K189" t="s">
        <v>54</v>
      </c>
      <c r="M189" t="s">
        <v>44</v>
      </c>
      <c r="N189">
        <v>10</v>
      </c>
      <c r="P189" t="b">
        <v>0</v>
      </c>
      <c r="Q189" t="b">
        <v>0</v>
      </c>
      <c r="R189" t="b">
        <v>1</v>
      </c>
      <c r="S189" t="b">
        <v>0</v>
      </c>
      <c r="T189" t="b">
        <v>0</v>
      </c>
      <c r="U189" t="s">
        <v>650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1</v>
      </c>
      <c r="AC189" t="b">
        <v>0</v>
      </c>
      <c r="AE189" t="s">
        <v>651</v>
      </c>
    </row>
    <row r="190" spans="1:31" x14ac:dyDescent="0.3">
      <c r="A190">
        <v>-73.965165488799997</v>
      </c>
      <c r="B190">
        <v>40.777780600699998</v>
      </c>
      <c r="C190" t="s">
        <v>652</v>
      </c>
      <c r="D190" t="s">
        <v>653</v>
      </c>
      <c r="E190" t="s">
        <v>33</v>
      </c>
      <c r="F190">
        <v>10072018</v>
      </c>
      <c r="G190">
        <v>2</v>
      </c>
      <c r="H190" t="s">
        <v>48</v>
      </c>
      <c r="I190" t="s">
        <v>42</v>
      </c>
      <c r="K190" t="s">
        <v>43</v>
      </c>
      <c r="M190" t="s">
        <v>65</v>
      </c>
      <c r="N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1</v>
      </c>
      <c r="V190" t="b">
        <v>0</v>
      </c>
      <c r="W190" t="b">
        <v>0</v>
      </c>
      <c r="X190" t="b">
        <v>0</v>
      </c>
      <c r="Y190" t="b">
        <v>1</v>
      </c>
      <c r="Z190" t="b">
        <v>0</v>
      </c>
      <c r="AA190" t="b">
        <v>0</v>
      </c>
      <c r="AB190" t="b">
        <v>1</v>
      </c>
      <c r="AC190" t="b">
        <v>0</v>
      </c>
      <c r="AE190" t="s">
        <v>654</v>
      </c>
    </row>
    <row r="191" spans="1:31" x14ac:dyDescent="0.3">
      <c r="A191">
        <v>-73.953769129880001</v>
      </c>
      <c r="B191">
        <v>40.794127259980002</v>
      </c>
      <c r="C191" t="s">
        <v>655</v>
      </c>
      <c r="D191" t="s">
        <v>278</v>
      </c>
      <c r="E191" t="s">
        <v>33</v>
      </c>
      <c r="F191">
        <v>10202018</v>
      </c>
      <c r="G191">
        <v>1</v>
      </c>
      <c r="H191" t="s">
        <v>48</v>
      </c>
      <c r="I191" t="s">
        <v>42</v>
      </c>
      <c r="J191" t="s">
        <v>53</v>
      </c>
      <c r="K191" t="s">
        <v>54</v>
      </c>
      <c r="M191" t="s">
        <v>65</v>
      </c>
      <c r="N191" t="b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V191" t="b">
        <v>0</v>
      </c>
      <c r="W191" t="b">
        <v>0</v>
      </c>
      <c r="X191" t="b">
        <v>0</v>
      </c>
      <c r="Y191" t="b">
        <v>1</v>
      </c>
      <c r="Z191" t="b">
        <v>0</v>
      </c>
      <c r="AA191" t="b">
        <v>0</v>
      </c>
      <c r="AB191" t="b">
        <v>0</v>
      </c>
      <c r="AC191" t="b">
        <v>1</v>
      </c>
      <c r="AE191" t="s">
        <v>656</v>
      </c>
    </row>
    <row r="192" spans="1:31" x14ac:dyDescent="0.3">
      <c r="A192">
        <v>-73.976483997309998</v>
      </c>
      <c r="B192">
        <v>40.769172532699997</v>
      </c>
      <c r="C192" t="s">
        <v>657</v>
      </c>
      <c r="D192" t="s">
        <v>534</v>
      </c>
      <c r="E192" t="s">
        <v>33</v>
      </c>
      <c r="F192">
        <v>10082018</v>
      </c>
      <c r="G192">
        <v>6</v>
      </c>
      <c r="H192" t="s">
        <v>48</v>
      </c>
      <c r="I192" t="s">
        <v>53</v>
      </c>
      <c r="J192" t="s">
        <v>115</v>
      </c>
      <c r="K192" t="s">
        <v>116</v>
      </c>
      <c r="M192" t="s">
        <v>65</v>
      </c>
      <c r="N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  <c r="V192" t="b">
        <v>0</v>
      </c>
      <c r="W192" t="b">
        <v>0</v>
      </c>
      <c r="X192" t="b">
        <v>0</v>
      </c>
      <c r="Y192" t="b">
        <v>1</v>
      </c>
      <c r="Z192" t="b">
        <v>0</v>
      </c>
      <c r="AA192" t="b">
        <v>0</v>
      </c>
      <c r="AB192" t="b">
        <v>1</v>
      </c>
      <c r="AC192" t="b">
        <v>0</v>
      </c>
      <c r="AE192" t="s">
        <v>658</v>
      </c>
    </row>
    <row r="193" spans="1:31" x14ac:dyDescent="0.3">
      <c r="A193">
        <v>-73.973777361329994</v>
      </c>
      <c r="B193">
        <v>40.767366261100001</v>
      </c>
      <c r="C193" t="s">
        <v>659</v>
      </c>
      <c r="D193" t="s">
        <v>660</v>
      </c>
      <c r="E193" t="s">
        <v>33</v>
      </c>
      <c r="F193">
        <v>10132018</v>
      </c>
      <c r="G193">
        <v>1</v>
      </c>
      <c r="H193" t="s">
        <v>48</v>
      </c>
      <c r="I193" t="s">
        <v>42</v>
      </c>
      <c r="J193" t="s">
        <v>53</v>
      </c>
      <c r="K193" t="s">
        <v>54</v>
      </c>
      <c r="M193" t="s">
        <v>65</v>
      </c>
      <c r="N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1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1</v>
      </c>
      <c r="AE193" t="s">
        <v>661</v>
      </c>
    </row>
    <row r="194" spans="1:31" x14ac:dyDescent="0.3">
      <c r="A194">
        <v>-73.965796978970005</v>
      </c>
      <c r="B194">
        <v>40.77604028428</v>
      </c>
      <c r="C194" t="s">
        <v>662</v>
      </c>
      <c r="D194" t="s">
        <v>663</v>
      </c>
      <c r="E194" t="s">
        <v>33</v>
      </c>
      <c r="F194">
        <v>10082018</v>
      </c>
      <c r="G194">
        <v>3</v>
      </c>
      <c r="H194" t="s">
        <v>48</v>
      </c>
      <c r="I194" t="s">
        <v>42</v>
      </c>
      <c r="K194" t="s">
        <v>43</v>
      </c>
      <c r="M194" t="s">
        <v>65</v>
      </c>
      <c r="N194" t="b">
        <v>0</v>
      </c>
      <c r="O194" t="s">
        <v>664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s">
        <v>665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1</v>
      </c>
      <c r="AC194" t="b">
        <v>0</v>
      </c>
      <c r="AE194" t="s">
        <v>666</v>
      </c>
    </row>
    <row r="195" spans="1:31" x14ac:dyDescent="0.3">
      <c r="A195">
        <v>-73.96793363418</v>
      </c>
      <c r="B195">
        <v>40.775418657960003</v>
      </c>
      <c r="C195" t="s">
        <v>667</v>
      </c>
      <c r="D195" t="s">
        <v>668</v>
      </c>
      <c r="E195" t="s">
        <v>33</v>
      </c>
      <c r="F195">
        <v>10132018</v>
      </c>
      <c r="G195">
        <v>1</v>
      </c>
      <c r="H195" t="s">
        <v>48</v>
      </c>
      <c r="I195" t="s">
        <v>42</v>
      </c>
      <c r="J195" t="s">
        <v>53</v>
      </c>
      <c r="K195" t="s">
        <v>54</v>
      </c>
      <c r="M195" t="s">
        <v>65</v>
      </c>
      <c r="N195" t="b">
        <v>0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s">
        <v>669</v>
      </c>
      <c r="AE195" t="s">
        <v>670</v>
      </c>
    </row>
    <row r="196" spans="1:31" x14ac:dyDescent="0.3">
      <c r="A196">
        <v>-73.976110706539998</v>
      </c>
      <c r="B196">
        <v>40.769642060290003</v>
      </c>
      <c r="C196" t="s">
        <v>671</v>
      </c>
      <c r="D196" t="s">
        <v>574</v>
      </c>
      <c r="E196" t="s">
        <v>38</v>
      </c>
      <c r="F196">
        <v>10202018</v>
      </c>
      <c r="G196">
        <v>1</v>
      </c>
      <c r="H196" t="s">
        <v>48</v>
      </c>
      <c r="K196" t="s">
        <v>34</v>
      </c>
      <c r="L196" t="s">
        <v>672</v>
      </c>
      <c r="M196" t="s">
        <v>44</v>
      </c>
      <c r="N196">
        <v>30</v>
      </c>
      <c r="P196" t="b">
        <v>0</v>
      </c>
      <c r="Q196" t="b">
        <v>0</v>
      </c>
      <c r="R196" t="b">
        <v>0</v>
      </c>
      <c r="S196" t="b">
        <v>0</v>
      </c>
      <c r="T196" t="b">
        <v>1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E196" t="s">
        <v>673</v>
      </c>
    </row>
    <row r="197" spans="1:31" x14ac:dyDescent="0.3">
      <c r="A197">
        <v>-73.97716146866</v>
      </c>
      <c r="B197">
        <v>40.770967798320001</v>
      </c>
      <c r="C197" t="s">
        <v>674</v>
      </c>
      <c r="D197" t="s">
        <v>88</v>
      </c>
      <c r="E197" t="s">
        <v>38</v>
      </c>
      <c r="F197">
        <v>10062018</v>
      </c>
      <c r="G197">
        <v>2</v>
      </c>
      <c r="H197" t="s">
        <v>48</v>
      </c>
      <c r="I197" t="s">
        <v>53</v>
      </c>
      <c r="J197" t="s">
        <v>59</v>
      </c>
      <c r="K197" t="s">
        <v>60</v>
      </c>
      <c r="M197" t="s">
        <v>44</v>
      </c>
      <c r="N197">
        <v>10</v>
      </c>
      <c r="P197" t="b">
        <v>1</v>
      </c>
      <c r="Q197" t="b">
        <v>0</v>
      </c>
      <c r="R197" t="b">
        <v>1</v>
      </c>
      <c r="S197" t="b">
        <v>1</v>
      </c>
      <c r="T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1</v>
      </c>
      <c r="AC197" t="b">
        <v>0</v>
      </c>
      <c r="AE197" t="s">
        <v>675</v>
      </c>
    </row>
    <row r="198" spans="1:31" x14ac:dyDescent="0.3">
      <c r="A198">
        <v>-73.95107475863</v>
      </c>
      <c r="B198">
        <v>40.797310683399999</v>
      </c>
      <c r="C198" t="s">
        <v>676</v>
      </c>
      <c r="D198" t="s">
        <v>677</v>
      </c>
      <c r="E198" t="s">
        <v>38</v>
      </c>
      <c r="F198">
        <v>10192018</v>
      </c>
      <c r="G198">
        <v>2</v>
      </c>
      <c r="H198" t="s">
        <v>48</v>
      </c>
      <c r="I198" t="s">
        <v>42</v>
      </c>
      <c r="J198" t="s">
        <v>53</v>
      </c>
      <c r="K198" t="s">
        <v>54</v>
      </c>
      <c r="M198" t="s">
        <v>65</v>
      </c>
      <c r="N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1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1</v>
      </c>
      <c r="AC198" t="b">
        <v>0</v>
      </c>
      <c r="AE198" t="s">
        <v>678</v>
      </c>
    </row>
    <row r="199" spans="1:31" x14ac:dyDescent="0.3">
      <c r="A199">
        <v>-73.959801584280001</v>
      </c>
      <c r="B199">
        <v>40.79735227442</v>
      </c>
      <c r="C199" t="s">
        <v>679</v>
      </c>
      <c r="D199" t="s">
        <v>680</v>
      </c>
      <c r="E199" t="s">
        <v>33</v>
      </c>
      <c r="F199">
        <v>10132018</v>
      </c>
      <c r="G199">
        <v>3</v>
      </c>
      <c r="H199" t="s">
        <v>48</v>
      </c>
      <c r="I199" t="s">
        <v>42</v>
      </c>
      <c r="J199" t="s">
        <v>53</v>
      </c>
      <c r="K199" t="s">
        <v>54</v>
      </c>
      <c r="M199" t="s">
        <v>44</v>
      </c>
      <c r="N199">
        <v>5</v>
      </c>
      <c r="P199" t="b">
        <v>0</v>
      </c>
      <c r="Q199" t="b">
        <v>0</v>
      </c>
      <c r="R199" t="b">
        <v>1</v>
      </c>
      <c r="S199" t="b">
        <v>0</v>
      </c>
      <c r="T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1</v>
      </c>
      <c r="AC199" t="b">
        <v>0</v>
      </c>
      <c r="AE199" t="s">
        <v>681</v>
      </c>
    </row>
    <row r="200" spans="1:31" x14ac:dyDescent="0.3">
      <c r="A200">
        <v>-73.971872910170006</v>
      </c>
      <c r="B200">
        <v>40.770369262140001</v>
      </c>
      <c r="C200" t="s">
        <v>682</v>
      </c>
      <c r="D200" t="s">
        <v>402</v>
      </c>
      <c r="E200" t="s">
        <v>33</v>
      </c>
      <c r="F200">
        <v>10182018</v>
      </c>
      <c r="G200">
        <v>5</v>
      </c>
      <c r="H200" t="s">
        <v>48</v>
      </c>
      <c r="I200" t="s">
        <v>42</v>
      </c>
      <c r="K200" t="s">
        <v>43</v>
      </c>
      <c r="M200" t="s">
        <v>65</v>
      </c>
      <c r="N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1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E200" t="s">
        <v>683</v>
      </c>
    </row>
    <row r="201" spans="1:31" x14ac:dyDescent="0.3">
      <c r="A201">
        <v>-73.963877457950005</v>
      </c>
      <c r="B201">
        <v>40.791353212910003</v>
      </c>
      <c r="C201" t="s">
        <v>684</v>
      </c>
      <c r="D201" t="s">
        <v>383</v>
      </c>
      <c r="E201" t="s">
        <v>38</v>
      </c>
      <c r="F201">
        <v>10102018</v>
      </c>
      <c r="G201">
        <v>5</v>
      </c>
      <c r="H201" t="s">
        <v>48</v>
      </c>
      <c r="I201" t="s">
        <v>42</v>
      </c>
      <c r="K201" t="s">
        <v>43</v>
      </c>
      <c r="M201" t="s">
        <v>65</v>
      </c>
      <c r="N201" t="b">
        <v>0</v>
      </c>
      <c r="P201" t="b">
        <v>0</v>
      </c>
      <c r="Q201" t="b">
        <v>0</v>
      </c>
      <c r="R201" t="b">
        <v>0</v>
      </c>
      <c r="S201" t="b">
        <v>1</v>
      </c>
      <c r="T201" t="b">
        <v>1</v>
      </c>
      <c r="U201" t="s">
        <v>685</v>
      </c>
      <c r="V201" t="b">
        <v>0</v>
      </c>
      <c r="W201" t="b">
        <v>0</v>
      </c>
      <c r="X201" t="b">
        <v>0</v>
      </c>
      <c r="Y201" t="b">
        <v>1</v>
      </c>
      <c r="Z201" t="b">
        <v>1</v>
      </c>
      <c r="AA201" t="b">
        <v>0</v>
      </c>
      <c r="AB201" t="b">
        <v>1</v>
      </c>
      <c r="AC201" t="b">
        <v>0</v>
      </c>
      <c r="AD201" t="s">
        <v>686</v>
      </c>
      <c r="AE201" t="s">
        <v>687</v>
      </c>
    </row>
    <row r="202" spans="1:31" x14ac:dyDescent="0.3">
      <c r="A202">
        <v>-73.967953816329995</v>
      </c>
      <c r="B202">
        <v>40.783710369689999</v>
      </c>
      <c r="C202" t="s">
        <v>688</v>
      </c>
      <c r="D202" t="s">
        <v>689</v>
      </c>
      <c r="E202" t="s">
        <v>38</v>
      </c>
      <c r="F202">
        <v>10132018</v>
      </c>
      <c r="G202">
        <v>3</v>
      </c>
      <c r="H202" t="s">
        <v>105</v>
      </c>
      <c r="I202" t="s">
        <v>53</v>
      </c>
      <c r="J202" t="s">
        <v>42</v>
      </c>
      <c r="K202" t="s">
        <v>89</v>
      </c>
      <c r="M202" t="s">
        <v>65</v>
      </c>
      <c r="N202" t="b">
        <v>0</v>
      </c>
      <c r="P202" t="b">
        <v>0</v>
      </c>
      <c r="Q202" t="b">
        <v>0</v>
      </c>
      <c r="R202" t="b">
        <v>0</v>
      </c>
      <c r="S202" t="b">
        <v>1</v>
      </c>
      <c r="T202" t="b">
        <v>1</v>
      </c>
      <c r="U202" t="s">
        <v>690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1</v>
      </c>
      <c r="AE202" t="s">
        <v>691</v>
      </c>
    </row>
    <row r="203" spans="1:31" x14ac:dyDescent="0.3">
      <c r="A203">
        <v>-73.956472410399996</v>
      </c>
      <c r="B203">
        <v>40.793605550819997</v>
      </c>
      <c r="C203" t="s">
        <v>692</v>
      </c>
      <c r="D203" t="s">
        <v>693</v>
      </c>
      <c r="E203" t="s">
        <v>33</v>
      </c>
      <c r="F203">
        <v>10122018</v>
      </c>
      <c r="G203">
        <v>4</v>
      </c>
      <c r="H203" t="s">
        <v>48</v>
      </c>
      <c r="I203" t="s">
        <v>42</v>
      </c>
      <c r="J203" t="s">
        <v>59</v>
      </c>
      <c r="K203" t="s">
        <v>79</v>
      </c>
      <c r="M203" t="s">
        <v>65</v>
      </c>
      <c r="N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1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1</v>
      </c>
      <c r="AE203" t="s">
        <v>694</v>
      </c>
    </row>
    <row r="204" spans="1:31" x14ac:dyDescent="0.3">
      <c r="A204">
        <v>-73.977082441229996</v>
      </c>
      <c r="B204">
        <v>40.770996130950003</v>
      </c>
      <c r="C204" t="s">
        <v>695</v>
      </c>
      <c r="D204" t="s">
        <v>88</v>
      </c>
      <c r="E204" t="s">
        <v>38</v>
      </c>
      <c r="F204">
        <v>10062018</v>
      </c>
      <c r="G204">
        <v>3</v>
      </c>
      <c r="H204" t="s">
        <v>48</v>
      </c>
      <c r="I204" t="s">
        <v>42</v>
      </c>
      <c r="J204" t="s">
        <v>53</v>
      </c>
      <c r="K204" t="s">
        <v>54</v>
      </c>
      <c r="M204" t="s">
        <v>44</v>
      </c>
      <c r="N204">
        <v>15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1</v>
      </c>
      <c r="AC204" t="b">
        <v>0</v>
      </c>
      <c r="AE204" t="s">
        <v>696</v>
      </c>
    </row>
    <row r="205" spans="1:31" x14ac:dyDescent="0.3">
      <c r="A205">
        <v>-73.967764618719997</v>
      </c>
      <c r="B205">
        <v>40.774649280630001</v>
      </c>
      <c r="C205" t="s">
        <v>697</v>
      </c>
      <c r="D205" t="s">
        <v>189</v>
      </c>
      <c r="E205" t="s">
        <v>33</v>
      </c>
      <c r="F205">
        <v>10102018</v>
      </c>
      <c r="G205">
        <v>5</v>
      </c>
      <c r="H205" t="s">
        <v>48</v>
      </c>
      <c r="I205" t="s">
        <v>42</v>
      </c>
      <c r="K205" t="s">
        <v>43</v>
      </c>
      <c r="M205" t="s">
        <v>65</v>
      </c>
      <c r="N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1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1</v>
      </c>
      <c r="AC205" t="b">
        <v>0</v>
      </c>
      <c r="AE205" t="s">
        <v>698</v>
      </c>
    </row>
    <row r="206" spans="1:31" x14ac:dyDescent="0.3">
      <c r="A206">
        <v>-73.971076019690003</v>
      </c>
      <c r="B206">
        <v>40.772550600679999</v>
      </c>
      <c r="C206" t="s">
        <v>699</v>
      </c>
      <c r="D206" t="s">
        <v>314</v>
      </c>
      <c r="E206" t="s">
        <v>33</v>
      </c>
      <c r="F206">
        <v>10192018</v>
      </c>
      <c r="G206">
        <v>2</v>
      </c>
      <c r="H206" t="s">
        <v>105</v>
      </c>
      <c r="I206" t="s">
        <v>42</v>
      </c>
      <c r="J206" t="s">
        <v>53</v>
      </c>
      <c r="K206" t="s">
        <v>54</v>
      </c>
      <c r="L206" t="s">
        <v>700</v>
      </c>
      <c r="M206" t="s">
        <v>65</v>
      </c>
      <c r="N206" t="b">
        <v>0</v>
      </c>
      <c r="O206" t="s">
        <v>701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1</v>
      </c>
      <c r="AA206" t="b">
        <v>0</v>
      </c>
      <c r="AB206" t="b">
        <v>0</v>
      </c>
      <c r="AC206" t="b">
        <v>1</v>
      </c>
      <c r="AE206" t="s">
        <v>702</v>
      </c>
    </row>
    <row r="207" spans="1:31" x14ac:dyDescent="0.3">
      <c r="A207">
        <v>-73.97112984911</v>
      </c>
      <c r="B207">
        <v>40.767690260350001</v>
      </c>
      <c r="C207" t="s">
        <v>703</v>
      </c>
      <c r="D207" t="s">
        <v>704</v>
      </c>
      <c r="E207" t="s">
        <v>33</v>
      </c>
      <c r="F207">
        <v>10082018</v>
      </c>
      <c r="G207">
        <v>1</v>
      </c>
      <c r="H207" t="s">
        <v>48</v>
      </c>
      <c r="I207" t="s">
        <v>176</v>
      </c>
      <c r="J207" t="s">
        <v>53</v>
      </c>
      <c r="K207" t="s">
        <v>705</v>
      </c>
      <c r="M207" t="s">
        <v>44</v>
      </c>
      <c r="N207">
        <v>15</v>
      </c>
      <c r="O207" t="s">
        <v>706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V207" t="b">
        <v>0</v>
      </c>
      <c r="W207" t="b">
        <v>0</v>
      </c>
      <c r="X207" t="b">
        <v>0</v>
      </c>
      <c r="Y207" t="b">
        <v>1</v>
      </c>
      <c r="Z207" t="b">
        <v>0</v>
      </c>
      <c r="AA207" t="b">
        <v>0</v>
      </c>
      <c r="AB207" t="b">
        <v>0</v>
      </c>
      <c r="AC207" t="b">
        <v>0</v>
      </c>
      <c r="AE207" t="s">
        <v>707</v>
      </c>
    </row>
    <row r="208" spans="1:31" x14ac:dyDescent="0.3">
      <c r="A208">
        <v>-73.970275580510005</v>
      </c>
      <c r="B208">
        <v>40.778354779520001</v>
      </c>
      <c r="C208" t="s">
        <v>708</v>
      </c>
      <c r="D208" t="s">
        <v>709</v>
      </c>
      <c r="E208" t="s">
        <v>33</v>
      </c>
      <c r="F208">
        <v>10102018</v>
      </c>
      <c r="G208">
        <v>13</v>
      </c>
      <c r="H208" t="s">
        <v>48</v>
      </c>
      <c r="I208" t="s">
        <v>42</v>
      </c>
      <c r="K208" t="s">
        <v>43</v>
      </c>
      <c r="M208" t="s">
        <v>65</v>
      </c>
      <c r="N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1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1</v>
      </c>
      <c r="AC208" t="b">
        <v>0</v>
      </c>
      <c r="AE208" t="s">
        <v>710</v>
      </c>
    </row>
    <row r="209" spans="1:31" x14ac:dyDescent="0.3">
      <c r="A209">
        <v>-73.963883716029997</v>
      </c>
      <c r="B209">
        <v>40.780974790080002</v>
      </c>
      <c r="C209" t="s">
        <v>711</v>
      </c>
      <c r="D209" t="s">
        <v>343</v>
      </c>
      <c r="E209" t="s">
        <v>38</v>
      </c>
      <c r="F209">
        <v>10142018</v>
      </c>
      <c r="G209">
        <v>7</v>
      </c>
      <c r="H209" t="s">
        <v>48</v>
      </c>
      <c r="I209" t="s">
        <v>42</v>
      </c>
      <c r="J209" t="s">
        <v>59</v>
      </c>
      <c r="K209" t="s">
        <v>79</v>
      </c>
      <c r="M209" t="s">
        <v>44</v>
      </c>
      <c r="N209">
        <v>5</v>
      </c>
      <c r="P209" t="b">
        <v>0</v>
      </c>
      <c r="Q209" t="b">
        <v>1</v>
      </c>
      <c r="R209" t="b">
        <v>1</v>
      </c>
      <c r="S209" t="b">
        <v>0</v>
      </c>
      <c r="T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E209" t="s">
        <v>712</v>
      </c>
    </row>
    <row r="210" spans="1:31" x14ac:dyDescent="0.3">
      <c r="A210">
        <v>-73.968367485160002</v>
      </c>
      <c r="B210">
        <v>40.783847264480002</v>
      </c>
      <c r="C210" t="s">
        <v>713</v>
      </c>
      <c r="D210" t="s">
        <v>320</v>
      </c>
      <c r="E210" t="s">
        <v>33</v>
      </c>
      <c r="F210">
        <v>10142018</v>
      </c>
      <c r="G210">
        <v>5</v>
      </c>
      <c r="I210" t="s">
        <v>42</v>
      </c>
      <c r="J210" t="s">
        <v>53</v>
      </c>
      <c r="K210" t="s">
        <v>54</v>
      </c>
      <c r="M210" t="s">
        <v>65</v>
      </c>
      <c r="N210" t="b">
        <v>0</v>
      </c>
      <c r="P210" t="b">
        <v>0</v>
      </c>
      <c r="Q210" t="b">
        <v>0</v>
      </c>
      <c r="R210" t="b">
        <v>0</v>
      </c>
      <c r="S210" t="b">
        <v>1</v>
      </c>
      <c r="T210" t="b">
        <v>0</v>
      </c>
      <c r="U210" t="s">
        <v>714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E210" t="s">
        <v>715</v>
      </c>
    </row>
    <row r="211" spans="1:31" x14ac:dyDescent="0.3">
      <c r="A211">
        <v>-73.977257656120003</v>
      </c>
      <c r="B211">
        <v>40.767989509400003</v>
      </c>
      <c r="C211" t="s">
        <v>716</v>
      </c>
      <c r="D211" t="s">
        <v>502</v>
      </c>
      <c r="E211" t="s">
        <v>38</v>
      </c>
      <c r="F211">
        <v>10062018</v>
      </c>
      <c r="G211">
        <v>8</v>
      </c>
      <c r="H211" t="s">
        <v>48</v>
      </c>
      <c r="I211" t="s">
        <v>53</v>
      </c>
      <c r="J211" t="s">
        <v>42</v>
      </c>
      <c r="K211" t="s">
        <v>89</v>
      </c>
      <c r="M211" t="s">
        <v>65</v>
      </c>
      <c r="N211" t="b">
        <v>0</v>
      </c>
      <c r="P211" t="b">
        <v>0</v>
      </c>
      <c r="Q211" t="b">
        <v>0</v>
      </c>
      <c r="R211" t="b">
        <v>0</v>
      </c>
      <c r="S211" t="b">
        <v>1</v>
      </c>
      <c r="T211" t="b">
        <v>1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1</v>
      </c>
      <c r="AB211" t="b">
        <v>0</v>
      </c>
      <c r="AC211" t="b">
        <v>0</v>
      </c>
      <c r="AD211" t="s">
        <v>717</v>
      </c>
      <c r="AE211" t="s">
        <v>718</v>
      </c>
    </row>
    <row r="212" spans="1:31" x14ac:dyDescent="0.3">
      <c r="A212">
        <v>-73.951963991880007</v>
      </c>
      <c r="B212">
        <v>40.794991170240003</v>
      </c>
      <c r="C212" t="s">
        <v>719</v>
      </c>
      <c r="D212" t="s">
        <v>549</v>
      </c>
      <c r="E212" t="s">
        <v>38</v>
      </c>
      <c r="F212">
        <v>10072018</v>
      </c>
      <c r="G212">
        <v>1</v>
      </c>
      <c r="H212" t="s">
        <v>48</v>
      </c>
      <c r="I212" t="s">
        <v>42</v>
      </c>
      <c r="K212" t="s">
        <v>43</v>
      </c>
      <c r="M212" t="s">
        <v>65</v>
      </c>
      <c r="N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1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1</v>
      </c>
      <c r="AC212" t="b">
        <v>0</v>
      </c>
      <c r="AE212" t="s">
        <v>720</v>
      </c>
    </row>
    <row r="213" spans="1:31" x14ac:dyDescent="0.3">
      <c r="A213">
        <v>-73.975427036900001</v>
      </c>
      <c r="B213">
        <v>40.77024115023</v>
      </c>
      <c r="C213" t="s">
        <v>721</v>
      </c>
      <c r="D213" t="s">
        <v>722</v>
      </c>
      <c r="E213" t="s">
        <v>33</v>
      </c>
      <c r="F213">
        <v>10202018</v>
      </c>
      <c r="G213">
        <v>1</v>
      </c>
      <c r="H213" t="s">
        <v>48</v>
      </c>
      <c r="I213" t="s">
        <v>42</v>
      </c>
      <c r="K213" t="s">
        <v>43</v>
      </c>
      <c r="M213" t="s">
        <v>65</v>
      </c>
      <c r="N213" t="b">
        <v>0</v>
      </c>
      <c r="O213" t="s">
        <v>723</v>
      </c>
      <c r="P213" t="b">
        <v>0</v>
      </c>
      <c r="Q213" t="b">
        <v>0</v>
      </c>
      <c r="R213" t="b">
        <v>0</v>
      </c>
      <c r="S213" t="b">
        <v>0</v>
      </c>
      <c r="T213" t="b">
        <v>1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1</v>
      </c>
      <c r="AC213" t="b">
        <v>0</v>
      </c>
      <c r="AE213" t="s">
        <v>724</v>
      </c>
    </row>
    <row r="214" spans="1:31" x14ac:dyDescent="0.3">
      <c r="A214">
        <v>-73.971232730850005</v>
      </c>
      <c r="B214">
        <v>40.774870290919999</v>
      </c>
      <c r="C214" t="s">
        <v>725</v>
      </c>
      <c r="D214" t="s">
        <v>726</v>
      </c>
      <c r="E214" t="s">
        <v>33</v>
      </c>
      <c r="F214">
        <v>10182018</v>
      </c>
      <c r="G214">
        <v>6</v>
      </c>
      <c r="H214" t="s">
        <v>105</v>
      </c>
      <c r="I214" t="s">
        <v>53</v>
      </c>
      <c r="K214" t="s">
        <v>155</v>
      </c>
      <c r="M214" t="s">
        <v>65</v>
      </c>
      <c r="N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1</v>
      </c>
      <c r="V214" t="b">
        <v>0</v>
      </c>
      <c r="W214" t="b">
        <v>0</v>
      </c>
      <c r="X214" t="b">
        <v>0</v>
      </c>
      <c r="Y214" t="b">
        <v>0</v>
      </c>
      <c r="Z214" t="b">
        <v>1</v>
      </c>
      <c r="AA214" t="b">
        <v>0</v>
      </c>
      <c r="AB214" t="b">
        <v>1</v>
      </c>
      <c r="AC214" t="b">
        <v>0</v>
      </c>
      <c r="AE214" t="s">
        <v>727</v>
      </c>
    </row>
    <row r="215" spans="1:31" x14ac:dyDescent="0.3">
      <c r="A215">
        <v>-73.971231871260002</v>
      </c>
      <c r="B215">
        <v>40.777305309969996</v>
      </c>
      <c r="C215" t="s">
        <v>728</v>
      </c>
      <c r="D215" t="s">
        <v>729</v>
      </c>
      <c r="E215" t="s">
        <v>33</v>
      </c>
      <c r="F215">
        <v>10192018</v>
      </c>
      <c r="G215">
        <v>4</v>
      </c>
      <c r="H215" t="s">
        <v>48</v>
      </c>
      <c r="I215" t="s">
        <v>42</v>
      </c>
      <c r="K215" t="s">
        <v>43</v>
      </c>
      <c r="M215" t="s">
        <v>65</v>
      </c>
      <c r="N215" t="b">
        <v>0</v>
      </c>
      <c r="P215" t="b">
        <v>0</v>
      </c>
      <c r="Q215" t="b">
        <v>0</v>
      </c>
      <c r="R215" t="b">
        <v>0</v>
      </c>
      <c r="S215" t="b">
        <v>1</v>
      </c>
      <c r="T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E215" t="s">
        <v>730</v>
      </c>
    </row>
    <row r="216" spans="1:31" x14ac:dyDescent="0.3">
      <c r="A216">
        <v>-73.976120994539997</v>
      </c>
      <c r="B216">
        <v>40.768240452889998</v>
      </c>
      <c r="C216" t="s">
        <v>731</v>
      </c>
      <c r="D216" t="s">
        <v>215</v>
      </c>
      <c r="E216" t="s">
        <v>33</v>
      </c>
      <c r="F216">
        <v>10082018</v>
      </c>
      <c r="G216">
        <v>3</v>
      </c>
      <c r="H216" t="s">
        <v>48</v>
      </c>
      <c r="I216" t="s">
        <v>42</v>
      </c>
      <c r="J216" t="s">
        <v>53</v>
      </c>
      <c r="K216" t="s">
        <v>54</v>
      </c>
      <c r="M216" t="s">
        <v>65</v>
      </c>
      <c r="N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1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1</v>
      </c>
      <c r="AE216" t="s">
        <v>732</v>
      </c>
    </row>
    <row r="217" spans="1:31" x14ac:dyDescent="0.3">
      <c r="A217">
        <v>-73.967181612199994</v>
      </c>
      <c r="B217">
        <v>40.778775228710003</v>
      </c>
      <c r="C217" t="s">
        <v>733</v>
      </c>
      <c r="D217" t="s">
        <v>111</v>
      </c>
      <c r="E217" t="s">
        <v>33</v>
      </c>
      <c r="F217">
        <v>10202018</v>
      </c>
      <c r="G217">
        <v>3</v>
      </c>
      <c r="H217" t="s">
        <v>48</v>
      </c>
      <c r="I217" t="s">
        <v>42</v>
      </c>
      <c r="J217" t="s">
        <v>53</v>
      </c>
      <c r="K217" t="s">
        <v>54</v>
      </c>
      <c r="M217" t="s">
        <v>44</v>
      </c>
      <c r="N217">
        <v>35</v>
      </c>
      <c r="P217" t="b">
        <v>0</v>
      </c>
      <c r="Q217" t="b">
        <v>0</v>
      </c>
      <c r="R217" t="b">
        <v>1</v>
      </c>
      <c r="S217" t="b">
        <v>1</v>
      </c>
      <c r="T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E217" t="s">
        <v>734</v>
      </c>
    </row>
    <row r="218" spans="1:31" x14ac:dyDescent="0.3">
      <c r="A218">
        <v>-73.966570914670001</v>
      </c>
      <c r="B218">
        <v>40.783938431860001</v>
      </c>
      <c r="C218" t="s">
        <v>735</v>
      </c>
      <c r="D218" t="s">
        <v>736</v>
      </c>
      <c r="E218" t="s">
        <v>33</v>
      </c>
      <c r="F218">
        <v>10122018</v>
      </c>
      <c r="G218">
        <v>4</v>
      </c>
      <c r="H218" t="s">
        <v>48</v>
      </c>
      <c r="I218" t="s">
        <v>42</v>
      </c>
      <c r="J218" t="s">
        <v>737</v>
      </c>
      <c r="K218" t="s">
        <v>738</v>
      </c>
      <c r="M218" t="s">
        <v>65</v>
      </c>
      <c r="N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1</v>
      </c>
      <c r="AC218" t="b">
        <v>0</v>
      </c>
      <c r="AE218" t="s">
        <v>739</v>
      </c>
    </row>
    <row r="219" spans="1:31" x14ac:dyDescent="0.3">
      <c r="A219">
        <v>-73.977027355350003</v>
      </c>
      <c r="B219">
        <v>40.77323994636</v>
      </c>
      <c r="C219" t="s">
        <v>740</v>
      </c>
      <c r="D219" t="s">
        <v>741</v>
      </c>
      <c r="E219" t="s">
        <v>38</v>
      </c>
      <c r="F219">
        <v>10132018</v>
      </c>
      <c r="G219">
        <v>3</v>
      </c>
      <c r="H219" t="s">
        <v>105</v>
      </c>
      <c r="K219" t="s">
        <v>34</v>
      </c>
      <c r="M219" t="s">
        <v>44</v>
      </c>
      <c r="N219">
        <v>3</v>
      </c>
      <c r="O219" t="s">
        <v>742</v>
      </c>
      <c r="P219" t="b">
        <v>1</v>
      </c>
      <c r="Q219" t="b">
        <v>1</v>
      </c>
      <c r="R219" t="b">
        <v>1</v>
      </c>
      <c r="S219" t="b">
        <v>1</v>
      </c>
      <c r="T219" t="b">
        <v>0</v>
      </c>
      <c r="U219" t="s">
        <v>743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1</v>
      </c>
      <c r="AB219" t="b">
        <v>0</v>
      </c>
      <c r="AC219" t="b">
        <v>0</v>
      </c>
      <c r="AE219" t="s">
        <v>744</v>
      </c>
    </row>
    <row r="220" spans="1:31" x14ac:dyDescent="0.3">
      <c r="A220">
        <v>-73.973709170779998</v>
      </c>
      <c r="B220">
        <v>40.771373256750003</v>
      </c>
      <c r="C220" t="s">
        <v>745</v>
      </c>
      <c r="D220" t="s">
        <v>139</v>
      </c>
      <c r="E220" t="s">
        <v>38</v>
      </c>
      <c r="F220">
        <v>10062018</v>
      </c>
      <c r="G220">
        <v>3</v>
      </c>
      <c r="H220" t="s">
        <v>48</v>
      </c>
      <c r="I220" t="s">
        <v>42</v>
      </c>
      <c r="K220" t="s">
        <v>43</v>
      </c>
      <c r="M220" t="s">
        <v>65</v>
      </c>
      <c r="N220" t="b">
        <v>0</v>
      </c>
      <c r="O220" t="s">
        <v>140</v>
      </c>
      <c r="P220" t="b">
        <v>0</v>
      </c>
      <c r="Q220" t="b">
        <v>0</v>
      </c>
      <c r="R220" t="b">
        <v>0</v>
      </c>
      <c r="S220" t="b">
        <v>1</v>
      </c>
      <c r="T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E220" t="s">
        <v>746</v>
      </c>
    </row>
    <row r="221" spans="1:31" x14ac:dyDescent="0.3">
      <c r="A221">
        <v>-73.952059249629997</v>
      </c>
      <c r="B221">
        <v>40.797507629979997</v>
      </c>
      <c r="C221" t="s">
        <v>747</v>
      </c>
      <c r="D221" t="s">
        <v>386</v>
      </c>
      <c r="E221" t="s">
        <v>33</v>
      </c>
      <c r="F221">
        <v>10142018</v>
      </c>
      <c r="G221">
        <v>3</v>
      </c>
      <c r="H221" t="s">
        <v>48</v>
      </c>
      <c r="I221" t="s">
        <v>53</v>
      </c>
      <c r="J221" t="s">
        <v>42</v>
      </c>
      <c r="K221" t="s">
        <v>89</v>
      </c>
      <c r="M221" t="s">
        <v>44</v>
      </c>
      <c r="N221">
        <v>4</v>
      </c>
      <c r="O221" t="s">
        <v>748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s">
        <v>749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1</v>
      </c>
      <c r="AE221" t="s">
        <v>750</v>
      </c>
    </row>
    <row r="222" spans="1:31" x14ac:dyDescent="0.3">
      <c r="A222">
        <v>-73.963842266149996</v>
      </c>
      <c r="B222">
        <v>40.788734086780003</v>
      </c>
      <c r="C222" t="s">
        <v>751</v>
      </c>
      <c r="D222" t="s">
        <v>289</v>
      </c>
      <c r="E222" t="s">
        <v>33</v>
      </c>
      <c r="F222">
        <v>10062018</v>
      </c>
      <c r="G222">
        <v>2</v>
      </c>
      <c r="H222" t="s">
        <v>48</v>
      </c>
      <c r="I222" t="s">
        <v>42</v>
      </c>
      <c r="K222" t="s">
        <v>43</v>
      </c>
      <c r="M222" t="s">
        <v>65</v>
      </c>
      <c r="N222" t="b">
        <v>0</v>
      </c>
      <c r="O222" t="s">
        <v>752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1</v>
      </c>
      <c r="AD222" t="s">
        <v>753</v>
      </c>
      <c r="AE222" t="s">
        <v>754</v>
      </c>
    </row>
    <row r="223" spans="1:31" x14ac:dyDescent="0.3">
      <c r="A223">
        <v>-73.977568173150004</v>
      </c>
      <c r="B223">
        <v>40.76764211903</v>
      </c>
      <c r="C223" t="s">
        <v>755</v>
      </c>
      <c r="D223" t="s">
        <v>756</v>
      </c>
      <c r="E223" t="s">
        <v>38</v>
      </c>
      <c r="F223">
        <v>10072018</v>
      </c>
      <c r="G223">
        <v>3</v>
      </c>
      <c r="H223" t="s">
        <v>48</v>
      </c>
      <c r="I223" t="s">
        <v>42</v>
      </c>
      <c r="K223" t="s">
        <v>43</v>
      </c>
      <c r="M223" t="s">
        <v>44</v>
      </c>
      <c r="N223">
        <v>100</v>
      </c>
      <c r="P223" t="b">
        <v>0</v>
      </c>
      <c r="Q223" t="b">
        <v>0</v>
      </c>
      <c r="R223" t="b">
        <v>1</v>
      </c>
      <c r="S223" t="b">
        <v>0</v>
      </c>
      <c r="T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E223" t="s">
        <v>757</v>
      </c>
    </row>
    <row r="224" spans="1:31" x14ac:dyDescent="0.3">
      <c r="A224">
        <v>-73.959815530089998</v>
      </c>
      <c r="B224">
        <v>40.790588782699999</v>
      </c>
      <c r="C224" t="s">
        <v>758</v>
      </c>
      <c r="D224" t="s">
        <v>47</v>
      </c>
      <c r="E224" t="s">
        <v>38</v>
      </c>
      <c r="F224">
        <v>10072018</v>
      </c>
      <c r="G224">
        <v>10</v>
      </c>
      <c r="H224" t="s">
        <v>48</v>
      </c>
      <c r="I224" t="s">
        <v>176</v>
      </c>
      <c r="K224" t="s">
        <v>177</v>
      </c>
      <c r="M224" t="s">
        <v>65</v>
      </c>
      <c r="N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1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E224" t="s">
        <v>759</v>
      </c>
    </row>
    <row r="225" spans="1:31" x14ac:dyDescent="0.3">
      <c r="A225">
        <v>-73.972866077960006</v>
      </c>
      <c r="B225">
        <v>40.775329452560001</v>
      </c>
      <c r="C225" t="s">
        <v>760</v>
      </c>
      <c r="D225" t="s">
        <v>761</v>
      </c>
      <c r="E225" t="s">
        <v>38</v>
      </c>
      <c r="F225">
        <v>10132018</v>
      </c>
      <c r="G225">
        <v>3</v>
      </c>
      <c r="H225" t="s">
        <v>48</v>
      </c>
      <c r="I225" t="s">
        <v>42</v>
      </c>
      <c r="K225" t="s">
        <v>43</v>
      </c>
      <c r="M225" t="s">
        <v>65</v>
      </c>
      <c r="N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1</v>
      </c>
      <c r="U225" t="s">
        <v>511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1</v>
      </c>
      <c r="AC225" t="b">
        <v>0</v>
      </c>
      <c r="AE225" t="s">
        <v>762</v>
      </c>
    </row>
    <row r="226" spans="1:31" x14ac:dyDescent="0.3">
      <c r="A226">
        <v>-73.972416242969999</v>
      </c>
      <c r="B226">
        <v>40.771426023659998</v>
      </c>
      <c r="C226" t="s">
        <v>763</v>
      </c>
      <c r="D226" t="s">
        <v>764</v>
      </c>
      <c r="E226" t="s">
        <v>33</v>
      </c>
      <c r="F226">
        <v>10122018</v>
      </c>
      <c r="G226">
        <v>4</v>
      </c>
      <c r="H226" t="s">
        <v>48</v>
      </c>
      <c r="I226" t="s">
        <v>42</v>
      </c>
      <c r="K226" t="s">
        <v>43</v>
      </c>
      <c r="M226" t="s">
        <v>44</v>
      </c>
      <c r="N226">
        <v>6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E226" t="s">
        <v>765</v>
      </c>
    </row>
    <row r="227" spans="1:31" x14ac:dyDescent="0.3">
      <c r="A227">
        <v>-73.973149806489999</v>
      </c>
      <c r="B227">
        <v>40.765996319659997</v>
      </c>
      <c r="C227" t="s">
        <v>766</v>
      </c>
      <c r="D227" t="s">
        <v>767</v>
      </c>
      <c r="E227" t="s">
        <v>38</v>
      </c>
      <c r="F227">
        <v>10062018</v>
      </c>
      <c r="G227">
        <v>2</v>
      </c>
      <c r="H227" t="s">
        <v>48</v>
      </c>
      <c r="I227" t="s">
        <v>42</v>
      </c>
      <c r="J227" t="s">
        <v>96</v>
      </c>
      <c r="K227" t="s">
        <v>97</v>
      </c>
      <c r="M227" t="s">
        <v>65</v>
      </c>
      <c r="N227" t="b">
        <v>0</v>
      </c>
      <c r="P227" t="b">
        <v>0</v>
      </c>
      <c r="Q227" t="b">
        <v>1</v>
      </c>
      <c r="R227" t="b">
        <v>1</v>
      </c>
      <c r="S227" t="b">
        <v>0</v>
      </c>
      <c r="T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1</v>
      </c>
      <c r="AB227" t="b">
        <v>0</v>
      </c>
      <c r="AC227" t="b">
        <v>0</v>
      </c>
      <c r="AE227" t="s">
        <v>768</v>
      </c>
    </row>
    <row r="228" spans="1:31" x14ac:dyDescent="0.3">
      <c r="A228">
        <v>-73.952780817450005</v>
      </c>
      <c r="B228">
        <v>40.792416723439999</v>
      </c>
      <c r="C228" t="s">
        <v>769</v>
      </c>
      <c r="D228" t="s">
        <v>85</v>
      </c>
      <c r="E228" t="s">
        <v>38</v>
      </c>
      <c r="F228">
        <v>10172018</v>
      </c>
      <c r="G228">
        <v>5</v>
      </c>
      <c r="H228" t="s">
        <v>48</v>
      </c>
      <c r="I228" t="s">
        <v>42</v>
      </c>
      <c r="J228" t="s">
        <v>53</v>
      </c>
      <c r="K228" t="s">
        <v>54</v>
      </c>
      <c r="M228" t="s">
        <v>65</v>
      </c>
      <c r="N228" t="b">
        <v>0</v>
      </c>
      <c r="P228" t="b">
        <v>0</v>
      </c>
      <c r="Q228" t="b">
        <v>0</v>
      </c>
      <c r="R228" t="b">
        <v>0</v>
      </c>
      <c r="S228" t="b">
        <v>1</v>
      </c>
      <c r="T228" t="b">
        <v>1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1</v>
      </c>
      <c r="AD228" t="s">
        <v>770</v>
      </c>
      <c r="AE228" t="s">
        <v>771</v>
      </c>
    </row>
    <row r="229" spans="1:31" x14ac:dyDescent="0.3">
      <c r="A229">
        <v>-73.962418458599998</v>
      </c>
      <c r="B229">
        <v>40.792152486820001</v>
      </c>
      <c r="C229" t="s">
        <v>772</v>
      </c>
      <c r="D229" t="s">
        <v>773</v>
      </c>
      <c r="E229" t="s">
        <v>38</v>
      </c>
      <c r="F229">
        <v>10172018</v>
      </c>
      <c r="G229">
        <v>3</v>
      </c>
      <c r="H229" t="s">
        <v>48</v>
      </c>
      <c r="I229" t="s">
        <v>42</v>
      </c>
      <c r="J229" t="s">
        <v>53</v>
      </c>
      <c r="K229" t="s">
        <v>54</v>
      </c>
      <c r="M229" t="s">
        <v>65</v>
      </c>
      <c r="N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1</v>
      </c>
      <c r="V229" t="b">
        <v>0</v>
      </c>
      <c r="W229" t="b">
        <v>0</v>
      </c>
      <c r="X229" t="b">
        <v>0</v>
      </c>
      <c r="Y229" t="b">
        <v>0</v>
      </c>
      <c r="Z229" t="b">
        <v>1</v>
      </c>
      <c r="AA229" t="b">
        <v>1</v>
      </c>
      <c r="AB229" t="b">
        <v>1</v>
      </c>
      <c r="AC229" t="b">
        <v>1</v>
      </c>
      <c r="AD229" t="s">
        <v>774</v>
      </c>
      <c r="AE229" t="s">
        <v>775</v>
      </c>
    </row>
    <row r="230" spans="1:31" x14ac:dyDescent="0.3">
      <c r="A230">
        <v>-73.956834309320001</v>
      </c>
      <c r="B230">
        <v>40.794940135090002</v>
      </c>
      <c r="C230" t="s">
        <v>776</v>
      </c>
      <c r="D230" t="s">
        <v>394</v>
      </c>
      <c r="E230" t="s">
        <v>33</v>
      </c>
      <c r="F230">
        <v>10062018</v>
      </c>
      <c r="G230">
        <v>4</v>
      </c>
      <c r="H230" t="s">
        <v>48</v>
      </c>
      <c r="I230" t="s">
        <v>53</v>
      </c>
      <c r="J230" t="s">
        <v>115</v>
      </c>
      <c r="K230" t="s">
        <v>116</v>
      </c>
      <c r="M230" t="s">
        <v>65</v>
      </c>
      <c r="N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1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s">
        <v>777</v>
      </c>
      <c r="AE230" t="s">
        <v>778</v>
      </c>
    </row>
    <row r="231" spans="1:31" x14ac:dyDescent="0.3">
      <c r="A231">
        <v>-73.974140137779997</v>
      </c>
      <c r="B231">
        <v>40.775813425789998</v>
      </c>
      <c r="C231" t="s">
        <v>779</v>
      </c>
      <c r="D231" t="s">
        <v>160</v>
      </c>
      <c r="E231" t="s">
        <v>38</v>
      </c>
      <c r="F231">
        <v>10072018</v>
      </c>
      <c r="G231">
        <v>2</v>
      </c>
      <c r="H231" t="s">
        <v>48</v>
      </c>
      <c r="I231" t="s">
        <v>42</v>
      </c>
      <c r="J231" t="s">
        <v>53</v>
      </c>
      <c r="K231" t="s">
        <v>54</v>
      </c>
      <c r="M231" t="s">
        <v>65</v>
      </c>
      <c r="N231" t="b">
        <v>0</v>
      </c>
      <c r="P231" t="b">
        <v>0</v>
      </c>
      <c r="Q231" t="b">
        <v>1</v>
      </c>
      <c r="R231" t="b">
        <v>0</v>
      </c>
      <c r="S231" t="b">
        <v>0</v>
      </c>
      <c r="T231" t="b">
        <v>0</v>
      </c>
      <c r="V231" t="b">
        <v>0</v>
      </c>
      <c r="W231" t="b">
        <v>0</v>
      </c>
      <c r="X231" t="b">
        <v>0</v>
      </c>
      <c r="Y231" t="b">
        <v>1</v>
      </c>
      <c r="Z231" t="b">
        <v>0</v>
      </c>
      <c r="AA231" t="b">
        <v>0</v>
      </c>
      <c r="AB231" t="b">
        <v>1</v>
      </c>
      <c r="AC231" t="b">
        <v>0</v>
      </c>
      <c r="AE231" t="s">
        <v>780</v>
      </c>
    </row>
    <row r="232" spans="1:31" x14ac:dyDescent="0.3">
      <c r="A232">
        <v>-73.975357427990005</v>
      </c>
      <c r="B232">
        <v>40.768321169430003</v>
      </c>
      <c r="C232" t="s">
        <v>781</v>
      </c>
      <c r="D232" t="s">
        <v>782</v>
      </c>
      <c r="E232" t="s">
        <v>33</v>
      </c>
      <c r="F232">
        <v>10082018</v>
      </c>
      <c r="G232">
        <v>8</v>
      </c>
      <c r="H232" t="s">
        <v>48</v>
      </c>
      <c r="I232" t="s">
        <v>42</v>
      </c>
      <c r="K232" t="s">
        <v>43</v>
      </c>
      <c r="M232" t="s">
        <v>65</v>
      </c>
      <c r="N232" t="b">
        <v>0</v>
      </c>
      <c r="P232" t="b">
        <v>0</v>
      </c>
      <c r="Q232" t="b">
        <v>0</v>
      </c>
      <c r="R232" t="b">
        <v>1</v>
      </c>
      <c r="S232" t="b">
        <v>0</v>
      </c>
      <c r="T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1</v>
      </c>
      <c r="AE232" t="s">
        <v>783</v>
      </c>
    </row>
    <row r="233" spans="1:31" x14ac:dyDescent="0.3">
      <c r="A233">
        <v>-73.973726607090001</v>
      </c>
      <c r="B233">
        <v>40.77863383799</v>
      </c>
      <c r="C233" t="s">
        <v>784</v>
      </c>
      <c r="D233" t="s">
        <v>785</v>
      </c>
      <c r="E233" t="s">
        <v>33</v>
      </c>
      <c r="F233">
        <v>10142018</v>
      </c>
      <c r="G233">
        <v>1</v>
      </c>
      <c r="H233" t="s">
        <v>48</v>
      </c>
      <c r="I233" t="s">
        <v>42</v>
      </c>
      <c r="J233" t="s">
        <v>96</v>
      </c>
      <c r="K233" t="s">
        <v>97</v>
      </c>
      <c r="M233" t="s">
        <v>65</v>
      </c>
      <c r="N233" t="b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1</v>
      </c>
      <c r="AE233" t="s">
        <v>786</v>
      </c>
    </row>
    <row r="234" spans="1:31" x14ac:dyDescent="0.3">
      <c r="A234">
        <v>-73.967895656899998</v>
      </c>
      <c r="B234">
        <v>40.776740959729999</v>
      </c>
      <c r="C234" t="s">
        <v>787</v>
      </c>
      <c r="D234" t="s">
        <v>232</v>
      </c>
      <c r="E234" t="s">
        <v>33</v>
      </c>
      <c r="F234">
        <v>10102018</v>
      </c>
      <c r="G234">
        <v>7</v>
      </c>
      <c r="H234" t="s">
        <v>48</v>
      </c>
      <c r="I234" t="s">
        <v>42</v>
      </c>
      <c r="K234" t="s">
        <v>43</v>
      </c>
      <c r="M234" t="s">
        <v>44</v>
      </c>
      <c r="N234">
        <v>3</v>
      </c>
      <c r="O234" t="s">
        <v>748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1</v>
      </c>
      <c r="AE234" t="s">
        <v>788</v>
      </c>
    </row>
    <row r="235" spans="1:31" x14ac:dyDescent="0.3">
      <c r="A235">
        <v>-73.976094225240004</v>
      </c>
      <c r="B235">
        <v>40.774203567420003</v>
      </c>
      <c r="C235" t="s">
        <v>789</v>
      </c>
      <c r="D235" t="s">
        <v>790</v>
      </c>
      <c r="E235" t="s">
        <v>33</v>
      </c>
      <c r="F235">
        <v>10132018</v>
      </c>
      <c r="G235">
        <v>7</v>
      </c>
      <c r="H235" t="s">
        <v>105</v>
      </c>
      <c r="I235" t="s">
        <v>42</v>
      </c>
      <c r="J235" t="s">
        <v>59</v>
      </c>
      <c r="K235" t="s">
        <v>79</v>
      </c>
      <c r="M235" t="s">
        <v>65</v>
      </c>
      <c r="N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1</v>
      </c>
      <c r="V235" t="b">
        <v>0</v>
      </c>
      <c r="W235" t="b">
        <v>0</v>
      </c>
      <c r="X235" t="b">
        <v>0</v>
      </c>
      <c r="Y235" t="b">
        <v>0</v>
      </c>
      <c r="Z235" t="b">
        <v>1</v>
      </c>
      <c r="AA235" t="b">
        <v>0</v>
      </c>
      <c r="AB235" t="b">
        <v>1</v>
      </c>
      <c r="AC235" t="b">
        <v>0</v>
      </c>
      <c r="AE235" t="s">
        <v>791</v>
      </c>
    </row>
    <row r="236" spans="1:31" x14ac:dyDescent="0.3">
      <c r="A236">
        <v>-73.975846490509994</v>
      </c>
      <c r="B236">
        <v>40.77259574088</v>
      </c>
      <c r="C236" t="s">
        <v>792</v>
      </c>
      <c r="D236" t="s">
        <v>793</v>
      </c>
      <c r="E236" t="s">
        <v>33</v>
      </c>
      <c r="F236">
        <v>10132018</v>
      </c>
      <c r="G236">
        <v>5</v>
      </c>
      <c r="H236" t="s">
        <v>48</v>
      </c>
      <c r="I236" t="s">
        <v>42</v>
      </c>
      <c r="J236" t="s">
        <v>59</v>
      </c>
      <c r="K236" t="s">
        <v>79</v>
      </c>
      <c r="M236" t="s">
        <v>65</v>
      </c>
      <c r="N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1</v>
      </c>
      <c r="V236" t="b">
        <v>0</v>
      </c>
      <c r="W236" t="b">
        <v>0</v>
      </c>
      <c r="X236" t="b">
        <v>0</v>
      </c>
      <c r="Y236" t="b">
        <v>1</v>
      </c>
      <c r="Z236" t="b">
        <v>0</v>
      </c>
      <c r="AA236" t="b">
        <v>0</v>
      </c>
      <c r="AB236" t="b">
        <v>1</v>
      </c>
      <c r="AC236" t="b">
        <v>0</v>
      </c>
      <c r="AE236" t="s">
        <v>794</v>
      </c>
    </row>
    <row r="237" spans="1:31" x14ac:dyDescent="0.3">
      <c r="A237">
        <v>-73.976708051220001</v>
      </c>
      <c r="B237">
        <v>40.771770879420004</v>
      </c>
      <c r="C237" t="s">
        <v>795</v>
      </c>
      <c r="D237" t="s">
        <v>796</v>
      </c>
      <c r="E237" t="s">
        <v>33</v>
      </c>
      <c r="F237">
        <v>10172018</v>
      </c>
      <c r="G237">
        <v>4</v>
      </c>
      <c r="H237" t="s">
        <v>48</v>
      </c>
      <c r="I237" t="s">
        <v>42</v>
      </c>
      <c r="J237" t="s">
        <v>53</v>
      </c>
      <c r="K237" t="s">
        <v>54</v>
      </c>
      <c r="M237" t="s">
        <v>65</v>
      </c>
      <c r="N237" t="b">
        <v>0</v>
      </c>
      <c r="P237" t="b">
        <v>1</v>
      </c>
      <c r="Q237" t="b">
        <v>1</v>
      </c>
      <c r="R237" t="b">
        <v>0</v>
      </c>
      <c r="S237" t="b">
        <v>0</v>
      </c>
      <c r="T237" t="b">
        <v>1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E237" t="s">
        <v>797</v>
      </c>
    </row>
    <row r="238" spans="1:31" x14ac:dyDescent="0.3">
      <c r="A238">
        <v>-73.976025647759997</v>
      </c>
      <c r="B238">
        <v>40.770357313140003</v>
      </c>
      <c r="C238" t="s">
        <v>798</v>
      </c>
      <c r="D238" t="s">
        <v>574</v>
      </c>
      <c r="E238" t="s">
        <v>38</v>
      </c>
      <c r="F238">
        <v>10202018</v>
      </c>
      <c r="G238">
        <v>2</v>
      </c>
      <c r="H238" t="s">
        <v>48</v>
      </c>
      <c r="I238" t="s">
        <v>42</v>
      </c>
      <c r="J238" t="s">
        <v>53</v>
      </c>
      <c r="K238" t="s">
        <v>54</v>
      </c>
      <c r="M238" t="s">
        <v>65</v>
      </c>
      <c r="N238" t="b">
        <v>0</v>
      </c>
      <c r="P238" t="b">
        <v>0</v>
      </c>
      <c r="Q238" t="b">
        <v>0</v>
      </c>
      <c r="R238" t="b">
        <v>1</v>
      </c>
      <c r="S238" t="b">
        <v>0</v>
      </c>
      <c r="T238" t="b">
        <v>1</v>
      </c>
      <c r="U238" t="s">
        <v>799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E238" t="s">
        <v>800</v>
      </c>
    </row>
    <row r="239" spans="1:31" x14ac:dyDescent="0.3">
      <c r="A239">
        <v>-73.959312669569997</v>
      </c>
      <c r="B239">
        <v>40.797533370159996</v>
      </c>
      <c r="C239" t="s">
        <v>801</v>
      </c>
      <c r="D239" t="s">
        <v>802</v>
      </c>
      <c r="E239" t="s">
        <v>38</v>
      </c>
      <c r="F239">
        <v>10182018</v>
      </c>
      <c r="G239">
        <v>1</v>
      </c>
      <c r="K239" t="s">
        <v>34</v>
      </c>
      <c r="M239" t="s">
        <v>44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s">
        <v>803</v>
      </c>
      <c r="V239" t="b">
        <v>1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E239" t="s">
        <v>804</v>
      </c>
    </row>
    <row r="240" spans="1:31" x14ac:dyDescent="0.3">
      <c r="A240">
        <v>-73.959023660209994</v>
      </c>
      <c r="B240">
        <v>40.798263245690002</v>
      </c>
      <c r="C240" t="s">
        <v>805</v>
      </c>
      <c r="D240" t="s">
        <v>448</v>
      </c>
      <c r="E240" t="s">
        <v>38</v>
      </c>
      <c r="F240">
        <v>10102018</v>
      </c>
      <c r="G240">
        <v>4</v>
      </c>
      <c r="H240" t="s">
        <v>48</v>
      </c>
      <c r="I240" t="s">
        <v>42</v>
      </c>
      <c r="J240" t="s">
        <v>53</v>
      </c>
      <c r="K240" t="s">
        <v>54</v>
      </c>
      <c r="M240" t="s">
        <v>65</v>
      </c>
      <c r="N240" t="b">
        <v>0</v>
      </c>
      <c r="O240" t="s">
        <v>806</v>
      </c>
      <c r="P240" t="b">
        <v>0</v>
      </c>
      <c r="Q240" t="b">
        <v>0</v>
      </c>
      <c r="R240" t="b">
        <v>0</v>
      </c>
      <c r="S240" t="b">
        <v>0</v>
      </c>
      <c r="T240" t="b">
        <v>1</v>
      </c>
      <c r="V240" t="b">
        <v>0</v>
      </c>
      <c r="W240" t="b">
        <v>0</v>
      </c>
      <c r="X240" t="b">
        <v>0</v>
      </c>
      <c r="Y240" t="b">
        <v>1</v>
      </c>
      <c r="Z240" t="b">
        <v>0</v>
      </c>
      <c r="AA240" t="b">
        <v>0</v>
      </c>
      <c r="AB240" t="b">
        <v>1</v>
      </c>
      <c r="AC240" t="b">
        <v>1</v>
      </c>
      <c r="AD240" t="s">
        <v>450</v>
      </c>
      <c r="AE240" t="s">
        <v>807</v>
      </c>
    </row>
    <row r="241" spans="1:31" x14ac:dyDescent="0.3">
      <c r="A241">
        <v>-73.975477880849994</v>
      </c>
      <c r="B241">
        <v>40.768561902979997</v>
      </c>
      <c r="C241" t="s">
        <v>808</v>
      </c>
      <c r="D241" t="s">
        <v>782</v>
      </c>
      <c r="E241" t="s">
        <v>38</v>
      </c>
      <c r="F241">
        <v>10202018</v>
      </c>
      <c r="G241">
        <v>1</v>
      </c>
      <c r="H241" t="s">
        <v>48</v>
      </c>
      <c r="I241" t="s">
        <v>42</v>
      </c>
      <c r="J241" t="s">
        <v>96</v>
      </c>
      <c r="K241" t="s">
        <v>97</v>
      </c>
      <c r="L241" t="s">
        <v>809</v>
      </c>
      <c r="M241" t="s">
        <v>44</v>
      </c>
      <c r="N241">
        <v>7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  <c r="U241" t="s">
        <v>810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1</v>
      </c>
      <c r="AC241" t="b">
        <v>0</v>
      </c>
      <c r="AE241" t="s">
        <v>811</v>
      </c>
    </row>
    <row r="242" spans="1:31" x14ac:dyDescent="0.3">
      <c r="A242">
        <v>-73.95976487758</v>
      </c>
      <c r="B242">
        <v>40.790344302969999</v>
      </c>
      <c r="C242" t="s">
        <v>812</v>
      </c>
      <c r="D242" t="s">
        <v>47</v>
      </c>
      <c r="E242" t="s">
        <v>38</v>
      </c>
      <c r="F242">
        <v>10072018</v>
      </c>
      <c r="G242">
        <v>1</v>
      </c>
      <c r="H242" t="s">
        <v>48</v>
      </c>
      <c r="I242" t="s">
        <v>42</v>
      </c>
      <c r="K242" t="s">
        <v>43</v>
      </c>
      <c r="M242" t="s">
        <v>65</v>
      </c>
      <c r="N242" t="b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1</v>
      </c>
      <c r="AE242" t="s">
        <v>813</v>
      </c>
    </row>
    <row r="243" spans="1:31" x14ac:dyDescent="0.3">
      <c r="A243">
        <v>-73.958941433920003</v>
      </c>
      <c r="B243">
        <v>40.79070738883</v>
      </c>
      <c r="C243" t="s">
        <v>814</v>
      </c>
      <c r="D243" t="s">
        <v>47</v>
      </c>
      <c r="E243" t="s">
        <v>33</v>
      </c>
      <c r="F243">
        <v>10172018</v>
      </c>
      <c r="G243">
        <v>4</v>
      </c>
      <c r="H243" t="s">
        <v>48</v>
      </c>
      <c r="I243" t="s">
        <v>42</v>
      </c>
      <c r="K243" t="s">
        <v>43</v>
      </c>
      <c r="M243" t="s">
        <v>65</v>
      </c>
      <c r="N243" t="b">
        <v>0</v>
      </c>
      <c r="O243" t="s">
        <v>815</v>
      </c>
      <c r="P243" t="b">
        <v>0</v>
      </c>
      <c r="Q243" t="b">
        <v>0</v>
      </c>
      <c r="R243" t="b">
        <v>0</v>
      </c>
      <c r="S243" t="b">
        <v>1</v>
      </c>
      <c r="T243" t="b">
        <v>1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1</v>
      </c>
      <c r="AE243" t="s">
        <v>816</v>
      </c>
    </row>
    <row r="244" spans="1:31" x14ac:dyDescent="0.3">
      <c r="A244">
        <v>-73.977980566810004</v>
      </c>
      <c r="B244">
        <v>40.768093156680003</v>
      </c>
      <c r="C244" t="s">
        <v>817</v>
      </c>
      <c r="D244" t="s">
        <v>756</v>
      </c>
      <c r="E244" t="s">
        <v>33</v>
      </c>
      <c r="F244">
        <v>10122018</v>
      </c>
      <c r="G244">
        <v>2</v>
      </c>
      <c r="H244" t="s">
        <v>48</v>
      </c>
      <c r="I244" t="s">
        <v>42</v>
      </c>
      <c r="J244" t="s">
        <v>96</v>
      </c>
      <c r="K244" t="s">
        <v>97</v>
      </c>
      <c r="M244" t="s">
        <v>65</v>
      </c>
      <c r="N244" t="b">
        <v>0</v>
      </c>
      <c r="P244" t="b">
        <v>0</v>
      </c>
      <c r="Q244" t="b">
        <v>0</v>
      </c>
      <c r="R244" t="b">
        <v>0</v>
      </c>
      <c r="S244" t="b">
        <v>1</v>
      </c>
      <c r="T244" t="b">
        <v>1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1</v>
      </c>
      <c r="AB244" t="b">
        <v>0</v>
      </c>
      <c r="AC244" t="b">
        <v>0</v>
      </c>
      <c r="AE244" t="s">
        <v>818</v>
      </c>
    </row>
    <row r="245" spans="1:31" x14ac:dyDescent="0.3">
      <c r="A245">
        <v>-73.973311766349994</v>
      </c>
      <c r="B245">
        <v>40.76945846201</v>
      </c>
      <c r="C245" t="s">
        <v>819</v>
      </c>
      <c r="D245" t="s">
        <v>514</v>
      </c>
      <c r="E245" t="s">
        <v>33</v>
      </c>
      <c r="F245">
        <v>10082018</v>
      </c>
      <c r="G245">
        <v>5</v>
      </c>
      <c r="H245" t="s">
        <v>48</v>
      </c>
      <c r="I245" t="s">
        <v>53</v>
      </c>
      <c r="J245" t="s">
        <v>59</v>
      </c>
      <c r="K245" t="s">
        <v>60</v>
      </c>
      <c r="L245" t="s">
        <v>820</v>
      </c>
      <c r="M245" t="s">
        <v>65</v>
      </c>
      <c r="N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1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1</v>
      </c>
      <c r="AC245" t="b">
        <v>0</v>
      </c>
      <c r="AE245" t="s">
        <v>821</v>
      </c>
    </row>
    <row r="246" spans="1:31" x14ac:dyDescent="0.3">
      <c r="A246">
        <v>-73.975172940370001</v>
      </c>
      <c r="B246">
        <v>40.774328412309998</v>
      </c>
      <c r="C246" t="s">
        <v>822</v>
      </c>
      <c r="D246" t="s">
        <v>462</v>
      </c>
      <c r="E246" t="s">
        <v>33</v>
      </c>
      <c r="F246">
        <v>10142018</v>
      </c>
      <c r="G246">
        <v>2</v>
      </c>
      <c r="H246" t="s">
        <v>48</v>
      </c>
      <c r="I246" t="s">
        <v>42</v>
      </c>
      <c r="J246" t="s">
        <v>59</v>
      </c>
      <c r="K246" t="s">
        <v>79</v>
      </c>
      <c r="M246" t="s">
        <v>44</v>
      </c>
      <c r="O246" t="s">
        <v>823</v>
      </c>
      <c r="P246" t="b">
        <v>0</v>
      </c>
      <c r="Q246" t="b">
        <v>0</v>
      </c>
      <c r="R246" t="b">
        <v>0</v>
      </c>
      <c r="S246" t="b">
        <v>0</v>
      </c>
      <c r="T246" t="b">
        <v>1</v>
      </c>
      <c r="V246" t="b">
        <v>0</v>
      </c>
      <c r="W246" t="b">
        <v>0</v>
      </c>
      <c r="X246" t="b">
        <v>0</v>
      </c>
      <c r="Y246" t="b">
        <v>0</v>
      </c>
      <c r="Z246" t="b">
        <v>1</v>
      </c>
      <c r="AA246" t="b">
        <v>0</v>
      </c>
      <c r="AB246" t="b">
        <v>0</v>
      </c>
      <c r="AC246" t="b">
        <v>0</v>
      </c>
      <c r="AD246" t="s">
        <v>824</v>
      </c>
      <c r="AE246" t="s">
        <v>825</v>
      </c>
    </row>
    <row r="247" spans="1:31" x14ac:dyDescent="0.3">
      <c r="A247">
        <v>-73.978633929569995</v>
      </c>
      <c r="B247">
        <v>40.76849186386</v>
      </c>
      <c r="C247" t="s">
        <v>826</v>
      </c>
      <c r="D247" t="s">
        <v>827</v>
      </c>
      <c r="E247" t="s">
        <v>33</v>
      </c>
      <c r="F247">
        <v>10082018</v>
      </c>
      <c r="G247">
        <v>2</v>
      </c>
      <c r="H247" t="s">
        <v>48</v>
      </c>
      <c r="I247" t="s">
        <v>53</v>
      </c>
      <c r="J247" t="s">
        <v>115</v>
      </c>
      <c r="K247" t="s">
        <v>116</v>
      </c>
      <c r="M247" t="s">
        <v>65</v>
      </c>
      <c r="N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1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1</v>
      </c>
      <c r="AC247" t="b">
        <v>0</v>
      </c>
      <c r="AE247" t="s">
        <v>828</v>
      </c>
    </row>
    <row r="248" spans="1:31" x14ac:dyDescent="0.3">
      <c r="A248">
        <v>-73.972674766599994</v>
      </c>
      <c r="B248">
        <v>40.770302266930003</v>
      </c>
      <c r="C248" t="s">
        <v>829</v>
      </c>
      <c r="D248" t="s">
        <v>353</v>
      </c>
      <c r="E248" t="s">
        <v>38</v>
      </c>
      <c r="F248">
        <v>10082018</v>
      </c>
      <c r="G248">
        <v>2</v>
      </c>
      <c r="H248" t="s">
        <v>48</v>
      </c>
      <c r="I248" t="s">
        <v>42</v>
      </c>
      <c r="J248" t="s">
        <v>53</v>
      </c>
      <c r="K248" t="s">
        <v>54</v>
      </c>
      <c r="M248" t="s">
        <v>65</v>
      </c>
      <c r="N248" t="b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1</v>
      </c>
      <c r="AD248" t="s">
        <v>830</v>
      </c>
      <c r="AE248" t="s">
        <v>831</v>
      </c>
    </row>
    <row r="249" spans="1:31" x14ac:dyDescent="0.3">
      <c r="A249">
        <v>-73.977071858680006</v>
      </c>
      <c r="B249">
        <v>40.772975239140003</v>
      </c>
      <c r="C249" t="s">
        <v>832</v>
      </c>
      <c r="D249" t="s">
        <v>439</v>
      </c>
      <c r="E249" t="s">
        <v>38</v>
      </c>
      <c r="F249">
        <v>10082018</v>
      </c>
      <c r="G249">
        <v>9</v>
      </c>
      <c r="H249" t="s">
        <v>48</v>
      </c>
      <c r="I249" t="s">
        <v>42</v>
      </c>
      <c r="K249" t="s">
        <v>43</v>
      </c>
      <c r="M249" t="s">
        <v>65</v>
      </c>
      <c r="N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1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1</v>
      </c>
      <c r="AC249" t="b">
        <v>0</v>
      </c>
      <c r="AE249" t="s">
        <v>833</v>
      </c>
    </row>
    <row r="250" spans="1:31" x14ac:dyDescent="0.3">
      <c r="A250">
        <v>-73.957081757910004</v>
      </c>
      <c r="B250">
        <v>40.796422108789997</v>
      </c>
      <c r="C250" t="s">
        <v>834</v>
      </c>
      <c r="D250" t="s">
        <v>835</v>
      </c>
      <c r="E250" t="s">
        <v>38</v>
      </c>
      <c r="F250">
        <v>10172018</v>
      </c>
      <c r="G250">
        <v>2</v>
      </c>
      <c r="H250" t="s">
        <v>48</v>
      </c>
      <c r="I250" t="s">
        <v>42</v>
      </c>
      <c r="J250" t="s">
        <v>53</v>
      </c>
      <c r="K250" t="s">
        <v>54</v>
      </c>
      <c r="M250" t="s">
        <v>65</v>
      </c>
      <c r="N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s">
        <v>836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1</v>
      </c>
      <c r="AC250" t="b">
        <v>0</v>
      </c>
      <c r="AE250" t="s">
        <v>837</v>
      </c>
    </row>
    <row r="251" spans="1:31" x14ac:dyDescent="0.3">
      <c r="A251">
        <v>-73.974420668779999</v>
      </c>
      <c r="B251">
        <v>40.774962859749998</v>
      </c>
      <c r="C251" t="s">
        <v>838</v>
      </c>
      <c r="D251" t="s">
        <v>839</v>
      </c>
      <c r="E251" t="s">
        <v>33</v>
      </c>
      <c r="F251">
        <v>10132018</v>
      </c>
      <c r="G251">
        <v>4</v>
      </c>
      <c r="I251" t="s">
        <v>42</v>
      </c>
      <c r="J251" t="s">
        <v>53</v>
      </c>
      <c r="K251" t="s">
        <v>54</v>
      </c>
      <c r="M251" t="s">
        <v>65</v>
      </c>
      <c r="N251" t="b">
        <v>0</v>
      </c>
      <c r="P251" t="b">
        <v>0</v>
      </c>
      <c r="Q251" t="b">
        <v>0</v>
      </c>
      <c r="R251" t="b">
        <v>0</v>
      </c>
      <c r="S251" t="b">
        <v>1</v>
      </c>
      <c r="T251" t="b">
        <v>1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1</v>
      </c>
      <c r="AC251" t="b">
        <v>0</v>
      </c>
      <c r="AE251" t="s">
        <v>840</v>
      </c>
    </row>
    <row r="252" spans="1:31" x14ac:dyDescent="0.3">
      <c r="A252">
        <v>-73.971973558249999</v>
      </c>
      <c r="B252">
        <v>40.769304513359998</v>
      </c>
      <c r="C252" t="s">
        <v>841</v>
      </c>
      <c r="D252" t="s">
        <v>221</v>
      </c>
      <c r="E252" t="s">
        <v>33</v>
      </c>
      <c r="F252">
        <v>10202018</v>
      </c>
      <c r="G252">
        <v>2</v>
      </c>
      <c r="H252" t="s">
        <v>48</v>
      </c>
      <c r="I252" t="s">
        <v>42</v>
      </c>
      <c r="K252" t="s">
        <v>43</v>
      </c>
      <c r="M252" t="s">
        <v>65</v>
      </c>
      <c r="N252" t="b">
        <v>0</v>
      </c>
      <c r="P252" t="b">
        <v>1</v>
      </c>
      <c r="Q252" t="b">
        <v>1</v>
      </c>
      <c r="R252" t="b">
        <v>0</v>
      </c>
      <c r="S252" t="b">
        <v>0</v>
      </c>
      <c r="T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1</v>
      </c>
      <c r="AC252" t="b">
        <v>0</v>
      </c>
      <c r="AE252" t="s">
        <v>842</v>
      </c>
    </row>
    <row r="253" spans="1:31" x14ac:dyDescent="0.3">
      <c r="A253">
        <v>-73.958962705659999</v>
      </c>
      <c r="B253">
        <v>40.784759155849997</v>
      </c>
      <c r="C253" t="s">
        <v>843</v>
      </c>
      <c r="D253" t="s">
        <v>844</v>
      </c>
      <c r="E253" t="s">
        <v>33</v>
      </c>
      <c r="F253">
        <v>10102018</v>
      </c>
      <c r="G253">
        <v>2</v>
      </c>
      <c r="H253" t="s">
        <v>48</v>
      </c>
      <c r="I253" t="s">
        <v>42</v>
      </c>
      <c r="J253" t="s">
        <v>53</v>
      </c>
      <c r="K253" t="s">
        <v>54</v>
      </c>
      <c r="M253" t="s">
        <v>65</v>
      </c>
      <c r="N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1</v>
      </c>
      <c r="U253" t="s">
        <v>845</v>
      </c>
      <c r="V253" t="b">
        <v>0</v>
      </c>
      <c r="W253" t="b">
        <v>0</v>
      </c>
      <c r="X253" t="b">
        <v>0</v>
      </c>
      <c r="Y253" t="b">
        <v>0</v>
      </c>
      <c r="Z253" t="b">
        <v>1</v>
      </c>
      <c r="AA253" t="b">
        <v>0</v>
      </c>
      <c r="AB253" t="b">
        <v>1</v>
      </c>
      <c r="AC253" t="b">
        <v>0</v>
      </c>
      <c r="AE253" t="s">
        <v>846</v>
      </c>
    </row>
    <row r="254" spans="1:31" x14ac:dyDescent="0.3">
      <c r="A254">
        <v>-73.976224660019994</v>
      </c>
      <c r="B254">
        <v>40.775164077649997</v>
      </c>
      <c r="C254" t="s">
        <v>847</v>
      </c>
      <c r="D254" t="s">
        <v>147</v>
      </c>
      <c r="E254" t="s">
        <v>38</v>
      </c>
      <c r="F254">
        <v>10062018</v>
      </c>
      <c r="G254">
        <v>3</v>
      </c>
      <c r="H254" t="s">
        <v>105</v>
      </c>
      <c r="I254" t="s">
        <v>53</v>
      </c>
      <c r="K254" t="s">
        <v>155</v>
      </c>
      <c r="M254" t="s">
        <v>65</v>
      </c>
      <c r="N254" t="b">
        <v>0</v>
      </c>
      <c r="O254" t="s">
        <v>848</v>
      </c>
      <c r="P254" t="b">
        <v>0</v>
      </c>
      <c r="Q254" t="b">
        <v>0</v>
      </c>
      <c r="R254" t="b">
        <v>0</v>
      </c>
      <c r="S254" t="b">
        <v>1</v>
      </c>
      <c r="T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E254" t="s">
        <v>849</v>
      </c>
    </row>
    <row r="255" spans="1:31" x14ac:dyDescent="0.3">
      <c r="A255">
        <v>-73.980066911579996</v>
      </c>
      <c r="B255">
        <v>40.76768251344</v>
      </c>
      <c r="C255" t="s">
        <v>850</v>
      </c>
      <c r="D255" t="s">
        <v>851</v>
      </c>
      <c r="E255" t="s">
        <v>38</v>
      </c>
      <c r="F255">
        <v>10122018</v>
      </c>
      <c r="G255">
        <v>7</v>
      </c>
      <c r="H255" t="s">
        <v>48</v>
      </c>
      <c r="I255" t="s">
        <v>53</v>
      </c>
      <c r="K255" t="s">
        <v>155</v>
      </c>
      <c r="M255" t="s">
        <v>44</v>
      </c>
      <c r="N255">
        <v>2</v>
      </c>
      <c r="O255" t="s">
        <v>852</v>
      </c>
      <c r="P255" t="b">
        <v>0</v>
      </c>
      <c r="Q255" t="b">
        <v>1</v>
      </c>
      <c r="R255" t="b">
        <v>1</v>
      </c>
      <c r="S255" t="b">
        <v>0</v>
      </c>
      <c r="T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1</v>
      </c>
      <c r="AC255" t="b">
        <v>0</v>
      </c>
      <c r="AE255" t="s">
        <v>853</v>
      </c>
    </row>
    <row r="256" spans="1:31" x14ac:dyDescent="0.3">
      <c r="A256">
        <v>-73.976798124309994</v>
      </c>
      <c r="B256">
        <v>40.774131657410003</v>
      </c>
      <c r="C256" t="s">
        <v>854</v>
      </c>
      <c r="D256" t="s">
        <v>855</v>
      </c>
      <c r="E256" t="s">
        <v>33</v>
      </c>
      <c r="F256">
        <v>10102018</v>
      </c>
      <c r="G256">
        <v>4</v>
      </c>
      <c r="I256" t="s">
        <v>53</v>
      </c>
      <c r="K256" t="s">
        <v>155</v>
      </c>
      <c r="M256" t="s">
        <v>44</v>
      </c>
      <c r="N256">
        <v>20</v>
      </c>
      <c r="P256" t="b">
        <v>1</v>
      </c>
      <c r="Q256" t="b">
        <v>0</v>
      </c>
      <c r="R256" t="b">
        <v>1</v>
      </c>
      <c r="S256" t="b">
        <v>0</v>
      </c>
      <c r="T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1</v>
      </c>
      <c r="AC256" t="b">
        <v>0</v>
      </c>
      <c r="AE256" t="s">
        <v>856</v>
      </c>
    </row>
    <row r="257" spans="1:31" x14ac:dyDescent="0.3">
      <c r="A257">
        <v>-73.977331705449998</v>
      </c>
      <c r="B257">
        <v>40.768403599679999</v>
      </c>
      <c r="C257" t="s">
        <v>857</v>
      </c>
      <c r="D257" t="s">
        <v>502</v>
      </c>
      <c r="E257" t="s">
        <v>38</v>
      </c>
      <c r="F257">
        <v>10062018</v>
      </c>
      <c r="G257">
        <v>3</v>
      </c>
      <c r="H257" t="s">
        <v>105</v>
      </c>
      <c r="I257" t="s">
        <v>53</v>
      </c>
      <c r="J257" t="s">
        <v>42</v>
      </c>
      <c r="K257" t="s">
        <v>89</v>
      </c>
      <c r="M257" t="s">
        <v>65</v>
      </c>
      <c r="N257" t="b">
        <v>0</v>
      </c>
      <c r="O257" t="s">
        <v>858</v>
      </c>
      <c r="P257" t="b">
        <v>1</v>
      </c>
      <c r="Q257" t="b">
        <v>0</v>
      </c>
      <c r="R257" t="b">
        <v>1</v>
      </c>
      <c r="S257" t="b">
        <v>0</v>
      </c>
      <c r="T257" t="b">
        <v>0</v>
      </c>
      <c r="U257" t="s">
        <v>859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1</v>
      </c>
      <c r="AB257" t="b">
        <v>0</v>
      </c>
      <c r="AC257" t="b">
        <v>0</v>
      </c>
      <c r="AD257" t="s">
        <v>860</v>
      </c>
      <c r="AE257" t="s">
        <v>861</v>
      </c>
    </row>
    <row r="258" spans="1:31" x14ac:dyDescent="0.3">
      <c r="A258">
        <v>-73.953433342560004</v>
      </c>
      <c r="B258">
        <v>40.793256416330003</v>
      </c>
      <c r="C258" t="s">
        <v>862</v>
      </c>
      <c r="D258" t="s">
        <v>863</v>
      </c>
      <c r="E258" t="s">
        <v>38</v>
      </c>
      <c r="F258">
        <v>10182018</v>
      </c>
      <c r="G258">
        <v>3</v>
      </c>
      <c r="H258" t="s">
        <v>48</v>
      </c>
      <c r="I258" t="s">
        <v>42</v>
      </c>
      <c r="J258" t="s">
        <v>59</v>
      </c>
      <c r="K258" t="s">
        <v>79</v>
      </c>
      <c r="M258" t="s">
        <v>44</v>
      </c>
      <c r="N258">
        <v>10</v>
      </c>
      <c r="O258" t="s">
        <v>864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  <c r="V258" t="b">
        <v>0</v>
      </c>
      <c r="W258" t="b">
        <v>1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1</v>
      </c>
      <c r="AE258" t="s">
        <v>865</v>
      </c>
    </row>
    <row r="259" spans="1:31" x14ac:dyDescent="0.3">
      <c r="A259">
        <v>-73.972695807050002</v>
      </c>
      <c r="B259">
        <v>40.770609612629997</v>
      </c>
      <c r="C259" t="s">
        <v>866</v>
      </c>
      <c r="D259" t="s">
        <v>353</v>
      </c>
      <c r="E259" t="s">
        <v>38</v>
      </c>
      <c r="F259">
        <v>10082018</v>
      </c>
      <c r="G259">
        <v>9</v>
      </c>
      <c r="H259" t="s">
        <v>48</v>
      </c>
      <c r="I259" t="s">
        <v>42</v>
      </c>
      <c r="K259" t="s">
        <v>43</v>
      </c>
      <c r="M259" t="s">
        <v>44</v>
      </c>
      <c r="N259">
        <v>20</v>
      </c>
      <c r="P259" t="b">
        <v>0</v>
      </c>
      <c r="Q259" t="b">
        <v>0</v>
      </c>
      <c r="R259" t="b">
        <v>1</v>
      </c>
      <c r="S259" t="b">
        <v>0</v>
      </c>
      <c r="T259" t="b">
        <v>0</v>
      </c>
      <c r="U259" t="s">
        <v>867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1</v>
      </c>
      <c r="AC259" t="b">
        <v>0</v>
      </c>
      <c r="AE259" t="s">
        <v>868</v>
      </c>
    </row>
    <row r="260" spans="1:31" x14ac:dyDescent="0.3">
      <c r="A260">
        <v>-73.978436117930002</v>
      </c>
      <c r="B260">
        <v>40.772476924240003</v>
      </c>
      <c r="C260" t="s">
        <v>869</v>
      </c>
      <c r="D260" t="s">
        <v>870</v>
      </c>
      <c r="E260" t="s">
        <v>38</v>
      </c>
      <c r="F260">
        <v>10062018</v>
      </c>
      <c r="G260">
        <v>6</v>
      </c>
      <c r="H260" t="s">
        <v>48</v>
      </c>
      <c r="I260" t="s">
        <v>42</v>
      </c>
      <c r="J260" t="s">
        <v>96</v>
      </c>
      <c r="K260" t="s">
        <v>97</v>
      </c>
      <c r="M260" t="s">
        <v>44</v>
      </c>
      <c r="N260">
        <v>15</v>
      </c>
      <c r="O260" t="s">
        <v>190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  <c r="V260" t="b">
        <v>1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E260" t="s">
        <v>871</v>
      </c>
    </row>
    <row r="261" spans="1:31" x14ac:dyDescent="0.3">
      <c r="A261">
        <v>-73.955286115519996</v>
      </c>
      <c r="B261">
        <v>40.788973931869997</v>
      </c>
      <c r="C261" t="s">
        <v>872</v>
      </c>
      <c r="D261" t="s">
        <v>873</v>
      </c>
      <c r="E261" t="s">
        <v>38</v>
      </c>
      <c r="F261">
        <v>10132018</v>
      </c>
      <c r="G261">
        <v>5</v>
      </c>
      <c r="H261" t="s">
        <v>48</v>
      </c>
      <c r="I261" t="s">
        <v>53</v>
      </c>
      <c r="J261" t="s">
        <v>42</v>
      </c>
      <c r="K261" t="s">
        <v>89</v>
      </c>
      <c r="M261" t="s">
        <v>44</v>
      </c>
      <c r="N261">
        <v>3</v>
      </c>
      <c r="O261" t="s">
        <v>874</v>
      </c>
      <c r="P261" t="b">
        <v>0</v>
      </c>
      <c r="Q261" t="b">
        <v>0</v>
      </c>
      <c r="R261" t="b">
        <v>1</v>
      </c>
      <c r="S261" t="b">
        <v>0</v>
      </c>
      <c r="T261" t="b">
        <v>1</v>
      </c>
      <c r="V261" t="b">
        <v>0</v>
      </c>
      <c r="W261" t="b">
        <v>0</v>
      </c>
      <c r="X261" t="b">
        <v>0</v>
      </c>
      <c r="Y261" t="b">
        <v>1</v>
      </c>
      <c r="Z261" t="b">
        <v>0</v>
      </c>
      <c r="AA261" t="b">
        <v>0</v>
      </c>
      <c r="AB261" t="b">
        <v>1</v>
      </c>
      <c r="AC261" t="b">
        <v>0</v>
      </c>
      <c r="AE261" t="s">
        <v>875</v>
      </c>
    </row>
    <row r="262" spans="1:31" x14ac:dyDescent="0.3">
      <c r="A262">
        <v>-73.971287623419997</v>
      </c>
      <c r="B262">
        <v>40.769588553070001</v>
      </c>
      <c r="C262" t="s">
        <v>876</v>
      </c>
      <c r="D262" t="s">
        <v>92</v>
      </c>
      <c r="E262" t="s">
        <v>33</v>
      </c>
      <c r="F262">
        <v>10062018</v>
      </c>
      <c r="G262">
        <v>2</v>
      </c>
      <c r="H262" t="s">
        <v>48</v>
      </c>
      <c r="I262" t="s">
        <v>42</v>
      </c>
      <c r="K262" t="s">
        <v>43</v>
      </c>
      <c r="M262" t="s">
        <v>44</v>
      </c>
      <c r="N262">
        <v>25</v>
      </c>
      <c r="O262" t="s">
        <v>190</v>
      </c>
      <c r="P262" t="b">
        <v>1</v>
      </c>
      <c r="Q262" t="b">
        <v>0</v>
      </c>
      <c r="R262" t="b">
        <v>1</v>
      </c>
      <c r="S262" t="b">
        <v>1</v>
      </c>
      <c r="T262" t="b">
        <v>1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1</v>
      </c>
      <c r="AC262" t="b">
        <v>0</v>
      </c>
      <c r="AE262" t="s">
        <v>877</v>
      </c>
    </row>
    <row r="263" spans="1:31" x14ac:dyDescent="0.3">
      <c r="A263">
        <v>-73.97710691815</v>
      </c>
      <c r="B263">
        <v>40.767053821499999</v>
      </c>
      <c r="C263" t="s">
        <v>878</v>
      </c>
      <c r="D263" t="s">
        <v>879</v>
      </c>
      <c r="E263" t="s">
        <v>33</v>
      </c>
      <c r="F263">
        <v>10142018</v>
      </c>
      <c r="G263">
        <v>5</v>
      </c>
      <c r="H263" t="s">
        <v>48</v>
      </c>
      <c r="I263" t="s">
        <v>53</v>
      </c>
      <c r="J263" t="s">
        <v>42</v>
      </c>
      <c r="K263" t="s">
        <v>89</v>
      </c>
      <c r="M263" t="s">
        <v>65</v>
      </c>
      <c r="N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1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1</v>
      </c>
      <c r="AC263" t="b">
        <v>0</v>
      </c>
      <c r="AE263" t="s">
        <v>880</v>
      </c>
    </row>
    <row r="264" spans="1:31" x14ac:dyDescent="0.3">
      <c r="A264">
        <v>-73.969871474339996</v>
      </c>
      <c r="B264">
        <v>40.774381466169999</v>
      </c>
      <c r="C264" t="s">
        <v>881</v>
      </c>
      <c r="D264" t="s">
        <v>646</v>
      </c>
      <c r="E264" t="s">
        <v>38</v>
      </c>
      <c r="F264">
        <v>10202018</v>
      </c>
      <c r="G264">
        <v>2</v>
      </c>
      <c r="H264" t="s">
        <v>48</v>
      </c>
      <c r="I264" t="s">
        <v>42</v>
      </c>
      <c r="K264" t="s">
        <v>43</v>
      </c>
      <c r="M264" t="s">
        <v>65</v>
      </c>
      <c r="N264" t="b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E264" t="s">
        <v>882</v>
      </c>
    </row>
    <row r="265" spans="1:31" x14ac:dyDescent="0.3">
      <c r="A265">
        <v>-73.969109494229997</v>
      </c>
      <c r="B265">
        <v>40.776760392859998</v>
      </c>
      <c r="C265" t="s">
        <v>883</v>
      </c>
      <c r="D265" t="s">
        <v>100</v>
      </c>
      <c r="E265" t="s">
        <v>38</v>
      </c>
      <c r="F265">
        <v>10082018</v>
      </c>
      <c r="G265">
        <v>1</v>
      </c>
      <c r="H265" t="s">
        <v>48</v>
      </c>
      <c r="I265" t="s">
        <v>42</v>
      </c>
      <c r="K265" t="s">
        <v>43</v>
      </c>
      <c r="M265" t="s">
        <v>65</v>
      </c>
      <c r="N265" t="b">
        <v>0</v>
      </c>
      <c r="P265" t="b">
        <v>0</v>
      </c>
      <c r="Q265" t="b">
        <v>0</v>
      </c>
      <c r="R265" t="b">
        <v>0</v>
      </c>
      <c r="S265" t="b">
        <v>1</v>
      </c>
      <c r="T265" t="b">
        <v>0</v>
      </c>
      <c r="U265" t="s">
        <v>101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1</v>
      </c>
      <c r="AE265" t="s">
        <v>884</v>
      </c>
    </row>
    <row r="266" spans="1:31" x14ac:dyDescent="0.3">
      <c r="A266">
        <v>-73.978648100949997</v>
      </c>
      <c r="B266">
        <v>40.769737281189997</v>
      </c>
      <c r="C266" t="s">
        <v>885</v>
      </c>
      <c r="D266" t="s">
        <v>886</v>
      </c>
      <c r="E266" t="s">
        <v>33</v>
      </c>
      <c r="F266">
        <v>10182018</v>
      </c>
      <c r="G266">
        <v>3</v>
      </c>
      <c r="H266" t="s">
        <v>48</v>
      </c>
      <c r="I266" t="s">
        <v>42</v>
      </c>
      <c r="K266" t="s">
        <v>43</v>
      </c>
      <c r="M266" t="s">
        <v>65</v>
      </c>
      <c r="N266" t="b">
        <v>0</v>
      </c>
      <c r="P266" t="b">
        <v>0</v>
      </c>
      <c r="Q266" t="b">
        <v>0</v>
      </c>
      <c r="R266" t="b">
        <v>0</v>
      </c>
      <c r="S266" t="b">
        <v>1</v>
      </c>
      <c r="T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1</v>
      </c>
      <c r="AB266" t="b">
        <v>0</v>
      </c>
      <c r="AC266" t="b">
        <v>0</v>
      </c>
      <c r="AE266" t="s">
        <v>887</v>
      </c>
    </row>
    <row r="267" spans="1:31" x14ac:dyDescent="0.3">
      <c r="A267">
        <v>-73.975474229509999</v>
      </c>
      <c r="B267">
        <v>40.769699832720001</v>
      </c>
      <c r="C267" t="s">
        <v>888</v>
      </c>
      <c r="D267" t="s">
        <v>245</v>
      </c>
      <c r="E267" t="s">
        <v>33</v>
      </c>
      <c r="F267">
        <v>10122018</v>
      </c>
      <c r="G267">
        <v>2</v>
      </c>
      <c r="H267" t="s">
        <v>48</v>
      </c>
      <c r="I267" t="s">
        <v>53</v>
      </c>
      <c r="J267" t="s">
        <v>115</v>
      </c>
      <c r="K267" t="s">
        <v>116</v>
      </c>
      <c r="M267" t="s">
        <v>65</v>
      </c>
      <c r="N267" t="b">
        <v>0</v>
      </c>
      <c r="P267" t="b">
        <v>0</v>
      </c>
      <c r="Q267" t="b">
        <v>0</v>
      </c>
      <c r="R267" t="b">
        <v>0</v>
      </c>
      <c r="S267" t="b">
        <v>1</v>
      </c>
      <c r="T267" t="b">
        <v>1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1</v>
      </c>
      <c r="AC267" t="b">
        <v>0</v>
      </c>
      <c r="AE267" t="s">
        <v>889</v>
      </c>
    </row>
    <row r="268" spans="1:31" x14ac:dyDescent="0.3">
      <c r="A268">
        <v>-73.968107276769999</v>
      </c>
      <c r="B268">
        <v>40.776861267599998</v>
      </c>
      <c r="C268" t="s">
        <v>890</v>
      </c>
      <c r="D268" t="s">
        <v>232</v>
      </c>
      <c r="E268" t="s">
        <v>38</v>
      </c>
      <c r="F268">
        <v>10072018</v>
      </c>
      <c r="G268">
        <v>9</v>
      </c>
      <c r="H268" t="s">
        <v>48</v>
      </c>
      <c r="I268" t="s">
        <v>53</v>
      </c>
      <c r="J268" t="s">
        <v>59</v>
      </c>
      <c r="K268" t="s">
        <v>60</v>
      </c>
      <c r="M268" t="s">
        <v>44</v>
      </c>
      <c r="N268">
        <v>20</v>
      </c>
      <c r="P268" t="b">
        <v>0</v>
      </c>
      <c r="Q268" t="b">
        <v>0</v>
      </c>
      <c r="R268" t="b">
        <v>1</v>
      </c>
      <c r="S268" t="b">
        <v>0</v>
      </c>
      <c r="T268" t="b">
        <v>1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1</v>
      </c>
      <c r="AE268" t="s">
        <v>891</v>
      </c>
    </row>
    <row r="269" spans="1:31" x14ac:dyDescent="0.3">
      <c r="A269">
        <v>-73.959140036619999</v>
      </c>
      <c r="B269">
        <v>40.789170859930003</v>
      </c>
      <c r="C269" t="s">
        <v>892</v>
      </c>
      <c r="D269" t="s">
        <v>893</v>
      </c>
      <c r="E269" t="s">
        <v>33</v>
      </c>
      <c r="F269">
        <v>10072018</v>
      </c>
      <c r="G269">
        <v>1</v>
      </c>
      <c r="H269" t="s">
        <v>48</v>
      </c>
      <c r="I269" t="s">
        <v>42</v>
      </c>
      <c r="J269" t="s">
        <v>59</v>
      </c>
      <c r="K269" t="s">
        <v>79</v>
      </c>
      <c r="L269" t="s">
        <v>894</v>
      </c>
      <c r="M269" t="s">
        <v>65</v>
      </c>
      <c r="N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1</v>
      </c>
      <c r="AC269" t="b">
        <v>0</v>
      </c>
      <c r="AE269" t="s">
        <v>895</v>
      </c>
    </row>
    <row r="270" spans="1:31" x14ac:dyDescent="0.3">
      <c r="A270">
        <v>-73.976719162969999</v>
      </c>
      <c r="B270">
        <v>40.77307862987</v>
      </c>
      <c r="C270" t="s">
        <v>896</v>
      </c>
      <c r="D270" t="s">
        <v>235</v>
      </c>
      <c r="E270" t="s">
        <v>33</v>
      </c>
      <c r="F270">
        <v>10122018</v>
      </c>
      <c r="G270">
        <v>3</v>
      </c>
      <c r="H270" t="s">
        <v>48</v>
      </c>
      <c r="I270" t="s">
        <v>42</v>
      </c>
      <c r="J270" t="s">
        <v>96</v>
      </c>
      <c r="K270" t="s">
        <v>97</v>
      </c>
      <c r="M270" t="s">
        <v>65</v>
      </c>
      <c r="N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1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1</v>
      </c>
      <c r="AE270" t="s">
        <v>897</v>
      </c>
    </row>
    <row r="271" spans="1:31" x14ac:dyDescent="0.3">
      <c r="A271">
        <v>-73.966126288509997</v>
      </c>
      <c r="B271">
        <v>40.784408555090003</v>
      </c>
      <c r="C271" t="s">
        <v>898</v>
      </c>
      <c r="D271" t="s">
        <v>899</v>
      </c>
      <c r="E271" t="s">
        <v>38</v>
      </c>
      <c r="F271">
        <v>10132018</v>
      </c>
      <c r="G271">
        <v>1</v>
      </c>
      <c r="H271" t="s">
        <v>48</v>
      </c>
      <c r="I271" t="s">
        <v>42</v>
      </c>
      <c r="J271" t="s">
        <v>53</v>
      </c>
      <c r="K271" t="s">
        <v>54</v>
      </c>
      <c r="M271" t="s">
        <v>44</v>
      </c>
      <c r="N271">
        <v>3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1</v>
      </c>
      <c r="AB271" t="b">
        <v>0</v>
      </c>
      <c r="AC271" t="b">
        <v>0</v>
      </c>
      <c r="AD271" t="s">
        <v>900</v>
      </c>
      <c r="AE271" t="s">
        <v>901</v>
      </c>
    </row>
    <row r="272" spans="1:31" x14ac:dyDescent="0.3">
      <c r="A272">
        <v>-73.952195005639993</v>
      </c>
      <c r="B272">
        <v>40.794937340849998</v>
      </c>
      <c r="C272" t="s">
        <v>902</v>
      </c>
      <c r="D272" t="s">
        <v>549</v>
      </c>
      <c r="E272" t="s">
        <v>33</v>
      </c>
      <c r="F272">
        <v>10132018</v>
      </c>
      <c r="G272">
        <v>1</v>
      </c>
      <c r="H272" t="s">
        <v>48</v>
      </c>
      <c r="I272" t="s">
        <v>42</v>
      </c>
      <c r="J272" t="s">
        <v>59</v>
      </c>
      <c r="K272" t="s">
        <v>79</v>
      </c>
      <c r="M272" t="s">
        <v>65</v>
      </c>
      <c r="N272" t="b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1</v>
      </c>
      <c r="AC272" t="b">
        <v>0</v>
      </c>
      <c r="AD272" t="s">
        <v>903</v>
      </c>
      <c r="AE272" t="s">
        <v>904</v>
      </c>
    </row>
    <row r="273" spans="1:31" x14ac:dyDescent="0.3">
      <c r="A273">
        <v>-73.957921858719999</v>
      </c>
      <c r="B273">
        <v>40.796060502880003</v>
      </c>
      <c r="C273" t="s">
        <v>905</v>
      </c>
      <c r="D273" t="s">
        <v>175</v>
      </c>
      <c r="E273" t="s">
        <v>38</v>
      </c>
      <c r="F273">
        <v>10192018</v>
      </c>
      <c r="G273">
        <v>4</v>
      </c>
      <c r="H273" t="s">
        <v>48</v>
      </c>
      <c r="I273" t="s">
        <v>42</v>
      </c>
      <c r="K273" t="s">
        <v>43</v>
      </c>
      <c r="M273" t="s">
        <v>65</v>
      </c>
      <c r="N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1</v>
      </c>
      <c r="V273" t="b">
        <v>1</v>
      </c>
      <c r="W273" t="b">
        <v>1</v>
      </c>
      <c r="X273" t="b">
        <v>0</v>
      </c>
      <c r="Y273" t="b">
        <v>0</v>
      </c>
      <c r="Z273" t="b">
        <v>0</v>
      </c>
      <c r="AA273" t="b">
        <v>0</v>
      </c>
      <c r="AB273" t="b">
        <v>1</v>
      </c>
      <c r="AC273" t="b">
        <v>0</v>
      </c>
      <c r="AE273" t="s">
        <v>906</v>
      </c>
    </row>
    <row r="274" spans="1:31" x14ac:dyDescent="0.3">
      <c r="A274">
        <v>-73.963983288609995</v>
      </c>
      <c r="B274">
        <v>40.79095324371</v>
      </c>
      <c r="C274" t="s">
        <v>907</v>
      </c>
      <c r="D274" t="s">
        <v>908</v>
      </c>
      <c r="E274" t="s">
        <v>33</v>
      </c>
      <c r="F274">
        <v>10192018</v>
      </c>
      <c r="G274">
        <v>8</v>
      </c>
      <c r="H274" t="s">
        <v>48</v>
      </c>
      <c r="I274" t="s">
        <v>42</v>
      </c>
      <c r="J274" t="s">
        <v>96</v>
      </c>
      <c r="K274" t="s">
        <v>97</v>
      </c>
      <c r="M274" t="s">
        <v>65</v>
      </c>
      <c r="N274" t="b">
        <v>0</v>
      </c>
      <c r="P274" t="b">
        <v>0</v>
      </c>
      <c r="Q274" t="b">
        <v>0</v>
      </c>
      <c r="R274" t="b">
        <v>1</v>
      </c>
      <c r="S274" t="b">
        <v>1</v>
      </c>
      <c r="T274" t="b">
        <v>1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1</v>
      </c>
      <c r="AE274" t="s">
        <v>909</v>
      </c>
    </row>
    <row r="275" spans="1:31" x14ac:dyDescent="0.3">
      <c r="A275">
        <v>-73.974467903719997</v>
      </c>
      <c r="B275">
        <v>40.768652035290003</v>
      </c>
      <c r="C275" t="s">
        <v>910</v>
      </c>
      <c r="D275" t="s">
        <v>911</v>
      </c>
      <c r="E275" t="s">
        <v>33</v>
      </c>
      <c r="F275">
        <v>10132018</v>
      </c>
      <c r="G275">
        <v>4</v>
      </c>
      <c r="H275" t="s">
        <v>48</v>
      </c>
      <c r="I275" t="s">
        <v>42</v>
      </c>
      <c r="J275" t="s">
        <v>53</v>
      </c>
      <c r="K275" t="s">
        <v>54</v>
      </c>
      <c r="M275" t="s">
        <v>65</v>
      </c>
      <c r="N275" t="b">
        <v>0</v>
      </c>
      <c r="P275" t="b">
        <v>0</v>
      </c>
      <c r="Q275" t="b">
        <v>0</v>
      </c>
      <c r="R275" t="b">
        <v>0</v>
      </c>
      <c r="S275" t="b">
        <v>1</v>
      </c>
      <c r="T275" t="b">
        <v>1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1</v>
      </c>
      <c r="AC275" t="b">
        <v>0</v>
      </c>
      <c r="AE275" t="s">
        <v>912</v>
      </c>
    </row>
    <row r="276" spans="1:31" x14ac:dyDescent="0.3">
      <c r="A276">
        <v>-73.97585796669</v>
      </c>
      <c r="B276">
        <v>40.767932654879999</v>
      </c>
      <c r="C276" t="s">
        <v>913</v>
      </c>
      <c r="D276" t="s">
        <v>215</v>
      </c>
      <c r="E276" t="s">
        <v>33</v>
      </c>
      <c r="F276">
        <v>10082018</v>
      </c>
      <c r="G276">
        <v>5</v>
      </c>
      <c r="H276" t="s">
        <v>48</v>
      </c>
      <c r="I276" t="s">
        <v>42</v>
      </c>
      <c r="K276" t="s">
        <v>43</v>
      </c>
      <c r="M276" t="s">
        <v>65</v>
      </c>
      <c r="N276" t="b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s">
        <v>914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1</v>
      </c>
      <c r="AC276" t="b">
        <v>0</v>
      </c>
      <c r="AE276" t="s">
        <v>915</v>
      </c>
    </row>
    <row r="277" spans="1:31" x14ac:dyDescent="0.3">
      <c r="A277">
        <v>-73.961907022969996</v>
      </c>
      <c r="B277">
        <v>40.795255669249997</v>
      </c>
      <c r="C277" t="s">
        <v>916</v>
      </c>
      <c r="D277" t="s">
        <v>286</v>
      </c>
      <c r="E277" t="s">
        <v>38</v>
      </c>
      <c r="F277">
        <v>10142018</v>
      </c>
      <c r="G277">
        <v>5</v>
      </c>
      <c r="H277" t="s">
        <v>105</v>
      </c>
      <c r="I277" t="s">
        <v>42</v>
      </c>
      <c r="J277" t="s">
        <v>59</v>
      </c>
      <c r="K277" t="s">
        <v>79</v>
      </c>
      <c r="M277" t="s">
        <v>65</v>
      </c>
      <c r="N277" t="b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1</v>
      </c>
      <c r="AE277" t="s">
        <v>917</v>
      </c>
    </row>
    <row r="278" spans="1:31" x14ac:dyDescent="0.3">
      <c r="A278">
        <v>-73.97877969212</v>
      </c>
      <c r="B278">
        <v>40.770752653540001</v>
      </c>
      <c r="C278" t="s">
        <v>918</v>
      </c>
      <c r="D278" t="s">
        <v>327</v>
      </c>
      <c r="E278" t="s">
        <v>33</v>
      </c>
      <c r="F278">
        <v>10102018</v>
      </c>
      <c r="G278">
        <v>1</v>
      </c>
      <c r="H278" t="s">
        <v>48</v>
      </c>
      <c r="I278" t="s">
        <v>42</v>
      </c>
      <c r="J278" t="s">
        <v>59</v>
      </c>
      <c r="K278" t="s">
        <v>79</v>
      </c>
      <c r="M278" t="s">
        <v>65</v>
      </c>
      <c r="N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1</v>
      </c>
      <c r="V278" t="b">
        <v>0</v>
      </c>
      <c r="W278" t="b">
        <v>0</v>
      </c>
      <c r="X278" t="b">
        <v>0</v>
      </c>
      <c r="Y278" t="b">
        <v>0</v>
      </c>
      <c r="Z278" t="b">
        <v>1</v>
      </c>
      <c r="AA278" t="b">
        <v>0</v>
      </c>
      <c r="AB278" t="b">
        <v>0</v>
      </c>
      <c r="AC278" t="b">
        <v>0</v>
      </c>
      <c r="AE278" t="s">
        <v>919</v>
      </c>
    </row>
    <row r="279" spans="1:31" x14ac:dyDescent="0.3">
      <c r="A279">
        <v>-73.955008205650003</v>
      </c>
      <c r="B279">
        <v>40.789452154339997</v>
      </c>
      <c r="C279" t="s">
        <v>920</v>
      </c>
      <c r="D279" t="s">
        <v>921</v>
      </c>
      <c r="E279" t="s">
        <v>38</v>
      </c>
      <c r="F279">
        <v>10082018</v>
      </c>
      <c r="G279">
        <v>3</v>
      </c>
      <c r="H279" t="s">
        <v>48</v>
      </c>
      <c r="I279" t="s">
        <v>42</v>
      </c>
      <c r="K279" t="s">
        <v>43</v>
      </c>
      <c r="M279" t="s">
        <v>44</v>
      </c>
      <c r="N279">
        <v>2</v>
      </c>
      <c r="O279" t="s">
        <v>922</v>
      </c>
      <c r="P279" t="b">
        <v>0</v>
      </c>
      <c r="Q279" t="b">
        <v>0</v>
      </c>
      <c r="R279" t="b">
        <v>1</v>
      </c>
      <c r="S279" t="b">
        <v>0</v>
      </c>
      <c r="T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1</v>
      </c>
      <c r="AC279" t="b">
        <v>0</v>
      </c>
      <c r="AE279" t="s">
        <v>923</v>
      </c>
    </row>
    <row r="280" spans="1:31" x14ac:dyDescent="0.3">
      <c r="A280">
        <v>-73.958740127430005</v>
      </c>
      <c r="B280">
        <v>40.796032222290002</v>
      </c>
      <c r="C280" t="s">
        <v>924</v>
      </c>
      <c r="D280" t="s">
        <v>925</v>
      </c>
      <c r="E280" t="s">
        <v>33</v>
      </c>
      <c r="F280">
        <v>10132018</v>
      </c>
      <c r="G280">
        <v>3</v>
      </c>
      <c r="H280" t="s">
        <v>48</v>
      </c>
      <c r="I280" t="s">
        <v>42</v>
      </c>
      <c r="J280" t="s">
        <v>59</v>
      </c>
      <c r="K280" t="s">
        <v>79</v>
      </c>
      <c r="P280" t="b">
        <v>0</v>
      </c>
      <c r="Q280" t="b">
        <v>0</v>
      </c>
      <c r="R280" t="b">
        <v>0</v>
      </c>
      <c r="S280" t="b">
        <v>0</v>
      </c>
      <c r="T280" t="b">
        <v>1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1</v>
      </c>
      <c r="AC280" t="b">
        <v>0</v>
      </c>
      <c r="AE280" t="s">
        <v>926</v>
      </c>
    </row>
    <row r="281" spans="1:31" x14ac:dyDescent="0.3">
      <c r="A281">
        <v>-73.961941191790004</v>
      </c>
      <c r="B281">
        <v>40.792353664030003</v>
      </c>
      <c r="C281" t="s">
        <v>927</v>
      </c>
      <c r="D281" t="s">
        <v>928</v>
      </c>
      <c r="E281" t="s">
        <v>33</v>
      </c>
      <c r="F281">
        <v>10102018</v>
      </c>
      <c r="G281">
        <v>11</v>
      </c>
      <c r="H281" t="s">
        <v>48</v>
      </c>
      <c r="I281" t="s">
        <v>42</v>
      </c>
      <c r="K281" t="s">
        <v>43</v>
      </c>
      <c r="M281" t="s">
        <v>44</v>
      </c>
      <c r="N281">
        <v>10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E281" t="s">
        <v>929</v>
      </c>
    </row>
    <row r="282" spans="1:31" x14ac:dyDescent="0.3">
      <c r="A282">
        <v>-73.970157589110002</v>
      </c>
      <c r="B282">
        <v>40.773097328239999</v>
      </c>
      <c r="C282" t="s">
        <v>930</v>
      </c>
      <c r="D282" t="s">
        <v>600</v>
      </c>
      <c r="E282" t="s">
        <v>33</v>
      </c>
      <c r="F282">
        <v>10172018</v>
      </c>
      <c r="G282">
        <v>6</v>
      </c>
      <c r="H282" t="s">
        <v>48</v>
      </c>
      <c r="I282" t="s">
        <v>42</v>
      </c>
      <c r="J282" t="s">
        <v>53</v>
      </c>
      <c r="K282" t="s">
        <v>54</v>
      </c>
      <c r="M282" t="s">
        <v>65</v>
      </c>
      <c r="N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1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1</v>
      </c>
      <c r="AC282" t="b">
        <v>0</v>
      </c>
      <c r="AE282" t="s">
        <v>931</v>
      </c>
    </row>
    <row r="283" spans="1:31" x14ac:dyDescent="0.3">
      <c r="A283">
        <v>-73.952906066919994</v>
      </c>
      <c r="B283">
        <v>40.792790973540001</v>
      </c>
      <c r="C283" t="s">
        <v>932</v>
      </c>
      <c r="D283" t="s">
        <v>933</v>
      </c>
      <c r="E283" t="s">
        <v>38</v>
      </c>
      <c r="F283">
        <v>10102018</v>
      </c>
      <c r="G283">
        <v>1</v>
      </c>
      <c r="H283" t="s">
        <v>48</v>
      </c>
      <c r="I283" t="s">
        <v>42</v>
      </c>
      <c r="K283" t="s">
        <v>43</v>
      </c>
      <c r="M283" t="s">
        <v>65</v>
      </c>
      <c r="N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1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1</v>
      </c>
      <c r="AE283" t="s">
        <v>934</v>
      </c>
    </row>
    <row r="284" spans="1:31" x14ac:dyDescent="0.3">
      <c r="A284">
        <v>-73.954733666609997</v>
      </c>
      <c r="B284">
        <v>40.793893775630004</v>
      </c>
      <c r="C284" t="s">
        <v>935</v>
      </c>
      <c r="D284" t="s">
        <v>936</v>
      </c>
      <c r="E284" t="s">
        <v>33</v>
      </c>
      <c r="F284">
        <v>10072018</v>
      </c>
      <c r="G284">
        <v>7</v>
      </c>
      <c r="H284" t="s">
        <v>48</v>
      </c>
      <c r="I284" t="s">
        <v>42</v>
      </c>
      <c r="J284" t="s">
        <v>53</v>
      </c>
      <c r="K284" t="s">
        <v>54</v>
      </c>
      <c r="M284" t="s">
        <v>44</v>
      </c>
      <c r="N284">
        <v>5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1</v>
      </c>
      <c r="AE284" t="s">
        <v>937</v>
      </c>
    </row>
    <row r="285" spans="1:31" x14ac:dyDescent="0.3">
      <c r="A285">
        <v>-73.969143335669997</v>
      </c>
      <c r="B285">
        <v>40.773170833320002</v>
      </c>
      <c r="C285" t="s">
        <v>938</v>
      </c>
      <c r="D285" t="s">
        <v>486</v>
      </c>
      <c r="E285" t="s">
        <v>38</v>
      </c>
      <c r="F285">
        <v>10122018</v>
      </c>
      <c r="G285">
        <v>1</v>
      </c>
      <c r="H285" t="s">
        <v>48</v>
      </c>
      <c r="I285" t="s">
        <v>42</v>
      </c>
      <c r="J285" t="s">
        <v>53</v>
      </c>
      <c r="K285" t="s">
        <v>54</v>
      </c>
      <c r="M285" t="s">
        <v>65</v>
      </c>
      <c r="N285" t="b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1</v>
      </c>
      <c r="AC285" t="b">
        <v>0</v>
      </c>
      <c r="AE285" t="s">
        <v>939</v>
      </c>
    </row>
    <row r="286" spans="1:31" x14ac:dyDescent="0.3">
      <c r="A286">
        <v>-73.972090738459997</v>
      </c>
      <c r="B286">
        <v>40.776298783610002</v>
      </c>
      <c r="C286" t="s">
        <v>940</v>
      </c>
      <c r="D286" t="s">
        <v>604</v>
      </c>
      <c r="E286" t="s">
        <v>33</v>
      </c>
      <c r="F286">
        <v>10192018</v>
      </c>
      <c r="G286">
        <v>1</v>
      </c>
      <c r="H286" t="s">
        <v>48</v>
      </c>
      <c r="I286" t="s">
        <v>42</v>
      </c>
      <c r="K286" t="s">
        <v>43</v>
      </c>
      <c r="M286" t="s">
        <v>44</v>
      </c>
      <c r="N286">
        <v>7</v>
      </c>
      <c r="P286" t="b">
        <v>0</v>
      </c>
      <c r="Q286" t="b">
        <v>0</v>
      </c>
      <c r="R286" t="b">
        <v>1</v>
      </c>
      <c r="S286" t="b">
        <v>0</v>
      </c>
      <c r="T286" t="b">
        <v>0</v>
      </c>
      <c r="V286" t="b">
        <v>1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1</v>
      </c>
      <c r="AC286" t="b">
        <v>0</v>
      </c>
      <c r="AE286" t="s">
        <v>941</v>
      </c>
    </row>
    <row r="287" spans="1:31" x14ac:dyDescent="0.3">
      <c r="A287">
        <v>-73.97092814714</v>
      </c>
      <c r="B287">
        <v>40.78280979398</v>
      </c>
      <c r="C287" t="s">
        <v>942</v>
      </c>
      <c r="D287" t="s">
        <v>943</v>
      </c>
      <c r="E287" t="s">
        <v>38</v>
      </c>
      <c r="F287">
        <v>10102018</v>
      </c>
      <c r="G287">
        <v>2</v>
      </c>
      <c r="H287" t="s">
        <v>48</v>
      </c>
      <c r="I287" t="s">
        <v>42</v>
      </c>
      <c r="J287" t="s">
        <v>53</v>
      </c>
      <c r="K287" t="s">
        <v>54</v>
      </c>
      <c r="M287" t="s">
        <v>65</v>
      </c>
      <c r="N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1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1</v>
      </c>
      <c r="AC287" t="b">
        <v>0</v>
      </c>
      <c r="AE287" t="s">
        <v>944</v>
      </c>
    </row>
    <row r="288" spans="1:31" x14ac:dyDescent="0.3">
      <c r="A288">
        <v>-73.973111326519998</v>
      </c>
      <c r="B288">
        <v>40.778664067640001</v>
      </c>
      <c r="C288" t="s">
        <v>945</v>
      </c>
      <c r="D288" t="s">
        <v>946</v>
      </c>
      <c r="E288" t="s">
        <v>33</v>
      </c>
      <c r="F288">
        <v>10172018</v>
      </c>
      <c r="G288">
        <v>1</v>
      </c>
      <c r="H288" t="s">
        <v>48</v>
      </c>
      <c r="I288" t="s">
        <v>42</v>
      </c>
      <c r="J288" t="s">
        <v>96</v>
      </c>
      <c r="K288" t="s">
        <v>97</v>
      </c>
      <c r="M288" t="s">
        <v>44</v>
      </c>
      <c r="N288">
        <v>10</v>
      </c>
      <c r="P288" t="b">
        <v>0</v>
      </c>
      <c r="Q288" t="b">
        <v>0</v>
      </c>
      <c r="R288" t="b">
        <v>1</v>
      </c>
      <c r="S288" t="b">
        <v>1</v>
      </c>
      <c r="T288" t="b">
        <v>0</v>
      </c>
      <c r="U288" t="s">
        <v>947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1</v>
      </c>
      <c r="AC288" t="b">
        <v>0</v>
      </c>
      <c r="AE288" t="s">
        <v>948</v>
      </c>
    </row>
    <row r="289" spans="1:31" x14ac:dyDescent="0.3">
      <c r="A289">
        <v>-73.968425419690007</v>
      </c>
      <c r="B289">
        <v>40.778090164360002</v>
      </c>
      <c r="C289" t="s">
        <v>949</v>
      </c>
      <c r="D289" t="s">
        <v>256</v>
      </c>
      <c r="E289" t="s">
        <v>38</v>
      </c>
      <c r="F289">
        <v>10142018</v>
      </c>
      <c r="G289">
        <v>2</v>
      </c>
      <c r="H289" t="s">
        <v>48</v>
      </c>
      <c r="I289" t="s">
        <v>42</v>
      </c>
      <c r="J289" t="s">
        <v>53</v>
      </c>
      <c r="K289" t="s">
        <v>54</v>
      </c>
      <c r="M289" t="s">
        <v>65</v>
      </c>
      <c r="N289" t="b">
        <v>0</v>
      </c>
      <c r="P289" t="b">
        <v>0</v>
      </c>
      <c r="Q289" t="b">
        <v>0</v>
      </c>
      <c r="R289" t="b">
        <v>0</v>
      </c>
      <c r="S289" t="b">
        <v>1</v>
      </c>
      <c r="T289" t="b">
        <v>1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1</v>
      </c>
      <c r="AB289" t="b">
        <v>0</v>
      </c>
      <c r="AC289" t="b">
        <v>0</v>
      </c>
      <c r="AE289" t="s">
        <v>950</v>
      </c>
    </row>
    <row r="290" spans="1:31" x14ac:dyDescent="0.3">
      <c r="A290">
        <v>-73.956067986440004</v>
      </c>
      <c r="B290">
        <v>40.794788706230001</v>
      </c>
      <c r="C290" t="s">
        <v>951</v>
      </c>
      <c r="D290" t="s">
        <v>394</v>
      </c>
      <c r="E290" t="s">
        <v>33</v>
      </c>
      <c r="F290">
        <v>10062018</v>
      </c>
      <c r="G290">
        <v>6</v>
      </c>
      <c r="H290" t="s">
        <v>48</v>
      </c>
      <c r="I290" t="s">
        <v>53</v>
      </c>
      <c r="J290" t="s">
        <v>42</v>
      </c>
      <c r="K290" t="s">
        <v>89</v>
      </c>
      <c r="M290" t="s">
        <v>65</v>
      </c>
      <c r="N290" t="b">
        <v>0</v>
      </c>
      <c r="P290" t="b">
        <v>0</v>
      </c>
      <c r="Q290" t="b">
        <v>0</v>
      </c>
      <c r="R290" t="b">
        <v>0</v>
      </c>
      <c r="S290" t="b">
        <v>1</v>
      </c>
      <c r="T290" t="b">
        <v>1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1</v>
      </c>
      <c r="AC290" t="b">
        <v>0</v>
      </c>
      <c r="AE290" t="s">
        <v>952</v>
      </c>
    </row>
    <row r="291" spans="1:31" x14ac:dyDescent="0.3">
      <c r="A291">
        <v>-73.967966130839997</v>
      </c>
      <c r="B291">
        <v>40.783738839069997</v>
      </c>
      <c r="C291" t="s">
        <v>953</v>
      </c>
      <c r="D291" t="s">
        <v>689</v>
      </c>
      <c r="E291" t="s">
        <v>38</v>
      </c>
      <c r="F291">
        <v>10132018</v>
      </c>
      <c r="G291">
        <v>1</v>
      </c>
      <c r="H291" t="s">
        <v>48</v>
      </c>
      <c r="I291" t="s">
        <v>42</v>
      </c>
      <c r="J291" t="s">
        <v>53</v>
      </c>
      <c r="K291" t="s">
        <v>54</v>
      </c>
      <c r="M291" t="s">
        <v>44</v>
      </c>
      <c r="N291">
        <v>10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s">
        <v>954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E291" t="s">
        <v>955</v>
      </c>
    </row>
    <row r="292" spans="1:31" x14ac:dyDescent="0.3">
      <c r="A292">
        <v>-73.967406952459996</v>
      </c>
      <c r="B292">
        <v>40.777252966239999</v>
      </c>
      <c r="C292" t="s">
        <v>956</v>
      </c>
      <c r="D292" t="s">
        <v>957</v>
      </c>
      <c r="E292" t="s">
        <v>33</v>
      </c>
      <c r="F292">
        <v>10132018</v>
      </c>
      <c r="G292">
        <v>2</v>
      </c>
      <c r="H292" t="s">
        <v>48</v>
      </c>
      <c r="I292" t="s">
        <v>42</v>
      </c>
      <c r="J292" t="s">
        <v>53</v>
      </c>
      <c r="K292" t="s">
        <v>54</v>
      </c>
      <c r="M292" t="s">
        <v>65</v>
      </c>
      <c r="N292" t="b">
        <v>0</v>
      </c>
      <c r="O292" t="s">
        <v>958</v>
      </c>
      <c r="P292" t="b">
        <v>0</v>
      </c>
      <c r="Q292" t="b">
        <v>0</v>
      </c>
      <c r="R292" t="b">
        <v>0</v>
      </c>
      <c r="S292" t="b">
        <v>0</v>
      </c>
      <c r="T292" t="b">
        <v>1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1</v>
      </c>
      <c r="AE292" t="s">
        <v>959</v>
      </c>
    </row>
    <row r="293" spans="1:31" x14ac:dyDescent="0.3">
      <c r="A293">
        <v>-73.969617367780003</v>
      </c>
      <c r="B293">
        <v>40.770520279049997</v>
      </c>
      <c r="C293" t="s">
        <v>960</v>
      </c>
      <c r="D293" t="s">
        <v>183</v>
      </c>
      <c r="E293" t="s">
        <v>38</v>
      </c>
      <c r="F293">
        <v>10172018</v>
      </c>
      <c r="G293">
        <v>4</v>
      </c>
      <c r="H293" t="s">
        <v>48</v>
      </c>
      <c r="I293" t="s">
        <v>42</v>
      </c>
      <c r="J293" t="s">
        <v>53</v>
      </c>
      <c r="K293" t="s">
        <v>54</v>
      </c>
      <c r="M293" t="s">
        <v>65</v>
      </c>
      <c r="N293" t="b">
        <v>0</v>
      </c>
      <c r="P293" t="b">
        <v>0</v>
      </c>
      <c r="Q293" t="b">
        <v>0</v>
      </c>
      <c r="R293" t="b">
        <v>0</v>
      </c>
      <c r="S293" t="b">
        <v>1</v>
      </c>
      <c r="T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1</v>
      </c>
      <c r="AC293" t="b">
        <v>0</v>
      </c>
      <c r="AE293" t="s">
        <v>961</v>
      </c>
    </row>
    <row r="294" spans="1:31" x14ac:dyDescent="0.3">
      <c r="A294">
        <v>-73.975657357909995</v>
      </c>
      <c r="B294">
        <v>40.765664406299997</v>
      </c>
      <c r="C294" t="s">
        <v>962</v>
      </c>
      <c r="D294" t="s">
        <v>963</v>
      </c>
      <c r="E294" t="s">
        <v>33</v>
      </c>
      <c r="F294">
        <v>10102018</v>
      </c>
      <c r="G294">
        <v>1</v>
      </c>
      <c r="H294" t="s">
        <v>48</v>
      </c>
      <c r="I294" t="s">
        <v>42</v>
      </c>
      <c r="J294" t="s">
        <v>59</v>
      </c>
      <c r="K294" t="s">
        <v>79</v>
      </c>
      <c r="M294" t="s">
        <v>44</v>
      </c>
      <c r="N294">
        <v>15</v>
      </c>
      <c r="P294" t="b">
        <v>0</v>
      </c>
      <c r="Q294" t="b">
        <v>0</v>
      </c>
      <c r="R294" t="b">
        <v>1</v>
      </c>
      <c r="S294" t="b">
        <v>1</v>
      </c>
      <c r="T294" t="b">
        <v>0</v>
      </c>
      <c r="V294" t="b">
        <v>0</v>
      </c>
      <c r="W294" t="b">
        <v>0</v>
      </c>
      <c r="X294" t="b">
        <v>0</v>
      </c>
      <c r="Y294" t="b">
        <v>1</v>
      </c>
      <c r="Z294" t="b">
        <v>0</v>
      </c>
      <c r="AA294" t="b">
        <v>0</v>
      </c>
      <c r="AB294" t="b">
        <v>1</v>
      </c>
      <c r="AC294" t="b">
        <v>0</v>
      </c>
      <c r="AD294" t="s">
        <v>964</v>
      </c>
      <c r="AE294" t="s">
        <v>965</v>
      </c>
    </row>
    <row r="295" spans="1:31" x14ac:dyDescent="0.3">
      <c r="A295">
        <v>-73.970069162960002</v>
      </c>
      <c r="B295">
        <v>40.782889364520003</v>
      </c>
      <c r="C295" t="s">
        <v>966</v>
      </c>
      <c r="D295" t="s">
        <v>943</v>
      </c>
      <c r="E295" t="s">
        <v>33</v>
      </c>
      <c r="F295">
        <v>10172018</v>
      </c>
      <c r="G295">
        <v>1</v>
      </c>
      <c r="H295" t="s">
        <v>48</v>
      </c>
      <c r="I295" t="s">
        <v>42</v>
      </c>
      <c r="J295" t="s">
        <v>53</v>
      </c>
      <c r="K295" t="s">
        <v>54</v>
      </c>
      <c r="M295" t="s">
        <v>65</v>
      </c>
      <c r="N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1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1</v>
      </c>
      <c r="AC295" t="b">
        <v>0</v>
      </c>
      <c r="AE295" t="s">
        <v>967</v>
      </c>
    </row>
    <row r="296" spans="1:31" x14ac:dyDescent="0.3">
      <c r="A296">
        <v>-73.959696464169994</v>
      </c>
      <c r="B296">
        <v>40.795775359159997</v>
      </c>
      <c r="C296" t="s">
        <v>968</v>
      </c>
      <c r="D296" t="s">
        <v>969</v>
      </c>
      <c r="E296" t="s">
        <v>38</v>
      </c>
      <c r="F296">
        <v>10182018</v>
      </c>
      <c r="G296">
        <v>3</v>
      </c>
      <c r="H296" t="s">
        <v>48</v>
      </c>
      <c r="I296" t="s">
        <v>42</v>
      </c>
      <c r="K296" t="s">
        <v>43</v>
      </c>
      <c r="M296" t="s">
        <v>65</v>
      </c>
      <c r="N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1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E296" t="s">
        <v>970</v>
      </c>
    </row>
    <row r="297" spans="1:31" x14ac:dyDescent="0.3">
      <c r="A297">
        <v>-73.968560401369999</v>
      </c>
      <c r="B297">
        <v>40.777343990909998</v>
      </c>
      <c r="C297" t="s">
        <v>971</v>
      </c>
      <c r="D297" t="s">
        <v>232</v>
      </c>
      <c r="E297" t="s">
        <v>33</v>
      </c>
      <c r="F297">
        <v>10102018</v>
      </c>
      <c r="G297">
        <v>3</v>
      </c>
      <c r="H297" t="s">
        <v>48</v>
      </c>
      <c r="I297" t="s">
        <v>42</v>
      </c>
      <c r="K297" t="s">
        <v>43</v>
      </c>
      <c r="M297" t="s">
        <v>65</v>
      </c>
      <c r="N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1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1</v>
      </c>
      <c r="AC297" t="b">
        <v>0</v>
      </c>
      <c r="AE297" t="s">
        <v>972</v>
      </c>
    </row>
    <row r="298" spans="1:31" x14ac:dyDescent="0.3">
      <c r="A298">
        <v>-73.957342596190003</v>
      </c>
      <c r="B298">
        <v>40.79443596542</v>
      </c>
      <c r="C298" t="s">
        <v>973</v>
      </c>
      <c r="D298" t="s">
        <v>394</v>
      </c>
      <c r="E298" t="s">
        <v>33</v>
      </c>
      <c r="F298">
        <v>10062018</v>
      </c>
      <c r="G298">
        <v>9</v>
      </c>
      <c r="H298" t="s">
        <v>48</v>
      </c>
      <c r="I298" t="s">
        <v>53</v>
      </c>
      <c r="J298" t="s">
        <v>42</v>
      </c>
      <c r="K298" t="s">
        <v>89</v>
      </c>
      <c r="M298" t="s">
        <v>65</v>
      </c>
      <c r="N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s">
        <v>974</v>
      </c>
      <c r="V298" t="b">
        <v>0</v>
      </c>
      <c r="W298" t="b">
        <v>0</v>
      </c>
      <c r="X298" t="b">
        <v>0</v>
      </c>
      <c r="Y298" t="b">
        <v>0</v>
      </c>
      <c r="Z298" t="b">
        <v>1</v>
      </c>
      <c r="AA298" t="b">
        <v>1</v>
      </c>
      <c r="AB298" t="b">
        <v>0</v>
      </c>
      <c r="AC298" t="b">
        <v>0</v>
      </c>
      <c r="AE298" t="s">
        <v>975</v>
      </c>
    </row>
    <row r="299" spans="1:31" x14ac:dyDescent="0.3">
      <c r="A299">
        <v>-73.958621408170004</v>
      </c>
      <c r="B299">
        <v>40.793747396870003</v>
      </c>
      <c r="C299" t="s">
        <v>976</v>
      </c>
      <c r="D299" t="s">
        <v>505</v>
      </c>
      <c r="E299" t="s">
        <v>33</v>
      </c>
      <c r="F299">
        <v>10132018</v>
      </c>
      <c r="G299">
        <v>3</v>
      </c>
      <c r="H299" t="s">
        <v>105</v>
      </c>
      <c r="I299" t="s">
        <v>42</v>
      </c>
      <c r="J299" t="s">
        <v>59</v>
      </c>
      <c r="K299" t="s">
        <v>79</v>
      </c>
      <c r="L299" t="s">
        <v>977</v>
      </c>
      <c r="M299" t="s">
        <v>44</v>
      </c>
      <c r="N299">
        <v>2</v>
      </c>
      <c r="O299" t="s">
        <v>978</v>
      </c>
      <c r="P299" t="b">
        <v>0</v>
      </c>
      <c r="Q299" t="b">
        <v>0</v>
      </c>
      <c r="R299" t="b">
        <v>0</v>
      </c>
      <c r="S299" t="b">
        <v>1</v>
      </c>
      <c r="T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1</v>
      </c>
      <c r="AC299" t="b">
        <v>0</v>
      </c>
      <c r="AE299" t="s">
        <v>979</v>
      </c>
    </row>
    <row r="300" spans="1:31" x14ac:dyDescent="0.3">
      <c r="A300">
        <v>-73.952814977979997</v>
      </c>
      <c r="B300">
        <v>40.792498481060001</v>
      </c>
      <c r="C300" t="s">
        <v>980</v>
      </c>
      <c r="D300" t="s">
        <v>85</v>
      </c>
      <c r="E300" t="s">
        <v>38</v>
      </c>
      <c r="F300">
        <v>10172018</v>
      </c>
      <c r="G300">
        <v>6</v>
      </c>
      <c r="H300" t="s">
        <v>48</v>
      </c>
      <c r="I300" t="s">
        <v>42</v>
      </c>
      <c r="J300" t="s">
        <v>176</v>
      </c>
      <c r="K300" t="s">
        <v>339</v>
      </c>
      <c r="L300" t="s">
        <v>981</v>
      </c>
      <c r="M300" t="s">
        <v>44</v>
      </c>
      <c r="N300">
        <v>10</v>
      </c>
      <c r="O300" t="s">
        <v>982</v>
      </c>
      <c r="P300" t="b">
        <v>1</v>
      </c>
      <c r="Q300" t="b">
        <v>0</v>
      </c>
      <c r="R300" t="b">
        <v>1</v>
      </c>
      <c r="S300" t="b">
        <v>0</v>
      </c>
      <c r="T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1</v>
      </c>
      <c r="AC300" t="b">
        <v>0</v>
      </c>
      <c r="AE300" t="s">
        <v>983</v>
      </c>
    </row>
    <row r="301" spans="1:31" x14ac:dyDescent="0.3">
      <c r="A301">
        <v>-73.971742549430004</v>
      </c>
      <c r="B301">
        <v>40.766422767670001</v>
      </c>
      <c r="C301" t="s">
        <v>984</v>
      </c>
      <c r="D301" t="s">
        <v>985</v>
      </c>
      <c r="E301" t="s">
        <v>33</v>
      </c>
      <c r="F301">
        <v>10132018</v>
      </c>
      <c r="G301">
        <v>7</v>
      </c>
      <c r="H301" t="s">
        <v>48</v>
      </c>
      <c r="I301" t="s">
        <v>42</v>
      </c>
      <c r="J301" t="s">
        <v>176</v>
      </c>
      <c r="K301" t="s">
        <v>339</v>
      </c>
      <c r="M301" t="s">
        <v>65</v>
      </c>
      <c r="N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1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1</v>
      </c>
      <c r="AC301" t="b">
        <v>0</v>
      </c>
      <c r="AE301" t="s">
        <v>986</v>
      </c>
    </row>
    <row r="302" spans="1:31" x14ac:dyDescent="0.3">
      <c r="A302">
        <v>-73.969517641769997</v>
      </c>
      <c r="B302">
        <v>40.774172518999997</v>
      </c>
      <c r="C302" t="s">
        <v>987</v>
      </c>
      <c r="D302" t="s">
        <v>988</v>
      </c>
      <c r="E302" t="s">
        <v>33</v>
      </c>
      <c r="F302">
        <v>10072018</v>
      </c>
      <c r="G302">
        <v>4</v>
      </c>
      <c r="I302" t="s">
        <v>42</v>
      </c>
      <c r="J302" t="s">
        <v>53</v>
      </c>
      <c r="K302" t="s">
        <v>54</v>
      </c>
      <c r="M302" t="s">
        <v>65</v>
      </c>
      <c r="N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1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1</v>
      </c>
      <c r="AE302" t="s">
        <v>989</v>
      </c>
    </row>
    <row r="303" spans="1:31" x14ac:dyDescent="0.3">
      <c r="A303">
        <v>-73.97623482246</v>
      </c>
      <c r="B303">
        <v>40.769452231530003</v>
      </c>
      <c r="C303" t="s">
        <v>990</v>
      </c>
      <c r="D303" t="s">
        <v>534</v>
      </c>
      <c r="E303" t="s">
        <v>33</v>
      </c>
      <c r="F303">
        <v>10082018</v>
      </c>
      <c r="G303">
        <v>8</v>
      </c>
      <c r="H303" t="s">
        <v>48</v>
      </c>
      <c r="I303" t="s">
        <v>53</v>
      </c>
      <c r="J303" t="s">
        <v>115</v>
      </c>
      <c r="K303" t="s">
        <v>116</v>
      </c>
      <c r="M303" t="s">
        <v>65</v>
      </c>
      <c r="N303" t="b">
        <v>0</v>
      </c>
      <c r="P303" t="b">
        <v>0</v>
      </c>
      <c r="Q303" t="b">
        <v>0</v>
      </c>
      <c r="R303" t="b">
        <v>1</v>
      </c>
      <c r="S303" t="b">
        <v>1</v>
      </c>
      <c r="T303" t="b">
        <v>1</v>
      </c>
      <c r="U303" t="s">
        <v>991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1</v>
      </c>
      <c r="AE303" t="s">
        <v>992</v>
      </c>
    </row>
    <row r="304" spans="1:31" x14ac:dyDescent="0.3">
      <c r="A304">
        <v>-73.952300183440002</v>
      </c>
      <c r="B304">
        <v>40.79492310002</v>
      </c>
      <c r="C304" t="s">
        <v>993</v>
      </c>
      <c r="D304" t="s">
        <v>549</v>
      </c>
      <c r="E304" t="s">
        <v>38</v>
      </c>
      <c r="F304">
        <v>10072018</v>
      </c>
      <c r="G304">
        <v>2</v>
      </c>
      <c r="H304" t="s">
        <v>48</v>
      </c>
      <c r="I304" t="s">
        <v>42</v>
      </c>
      <c r="J304" t="s">
        <v>53</v>
      </c>
      <c r="K304" t="s">
        <v>54</v>
      </c>
      <c r="M304" t="s">
        <v>65</v>
      </c>
      <c r="N304" t="b">
        <v>0</v>
      </c>
      <c r="P304" t="b">
        <v>0</v>
      </c>
      <c r="Q304" t="b">
        <v>0</v>
      </c>
      <c r="R304" t="b">
        <v>0</v>
      </c>
      <c r="S304" t="b">
        <v>1</v>
      </c>
      <c r="T304" t="b">
        <v>1</v>
      </c>
      <c r="V304" t="b">
        <v>0</v>
      </c>
      <c r="W304" t="b">
        <v>0</v>
      </c>
      <c r="X304" t="b">
        <v>0</v>
      </c>
      <c r="Y304" t="b">
        <v>0</v>
      </c>
      <c r="Z304" t="b">
        <v>1</v>
      </c>
      <c r="AA304" t="b">
        <v>0</v>
      </c>
      <c r="AB304" t="b">
        <v>1</v>
      </c>
      <c r="AC304" t="b">
        <v>0</v>
      </c>
      <c r="AE304" t="s">
        <v>994</v>
      </c>
    </row>
    <row r="305" spans="1:31" x14ac:dyDescent="0.3">
      <c r="A305">
        <v>-73.975028379489999</v>
      </c>
      <c r="B305">
        <v>40.772410192780001</v>
      </c>
      <c r="C305" t="s">
        <v>995</v>
      </c>
      <c r="D305" t="s">
        <v>793</v>
      </c>
      <c r="E305" t="s">
        <v>33</v>
      </c>
      <c r="F305">
        <v>10132018</v>
      </c>
      <c r="G305">
        <v>8</v>
      </c>
      <c r="I305" t="s">
        <v>53</v>
      </c>
      <c r="J305" t="s">
        <v>42</v>
      </c>
      <c r="K305" t="s">
        <v>89</v>
      </c>
      <c r="M305" t="s">
        <v>65</v>
      </c>
      <c r="N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1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1</v>
      </c>
      <c r="AC305" t="b">
        <v>0</v>
      </c>
      <c r="AE305" t="s">
        <v>996</v>
      </c>
    </row>
    <row r="306" spans="1:31" x14ac:dyDescent="0.3">
      <c r="A306">
        <v>-73.968970010030006</v>
      </c>
      <c r="B306">
        <v>40.777516956280003</v>
      </c>
      <c r="C306" t="s">
        <v>997</v>
      </c>
      <c r="D306" t="s">
        <v>130</v>
      </c>
      <c r="E306" t="s">
        <v>33</v>
      </c>
      <c r="F306">
        <v>10082018</v>
      </c>
      <c r="G306">
        <v>5</v>
      </c>
      <c r="H306" t="s">
        <v>48</v>
      </c>
      <c r="I306" t="s">
        <v>42</v>
      </c>
      <c r="K306" t="s">
        <v>43</v>
      </c>
      <c r="M306" t="s">
        <v>44</v>
      </c>
      <c r="N306">
        <v>20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s">
        <v>121</v>
      </c>
      <c r="V306" t="b">
        <v>0</v>
      </c>
      <c r="W306" t="b">
        <v>1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E306" t="s">
        <v>998</v>
      </c>
    </row>
    <row r="307" spans="1:31" x14ac:dyDescent="0.3">
      <c r="A307">
        <v>-73.968396584199994</v>
      </c>
      <c r="B307">
        <v>40.771867984899998</v>
      </c>
      <c r="C307" t="s">
        <v>999</v>
      </c>
      <c r="D307" t="s">
        <v>1000</v>
      </c>
      <c r="E307" t="s">
        <v>38</v>
      </c>
      <c r="F307">
        <v>10102018</v>
      </c>
      <c r="G307">
        <v>3</v>
      </c>
      <c r="H307" t="s">
        <v>48</v>
      </c>
      <c r="I307" t="s">
        <v>42</v>
      </c>
      <c r="J307" t="s">
        <v>59</v>
      </c>
      <c r="K307" t="s">
        <v>79</v>
      </c>
      <c r="M307" t="s">
        <v>65</v>
      </c>
      <c r="N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1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1</v>
      </c>
      <c r="AC307" t="b">
        <v>0</v>
      </c>
      <c r="AE307" t="s">
        <v>1001</v>
      </c>
    </row>
    <row r="308" spans="1:31" x14ac:dyDescent="0.3">
      <c r="A308">
        <v>-73.955409582360005</v>
      </c>
      <c r="B308">
        <v>40.788730580200003</v>
      </c>
      <c r="C308" t="s">
        <v>1002</v>
      </c>
      <c r="D308" t="s">
        <v>873</v>
      </c>
      <c r="E308" t="s">
        <v>38</v>
      </c>
      <c r="F308">
        <v>10132018</v>
      </c>
      <c r="G308">
        <v>1</v>
      </c>
      <c r="H308" t="s">
        <v>48</v>
      </c>
      <c r="I308" t="s">
        <v>42</v>
      </c>
      <c r="J308" t="s">
        <v>53</v>
      </c>
      <c r="K308" t="s">
        <v>54</v>
      </c>
      <c r="M308" t="s">
        <v>65</v>
      </c>
      <c r="N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1</v>
      </c>
      <c r="V308" t="b">
        <v>0</v>
      </c>
      <c r="W308" t="b">
        <v>0</v>
      </c>
      <c r="X308" t="b">
        <v>0</v>
      </c>
      <c r="Y308" t="b">
        <v>1</v>
      </c>
      <c r="Z308" t="b">
        <v>0</v>
      </c>
      <c r="AA308" t="b">
        <v>0</v>
      </c>
      <c r="AB308" t="b">
        <v>1</v>
      </c>
      <c r="AC308" t="b">
        <v>0</v>
      </c>
      <c r="AE308" t="s">
        <v>1003</v>
      </c>
    </row>
    <row r="309" spans="1:31" x14ac:dyDescent="0.3">
      <c r="A309">
        <v>-73.96960011841</v>
      </c>
      <c r="B309">
        <v>40.782081067349999</v>
      </c>
      <c r="C309" t="s">
        <v>1004</v>
      </c>
      <c r="D309" t="s">
        <v>411</v>
      </c>
      <c r="E309" t="s">
        <v>33</v>
      </c>
      <c r="F309">
        <v>10182018</v>
      </c>
      <c r="G309">
        <v>5</v>
      </c>
      <c r="H309" t="s">
        <v>105</v>
      </c>
      <c r="I309" t="s">
        <v>42</v>
      </c>
      <c r="J309" t="s">
        <v>96</v>
      </c>
      <c r="K309" t="s">
        <v>97</v>
      </c>
      <c r="L309" t="s">
        <v>1005</v>
      </c>
      <c r="M309" t="s">
        <v>65</v>
      </c>
      <c r="N309" t="b">
        <v>0</v>
      </c>
      <c r="P309" t="b">
        <v>0</v>
      </c>
      <c r="Q309" t="b">
        <v>0</v>
      </c>
      <c r="R309" t="b">
        <v>0</v>
      </c>
      <c r="S309" t="b">
        <v>1</v>
      </c>
      <c r="T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1</v>
      </c>
      <c r="AC309" t="b">
        <v>0</v>
      </c>
      <c r="AE309" t="s">
        <v>1006</v>
      </c>
    </row>
    <row r="310" spans="1:31" x14ac:dyDescent="0.3">
      <c r="A310">
        <v>-73.979508127469998</v>
      </c>
      <c r="B310">
        <v>40.769143154849999</v>
      </c>
      <c r="C310" t="s">
        <v>1007</v>
      </c>
      <c r="D310" t="s">
        <v>455</v>
      </c>
      <c r="E310" t="s">
        <v>33</v>
      </c>
      <c r="F310">
        <v>10072018</v>
      </c>
      <c r="G310">
        <v>3</v>
      </c>
      <c r="H310" t="s">
        <v>48</v>
      </c>
      <c r="I310" t="s">
        <v>42</v>
      </c>
      <c r="K310" t="s">
        <v>43</v>
      </c>
      <c r="M310" t="s">
        <v>65</v>
      </c>
      <c r="N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1</v>
      </c>
      <c r="V310" t="b">
        <v>0</v>
      </c>
      <c r="W310" t="b">
        <v>0</v>
      </c>
      <c r="X310" t="b">
        <v>0</v>
      </c>
      <c r="Y310" t="b">
        <v>0</v>
      </c>
      <c r="Z310" t="b">
        <v>1</v>
      </c>
      <c r="AA310" t="b">
        <v>0</v>
      </c>
      <c r="AB310" t="b">
        <v>0</v>
      </c>
      <c r="AC310" t="b">
        <v>0</v>
      </c>
      <c r="AE310" t="s">
        <v>1008</v>
      </c>
    </row>
    <row r="311" spans="1:31" x14ac:dyDescent="0.3">
      <c r="A311">
        <v>-73.957877955659995</v>
      </c>
      <c r="B311">
        <v>40.793411653969997</v>
      </c>
      <c r="C311" t="s">
        <v>1009</v>
      </c>
      <c r="D311" t="s">
        <v>483</v>
      </c>
      <c r="E311" t="s">
        <v>33</v>
      </c>
      <c r="F311">
        <v>10062018</v>
      </c>
      <c r="G311">
        <v>6</v>
      </c>
      <c r="H311" t="s">
        <v>48</v>
      </c>
      <c r="I311" t="s">
        <v>42</v>
      </c>
      <c r="K311" t="s">
        <v>43</v>
      </c>
      <c r="M311" t="s">
        <v>44</v>
      </c>
      <c r="P311" t="b">
        <v>0</v>
      </c>
      <c r="Q311" t="b">
        <v>0</v>
      </c>
      <c r="R311" t="b">
        <v>0</v>
      </c>
      <c r="S311" t="b">
        <v>0</v>
      </c>
      <c r="T311" t="b">
        <v>1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E311" t="s">
        <v>1010</v>
      </c>
    </row>
    <row r="312" spans="1:31" x14ac:dyDescent="0.3">
      <c r="A312">
        <v>-73.958356112359994</v>
      </c>
      <c r="B312">
        <v>40.796014459570003</v>
      </c>
      <c r="C312" t="s">
        <v>1011</v>
      </c>
      <c r="D312" t="s">
        <v>175</v>
      </c>
      <c r="E312" t="s">
        <v>38</v>
      </c>
      <c r="F312">
        <v>10192018</v>
      </c>
      <c r="G312">
        <v>7</v>
      </c>
      <c r="H312" t="s">
        <v>48</v>
      </c>
      <c r="I312" t="s">
        <v>42</v>
      </c>
      <c r="J312" t="s">
        <v>53</v>
      </c>
      <c r="K312" t="s">
        <v>54</v>
      </c>
      <c r="L312" t="s">
        <v>1012</v>
      </c>
      <c r="M312" t="s">
        <v>65</v>
      </c>
      <c r="N312" t="b">
        <v>0</v>
      </c>
      <c r="P312" t="b">
        <v>1</v>
      </c>
      <c r="Q312" t="b">
        <v>0</v>
      </c>
      <c r="R312" t="b">
        <v>0</v>
      </c>
      <c r="S312" t="b">
        <v>0</v>
      </c>
      <c r="T312" t="b">
        <v>1</v>
      </c>
      <c r="V312" t="b">
        <v>0</v>
      </c>
      <c r="W312" t="b">
        <v>0</v>
      </c>
      <c r="X312" t="b">
        <v>0</v>
      </c>
      <c r="Y312" t="b">
        <v>0</v>
      </c>
      <c r="Z312" t="b">
        <v>1</v>
      </c>
      <c r="AA312" t="b">
        <v>0</v>
      </c>
      <c r="AB312" t="b">
        <v>0</v>
      </c>
      <c r="AC312" t="b">
        <v>1</v>
      </c>
      <c r="AE312" t="s">
        <v>1013</v>
      </c>
    </row>
    <row r="313" spans="1:31" x14ac:dyDescent="0.3">
      <c r="A313">
        <v>-73.964661034800002</v>
      </c>
      <c r="B313">
        <v>40.779058354429999</v>
      </c>
      <c r="C313" t="s">
        <v>1014</v>
      </c>
      <c r="D313" t="s">
        <v>1015</v>
      </c>
      <c r="E313" t="s">
        <v>38</v>
      </c>
      <c r="F313">
        <v>10102018</v>
      </c>
      <c r="G313">
        <v>5</v>
      </c>
      <c r="H313" t="s">
        <v>48</v>
      </c>
      <c r="I313" t="s">
        <v>42</v>
      </c>
      <c r="J313" t="s">
        <v>53</v>
      </c>
      <c r="K313" t="s">
        <v>54</v>
      </c>
      <c r="M313" t="s">
        <v>65</v>
      </c>
      <c r="N313" t="b">
        <v>0</v>
      </c>
      <c r="O313" t="s">
        <v>1016</v>
      </c>
      <c r="P313" t="b">
        <v>0</v>
      </c>
      <c r="Q313" t="b">
        <v>0</v>
      </c>
      <c r="R313" t="b">
        <v>0</v>
      </c>
      <c r="S313" t="b">
        <v>1</v>
      </c>
      <c r="T313" t="b">
        <v>1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1</v>
      </c>
      <c r="AE313" t="s">
        <v>1017</v>
      </c>
    </row>
    <row r="314" spans="1:31" x14ac:dyDescent="0.3">
      <c r="A314">
        <v>-73.960601067179994</v>
      </c>
      <c r="B314">
        <v>40.791724385009999</v>
      </c>
      <c r="C314" t="s">
        <v>1018</v>
      </c>
      <c r="D314" t="s">
        <v>294</v>
      </c>
      <c r="E314" t="s">
        <v>33</v>
      </c>
      <c r="F314">
        <v>10062018</v>
      </c>
      <c r="G314">
        <v>9</v>
      </c>
      <c r="H314" t="s">
        <v>105</v>
      </c>
      <c r="I314" t="s">
        <v>42</v>
      </c>
      <c r="J314" t="s">
        <v>148</v>
      </c>
      <c r="K314" t="s">
        <v>149</v>
      </c>
      <c r="M314" t="s">
        <v>65</v>
      </c>
      <c r="N314" t="b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1</v>
      </c>
      <c r="AA314" t="b">
        <v>1</v>
      </c>
      <c r="AB314" t="b">
        <v>0</v>
      </c>
      <c r="AC314" t="b">
        <v>0</v>
      </c>
      <c r="AE314" t="s">
        <v>1019</v>
      </c>
    </row>
    <row r="315" spans="1:31" x14ac:dyDescent="0.3">
      <c r="A315">
        <v>-73.953973477090003</v>
      </c>
      <c r="B315">
        <v>40.795605544200001</v>
      </c>
      <c r="C315" t="s">
        <v>1020</v>
      </c>
      <c r="D315" t="s">
        <v>133</v>
      </c>
      <c r="E315" t="s">
        <v>33</v>
      </c>
      <c r="F315">
        <v>10132018</v>
      </c>
      <c r="G315">
        <v>4</v>
      </c>
      <c r="H315" t="s">
        <v>48</v>
      </c>
      <c r="I315" t="s">
        <v>42</v>
      </c>
      <c r="J315" t="s">
        <v>53</v>
      </c>
      <c r="K315" t="s">
        <v>54</v>
      </c>
      <c r="M315" t="s">
        <v>65</v>
      </c>
      <c r="N315" t="b">
        <v>0</v>
      </c>
      <c r="P315" t="b">
        <v>0</v>
      </c>
      <c r="Q315" t="b">
        <v>1</v>
      </c>
      <c r="R315" t="b">
        <v>0</v>
      </c>
      <c r="S315" t="b">
        <v>1</v>
      </c>
      <c r="T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E315" t="s">
        <v>1021</v>
      </c>
    </row>
    <row r="316" spans="1:31" x14ac:dyDescent="0.3">
      <c r="A316">
        <v>-73.954061666019996</v>
      </c>
      <c r="B316">
        <v>40.795155660319999</v>
      </c>
      <c r="C316" t="s">
        <v>1022</v>
      </c>
      <c r="D316" t="s">
        <v>278</v>
      </c>
      <c r="E316" t="s">
        <v>33</v>
      </c>
      <c r="F316">
        <v>10202018</v>
      </c>
      <c r="G316">
        <v>10</v>
      </c>
      <c r="H316" t="s">
        <v>48</v>
      </c>
      <c r="I316" t="s">
        <v>42</v>
      </c>
      <c r="J316" t="s">
        <v>96</v>
      </c>
      <c r="K316" t="s">
        <v>97</v>
      </c>
      <c r="M316" t="s">
        <v>65</v>
      </c>
      <c r="N316" t="b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V316" t="b">
        <v>0</v>
      </c>
      <c r="W316" t="b">
        <v>0</v>
      </c>
      <c r="X316" t="b">
        <v>0</v>
      </c>
      <c r="Y316" t="b">
        <v>1</v>
      </c>
      <c r="Z316" t="b">
        <v>0</v>
      </c>
      <c r="AA316" t="b">
        <v>0</v>
      </c>
      <c r="AB316" t="b">
        <v>0</v>
      </c>
      <c r="AC316" t="b">
        <v>1</v>
      </c>
      <c r="AE316" t="s">
        <v>1023</v>
      </c>
    </row>
    <row r="317" spans="1:31" x14ac:dyDescent="0.3">
      <c r="A317">
        <v>-73.954579902450007</v>
      </c>
      <c r="B317">
        <v>40.790808403989999</v>
      </c>
      <c r="C317" t="s">
        <v>1024</v>
      </c>
      <c r="D317" t="s">
        <v>1025</v>
      </c>
      <c r="E317" t="s">
        <v>33</v>
      </c>
      <c r="F317">
        <v>10102018</v>
      </c>
      <c r="G317">
        <v>1</v>
      </c>
      <c r="H317" t="s">
        <v>48</v>
      </c>
      <c r="I317" t="s">
        <v>42</v>
      </c>
      <c r="K317" t="s">
        <v>43</v>
      </c>
      <c r="M317" t="s">
        <v>44</v>
      </c>
      <c r="N317">
        <v>15</v>
      </c>
      <c r="P317" t="b">
        <v>0</v>
      </c>
      <c r="Q317" t="b">
        <v>0</v>
      </c>
      <c r="R317" t="b">
        <v>0</v>
      </c>
      <c r="S317" t="b">
        <v>1</v>
      </c>
      <c r="T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E317" t="s">
        <v>1026</v>
      </c>
    </row>
    <row r="318" spans="1:31" x14ac:dyDescent="0.3">
      <c r="A318">
        <v>-73.974399057669999</v>
      </c>
      <c r="B318">
        <v>40.776869072319997</v>
      </c>
      <c r="C318" t="s">
        <v>1027</v>
      </c>
      <c r="D318" t="s">
        <v>1028</v>
      </c>
      <c r="E318" t="s">
        <v>33</v>
      </c>
      <c r="F318">
        <v>10132018</v>
      </c>
      <c r="G318">
        <v>4</v>
      </c>
      <c r="I318" t="s">
        <v>42</v>
      </c>
      <c r="J318" t="s">
        <v>53</v>
      </c>
      <c r="K318" t="s">
        <v>54</v>
      </c>
      <c r="M318" t="s">
        <v>44</v>
      </c>
      <c r="N318">
        <v>1</v>
      </c>
      <c r="P318" t="b">
        <v>0</v>
      </c>
      <c r="Q318" t="b">
        <v>1</v>
      </c>
      <c r="R318" t="b">
        <v>0</v>
      </c>
      <c r="S318" t="b">
        <v>0</v>
      </c>
      <c r="T318" t="b">
        <v>0</v>
      </c>
      <c r="U318" t="s">
        <v>1029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1</v>
      </c>
      <c r="AC318" t="b">
        <v>0</v>
      </c>
      <c r="AE318" t="s">
        <v>1030</v>
      </c>
    </row>
    <row r="319" spans="1:31" x14ac:dyDescent="0.3">
      <c r="A319">
        <v>-73.965903435970006</v>
      </c>
      <c r="B319">
        <v>40.779751668880003</v>
      </c>
      <c r="C319" t="s">
        <v>1031</v>
      </c>
      <c r="D319" t="s">
        <v>1032</v>
      </c>
      <c r="E319" t="s">
        <v>38</v>
      </c>
      <c r="F319">
        <v>10072018</v>
      </c>
      <c r="G319">
        <v>2</v>
      </c>
      <c r="H319" t="s">
        <v>48</v>
      </c>
      <c r="I319" t="s">
        <v>53</v>
      </c>
      <c r="J319" t="s">
        <v>42</v>
      </c>
      <c r="K319" t="s">
        <v>89</v>
      </c>
      <c r="M319" t="s">
        <v>44</v>
      </c>
      <c r="N319">
        <v>8</v>
      </c>
      <c r="P319" t="b">
        <v>0</v>
      </c>
      <c r="Q319" t="b">
        <v>0</v>
      </c>
      <c r="R319" t="b">
        <v>0</v>
      </c>
      <c r="S319" t="b">
        <v>1</v>
      </c>
      <c r="T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1</v>
      </c>
      <c r="AC319" t="b">
        <v>0</v>
      </c>
      <c r="AE319" t="s">
        <v>1033</v>
      </c>
    </row>
    <row r="320" spans="1:31" x14ac:dyDescent="0.3">
      <c r="A320">
        <v>-73.968437603859996</v>
      </c>
      <c r="B320">
        <v>40.782427506719998</v>
      </c>
      <c r="C320" t="s">
        <v>1034</v>
      </c>
      <c r="D320" t="s">
        <v>1035</v>
      </c>
      <c r="E320" t="s">
        <v>33</v>
      </c>
      <c r="F320">
        <v>10182018</v>
      </c>
      <c r="G320">
        <v>9</v>
      </c>
      <c r="H320" t="s">
        <v>48</v>
      </c>
      <c r="I320" t="s">
        <v>53</v>
      </c>
      <c r="K320" t="s">
        <v>155</v>
      </c>
      <c r="M320" t="s">
        <v>65</v>
      </c>
      <c r="N320" t="b">
        <v>0</v>
      </c>
      <c r="P320" t="b">
        <v>1</v>
      </c>
      <c r="Q320" t="b">
        <v>0</v>
      </c>
      <c r="R320" t="b">
        <v>0</v>
      </c>
      <c r="S320" t="b">
        <v>0</v>
      </c>
      <c r="T320" t="b">
        <v>1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1</v>
      </c>
      <c r="AB320" t="b">
        <v>0</v>
      </c>
      <c r="AC320" t="b">
        <v>0</v>
      </c>
      <c r="AE320" t="s">
        <v>1036</v>
      </c>
    </row>
    <row r="321" spans="1:31" x14ac:dyDescent="0.3">
      <c r="A321">
        <v>-73.969428880620001</v>
      </c>
      <c r="B321">
        <v>40.784295226529999</v>
      </c>
      <c r="C321" t="s">
        <v>1037</v>
      </c>
      <c r="D321" t="s">
        <v>298</v>
      </c>
      <c r="E321" t="s">
        <v>33</v>
      </c>
      <c r="F321">
        <v>10172018</v>
      </c>
      <c r="G321">
        <v>1</v>
      </c>
      <c r="H321" t="s">
        <v>48</v>
      </c>
      <c r="I321" t="s">
        <v>42</v>
      </c>
      <c r="K321" t="s">
        <v>43</v>
      </c>
      <c r="M321" t="s">
        <v>65</v>
      </c>
      <c r="N321" t="b">
        <v>0</v>
      </c>
      <c r="P321" t="b">
        <v>0</v>
      </c>
      <c r="Q321" t="b">
        <v>0</v>
      </c>
      <c r="R321" t="b">
        <v>1</v>
      </c>
      <c r="S321" t="b">
        <v>0</v>
      </c>
      <c r="T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E321" t="s">
        <v>1038</v>
      </c>
    </row>
    <row r="322" spans="1:31" x14ac:dyDescent="0.3">
      <c r="A322">
        <v>-73.954604292699997</v>
      </c>
      <c r="B322">
        <v>40.789813373500003</v>
      </c>
      <c r="C322" t="s">
        <v>1039</v>
      </c>
      <c r="D322" t="s">
        <v>921</v>
      </c>
      <c r="E322" t="s">
        <v>33</v>
      </c>
      <c r="F322">
        <v>10062018</v>
      </c>
      <c r="G322">
        <v>7</v>
      </c>
      <c r="H322" t="s">
        <v>48</v>
      </c>
      <c r="I322" t="s">
        <v>42</v>
      </c>
      <c r="K322" t="s">
        <v>43</v>
      </c>
      <c r="M322" t="s">
        <v>65</v>
      </c>
      <c r="N322" t="b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1</v>
      </c>
      <c r="AE322" t="s">
        <v>1040</v>
      </c>
    </row>
    <row r="323" spans="1:31" x14ac:dyDescent="0.3">
      <c r="A323">
        <v>-73.957346978749996</v>
      </c>
      <c r="B323">
        <v>40.794404459260001</v>
      </c>
      <c r="C323" t="s">
        <v>1041</v>
      </c>
      <c r="D323" t="s">
        <v>1042</v>
      </c>
      <c r="E323" t="s">
        <v>38</v>
      </c>
      <c r="F323">
        <v>10132018</v>
      </c>
      <c r="G323">
        <v>3</v>
      </c>
      <c r="H323" t="s">
        <v>48</v>
      </c>
      <c r="I323" t="s">
        <v>42</v>
      </c>
      <c r="J323" t="s">
        <v>59</v>
      </c>
      <c r="K323" t="s">
        <v>79</v>
      </c>
      <c r="M323" t="s">
        <v>65</v>
      </c>
      <c r="N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1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1</v>
      </c>
      <c r="AC323" t="b">
        <v>0</v>
      </c>
      <c r="AD323" t="s">
        <v>1043</v>
      </c>
      <c r="AE323" t="s">
        <v>1044</v>
      </c>
    </row>
    <row r="324" spans="1:31" x14ac:dyDescent="0.3">
      <c r="A324">
        <v>-73.958787970000003</v>
      </c>
      <c r="B324">
        <v>40.790813515860002</v>
      </c>
      <c r="C324" t="s">
        <v>1045</v>
      </c>
      <c r="D324" t="s">
        <v>124</v>
      </c>
      <c r="E324" t="s">
        <v>38</v>
      </c>
      <c r="F324">
        <v>10122018</v>
      </c>
      <c r="G324">
        <v>1</v>
      </c>
      <c r="I324" t="s">
        <v>42</v>
      </c>
      <c r="J324" t="s">
        <v>53</v>
      </c>
      <c r="K324" t="s">
        <v>54</v>
      </c>
      <c r="M324" t="s">
        <v>65</v>
      </c>
      <c r="N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1</v>
      </c>
      <c r="U324" t="s">
        <v>1046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1</v>
      </c>
      <c r="AE324" t="s">
        <v>1047</v>
      </c>
    </row>
    <row r="325" spans="1:31" x14ac:dyDescent="0.3">
      <c r="A325">
        <v>-73.963099082319999</v>
      </c>
      <c r="B325">
        <v>40.788576428399999</v>
      </c>
      <c r="C325" t="s">
        <v>1048</v>
      </c>
      <c r="D325" t="s">
        <v>1049</v>
      </c>
      <c r="E325" t="s">
        <v>38</v>
      </c>
      <c r="F325">
        <v>10122018</v>
      </c>
      <c r="G325">
        <v>2</v>
      </c>
      <c r="H325" t="s">
        <v>48</v>
      </c>
      <c r="I325" t="s">
        <v>176</v>
      </c>
      <c r="K325" t="s">
        <v>177</v>
      </c>
      <c r="M325" t="s">
        <v>65</v>
      </c>
      <c r="N325" t="b">
        <v>0</v>
      </c>
      <c r="P325" t="b">
        <v>0</v>
      </c>
      <c r="Q325" t="b">
        <v>0</v>
      </c>
      <c r="R325" t="b">
        <v>0</v>
      </c>
      <c r="S325" t="b">
        <v>1</v>
      </c>
      <c r="T325" t="b">
        <v>1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1</v>
      </c>
      <c r="AE325" t="s">
        <v>1050</v>
      </c>
    </row>
    <row r="326" spans="1:31" x14ac:dyDescent="0.3">
      <c r="A326">
        <v>-73.96998435706</v>
      </c>
      <c r="B326">
        <v>40.772948044030002</v>
      </c>
      <c r="C326" t="s">
        <v>1051</v>
      </c>
      <c r="D326" t="s">
        <v>600</v>
      </c>
      <c r="E326" t="s">
        <v>38</v>
      </c>
      <c r="F326">
        <v>10062018</v>
      </c>
      <c r="G326">
        <v>1</v>
      </c>
      <c r="H326" t="s">
        <v>48</v>
      </c>
      <c r="I326" t="s">
        <v>42</v>
      </c>
      <c r="K326" t="s">
        <v>43</v>
      </c>
      <c r="M326" t="s">
        <v>44</v>
      </c>
      <c r="N326">
        <v>80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1</v>
      </c>
      <c r="AA326" t="b">
        <v>0</v>
      </c>
      <c r="AB326" t="b">
        <v>1</v>
      </c>
      <c r="AC326" t="b">
        <v>0</v>
      </c>
      <c r="AE326" t="s">
        <v>1052</v>
      </c>
    </row>
    <row r="327" spans="1:31" x14ac:dyDescent="0.3">
      <c r="A327">
        <v>-73.953430629170001</v>
      </c>
      <c r="B327">
        <v>40.795905207380002</v>
      </c>
      <c r="C327" t="s">
        <v>1053</v>
      </c>
      <c r="D327" t="s">
        <v>133</v>
      </c>
      <c r="E327" t="s">
        <v>33</v>
      </c>
      <c r="F327">
        <v>10132018</v>
      </c>
      <c r="G327">
        <v>7</v>
      </c>
      <c r="H327" t="s">
        <v>48</v>
      </c>
      <c r="I327" t="s">
        <v>42</v>
      </c>
      <c r="J327" t="s">
        <v>53</v>
      </c>
      <c r="K327" t="s">
        <v>54</v>
      </c>
      <c r="M327" t="s">
        <v>65</v>
      </c>
      <c r="N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1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1</v>
      </c>
      <c r="AC327" t="b">
        <v>0</v>
      </c>
      <c r="AE327" t="s">
        <v>1054</v>
      </c>
    </row>
    <row r="328" spans="1:31" x14ac:dyDescent="0.3">
      <c r="A328">
        <v>-73.965235727969997</v>
      </c>
      <c r="B328">
        <v>40.781929688710001</v>
      </c>
      <c r="C328" t="s">
        <v>1055</v>
      </c>
      <c r="D328" t="s">
        <v>1056</v>
      </c>
      <c r="E328" t="s">
        <v>33</v>
      </c>
      <c r="F328">
        <v>10122018</v>
      </c>
      <c r="G328">
        <v>2</v>
      </c>
      <c r="H328" t="s">
        <v>48</v>
      </c>
      <c r="I328" t="s">
        <v>42</v>
      </c>
      <c r="J328" t="s">
        <v>148</v>
      </c>
      <c r="K328" t="s">
        <v>149</v>
      </c>
      <c r="M328" t="s">
        <v>65</v>
      </c>
      <c r="N328" t="b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1</v>
      </c>
      <c r="AC328" t="b">
        <v>0</v>
      </c>
      <c r="AE328" t="s">
        <v>1057</v>
      </c>
    </row>
    <row r="329" spans="1:31" x14ac:dyDescent="0.3">
      <c r="A329">
        <v>-73.967832992539996</v>
      </c>
      <c r="B329">
        <v>40.77836699134</v>
      </c>
      <c r="C329" t="s">
        <v>1058</v>
      </c>
      <c r="D329" t="s">
        <v>200</v>
      </c>
      <c r="E329" t="s">
        <v>33</v>
      </c>
      <c r="F329">
        <v>10182018</v>
      </c>
      <c r="G329">
        <v>3</v>
      </c>
      <c r="H329" t="s">
        <v>48</v>
      </c>
      <c r="I329" t="s">
        <v>42</v>
      </c>
      <c r="K329" t="s">
        <v>43</v>
      </c>
      <c r="M329" t="s">
        <v>65</v>
      </c>
      <c r="N329" t="b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1</v>
      </c>
      <c r="AC329" t="b">
        <v>0</v>
      </c>
      <c r="AE329" t="s">
        <v>1059</v>
      </c>
    </row>
    <row r="330" spans="1:31" x14ac:dyDescent="0.3">
      <c r="A330">
        <v>-73.970896924629997</v>
      </c>
      <c r="B330">
        <v>40.776769550749997</v>
      </c>
      <c r="C330" t="s">
        <v>1060</v>
      </c>
      <c r="D330" t="s">
        <v>729</v>
      </c>
      <c r="E330" t="s">
        <v>38</v>
      </c>
      <c r="F330">
        <v>10142018</v>
      </c>
      <c r="G330">
        <v>3</v>
      </c>
      <c r="H330" t="s">
        <v>48</v>
      </c>
      <c r="I330" t="s">
        <v>42</v>
      </c>
      <c r="J330" t="s">
        <v>96</v>
      </c>
      <c r="K330" t="s">
        <v>97</v>
      </c>
      <c r="M330" t="s">
        <v>65</v>
      </c>
      <c r="N330" t="b">
        <v>0</v>
      </c>
      <c r="P330" t="b">
        <v>0</v>
      </c>
      <c r="Q330" t="b">
        <v>0</v>
      </c>
      <c r="R330" t="b">
        <v>0</v>
      </c>
      <c r="S330" t="b">
        <v>1</v>
      </c>
      <c r="T330" t="b">
        <v>1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1</v>
      </c>
      <c r="AC330" t="b">
        <v>0</v>
      </c>
      <c r="AE330" t="s">
        <v>1061</v>
      </c>
    </row>
    <row r="331" spans="1:31" x14ac:dyDescent="0.3">
      <c r="A331">
        <v>-73.954481011149994</v>
      </c>
      <c r="B331">
        <v>40.795446967890001</v>
      </c>
      <c r="C331" t="s">
        <v>1062</v>
      </c>
      <c r="D331" t="s">
        <v>1063</v>
      </c>
      <c r="E331" t="s">
        <v>33</v>
      </c>
      <c r="F331">
        <v>10062018</v>
      </c>
      <c r="G331">
        <v>3</v>
      </c>
      <c r="H331" t="s">
        <v>48</v>
      </c>
      <c r="I331" t="s">
        <v>42</v>
      </c>
      <c r="J331" t="s">
        <v>59</v>
      </c>
      <c r="K331" t="s">
        <v>79</v>
      </c>
      <c r="M331" t="s">
        <v>44</v>
      </c>
      <c r="N331">
        <v>15</v>
      </c>
      <c r="O331" t="s">
        <v>1064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1</v>
      </c>
      <c r="AD331" t="s">
        <v>1065</v>
      </c>
      <c r="AE331" t="s">
        <v>1066</v>
      </c>
    </row>
    <row r="332" spans="1:31" x14ac:dyDescent="0.3">
      <c r="A332">
        <v>-73.970512362500003</v>
      </c>
      <c r="B332">
        <v>40.773172375789997</v>
      </c>
      <c r="C332" t="s">
        <v>1067</v>
      </c>
      <c r="D332" t="s">
        <v>314</v>
      </c>
      <c r="E332" t="s">
        <v>33</v>
      </c>
      <c r="F332">
        <v>10192018</v>
      </c>
      <c r="G332">
        <v>11</v>
      </c>
      <c r="H332" t="s">
        <v>48</v>
      </c>
      <c r="I332" t="s">
        <v>42</v>
      </c>
      <c r="J332" t="s">
        <v>53</v>
      </c>
      <c r="K332" t="s">
        <v>54</v>
      </c>
      <c r="M332" t="s">
        <v>65</v>
      </c>
      <c r="N332" t="b">
        <v>0</v>
      </c>
      <c r="O332" t="s">
        <v>1068</v>
      </c>
      <c r="P332" t="b">
        <v>0</v>
      </c>
      <c r="Q332" t="b">
        <v>0</v>
      </c>
      <c r="R332" t="b">
        <v>0</v>
      </c>
      <c r="S332" t="b">
        <v>0</v>
      </c>
      <c r="T332" t="b">
        <v>1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1</v>
      </c>
      <c r="AE332" t="s">
        <v>1069</v>
      </c>
    </row>
    <row r="333" spans="1:31" x14ac:dyDescent="0.3">
      <c r="A333">
        <v>-73.966756004969994</v>
      </c>
      <c r="B333">
        <v>40.788233383070001</v>
      </c>
      <c r="C333" t="s">
        <v>1070</v>
      </c>
      <c r="D333" t="s">
        <v>1071</v>
      </c>
      <c r="E333" t="s">
        <v>33</v>
      </c>
      <c r="F333">
        <v>10062018</v>
      </c>
      <c r="G333">
        <v>1</v>
      </c>
      <c r="H333" t="s">
        <v>105</v>
      </c>
      <c r="I333" t="s">
        <v>42</v>
      </c>
      <c r="J333" t="s">
        <v>53</v>
      </c>
      <c r="K333" t="s">
        <v>54</v>
      </c>
      <c r="M333" t="s">
        <v>44</v>
      </c>
      <c r="O333" t="s">
        <v>1072</v>
      </c>
      <c r="P333" t="b">
        <v>0</v>
      </c>
      <c r="Q333" t="b">
        <v>0</v>
      </c>
      <c r="R333" t="b">
        <v>0</v>
      </c>
      <c r="S333" t="b">
        <v>1</v>
      </c>
      <c r="T333" t="b">
        <v>1</v>
      </c>
      <c r="U333" t="s">
        <v>1073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1</v>
      </c>
      <c r="AC333" t="b">
        <v>0</v>
      </c>
      <c r="AE333" t="s">
        <v>1074</v>
      </c>
    </row>
    <row r="334" spans="1:31" x14ac:dyDescent="0.3">
      <c r="A334">
        <v>-73.96873952288</v>
      </c>
      <c r="B334">
        <v>40.780736448139997</v>
      </c>
      <c r="C334" t="s">
        <v>1075</v>
      </c>
      <c r="D334" t="s">
        <v>1076</v>
      </c>
      <c r="E334" t="s">
        <v>38</v>
      </c>
      <c r="F334">
        <v>10182018</v>
      </c>
      <c r="G334">
        <v>2</v>
      </c>
      <c r="H334" t="s">
        <v>48</v>
      </c>
      <c r="I334" t="s">
        <v>42</v>
      </c>
      <c r="K334" t="s">
        <v>43</v>
      </c>
      <c r="M334" t="s">
        <v>65</v>
      </c>
      <c r="N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1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E334" t="s">
        <v>1077</v>
      </c>
    </row>
    <row r="335" spans="1:31" x14ac:dyDescent="0.3">
      <c r="A335">
        <v>-73.978235143589998</v>
      </c>
      <c r="B335">
        <v>40.771589667230003</v>
      </c>
      <c r="C335" t="s">
        <v>1078</v>
      </c>
      <c r="D335" t="s">
        <v>870</v>
      </c>
      <c r="E335" t="s">
        <v>38</v>
      </c>
      <c r="F335">
        <v>10062018</v>
      </c>
      <c r="G335">
        <v>3</v>
      </c>
      <c r="H335" t="s">
        <v>48</v>
      </c>
      <c r="I335" t="s">
        <v>42</v>
      </c>
      <c r="J335" t="s">
        <v>96</v>
      </c>
      <c r="K335" t="s">
        <v>97</v>
      </c>
      <c r="M335" t="s">
        <v>44</v>
      </c>
      <c r="N335">
        <v>30</v>
      </c>
      <c r="O335" t="s">
        <v>190</v>
      </c>
      <c r="P335" t="b">
        <v>0</v>
      </c>
      <c r="Q335" t="b">
        <v>1</v>
      </c>
      <c r="R335" t="b">
        <v>0</v>
      </c>
      <c r="S335" t="b">
        <v>1</v>
      </c>
      <c r="T335" t="b">
        <v>0</v>
      </c>
      <c r="V335" t="b">
        <v>0</v>
      </c>
      <c r="W335" t="b">
        <v>0</v>
      </c>
      <c r="X335" t="b">
        <v>0</v>
      </c>
      <c r="Y335" t="b">
        <v>1</v>
      </c>
      <c r="Z335" t="b">
        <v>1</v>
      </c>
      <c r="AA335" t="b">
        <v>0</v>
      </c>
      <c r="AB335" t="b">
        <v>0</v>
      </c>
      <c r="AC335" t="b">
        <v>0</v>
      </c>
      <c r="AE335" t="s">
        <v>1079</v>
      </c>
    </row>
    <row r="336" spans="1:31" x14ac:dyDescent="0.3">
      <c r="A336">
        <v>-73.975741321559994</v>
      </c>
      <c r="B336">
        <v>40.7692582759</v>
      </c>
      <c r="C336" t="s">
        <v>1080</v>
      </c>
      <c r="D336" t="s">
        <v>782</v>
      </c>
      <c r="E336" t="s">
        <v>33</v>
      </c>
      <c r="F336">
        <v>10082018</v>
      </c>
      <c r="G336">
        <v>4</v>
      </c>
      <c r="H336" t="s">
        <v>48</v>
      </c>
      <c r="I336" t="s">
        <v>42</v>
      </c>
      <c r="K336" t="s">
        <v>43</v>
      </c>
      <c r="M336" t="s">
        <v>44</v>
      </c>
      <c r="N336">
        <v>10</v>
      </c>
      <c r="P336" t="b">
        <v>1</v>
      </c>
      <c r="Q336" t="b">
        <v>1</v>
      </c>
      <c r="R336" t="b">
        <v>1</v>
      </c>
      <c r="S336" t="b">
        <v>0</v>
      </c>
      <c r="T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1</v>
      </c>
      <c r="AC336" t="b">
        <v>0</v>
      </c>
      <c r="AE336" t="s">
        <v>1081</v>
      </c>
    </row>
    <row r="337" spans="1:31" x14ac:dyDescent="0.3">
      <c r="A337">
        <v>-73.95831019277</v>
      </c>
      <c r="B337">
        <v>40.785264931599997</v>
      </c>
      <c r="C337" t="s">
        <v>1082</v>
      </c>
      <c r="D337" t="s">
        <v>1083</v>
      </c>
      <c r="E337" t="s">
        <v>33</v>
      </c>
      <c r="F337">
        <v>10202018</v>
      </c>
      <c r="G337">
        <v>5</v>
      </c>
      <c r="H337" t="s">
        <v>48</v>
      </c>
      <c r="I337" t="s">
        <v>42</v>
      </c>
      <c r="J337" t="s">
        <v>53</v>
      </c>
      <c r="K337" t="s">
        <v>54</v>
      </c>
      <c r="M337" t="s">
        <v>44</v>
      </c>
      <c r="N337">
        <v>10</v>
      </c>
      <c r="O337" t="s">
        <v>1084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1</v>
      </c>
      <c r="AD337" t="s">
        <v>1085</v>
      </c>
      <c r="AE337" t="s">
        <v>1086</v>
      </c>
    </row>
    <row r="338" spans="1:31" x14ac:dyDescent="0.3">
      <c r="A338">
        <v>-73.976559555319994</v>
      </c>
      <c r="B338">
        <v>40.774845534039997</v>
      </c>
      <c r="C338" t="s">
        <v>1087</v>
      </c>
      <c r="D338" t="s">
        <v>147</v>
      </c>
      <c r="E338" t="s">
        <v>33</v>
      </c>
      <c r="F338">
        <v>10142018</v>
      </c>
      <c r="G338">
        <v>4</v>
      </c>
      <c r="H338" t="s">
        <v>48</v>
      </c>
      <c r="I338" t="s">
        <v>42</v>
      </c>
      <c r="J338" t="s">
        <v>53</v>
      </c>
      <c r="K338" t="s">
        <v>54</v>
      </c>
      <c r="M338" t="s">
        <v>65</v>
      </c>
      <c r="N338" t="b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1</v>
      </c>
      <c r="AE338" t="s">
        <v>1088</v>
      </c>
    </row>
    <row r="339" spans="1:31" x14ac:dyDescent="0.3">
      <c r="A339">
        <v>-73.965509576399995</v>
      </c>
      <c r="B339">
        <v>40.775245676330002</v>
      </c>
      <c r="C339" t="s">
        <v>1089</v>
      </c>
      <c r="D339" t="s">
        <v>1090</v>
      </c>
      <c r="E339" t="s">
        <v>33</v>
      </c>
      <c r="F339">
        <v>10182018</v>
      </c>
      <c r="G339">
        <v>5</v>
      </c>
      <c r="H339" t="s">
        <v>48</v>
      </c>
      <c r="I339" t="s">
        <v>42</v>
      </c>
      <c r="J339" t="s">
        <v>53</v>
      </c>
      <c r="K339" t="s">
        <v>54</v>
      </c>
      <c r="M339" t="s">
        <v>44</v>
      </c>
      <c r="N339">
        <v>2</v>
      </c>
      <c r="P339" t="b">
        <v>0</v>
      </c>
      <c r="Q339" t="b">
        <v>0</v>
      </c>
      <c r="R339" t="b">
        <v>1</v>
      </c>
      <c r="S339" t="b">
        <v>1</v>
      </c>
      <c r="T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1</v>
      </c>
      <c r="AA339" t="b">
        <v>0</v>
      </c>
      <c r="AB339" t="b">
        <v>1</v>
      </c>
      <c r="AC339" t="b">
        <v>0</v>
      </c>
      <c r="AE339" t="s">
        <v>1091</v>
      </c>
    </row>
    <row r="340" spans="1:31" x14ac:dyDescent="0.3">
      <c r="A340">
        <v>-73.974496082979996</v>
      </c>
      <c r="B340">
        <v>40.765258550200002</v>
      </c>
      <c r="C340" t="s">
        <v>1092</v>
      </c>
      <c r="D340" t="s">
        <v>1093</v>
      </c>
      <c r="E340" t="s">
        <v>38</v>
      </c>
      <c r="F340">
        <v>10122018</v>
      </c>
      <c r="G340">
        <v>1</v>
      </c>
      <c r="H340" t="s">
        <v>48</v>
      </c>
      <c r="I340" t="s">
        <v>42</v>
      </c>
      <c r="J340" t="s">
        <v>96</v>
      </c>
      <c r="K340" t="s">
        <v>97</v>
      </c>
      <c r="M340" t="s">
        <v>65</v>
      </c>
      <c r="N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1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1</v>
      </c>
      <c r="AB340" t="b">
        <v>0</v>
      </c>
      <c r="AC340" t="b">
        <v>1</v>
      </c>
      <c r="AD340" t="s">
        <v>1094</v>
      </c>
      <c r="AE340" t="s">
        <v>1095</v>
      </c>
    </row>
    <row r="341" spans="1:31" x14ac:dyDescent="0.3">
      <c r="A341">
        <v>-73.970316174589996</v>
      </c>
      <c r="B341">
        <v>40.770261046130003</v>
      </c>
      <c r="C341" t="s">
        <v>1096</v>
      </c>
      <c r="D341" t="s">
        <v>183</v>
      </c>
      <c r="E341" t="s">
        <v>33</v>
      </c>
      <c r="F341">
        <v>10142018</v>
      </c>
      <c r="G341">
        <v>5</v>
      </c>
      <c r="H341" t="s">
        <v>105</v>
      </c>
      <c r="I341" t="s">
        <v>42</v>
      </c>
      <c r="K341" t="s">
        <v>43</v>
      </c>
      <c r="M341" t="s">
        <v>44</v>
      </c>
      <c r="N341">
        <v>2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1</v>
      </c>
      <c r="AE341" t="s">
        <v>1097</v>
      </c>
    </row>
    <row r="342" spans="1:31" x14ac:dyDescent="0.3">
      <c r="A342">
        <v>-73.960596663619995</v>
      </c>
      <c r="B342">
        <v>40.788984910860002</v>
      </c>
      <c r="C342" t="s">
        <v>1098</v>
      </c>
      <c r="D342" t="s">
        <v>1099</v>
      </c>
      <c r="E342" t="s">
        <v>38</v>
      </c>
      <c r="F342">
        <v>10082018</v>
      </c>
      <c r="G342">
        <v>1</v>
      </c>
      <c r="H342" t="s">
        <v>48</v>
      </c>
      <c r="I342" t="s">
        <v>42</v>
      </c>
      <c r="J342" t="s">
        <v>59</v>
      </c>
      <c r="K342" t="s">
        <v>79</v>
      </c>
      <c r="M342" t="s">
        <v>65</v>
      </c>
      <c r="N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1</v>
      </c>
      <c r="V342" t="b">
        <v>0</v>
      </c>
      <c r="W342" t="b">
        <v>0</v>
      </c>
      <c r="X342" t="b">
        <v>0</v>
      </c>
      <c r="Y342" t="b">
        <v>0</v>
      </c>
      <c r="Z342" t="b">
        <v>1</v>
      </c>
      <c r="AA342" t="b">
        <v>0</v>
      </c>
      <c r="AB342" t="b">
        <v>0</v>
      </c>
      <c r="AC342" t="b">
        <v>1</v>
      </c>
      <c r="AD342" t="s">
        <v>1100</v>
      </c>
      <c r="AE342" t="s">
        <v>1101</v>
      </c>
    </row>
    <row r="343" spans="1:31" x14ac:dyDescent="0.3">
      <c r="A343">
        <v>-73.973022456159995</v>
      </c>
      <c r="B343">
        <v>40.779683335389997</v>
      </c>
      <c r="C343" t="s">
        <v>1102</v>
      </c>
      <c r="D343" t="s">
        <v>1103</v>
      </c>
      <c r="E343" t="s">
        <v>33</v>
      </c>
      <c r="F343">
        <v>10192018</v>
      </c>
      <c r="G343">
        <v>4</v>
      </c>
      <c r="H343" t="s">
        <v>48</v>
      </c>
      <c r="I343" t="s">
        <v>42</v>
      </c>
      <c r="J343" t="s">
        <v>53</v>
      </c>
      <c r="K343" t="s">
        <v>54</v>
      </c>
      <c r="M343" t="s">
        <v>65</v>
      </c>
      <c r="N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1</v>
      </c>
      <c r="V343" t="b">
        <v>0</v>
      </c>
      <c r="W343" t="b">
        <v>0</v>
      </c>
      <c r="X343" t="b">
        <v>0</v>
      </c>
      <c r="Y343" t="b">
        <v>0</v>
      </c>
      <c r="Z343" t="b">
        <v>1</v>
      </c>
      <c r="AA343" t="b">
        <v>0</v>
      </c>
      <c r="AB343" t="b">
        <v>1</v>
      </c>
      <c r="AC343" t="b">
        <v>0</v>
      </c>
      <c r="AE343" t="s">
        <v>1104</v>
      </c>
    </row>
    <row r="344" spans="1:31" x14ac:dyDescent="0.3">
      <c r="A344">
        <v>-73.975943215160001</v>
      </c>
      <c r="B344">
        <v>40.773324061259999</v>
      </c>
      <c r="C344" t="s">
        <v>1105</v>
      </c>
      <c r="D344" t="s">
        <v>235</v>
      </c>
      <c r="E344" t="s">
        <v>33</v>
      </c>
      <c r="F344">
        <v>10122018</v>
      </c>
      <c r="G344">
        <v>6</v>
      </c>
      <c r="H344" t="s">
        <v>48</v>
      </c>
      <c r="I344" t="s">
        <v>42</v>
      </c>
      <c r="J344" t="s">
        <v>96</v>
      </c>
      <c r="K344" t="s">
        <v>97</v>
      </c>
      <c r="M344" t="s">
        <v>44</v>
      </c>
      <c r="N344">
        <v>2</v>
      </c>
      <c r="O344" t="s">
        <v>1106</v>
      </c>
      <c r="P344" t="b">
        <v>0</v>
      </c>
      <c r="Q344" t="b">
        <v>0</v>
      </c>
      <c r="R344" t="b">
        <v>0</v>
      </c>
      <c r="S344" t="b">
        <v>1</v>
      </c>
      <c r="T344" t="b">
        <v>1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1</v>
      </c>
      <c r="AC344" t="b">
        <v>0</v>
      </c>
      <c r="AE344" t="s">
        <v>1107</v>
      </c>
    </row>
    <row r="345" spans="1:31" x14ac:dyDescent="0.3">
      <c r="A345">
        <v>-73.972445229629997</v>
      </c>
      <c r="B345">
        <v>40.771579211350002</v>
      </c>
      <c r="C345" t="s">
        <v>1108</v>
      </c>
      <c r="D345" t="s">
        <v>764</v>
      </c>
      <c r="E345" t="s">
        <v>33</v>
      </c>
      <c r="F345">
        <v>10122018</v>
      </c>
      <c r="G345">
        <v>3</v>
      </c>
      <c r="H345" t="s">
        <v>48</v>
      </c>
      <c r="I345" t="s">
        <v>42</v>
      </c>
      <c r="J345" t="s">
        <v>53</v>
      </c>
      <c r="K345" t="s">
        <v>54</v>
      </c>
      <c r="M345" t="s">
        <v>65</v>
      </c>
      <c r="N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1</v>
      </c>
      <c r="U345" t="s">
        <v>1109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1</v>
      </c>
      <c r="AC345" t="b">
        <v>0</v>
      </c>
      <c r="AE345" t="s">
        <v>1110</v>
      </c>
    </row>
    <row r="346" spans="1:31" x14ac:dyDescent="0.3">
      <c r="A346">
        <v>-73.971297156830005</v>
      </c>
      <c r="B346">
        <v>40.774552071709998</v>
      </c>
      <c r="C346" t="s">
        <v>1111</v>
      </c>
      <c r="D346" t="s">
        <v>1112</v>
      </c>
      <c r="E346" t="s">
        <v>38</v>
      </c>
      <c r="F346">
        <v>10132018</v>
      </c>
      <c r="G346">
        <v>2</v>
      </c>
      <c r="H346" t="s">
        <v>48</v>
      </c>
      <c r="I346" t="s">
        <v>42</v>
      </c>
      <c r="J346" t="s">
        <v>176</v>
      </c>
      <c r="K346" t="s">
        <v>339</v>
      </c>
      <c r="M346" t="s">
        <v>65</v>
      </c>
      <c r="N346" t="b">
        <v>0</v>
      </c>
      <c r="P346" t="b">
        <v>0</v>
      </c>
      <c r="Q346" t="b">
        <v>0</v>
      </c>
      <c r="R346" t="b">
        <v>0</v>
      </c>
      <c r="S346" t="b">
        <v>1</v>
      </c>
      <c r="T346" t="b">
        <v>1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1</v>
      </c>
      <c r="AC346" t="b">
        <v>0</v>
      </c>
      <c r="AE346" t="s">
        <v>1113</v>
      </c>
    </row>
    <row r="347" spans="1:31" x14ac:dyDescent="0.3">
      <c r="A347">
        <v>-73.961169614479999</v>
      </c>
      <c r="B347">
        <v>40.781669289520003</v>
      </c>
      <c r="C347" t="s">
        <v>1114</v>
      </c>
      <c r="D347" t="s">
        <v>1115</v>
      </c>
      <c r="E347" t="s">
        <v>38</v>
      </c>
      <c r="F347">
        <v>10072018</v>
      </c>
      <c r="G347">
        <v>3</v>
      </c>
      <c r="H347" t="s">
        <v>48</v>
      </c>
      <c r="I347" t="s">
        <v>42</v>
      </c>
      <c r="K347" t="s">
        <v>43</v>
      </c>
      <c r="M347" t="s">
        <v>44</v>
      </c>
      <c r="N347">
        <v>30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1</v>
      </c>
      <c r="AC347" t="b">
        <v>0</v>
      </c>
      <c r="AE347" t="s">
        <v>1116</v>
      </c>
    </row>
    <row r="348" spans="1:31" x14ac:dyDescent="0.3">
      <c r="A348">
        <v>-73.954299015060002</v>
      </c>
      <c r="B348">
        <v>40.794091530069998</v>
      </c>
      <c r="C348" t="s">
        <v>1117</v>
      </c>
      <c r="D348" t="s">
        <v>936</v>
      </c>
      <c r="E348" t="s">
        <v>33</v>
      </c>
      <c r="F348">
        <v>10072018</v>
      </c>
      <c r="G348">
        <v>9</v>
      </c>
      <c r="H348" t="s">
        <v>48</v>
      </c>
      <c r="I348" t="s">
        <v>53</v>
      </c>
      <c r="J348" t="s">
        <v>59</v>
      </c>
      <c r="K348" t="s">
        <v>60</v>
      </c>
      <c r="P348" t="b">
        <v>0</v>
      </c>
      <c r="Q348" t="b">
        <v>0</v>
      </c>
      <c r="R348" t="b">
        <v>0</v>
      </c>
      <c r="S348" t="b">
        <v>0</v>
      </c>
      <c r="T348" t="b">
        <v>1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E348" t="s">
        <v>1118</v>
      </c>
    </row>
    <row r="349" spans="1:31" x14ac:dyDescent="0.3">
      <c r="A349">
        <v>-73.968965703989994</v>
      </c>
      <c r="B349">
        <v>40.776783427680002</v>
      </c>
      <c r="C349" t="s">
        <v>1119</v>
      </c>
      <c r="D349" t="s">
        <v>232</v>
      </c>
      <c r="E349" t="s">
        <v>38</v>
      </c>
      <c r="F349">
        <v>10072018</v>
      </c>
      <c r="G349">
        <v>4</v>
      </c>
      <c r="H349" t="s">
        <v>48</v>
      </c>
      <c r="I349" t="s">
        <v>53</v>
      </c>
      <c r="J349" t="s">
        <v>59</v>
      </c>
      <c r="K349" t="s">
        <v>60</v>
      </c>
      <c r="M349" t="s">
        <v>65</v>
      </c>
      <c r="N349" t="b">
        <v>0</v>
      </c>
      <c r="P349" t="b">
        <v>0</v>
      </c>
      <c r="Q349" t="b">
        <v>0</v>
      </c>
      <c r="R349" t="b">
        <v>0</v>
      </c>
      <c r="S349" t="b">
        <v>1</v>
      </c>
      <c r="T349" t="b">
        <v>1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E349" t="s">
        <v>1120</v>
      </c>
    </row>
    <row r="350" spans="1:31" x14ac:dyDescent="0.3">
      <c r="A350">
        <v>-73.970747109949997</v>
      </c>
      <c r="B350">
        <v>40.775925513170002</v>
      </c>
      <c r="C350" t="s">
        <v>1121</v>
      </c>
      <c r="D350" t="s">
        <v>52</v>
      </c>
      <c r="E350" t="s">
        <v>38</v>
      </c>
      <c r="F350">
        <v>10172018</v>
      </c>
      <c r="G350">
        <v>8</v>
      </c>
      <c r="H350" t="s">
        <v>48</v>
      </c>
      <c r="I350" t="s">
        <v>42</v>
      </c>
      <c r="J350" t="s">
        <v>53</v>
      </c>
      <c r="K350" t="s">
        <v>54</v>
      </c>
      <c r="M350" t="s">
        <v>65</v>
      </c>
      <c r="N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E350" t="s">
        <v>1122</v>
      </c>
    </row>
    <row r="351" spans="1:31" x14ac:dyDescent="0.3">
      <c r="A351">
        <v>-73.971333059439999</v>
      </c>
      <c r="B351">
        <v>40.777192421419997</v>
      </c>
      <c r="C351" t="s">
        <v>1123</v>
      </c>
      <c r="D351" t="s">
        <v>729</v>
      </c>
      <c r="E351" t="s">
        <v>38</v>
      </c>
      <c r="F351">
        <v>10142018</v>
      </c>
      <c r="G351">
        <v>10</v>
      </c>
      <c r="H351" t="s">
        <v>48</v>
      </c>
      <c r="I351" t="s">
        <v>42</v>
      </c>
      <c r="J351" t="s">
        <v>96</v>
      </c>
      <c r="K351" t="s">
        <v>97</v>
      </c>
      <c r="M351" t="s">
        <v>65</v>
      </c>
      <c r="N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1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1</v>
      </c>
      <c r="AC351" t="b">
        <v>0</v>
      </c>
      <c r="AE351" t="s">
        <v>1124</v>
      </c>
    </row>
    <row r="352" spans="1:31" x14ac:dyDescent="0.3">
      <c r="A352">
        <v>-73.970540988330001</v>
      </c>
      <c r="B352">
        <v>40.769810306709999</v>
      </c>
      <c r="C352" t="s">
        <v>1125</v>
      </c>
      <c r="D352" t="s">
        <v>92</v>
      </c>
      <c r="E352" t="s">
        <v>38</v>
      </c>
      <c r="F352">
        <v>10062018</v>
      </c>
      <c r="G352">
        <v>6</v>
      </c>
      <c r="H352" t="s">
        <v>48</v>
      </c>
      <c r="I352" t="s">
        <v>42</v>
      </c>
      <c r="J352" t="s">
        <v>53</v>
      </c>
      <c r="K352" t="s">
        <v>54</v>
      </c>
      <c r="M352" t="s">
        <v>44</v>
      </c>
      <c r="N352">
        <v>12</v>
      </c>
      <c r="P352" t="b">
        <v>0</v>
      </c>
      <c r="Q352" t="b">
        <v>1</v>
      </c>
      <c r="R352" t="b">
        <v>0</v>
      </c>
      <c r="S352" t="b">
        <v>0</v>
      </c>
      <c r="T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1</v>
      </c>
      <c r="AC352" t="b">
        <v>0</v>
      </c>
      <c r="AE352" t="s">
        <v>1126</v>
      </c>
    </row>
    <row r="353" spans="1:31" x14ac:dyDescent="0.3">
      <c r="A353">
        <v>-73.974000775950003</v>
      </c>
      <c r="B353">
        <v>40.765007708650003</v>
      </c>
      <c r="C353" t="s">
        <v>1127</v>
      </c>
      <c r="D353" t="s">
        <v>1093</v>
      </c>
      <c r="E353" t="s">
        <v>33</v>
      </c>
      <c r="F353">
        <v>10132018</v>
      </c>
      <c r="G353">
        <v>1</v>
      </c>
      <c r="H353" t="s">
        <v>48</v>
      </c>
      <c r="I353" t="s">
        <v>42</v>
      </c>
      <c r="K353" t="s">
        <v>43</v>
      </c>
      <c r="M353" t="s">
        <v>65</v>
      </c>
      <c r="N353" t="b">
        <v>0</v>
      </c>
      <c r="P353" t="b">
        <v>0</v>
      </c>
      <c r="Q353" t="b">
        <v>0</v>
      </c>
      <c r="R353" t="b">
        <v>0</v>
      </c>
      <c r="S353" t="b">
        <v>1</v>
      </c>
      <c r="T353" t="b">
        <v>1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1</v>
      </c>
      <c r="AC353" t="b">
        <v>0</v>
      </c>
      <c r="AE353" t="s">
        <v>1128</v>
      </c>
    </row>
    <row r="354" spans="1:31" x14ac:dyDescent="0.3">
      <c r="A354">
        <v>-73.956675102229994</v>
      </c>
      <c r="B354">
        <v>40.799035789740003</v>
      </c>
      <c r="C354" t="s">
        <v>1129</v>
      </c>
      <c r="D354" t="s">
        <v>1130</v>
      </c>
      <c r="E354" t="s">
        <v>33</v>
      </c>
      <c r="F354">
        <v>10072018</v>
      </c>
      <c r="G354">
        <v>4</v>
      </c>
      <c r="H354" t="s">
        <v>48</v>
      </c>
      <c r="I354" t="s">
        <v>42</v>
      </c>
      <c r="J354" t="s">
        <v>59</v>
      </c>
      <c r="K354" t="s">
        <v>79</v>
      </c>
      <c r="M354" t="s">
        <v>44</v>
      </c>
      <c r="N354">
        <v>65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E354" t="s">
        <v>1131</v>
      </c>
    </row>
    <row r="355" spans="1:31" x14ac:dyDescent="0.3">
      <c r="A355">
        <v>-73.963963513470006</v>
      </c>
      <c r="B355">
        <v>40.790033759869999</v>
      </c>
      <c r="C355" t="s">
        <v>1132</v>
      </c>
      <c r="D355" t="s">
        <v>1133</v>
      </c>
      <c r="E355" t="s">
        <v>33</v>
      </c>
      <c r="F355">
        <v>10102018</v>
      </c>
      <c r="G355">
        <v>5</v>
      </c>
      <c r="H355" t="s">
        <v>48</v>
      </c>
      <c r="I355" t="s">
        <v>42</v>
      </c>
      <c r="J355" t="s">
        <v>96</v>
      </c>
      <c r="K355" t="s">
        <v>97</v>
      </c>
      <c r="M355" t="s">
        <v>65</v>
      </c>
      <c r="N355" t="b">
        <v>0</v>
      </c>
      <c r="P355" t="b">
        <v>0</v>
      </c>
      <c r="Q355" t="b">
        <v>0</v>
      </c>
      <c r="R355" t="b">
        <v>0</v>
      </c>
      <c r="S355" t="b">
        <v>1</v>
      </c>
      <c r="T355" t="b">
        <v>1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1</v>
      </c>
      <c r="AC355" t="b">
        <v>0</v>
      </c>
      <c r="AE355" t="s">
        <v>1134</v>
      </c>
    </row>
    <row r="356" spans="1:31" x14ac:dyDescent="0.3">
      <c r="A356">
        <v>-73.976103640009995</v>
      </c>
      <c r="B356">
        <v>40.770548268459997</v>
      </c>
      <c r="C356" t="s">
        <v>1135</v>
      </c>
      <c r="D356" t="s">
        <v>722</v>
      </c>
      <c r="E356" t="s">
        <v>33</v>
      </c>
      <c r="F356">
        <v>10202018</v>
      </c>
      <c r="G356">
        <v>3</v>
      </c>
      <c r="H356" t="s">
        <v>105</v>
      </c>
      <c r="I356" t="s">
        <v>42</v>
      </c>
      <c r="K356" t="s">
        <v>43</v>
      </c>
      <c r="M356" t="s">
        <v>65</v>
      </c>
      <c r="N356" t="b">
        <v>0</v>
      </c>
      <c r="P356" t="b">
        <v>0</v>
      </c>
      <c r="Q356" t="b">
        <v>1</v>
      </c>
      <c r="R356" t="b">
        <v>0</v>
      </c>
      <c r="S356" t="b">
        <v>0</v>
      </c>
      <c r="T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1</v>
      </c>
      <c r="AA356" t="b">
        <v>0</v>
      </c>
      <c r="AB356" t="b">
        <v>0</v>
      </c>
      <c r="AC356" t="b">
        <v>1</v>
      </c>
      <c r="AE356" t="s">
        <v>1136</v>
      </c>
    </row>
    <row r="357" spans="1:31" x14ac:dyDescent="0.3">
      <c r="A357">
        <v>-73.97248017842</v>
      </c>
      <c r="B357">
        <v>40.77901319667</v>
      </c>
      <c r="C357" t="s">
        <v>1137</v>
      </c>
      <c r="D357" t="s">
        <v>1138</v>
      </c>
      <c r="E357" t="s">
        <v>33</v>
      </c>
      <c r="F357">
        <v>10172018</v>
      </c>
      <c r="G357">
        <v>5</v>
      </c>
      <c r="H357" t="s">
        <v>48</v>
      </c>
      <c r="I357" t="s">
        <v>42</v>
      </c>
      <c r="J357" t="s">
        <v>59</v>
      </c>
      <c r="K357" t="s">
        <v>79</v>
      </c>
      <c r="M357" t="s">
        <v>65</v>
      </c>
      <c r="N357" t="b">
        <v>0</v>
      </c>
      <c r="P357" t="b">
        <v>0</v>
      </c>
      <c r="Q357" t="b">
        <v>0</v>
      </c>
      <c r="R357" t="b">
        <v>0</v>
      </c>
      <c r="S357" t="b">
        <v>1</v>
      </c>
      <c r="T357" t="b">
        <v>1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1</v>
      </c>
      <c r="AC357" t="b">
        <v>0</v>
      </c>
      <c r="AE357" t="s">
        <v>1139</v>
      </c>
    </row>
    <row r="358" spans="1:31" x14ac:dyDescent="0.3">
      <c r="A358">
        <v>-73.963565878639997</v>
      </c>
      <c r="B358">
        <v>40.77772917779</v>
      </c>
      <c r="C358" t="s">
        <v>1140</v>
      </c>
      <c r="D358" t="s">
        <v>1141</v>
      </c>
      <c r="E358" t="s">
        <v>38</v>
      </c>
      <c r="F358">
        <v>10172018</v>
      </c>
      <c r="G358">
        <v>3</v>
      </c>
      <c r="H358" t="s">
        <v>48</v>
      </c>
      <c r="I358" t="s">
        <v>53</v>
      </c>
      <c r="J358" t="s">
        <v>176</v>
      </c>
      <c r="K358" t="s">
        <v>1142</v>
      </c>
      <c r="M358" t="s">
        <v>65</v>
      </c>
      <c r="N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1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1</v>
      </c>
      <c r="AC358" t="b">
        <v>0</v>
      </c>
      <c r="AE358" t="s">
        <v>1143</v>
      </c>
    </row>
    <row r="359" spans="1:31" x14ac:dyDescent="0.3">
      <c r="A359">
        <v>-73.971640478129999</v>
      </c>
      <c r="B359">
        <v>40.775318185179998</v>
      </c>
      <c r="C359" t="s">
        <v>1144</v>
      </c>
      <c r="D359" t="s">
        <v>1145</v>
      </c>
      <c r="E359" t="s">
        <v>33</v>
      </c>
      <c r="F359">
        <v>10142018</v>
      </c>
      <c r="G359">
        <v>2</v>
      </c>
      <c r="H359" t="s">
        <v>48</v>
      </c>
      <c r="I359" t="s">
        <v>42</v>
      </c>
      <c r="J359" t="s">
        <v>59</v>
      </c>
      <c r="K359" t="s">
        <v>79</v>
      </c>
      <c r="M359" t="s">
        <v>44</v>
      </c>
      <c r="N359">
        <v>15</v>
      </c>
      <c r="P359" t="b">
        <v>0</v>
      </c>
      <c r="Q359" t="b">
        <v>0</v>
      </c>
      <c r="R359" t="b">
        <v>1</v>
      </c>
      <c r="S359" t="b">
        <v>0</v>
      </c>
      <c r="T359" t="b">
        <v>0</v>
      </c>
      <c r="U359" t="s">
        <v>1146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1</v>
      </c>
      <c r="AC359" t="b">
        <v>0</v>
      </c>
      <c r="AE359" t="s">
        <v>1147</v>
      </c>
    </row>
    <row r="360" spans="1:31" x14ac:dyDescent="0.3">
      <c r="A360">
        <v>-73.967205461020001</v>
      </c>
      <c r="B360">
        <v>40.78765199235</v>
      </c>
      <c r="C360" t="s">
        <v>1148</v>
      </c>
      <c r="D360" t="s">
        <v>478</v>
      </c>
      <c r="E360" t="s">
        <v>33</v>
      </c>
      <c r="F360">
        <v>10062018</v>
      </c>
      <c r="G360">
        <v>5</v>
      </c>
      <c r="H360" t="s">
        <v>48</v>
      </c>
      <c r="I360" t="s">
        <v>42</v>
      </c>
      <c r="K360" t="s">
        <v>43</v>
      </c>
      <c r="M360" t="s">
        <v>44</v>
      </c>
      <c r="N360">
        <v>40</v>
      </c>
      <c r="P360" t="b">
        <v>0</v>
      </c>
      <c r="Q360" t="b">
        <v>1</v>
      </c>
      <c r="R360" t="b">
        <v>0</v>
      </c>
      <c r="S360" t="b">
        <v>0</v>
      </c>
      <c r="T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1</v>
      </c>
      <c r="AA360" t="b">
        <v>0</v>
      </c>
      <c r="AB360" t="b">
        <v>0</v>
      </c>
      <c r="AC360" t="b">
        <v>0</v>
      </c>
      <c r="AE360" t="s">
        <v>1149</v>
      </c>
    </row>
    <row r="361" spans="1:31" x14ac:dyDescent="0.3">
      <c r="A361">
        <v>-73.961482443730006</v>
      </c>
      <c r="B361">
        <v>40.791292979989997</v>
      </c>
      <c r="C361" t="s">
        <v>1150</v>
      </c>
      <c r="D361" t="s">
        <v>607</v>
      </c>
      <c r="E361" t="s">
        <v>33</v>
      </c>
      <c r="F361">
        <v>10132018</v>
      </c>
      <c r="G361">
        <v>3</v>
      </c>
      <c r="H361" t="s">
        <v>48</v>
      </c>
      <c r="I361" t="s">
        <v>42</v>
      </c>
      <c r="K361" t="s">
        <v>43</v>
      </c>
      <c r="M361" t="s">
        <v>65</v>
      </c>
      <c r="N361" t="b">
        <v>0</v>
      </c>
      <c r="P361" t="b">
        <v>0</v>
      </c>
      <c r="Q361" t="b">
        <v>1</v>
      </c>
      <c r="R361" t="b">
        <v>0</v>
      </c>
      <c r="S361" t="b">
        <v>0</v>
      </c>
      <c r="T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1</v>
      </c>
      <c r="AA361" t="b">
        <v>0</v>
      </c>
      <c r="AB361" t="b">
        <v>0</v>
      </c>
      <c r="AC361" t="b">
        <v>0</v>
      </c>
      <c r="AE361" t="s">
        <v>1151</v>
      </c>
    </row>
    <row r="362" spans="1:31" x14ac:dyDescent="0.3">
      <c r="A362">
        <v>-73.957140799160001</v>
      </c>
      <c r="B362">
        <v>40.793191739640001</v>
      </c>
      <c r="C362" t="s">
        <v>1152</v>
      </c>
      <c r="D362" t="s">
        <v>483</v>
      </c>
      <c r="E362" t="s">
        <v>33</v>
      </c>
      <c r="F362">
        <v>10062018</v>
      </c>
      <c r="G362">
        <v>2</v>
      </c>
      <c r="H362" t="s">
        <v>48</v>
      </c>
      <c r="I362" t="s">
        <v>42</v>
      </c>
      <c r="J362" t="s">
        <v>96</v>
      </c>
      <c r="K362" t="s">
        <v>97</v>
      </c>
      <c r="M362" t="s">
        <v>65</v>
      </c>
      <c r="N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1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1</v>
      </c>
      <c r="AB362" t="b">
        <v>0</v>
      </c>
      <c r="AC362" t="b">
        <v>0</v>
      </c>
      <c r="AD362" t="s">
        <v>1153</v>
      </c>
      <c r="AE362" t="s">
        <v>1154</v>
      </c>
    </row>
    <row r="363" spans="1:31" x14ac:dyDescent="0.3">
      <c r="A363">
        <v>-73.970719727450003</v>
      </c>
      <c r="B363">
        <v>40.77739568034</v>
      </c>
      <c r="C363" t="s">
        <v>1155</v>
      </c>
      <c r="D363" t="s">
        <v>729</v>
      </c>
      <c r="E363" t="s">
        <v>33</v>
      </c>
      <c r="F363">
        <v>10192018</v>
      </c>
      <c r="G363">
        <v>12</v>
      </c>
      <c r="H363" t="s">
        <v>48</v>
      </c>
      <c r="I363" t="s">
        <v>42</v>
      </c>
      <c r="K363" t="s">
        <v>43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E363" t="s">
        <v>1156</v>
      </c>
    </row>
    <row r="364" spans="1:31" x14ac:dyDescent="0.3">
      <c r="A364">
        <v>-73.962369614799996</v>
      </c>
      <c r="B364">
        <v>40.792184861380001</v>
      </c>
      <c r="C364" t="s">
        <v>1157</v>
      </c>
      <c r="D364" t="s">
        <v>773</v>
      </c>
      <c r="E364" t="s">
        <v>38</v>
      </c>
      <c r="F364">
        <v>10172018</v>
      </c>
      <c r="G364">
        <v>4</v>
      </c>
      <c r="H364" t="s">
        <v>48</v>
      </c>
      <c r="I364" t="s">
        <v>42</v>
      </c>
      <c r="J364" t="s">
        <v>53</v>
      </c>
      <c r="K364" t="s">
        <v>54</v>
      </c>
      <c r="M364" t="s">
        <v>44</v>
      </c>
      <c r="N364">
        <v>13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1</v>
      </c>
      <c r="AE364" t="s">
        <v>1158</v>
      </c>
    </row>
    <row r="365" spans="1:31" x14ac:dyDescent="0.3">
      <c r="A365">
        <v>-73.957603507239995</v>
      </c>
      <c r="B365">
        <v>40.796612082480003</v>
      </c>
      <c r="C365" t="s">
        <v>1159</v>
      </c>
      <c r="D365" t="s">
        <v>175</v>
      </c>
      <c r="E365" t="s">
        <v>38</v>
      </c>
      <c r="F365">
        <v>10192018</v>
      </c>
      <c r="G365">
        <v>1</v>
      </c>
      <c r="H365" t="s">
        <v>105</v>
      </c>
      <c r="I365" t="s">
        <v>42</v>
      </c>
      <c r="J365" t="s">
        <v>59</v>
      </c>
      <c r="K365" t="s">
        <v>79</v>
      </c>
      <c r="M365" t="s">
        <v>65</v>
      </c>
      <c r="N365" t="b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1</v>
      </c>
      <c r="AD365" t="s">
        <v>1160</v>
      </c>
      <c r="AE365" t="s">
        <v>1161</v>
      </c>
    </row>
    <row r="366" spans="1:31" x14ac:dyDescent="0.3">
      <c r="A366">
        <v>-73.967354852710002</v>
      </c>
      <c r="B366">
        <v>40.776566905839999</v>
      </c>
      <c r="C366" t="s">
        <v>1162</v>
      </c>
      <c r="D366" t="s">
        <v>311</v>
      </c>
      <c r="E366" t="s">
        <v>33</v>
      </c>
      <c r="F366">
        <v>10192018</v>
      </c>
      <c r="G366">
        <v>11</v>
      </c>
      <c r="H366" t="s">
        <v>48</v>
      </c>
      <c r="I366" t="s">
        <v>42</v>
      </c>
      <c r="K366" t="s">
        <v>43</v>
      </c>
      <c r="M366" t="s">
        <v>44</v>
      </c>
      <c r="N366">
        <v>4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s">
        <v>647</v>
      </c>
      <c r="AE366" t="s">
        <v>1163</v>
      </c>
    </row>
    <row r="367" spans="1:31" x14ac:dyDescent="0.3">
      <c r="A367">
        <v>-73.970486286430003</v>
      </c>
      <c r="B367">
        <v>40.773958311169999</v>
      </c>
      <c r="C367" t="s">
        <v>1164</v>
      </c>
      <c r="D367" t="s">
        <v>1165</v>
      </c>
      <c r="E367" t="s">
        <v>33</v>
      </c>
      <c r="F367">
        <v>10062018</v>
      </c>
      <c r="G367">
        <v>2</v>
      </c>
      <c r="H367" t="s">
        <v>48</v>
      </c>
      <c r="I367" t="s">
        <v>42</v>
      </c>
      <c r="K367" t="s">
        <v>43</v>
      </c>
      <c r="M367" t="s">
        <v>65</v>
      </c>
      <c r="N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1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1</v>
      </c>
      <c r="AC367" t="b">
        <v>0</v>
      </c>
      <c r="AE367" t="s">
        <v>1166</v>
      </c>
    </row>
    <row r="368" spans="1:31" x14ac:dyDescent="0.3">
      <c r="A368">
        <v>-73.970315671920005</v>
      </c>
      <c r="B368">
        <v>40.77209053955</v>
      </c>
      <c r="C368" t="s">
        <v>1167</v>
      </c>
      <c r="D368" t="s">
        <v>600</v>
      </c>
      <c r="E368" t="s">
        <v>33</v>
      </c>
      <c r="F368">
        <v>10172018</v>
      </c>
      <c r="G368">
        <v>2</v>
      </c>
      <c r="H368" t="s">
        <v>48</v>
      </c>
      <c r="I368" t="s">
        <v>42</v>
      </c>
      <c r="J368" t="s">
        <v>53</v>
      </c>
      <c r="K368" t="s">
        <v>54</v>
      </c>
      <c r="M368" t="s">
        <v>65</v>
      </c>
      <c r="N368" t="b">
        <v>0</v>
      </c>
      <c r="P368" t="b">
        <v>0</v>
      </c>
      <c r="Q368" t="b">
        <v>0</v>
      </c>
      <c r="R368" t="b">
        <v>0</v>
      </c>
      <c r="S368" t="b">
        <v>1</v>
      </c>
      <c r="T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1</v>
      </c>
      <c r="AC368" t="b">
        <v>0</v>
      </c>
      <c r="AE368" t="s">
        <v>1168</v>
      </c>
    </row>
    <row r="369" spans="1:31" x14ac:dyDescent="0.3">
      <c r="A369">
        <v>-73.959639899720003</v>
      </c>
      <c r="B369">
        <v>40.793338695380001</v>
      </c>
      <c r="C369" t="s">
        <v>1169</v>
      </c>
      <c r="D369" t="s">
        <v>1170</v>
      </c>
      <c r="E369" t="s">
        <v>33</v>
      </c>
      <c r="F369">
        <v>10072018</v>
      </c>
      <c r="G369">
        <v>2</v>
      </c>
      <c r="H369" t="s">
        <v>48</v>
      </c>
      <c r="I369" t="s">
        <v>176</v>
      </c>
      <c r="K369" t="s">
        <v>177</v>
      </c>
      <c r="M369" t="s">
        <v>44</v>
      </c>
      <c r="N369">
        <v>25</v>
      </c>
      <c r="P369" t="b">
        <v>1</v>
      </c>
      <c r="Q369" t="b">
        <v>0</v>
      </c>
      <c r="R369" t="b">
        <v>1</v>
      </c>
      <c r="S369" t="b">
        <v>0</v>
      </c>
      <c r="T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s">
        <v>1171</v>
      </c>
      <c r="AE369" t="s">
        <v>1172</v>
      </c>
    </row>
    <row r="370" spans="1:31" x14ac:dyDescent="0.3">
      <c r="A370">
        <v>-73.954895786210002</v>
      </c>
      <c r="B370">
        <v>40.794484446459997</v>
      </c>
      <c r="C370" t="s">
        <v>1173</v>
      </c>
      <c r="D370" t="s">
        <v>936</v>
      </c>
      <c r="E370" t="s">
        <v>38</v>
      </c>
      <c r="F370">
        <v>10142018</v>
      </c>
      <c r="G370">
        <v>5</v>
      </c>
      <c r="H370" t="s">
        <v>48</v>
      </c>
      <c r="I370" t="s">
        <v>42</v>
      </c>
      <c r="K370" t="s">
        <v>43</v>
      </c>
      <c r="M370" t="s">
        <v>65</v>
      </c>
      <c r="N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1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1</v>
      </c>
      <c r="AC370" t="b">
        <v>0</v>
      </c>
      <c r="AE370" t="s">
        <v>1174</v>
      </c>
    </row>
    <row r="371" spans="1:31" x14ac:dyDescent="0.3">
      <c r="A371">
        <v>-73.964080104190003</v>
      </c>
      <c r="B371">
        <v>40.790789862730001</v>
      </c>
      <c r="C371" t="s">
        <v>1175</v>
      </c>
      <c r="D371" t="s">
        <v>908</v>
      </c>
      <c r="E371" t="s">
        <v>38</v>
      </c>
      <c r="F371">
        <v>10072018</v>
      </c>
      <c r="G371">
        <v>2</v>
      </c>
      <c r="H371" t="s">
        <v>48</v>
      </c>
      <c r="I371" t="s">
        <v>42</v>
      </c>
      <c r="K371" t="s">
        <v>43</v>
      </c>
      <c r="M371" t="s">
        <v>44</v>
      </c>
      <c r="N371">
        <v>15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E371" t="s">
        <v>1176</v>
      </c>
    </row>
    <row r="372" spans="1:31" x14ac:dyDescent="0.3">
      <c r="A372">
        <v>-73.978130386900006</v>
      </c>
      <c r="B372">
        <v>40.772500034890001</v>
      </c>
      <c r="C372" t="s">
        <v>1177</v>
      </c>
      <c r="D372" t="s">
        <v>493</v>
      </c>
      <c r="E372" t="s">
        <v>38</v>
      </c>
      <c r="F372">
        <v>10062018</v>
      </c>
      <c r="G372">
        <v>2</v>
      </c>
      <c r="H372" t="s">
        <v>48</v>
      </c>
      <c r="I372" t="s">
        <v>42</v>
      </c>
      <c r="J372" t="s">
        <v>53</v>
      </c>
      <c r="K372" t="s">
        <v>54</v>
      </c>
      <c r="M372" t="s">
        <v>44</v>
      </c>
      <c r="N372">
        <v>8</v>
      </c>
      <c r="O372" t="s">
        <v>456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1</v>
      </c>
      <c r="AE372" t="s">
        <v>1178</v>
      </c>
    </row>
    <row r="373" spans="1:31" x14ac:dyDescent="0.3">
      <c r="A373">
        <v>-73.967212728329997</v>
      </c>
      <c r="B373">
        <v>40.781066680510001</v>
      </c>
      <c r="C373" t="s">
        <v>1179</v>
      </c>
      <c r="D373" t="s">
        <v>1180</v>
      </c>
      <c r="E373" t="s">
        <v>38</v>
      </c>
      <c r="F373">
        <v>10072018</v>
      </c>
      <c r="G373">
        <v>1</v>
      </c>
      <c r="H373" t="s">
        <v>48</v>
      </c>
      <c r="I373" t="s">
        <v>42</v>
      </c>
      <c r="K373" t="s">
        <v>43</v>
      </c>
      <c r="L373" t="s">
        <v>1181</v>
      </c>
      <c r="M373" t="s">
        <v>65</v>
      </c>
      <c r="N373" t="b">
        <v>0</v>
      </c>
      <c r="P373" t="b">
        <v>1</v>
      </c>
      <c r="Q373" t="b">
        <v>0</v>
      </c>
      <c r="R373" t="b">
        <v>1</v>
      </c>
      <c r="S373" t="b">
        <v>1</v>
      </c>
      <c r="T373" t="b">
        <v>0</v>
      </c>
      <c r="U373" t="s">
        <v>1182</v>
      </c>
      <c r="V373" t="b">
        <v>0</v>
      </c>
      <c r="W373" t="b">
        <v>0</v>
      </c>
      <c r="X373" t="b">
        <v>0</v>
      </c>
      <c r="Y373" t="b">
        <v>1</v>
      </c>
      <c r="Z373" t="b">
        <v>0</v>
      </c>
      <c r="AA373" t="b">
        <v>0</v>
      </c>
      <c r="AB373" t="b">
        <v>0</v>
      </c>
      <c r="AC373" t="b">
        <v>0</v>
      </c>
      <c r="AE373" t="s">
        <v>1183</v>
      </c>
    </row>
    <row r="374" spans="1:31" x14ac:dyDescent="0.3">
      <c r="A374">
        <v>-73.955681795839993</v>
      </c>
      <c r="B374">
        <v>40.788852000619997</v>
      </c>
      <c r="C374" t="s">
        <v>1184</v>
      </c>
      <c r="D374" t="s">
        <v>873</v>
      </c>
      <c r="E374" t="s">
        <v>38</v>
      </c>
      <c r="F374">
        <v>10132018</v>
      </c>
      <c r="G374">
        <v>2</v>
      </c>
      <c r="H374" t="s">
        <v>105</v>
      </c>
      <c r="I374" t="s">
        <v>42</v>
      </c>
      <c r="J374" t="s">
        <v>53</v>
      </c>
      <c r="K374" t="s">
        <v>54</v>
      </c>
      <c r="M374" t="s">
        <v>44</v>
      </c>
      <c r="N374">
        <v>15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s">
        <v>1185</v>
      </c>
      <c r="AE374" t="s">
        <v>1186</v>
      </c>
    </row>
    <row r="375" spans="1:31" x14ac:dyDescent="0.3">
      <c r="A375">
        <v>-73.975200013000006</v>
      </c>
      <c r="B375">
        <v>40.773291812220002</v>
      </c>
      <c r="C375" t="s">
        <v>1187</v>
      </c>
      <c r="D375" t="s">
        <v>793</v>
      </c>
      <c r="E375" t="s">
        <v>33</v>
      </c>
      <c r="F375">
        <v>10132018</v>
      </c>
      <c r="G375">
        <v>4</v>
      </c>
      <c r="H375" t="s">
        <v>105</v>
      </c>
      <c r="I375" t="s">
        <v>53</v>
      </c>
      <c r="J375" t="s">
        <v>59</v>
      </c>
      <c r="K375" t="s">
        <v>60</v>
      </c>
      <c r="M375" t="s">
        <v>65</v>
      </c>
      <c r="N375" t="b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1</v>
      </c>
      <c r="AC375" t="b">
        <v>0</v>
      </c>
      <c r="AE375" t="s">
        <v>1188</v>
      </c>
    </row>
    <row r="376" spans="1:31" x14ac:dyDescent="0.3">
      <c r="A376">
        <v>-73.969881707919996</v>
      </c>
      <c r="B376">
        <v>40.775832262770003</v>
      </c>
      <c r="C376" t="s">
        <v>1189</v>
      </c>
      <c r="D376" t="s">
        <v>52</v>
      </c>
      <c r="E376" t="s">
        <v>33</v>
      </c>
      <c r="F376">
        <v>10082018</v>
      </c>
      <c r="G376">
        <v>10</v>
      </c>
      <c r="H376" t="s">
        <v>48</v>
      </c>
      <c r="I376" t="s">
        <v>53</v>
      </c>
      <c r="J376" t="s">
        <v>59</v>
      </c>
      <c r="K376" t="s">
        <v>60</v>
      </c>
      <c r="M376" t="s">
        <v>65</v>
      </c>
      <c r="N376" t="b">
        <v>0</v>
      </c>
      <c r="P376" t="b">
        <v>0</v>
      </c>
      <c r="Q376" t="b">
        <v>0</v>
      </c>
      <c r="R376" t="b">
        <v>0</v>
      </c>
      <c r="S376" t="b">
        <v>1</v>
      </c>
      <c r="T376" t="b">
        <v>1</v>
      </c>
      <c r="V376" t="b">
        <v>0</v>
      </c>
      <c r="W376" t="b">
        <v>0</v>
      </c>
      <c r="X376" t="b">
        <v>0</v>
      </c>
      <c r="Y376" t="b">
        <v>0</v>
      </c>
      <c r="Z376" t="b">
        <v>1</v>
      </c>
      <c r="AA376" t="b">
        <v>0</v>
      </c>
      <c r="AB376" t="b">
        <v>0</v>
      </c>
      <c r="AC376" t="b">
        <v>1</v>
      </c>
      <c r="AE376" t="s">
        <v>1190</v>
      </c>
    </row>
    <row r="377" spans="1:31" x14ac:dyDescent="0.3">
      <c r="A377">
        <v>-73.975700194479998</v>
      </c>
      <c r="B377">
        <v>40.76949979055</v>
      </c>
      <c r="C377" t="s">
        <v>1191</v>
      </c>
      <c r="D377" t="s">
        <v>245</v>
      </c>
      <c r="E377" t="s">
        <v>38</v>
      </c>
      <c r="F377">
        <v>10082018</v>
      </c>
      <c r="G377">
        <v>9</v>
      </c>
      <c r="H377" t="s">
        <v>48</v>
      </c>
      <c r="I377" t="s">
        <v>53</v>
      </c>
      <c r="J377" t="s">
        <v>42</v>
      </c>
      <c r="K377" t="s">
        <v>89</v>
      </c>
      <c r="M377" t="s">
        <v>44</v>
      </c>
      <c r="N377">
        <v>2</v>
      </c>
      <c r="O377" t="s">
        <v>1192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1</v>
      </c>
      <c r="AC377" t="b">
        <v>0</v>
      </c>
      <c r="AE377" t="s">
        <v>1193</v>
      </c>
    </row>
    <row r="378" spans="1:31" x14ac:dyDescent="0.3">
      <c r="A378">
        <v>-73.958483541679996</v>
      </c>
      <c r="B378">
        <v>40.797821339690003</v>
      </c>
      <c r="C378" t="s">
        <v>1194</v>
      </c>
      <c r="D378" t="s">
        <v>802</v>
      </c>
      <c r="E378" t="s">
        <v>33</v>
      </c>
      <c r="F378">
        <v>10142018</v>
      </c>
      <c r="G378">
        <v>6</v>
      </c>
      <c r="H378" t="s">
        <v>48</v>
      </c>
      <c r="I378" t="s">
        <v>42</v>
      </c>
      <c r="J378" t="s">
        <v>53</v>
      </c>
      <c r="K378" t="s">
        <v>54</v>
      </c>
      <c r="M378" t="s">
        <v>44</v>
      </c>
      <c r="N378">
        <v>10</v>
      </c>
      <c r="P378" t="b">
        <v>0</v>
      </c>
      <c r="Q378" t="b">
        <v>0</v>
      </c>
      <c r="R378" t="b">
        <v>1</v>
      </c>
      <c r="S378" t="b">
        <v>0</v>
      </c>
      <c r="T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1</v>
      </c>
      <c r="AC378" t="b">
        <v>0</v>
      </c>
      <c r="AE378" t="s">
        <v>1195</v>
      </c>
    </row>
    <row r="379" spans="1:31" x14ac:dyDescent="0.3">
      <c r="A379">
        <v>-73.960681705349998</v>
      </c>
      <c r="B379">
        <v>40.79173204504</v>
      </c>
      <c r="C379" t="s">
        <v>1196</v>
      </c>
      <c r="D379" t="s">
        <v>294</v>
      </c>
      <c r="E379" t="s">
        <v>33</v>
      </c>
      <c r="F379">
        <v>10062018</v>
      </c>
      <c r="G379">
        <v>7</v>
      </c>
      <c r="H379" t="s">
        <v>48</v>
      </c>
      <c r="I379" t="s">
        <v>42</v>
      </c>
      <c r="J379" t="s">
        <v>148</v>
      </c>
      <c r="K379" t="s">
        <v>149</v>
      </c>
      <c r="M379" t="s">
        <v>65</v>
      </c>
      <c r="N379" t="b">
        <v>0</v>
      </c>
      <c r="P379" t="b">
        <v>0</v>
      </c>
      <c r="Q379" t="b">
        <v>0</v>
      </c>
      <c r="R379" t="b">
        <v>0</v>
      </c>
      <c r="S379" t="b">
        <v>1</v>
      </c>
      <c r="T379" t="b">
        <v>0</v>
      </c>
      <c r="V379" t="b">
        <v>0</v>
      </c>
      <c r="W379" t="b">
        <v>0</v>
      </c>
      <c r="X379" t="b">
        <v>0</v>
      </c>
      <c r="Y379" t="b">
        <v>1</v>
      </c>
      <c r="Z379" t="b">
        <v>0</v>
      </c>
      <c r="AA379" t="b">
        <v>0</v>
      </c>
      <c r="AB379" t="b">
        <v>1</v>
      </c>
      <c r="AC379" t="b">
        <v>0</v>
      </c>
      <c r="AE379" t="s">
        <v>1197</v>
      </c>
    </row>
    <row r="380" spans="1:31" x14ac:dyDescent="0.3">
      <c r="A380">
        <v>-73.964959011990004</v>
      </c>
      <c r="B380">
        <v>40.782210792080001</v>
      </c>
      <c r="C380" t="s">
        <v>1198</v>
      </c>
      <c r="D380" t="s">
        <v>1199</v>
      </c>
      <c r="E380" t="s">
        <v>38</v>
      </c>
      <c r="F380">
        <v>10182018</v>
      </c>
      <c r="G380">
        <v>1</v>
      </c>
      <c r="H380" t="s">
        <v>48</v>
      </c>
      <c r="I380" t="s">
        <v>42</v>
      </c>
      <c r="K380" t="s">
        <v>43</v>
      </c>
      <c r="M380" t="s">
        <v>44</v>
      </c>
      <c r="N380">
        <v>15</v>
      </c>
      <c r="P380" t="b">
        <v>0</v>
      </c>
      <c r="Q380" t="b">
        <v>0</v>
      </c>
      <c r="R380" t="b">
        <v>1</v>
      </c>
      <c r="S380" t="b">
        <v>0</v>
      </c>
      <c r="T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1</v>
      </c>
      <c r="AA380" t="b">
        <v>0</v>
      </c>
      <c r="AB380" t="b">
        <v>1</v>
      </c>
      <c r="AC380" t="b">
        <v>0</v>
      </c>
      <c r="AE380" t="s">
        <v>1200</v>
      </c>
    </row>
    <row r="381" spans="1:31" x14ac:dyDescent="0.3">
      <c r="A381">
        <v>-73.959709414700001</v>
      </c>
      <c r="B381">
        <v>40.791974508599999</v>
      </c>
      <c r="C381" t="s">
        <v>1201</v>
      </c>
      <c r="D381" t="s">
        <v>1202</v>
      </c>
      <c r="E381" t="s">
        <v>33</v>
      </c>
      <c r="F381">
        <v>10062018</v>
      </c>
      <c r="G381">
        <v>3</v>
      </c>
      <c r="I381" t="s">
        <v>176</v>
      </c>
      <c r="K381" t="s">
        <v>177</v>
      </c>
      <c r="M381" t="s">
        <v>44</v>
      </c>
      <c r="N381">
        <v>15</v>
      </c>
      <c r="P381" t="b">
        <v>1</v>
      </c>
      <c r="Q381" t="b">
        <v>0</v>
      </c>
      <c r="R381" t="b">
        <v>0</v>
      </c>
      <c r="S381" t="b">
        <v>1</v>
      </c>
      <c r="T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1</v>
      </c>
      <c r="AA381" t="b">
        <v>0</v>
      </c>
      <c r="AB381" t="b">
        <v>0</v>
      </c>
      <c r="AC381" t="b">
        <v>1</v>
      </c>
      <c r="AD381" t="s">
        <v>1203</v>
      </c>
      <c r="AE381" t="s">
        <v>1204</v>
      </c>
    </row>
    <row r="382" spans="1:31" x14ac:dyDescent="0.3">
      <c r="A382">
        <v>-73.973594683550004</v>
      </c>
      <c r="B382">
        <v>40.772415575129997</v>
      </c>
      <c r="C382" t="s">
        <v>1205</v>
      </c>
      <c r="D382" t="s">
        <v>1206</v>
      </c>
      <c r="E382" t="s">
        <v>33</v>
      </c>
      <c r="F382">
        <v>10082018</v>
      </c>
      <c r="G382">
        <v>1</v>
      </c>
      <c r="H382" t="s">
        <v>48</v>
      </c>
      <c r="I382" t="s">
        <v>42</v>
      </c>
      <c r="J382" t="s">
        <v>59</v>
      </c>
      <c r="K382" t="s">
        <v>79</v>
      </c>
      <c r="M382" t="s">
        <v>65</v>
      </c>
      <c r="N382" t="b">
        <v>0</v>
      </c>
      <c r="O382" t="s">
        <v>1207</v>
      </c>
      <c r="P382" t="b">
        <v>0</v>
      </c>
      <c r="Q382" t="b">
        <v>0</v>
      </c>
      <c r="R382" t="b">
        <v>0</v>
      </c>
      <c r="S382" t="b">
        <v>1</v>
      </c>
      <c r="T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1</v>
      </c>
      <c r="AB382" t="b">
        <v>0</v>
      </c>
      <c r="AC382" t="b">
        <v>0</v>
      </c>
      <c r="AD382" t="s">
        <v>1208</v>
      </c>
      <c r="AE382" t="s">
        <v>1209</v>
      </c>
    </row>
    <row r="383" spans="1:31" x14ac:dyDescent="0.3">
      <c r="A383">
        <v>-73.958835887969997</v>
      </c>
      <c r="B383">
        <v>40.791263191310001</v>
      </c>
      <c r="C383" t="s">
        <v>1210</v>
      </c>
      <c r="D383" t="s">
        <v>1211</v>
      </c>
      <c r="E383" t="s">
        <v>33</v>
      </c>
      <c r="F383">
        <v>10122018</v>
      </c>
      <c r="G383">
        <v>1</v>
      </c>
      <c r="H383" t="s">
        <v>48</v>
      </c>
      <c r="I383" t="s">
        <v>42</v>
      </c>
      <c r="J383" t="s">
        <v>59</v>
      </c>
      <c r="K383" t="s">
        <v>79</v>
      </c>
      <c r="M383" t="s">
        <v>65</v>
      </c>
      <c r="N383" t="b">
        <v>0</v>
      </c>
      <c r="P383" t="b">
        <v>0</v>
      </c>
      <c r="Q383" t="b">
        <v>0</v>
      </c>
      <c r="R383" t="b">
        <v>0</v>
      </c>
      <c r="S383" t="b">
        <v>1</v>
      </c>
      <c r="T383" t="b">
        <v>1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1</v>
      </c>
      <c r="AE383" t="s">
        <v>1212</v>
      </c>
    </row>
    <row r="384" spans="1:31" x14ac:dyDescent="0.3">
      <c r="A384">
        <v>-73.968045072739997</v>
      </c>
      <c r="B384">
        <v>40.783662671720002</v>
      </c>
      <c r="C384" t="s">
        <v>1213</v>
      </c>
      <c r="D384" t="s">
        <v>689</v>
      </c>
      <c r="E384" t="s">
        <v>38</v>
      </c>
      <c r="F384">
        <v>10132018</v>
      </c>
      <c r="G384">
        <v>2</v>
      </c>
      <c r="H384" t="s">
        <v>48</v>
      </c>
      <c r="I384" t="s">
        <v>53</v>
      </c>
      <c r="J384" t="s">
        <v>42</v>
      </c>
      <c r="K384" t="s">
        <v>89</v>
      </c>
      <c r="M384" t="s">
        <v>44</v>
      </c>
      <c r="N384">
        <v>4</v>
      </c>
      <c r="P384" t="b">
        <v>0</v>
      </c>
      <c r="Q384" t="b">
        <v>0</v>
      </c>
      <c r="R384" t="b">
        <v>1</v>
      </c>
      <c r="S384" t="b">
        <v>0</v>
      </c>
      <c r="T384" t="b">
        <v>1</v>
      </c>
      <c r="V384" t="b">
        <v>1</v>
      </c>
      <c r="W384" t="b">
        <v>0</v>
      </c>
      <c r="X384" t="b">
        <v>0</v>
      </c>
      <c r="Y384" t="b">
        <v>1</v>
      </c>
      <c r="Z384" t="b">
        <v>0</v>
      </c>
      <c r="AA384" t="b">
        <v>0</v>
      </c>
      <c r="AB384" t="b">
        <v>0</v>
      </c>
      <c r="AC384" t="b">
        <v>1</v>
      </c>
      <c r="AE384" t="s">
        <v>1214</v>
      </c>
    </row>
    <row r="385" spans="1:31" x14ac:dyDescent="0.3">
      <c r="A385">
        <v>-73.979316275900004</v>
      </c>
      <c r="B385">
        <v>40.769213472760001</v>
      </c>
      <c r="C385" t="s">
        <v>1215</v>
      </c>
      <c r="D385" t="s">
        <v>455</v>
      </c>
      <c r="E385" t="s">
        <v>33</v>
      </c>
      <c r="F385">
        <v>10072018</v>
      </c>
      <c r="G385">
        <v>1</v>
      </c>
      <c r="H385" t="s">
        <v>48</v>
      </c>
      <c r="I385" t="s">
        <v>42</v>
      </c>
      <c r="J385" t="s">
        <v>59</v>
      </c>
      <c r="K385" t="s">
        <v>79</v>
      </c>
      <c r="M385" t="s">
        <v>44</v>
      </c>
      <c r="O385" t="s">
        <v>456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s">
        <v>1216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E385" t="s">
        <v>1217</v>
      </c>
    </row>
    <row r="386" spans="1:31" x14ac:dyDescent="0.3">
      <c r="A386">
        <v>-73.955035138100001</v>
      </c>
      <c r="B386">
        <v>40.797468152219999</v>
      </c>
      <c r="C386" t="s">
        <v>1218</v>
      </c>
      <c r="D386" t="s">
        <v>627</v>
      </c>
      <c r="E386" t="s">
        <v>38</v>
      </c>
      <c r="F386">
        <v>10142018</v>
      </c>
      <c r="G386">
        <v>1</v>
      </c>
      <c r="H386" t="s">
        <v>48</v>
      </c>
      <c r="I386" t="s">
        <v>42</v>
      </c>
      <c r="J386" t="s">
        <v>59</v>
      </c>
      <c r="K386" t="s">
        <v>79</v>
      </c>
      <c r="M386" t="s">
        <v>65</v>
      </c>
      <c r="N386" t="b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1</v>
      </c>
      <c r="AE386" t="s">
        <v>1219</v>
      </c>
    </row>
    <row r="387" spans="1:31" x14ac:dyDescent="0.3">
      <c r="A387">
        <v>-73.957831652549999</v>
      </c>
      <c r="B387">
        <v>40.789010295959997</v>
      </c>
      <c r="C387" t="s">
        <v>1220</v>
      </c>
      <c r="D387" t="s">
        <v>1221</v>
      </c>
      <c r="E387" t="s">
        <v>33</v>
      </c>
      <c r="F387">
        <v>10072018</v>
      </c>
      <c r="G387">
        <v>1</v>
      </c>
      <c r="H387" t="s">
        <v>48</v>
      </c>
      <c r="I387" t="s">
        <v>42</v>
      </c>
      <c r="K387" t="s">
        <v>43</v>
      </c>
      <c r="M387" t="s">
        <v>44</v>
      </c>
      <c r="N387">
        <v>15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s">
        <v>1222</v>
      </c>
      <c r="V387" t="b">
        <v>0</v>
      </c>
      <c r="W387" t="b">
        <v>0</v>
      </c>
      <c r="X387" t="b">
        <v>0</v>
      </c>
      <c r="Y387" t="b">
        <v>0</v>
      </c>
      <c r="Z387" t="b">
        <v>1</v>
      </c>
      <c r="AA387" t="b">
        <v>0</v>
      </c>
      <c r="AB387" t="b">
        <v>0</v>
      </c>
      <c r="AC387" t="b">
        <v>0</v>
      </c>
      <c r="AD387" t="s">
        <v>1223</v>
      </c>
      <c r="AE387" t="s">
        <v>1224</v>
      </c>
    </row>
    <row r="388" spans="1:31" x14ac:dyDescent="0.3">
      <c r="A388">
        <v>-73.959253749699997</v>
      </c>
      <c r="B388">
        <v>40.791927182130003</v>
      </c>
      <c r="C388" t="s">
        <v>1225</v>
      </c>
      <c r="D388" t="s">
        <v>1211</v>
      </c>
      <c r="E388" t="s">
        <v>38</v>
      </c>
      <c r="F388">
        <v>10142018</v>
      </c>
      <c r="G388">
        <v>3</v>
      </c>
      <c r="H388" t="s">
        <v>48</v>
      </c>
      <c r="I388" t="s">
        <v>176</v>
      </c>
      <c r="K388" t="s">
        <v>177</v>
      </c>
      <c r="M388" t="s">
        <v>44</v>
      </c>
      <c r="N388">
        <v>5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1</v>
      </c>
      <c r="AE388" t="s">
        <v>1226</v>
      </c>
    </row>
    <row r="389" spans="1:31" x14ac:dyDescent="0.3">
      <c r="A389">
        <v>-73.973396628230006</v>
      </c>
      <c r="B389">
        <v>40.771717962709999</v>
      </c>
      <c r="C389" t="s">
        <v>1227</v>
      </c>
      <c r="D389" t="s">
        <v>1206</v>
      </c>
      <c r="E389" t="s">
        <v>33</v>
      </c>
      <c r="F389">
        <v>10082018</v>
      </c>
      <c r="G389">
        <v>8</v>
      </c>
      <c r="H389" t="s">
        <v>48</v>
      </c>
      <c r="I389" t="s">
        <v>42</v>
      </c>
      <c r="J389" t="s">
        <v>59</v>
      </c>
      <c r="K389" t="s">
        <v>79</v>
      </c>
      <c r="M389" t="s">
        <v>65</v>
      </c>
      <c r="N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1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E389" t="s">
        <v>1228</v>
      </c>
    </row>
    <row r="390" spans="1:31" x14ac:dyDescent="0.3">
      <c r="A390">
        <v>-73.970720187660007</v>
      </c>
      <c r="B390">
        <v>40.777456479999998</v>
      </c>
      <c r="C390" t="s">
        <v>1229</v>
      </c>
      <c r="D390" t="s">
        <v>729</v>
      </c>
      <c r="E390" t="s">
        <v>33</v>
      </c>
      <c r="F390">
        <v>10192018</v>
      </c>
      <c r="G390">
        <v>11</v>
      </c>
      <c r="H390" t="s">
        <v>48</v>
      </c>
      <c r="I390" t="s">
        <v>42</v>
      </c>
      <c r="K390" t="s">
        <v>43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E390" t="s">
        <v>1230</v>
      </c>
    </row>
    <row r="391" spans="1:31" x14ac:dyDescent="0.3">
      <c r="A391">
        <v>-73.979087548039999</v>
      </c>
      <c r="B391">
        <v>40.767610478069997</v>
      </c>
      <c r="C391" t="s">
        <v>1231</v>
      </c>
      <c r="D391" t="s">
        <v>1232</v>
      </c>
      <c r="E391" t="s">
        <v>38</v>
      </c>
      <c r="F391">
        <v>10102018</v>
      </c>
      <c r="G391">
        <v>3</v>
      </c>
      <c r="H391" t="s">
        <v>48</v>
      </c>
      <c r="I391" t="s">
        <v>176</v>
      </c>
      <c r="J391" t="s">
        <v>42</v>
      </c>
      <c r="K391" t="s">
        <v>1233</v>
      </c>
      <c r="M391" t="s">
        <v>44</v>
      </c>
      <c r="N391">
        <v>30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E391" t="s">
        <v>1234</v>
      </c>
    </row>
    <row r="392" spans="1:31" x14ac:dyDescent="0.3">
      <c r="A392">
        <v>-73.980237613100002</v>
      </c>
      <c r="B392">
        <v>40.768070751659998</v>
      </c>
      <c r="C392" t="s">
        <v>1235</v>
      </c>
      <c r="D392" t="s">
        <v>851</v>
      </c>
      <c r="E392" t="s">
        <v>38</v>
      </c>
      <c r="F392">
        <v>10122018</v>
      </c>
      <c r="G392">
        <v>12</v>
      </c>
      <c r="H392" t="s">
        <v>48</v>
      </c>
      <c r="I392" t="s">
        <v>53</v>
      </c>
      <c r="J392" t="s">
        <v>42</v>
      </c>
      <c r="K392" t="s">
        <v>89</v>
      </c>
      <c r="M392" t="s">
        <v>65</v>
      </c>
      <c r="N392" t="b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1</v>
      </c>
      <c r="AC392" t="b">
        <v>0</v>
      </c>
      <c r="AE392" t="s">
        <v>1236</v>
      </c>
    </row>
    <row r="393" spans="1:31" x14ac:dyDescent="0.3">
      <c r="A393">
        <v>-73.957721262969997</v>
      </c>
      <c r="B393">
        <v>40.796552529670002</v>
      </c>
      <c r="C393" t="s">
        <v>1237</v>
      </c>
      <c r="D393" t="s">
        <v>175</v>
      </c>
      <c r="E393" t="s">
        <v>33</v>
      </c>
      <c r="F393">
        <v>10142018</v>
      </c>
      <c r="G393">
        <v>6</v>
      </c>
      <c r="H393" t="s">
        <v>48</v>
      </c>
      <c r="I393" t="s">
        <v>42</v>
      </c>
      <c r="J393" t="s">
        <v>53</v>
      </c>
      <c r="K393" t="s">
        <v>54</v>
      </c>
      <c r="M393" t="s">
        <v>65</v>
      </c>
      <c r="N393" t="b">
        <v>0</v>
      </c>
      <c r="P393" t="b">
        <v>0</v>
      </c>
      <c r="Q393" t="b">
        <v>0</v>
      </c>
      <c r="R393" t="b">
        <v>0</v>
      </c>
      <c r="S393" t="b">
        <v>1</v>
      </c>
      <c r="T393" t="b">
        <v>1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1</v>
      </c>
      <c r="AC393" t="b">
        <v>0</v>
      </c>
      <c r="AE393" t="s">
        <v>1238</v>
      </c>
    </row>
    <row r="394" spans="1:31" x14ac:dyDescent="0.3">
      <c r="A394">
        <v>-73.971988824180002</v>
      </c>
      <c r="B394">
        <v>40.766768168539997</v>
      </c>
      <c r="C394" t="s">
        <v>1239</v>
      </c>
      <c r="D394" t="s">
        <v>1240</v>
      </c>
      <c r="E394" t="s">
        <v>33</v>
      </c>
      <c r="F394">
        <v>10072018</v>
      </c>
      <c r="G394">
        <v>3</v>
      </c>
      <c r="H394" t="s">
        <v>48</v>
      </c>
      <c r="I394" t="s">
        <v>42</v>
      </c>
      <c r="J394" t="s">
        <v>96</v>
      </c>
      <c r="K394" t="s">
        <v>97</v>
      </c>
      <c r="M394" t="s">
        <v>44</v>
      </c>
      <c r="N394">
        <v>3</v>
      </c>
      <c r="O394" t="s">
        <v>1241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s">
        <v>1242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E394" t="s">
        <v>1243</v>
      </c>
    </row>
    <row r="395" spans="1:31" x14ac:dyDescent="0.3">
      <c r="A395">
        <v>-73.956568630039996</v>
      </c>
      <c r="B395">
        <v>40.797592846000001</v>
      </c>
      <c r="C395" t="s">
        <v>1244</v>
      </c>
      <c r="D395" t="s">
        <v>1245</v>
      </c>
      <c r="E395" t="s">
        <v>33</v>
      </c>
      <c r="F395">
        <v>10062018</v>
      </c>
      <c r="G395">
        <v>3</v>
      </c>
      <c r="H395" t="s">
        <v>48</v>
      </c>
      <c r="I395" t="s">
        <v>42</v>
      </c>
      <c r="K395" t="s">
        <v>43</v>
      </c>
      <c r="M395" t="s">
        <v>65</v>
      </c>
      <c r="N395" t="b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E395" t="s">
        <v>1246</v>
      </c>
    </row>
    <row r="396" spans="1:31" x14ac:dyDescent="0.3">
      <c r="A396">
        <v>-73.966920660569997</v>
      </c>
      <c r="B396">
        <v>40.77481557011</v>
      </c>
      <c r="C396" t="s">
        <v>1247</v>
      </c>
      <c r="D396" t="s">
        <v>189</v>
      </c>
      <c r="E396" t="s">
        <v>33</v>
      </c>
      <c r="F396">
        <v>10102018</v>
      </c>
      <c r="G396">
        <v>3</v>
      </c>
      <c r="H396" t="s">
        <v>48</v>
      </c>
      <c r="I396" t="s">
        <v>42</v>
      </c>
      <c r="K396" t="s">
        <v>43</v>
      </c>
      <c r="M396" t="s">
        <v>65</v>
      </c>
      <c r="N396" t="b">
        <v>0</v>
      </c>
      <c r="O396" t="s">
        <v>1248</v>
      </c>
      <c r="P396" t="b">
        <v>0</v>
      </c>
      <c r="Q396" t="b">
        <v>0</v>
      </c>
      <c r="R396" t="b">
        <v>0</v>
      </c>
      <c r="S396" t="b">
        <v>1</v>
      </c>
      <c r="T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1</v>
      </c>
      <c r="AC396" t="b">
        <v>0</v>
      </c>
      <c r="AE396" t="s">
        <v>1249</v>
      </c>
    </row>
    <row r="397" spans="1:31" x14ac:dyDescent="0.3">
      <c r="A397">
        <v>-73.969041696190004</v>
      </c>
      <c r="B397">
        <v>40.771661867100001</v>
      </c>
      <c r="C397" t="s">
        <v>1250</v>
      </c>
      <c r="D397" t="s">
        <v>1251</v>
      </c>
      <c r="E397" t="s">
        <v>38</v>
      </c>
      <c r="F397">
        <v>10142018</v>
      </c>
      <c r="G397">
        <v>5</v>
      </c>
      <c r="I397" t="s">
        <v>53</v>
      </c>
      <c r="K397" t="s">
        <v>155</v>
      </c>
      <c r="M397" t="s">
        <v>65</v>
      </c>
      <c r="N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1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E397" t="s">
        <v>1252</v>
      </c>
    </row>
    <row r="398" spans="1:31" x14ac:dyDescent="0.3">
      <c r="A398">
        <v>-73.961364341800007</v>
      </c>
      <c r="B398">
        <v>40.789243193419999</v>
      </c>
      <c r="C398" t="s">
        <v>1253</v>
      </c>
      <c r="D398" t="s">
        <v>1254</v>
      </c>
      <c r="E398" t="s">
        <v>38</v>
      </c>
      <c r="F398">
        <v>10172018</v>
      </c>
      <c r="G398">
        <v>2</v>
      </c>
      <c r="H398" t="s">
        <v>48</v>
      </c>
      <c r="I398" t="s">
        <v>42</v>
      </c>
      <c r="K398" t="s">
        <v>43</v>
      </c>
      <c r="M398" t="s">
        <v>65</v>
      </c>
      <c r="N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1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1</v>
      </c>
      <c r="AC398" t="b">
        <v>0</v>
      </c>
      <c r="AE398" t="s">
        <v>1255</v>
      </c>
    </row>
    <row r="399" spans="1:31" x14ac:dyDescent="0.3">
      <c r="A399">
        <v>-73.968673786690005</v>
      </c>
      <c r="B399">
        <v>40.773971402370002</v>
      </c>
      <c r="C399" t="s">
        <v>1256</v>
      </c>
      <c r="D399" t="s">
        <v>988</v>
      </c>
      <c r="E399" t="s">
        <v>33</v>
      </c>
      <c r="F399">
        <v>10072018</v>
      </c>
      <c r="G399">
        <v>6</v>
      </c>
      <c r="I399" t="s">
        <v>42</v>
      </c>
      <c r="J399" t="s">
        <v>53</v>
      </c>
      <c r="K399" t="s">
        <v>54</v>
      </c>
      <c r="P399" t="b">
        <v>0</v>
      </c>
      <c r="Q399" t="b">
        <v>0</v>
      </c>
      <c r="R399" t="b">
        <v>0</v>
      </c>
      <c r="S399" t="b">
        <v>0</v>
      </c>
      <c r="T399" t="b">
        <v>1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1</v>
      </c>
      <c r="AC399" t="b">
        <v>0</v>
      </c>
      <c r="AE399" t="s">
        <v>1257</v>
      </c>
    </row>
    <row r="400" spans="1:31" x14ac:dyDescent="0.3">
      <c r="A400">
        <v>-73.976343320240005</v>
      </c>
      <c r="B400">
        <v>40.773847349070003</v>
      </c>
      <c r="C400" t="s">
        <v>1258</v>
      </c>
      <c r="D400" t="s">
        <v>790</v>
      </c>
      <c r="E400" t="s">
        <v>33</v>
      </c>
      <c r="F400">
        <v>10132018</v>
      </c>
      <c r="G400">
        <v>10</v>
      </c>
      <c r="H400" t="s">
        <v>105</v>
      </c>
      <c r="I400" t="s">
        <v>53</v>
      </c>
      <c r="J400" t="s">
        <v>42</v>
      </c>
      <c r="K400" t="s">
        <v>89</v>
      </c>
      <c r="L400" t="s">
        <v>1259</v>
      </c>
      <c r="M400" t="s">
        <v>44</v>
      </c>
      <c r="N400">
        <v>12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1</v>
      </c>
      <c r="AC400" t="b">
        <v>0</v>
      </c>
      <c r="AE400" t="s">
        <v>1260</v>
      </c>
    </row>
    <row r="401" spans="1:31" x14ac:dyDescent="0.3">
      <c r="A401">
        <v>-73.95905022577</v>
      </c>
      <c r="B401">
        <v>40.794290363690003</v>
      </c>
      <c r="C401" t="s">
        <v>1261</v>
      </c>
      <c r="D401" t="s">
        <v>1262</v>
      </c>
      <c r="E401" t="s">
        <v>33</v>
      </c>
      <c r="F401">
        <v>10132018</v>
      </c>
      <c r="G401">
        <v>6</v>
      </c>
      <c r="H401" t="s">
        <v>48</v>
      </c>
      <c r="I401" t="s">
        <v>42</v>
      </c>
      <c r="K401" t="s">
        <v>43</v>
      </c>
      <c r="M401" t="s">
        <v>65</v>
      </c>
      <c r="N401" t="b">
        <v>0</v>
      </c>
      <c r="O401" t="s">
        <v>1263</v>
      </c>
      <c r="P401" t="b">
        <v>1</v>
      </c>
      <c r="Q401" t="b">
        <v>0</v>
      </c>
      <c r="R401" t="b">
        <v>0</v>
      </c>
      <c r="S401" t="b">
        <v>0</v>
      </c>
      <c r="T401" t="b">
        <v>1</v>
      </c>
      <c r="U401" t="s">
        <v>1264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E401" t="s">
        <v>1265</v>
      </c>
    </row>
    <row r="402" spans="1:31" x14ac:dyDescent="0.3">
      <c r="A402">
        <v>-73.965862100989995</v>
      </c>
      <c r="B402">
        <v>40.782592689689999</v>
      </c>
      <c r="C402" t="s">
        <v>1266</v>
      </c>
      <c r="D402" t="s">
        <v>736</v>
      </c>
      <c r="E402" t="s">
        <v>33</v>
      </c>
      <c r="F402">
        <v>10122018</v>
      </c>
      <c r="G402">
        <v>1</v>
      </c>
      <c r="H402" t="s">
        <v>48</v>
      </c>
      <c r="I402" t="s">
        <v>42</v>
      </c>
      <c r="J402" t="s">
        <v>737</v>
      </c>
      <c r="K402" t="s">
        <v>738</v>
      </c>
      <c r="M402" t="s">
        <v>44</v>
      </c>
      <c r="N402">
        <v>5</v>
      </c>
      <c r="P402" t="b">
        <v>0</v>
      </c>
      <c r="Q402" t="b">
        <v>0</v>
      </c>
      <c r="R402" t="b">
        <v>1</v>
      </c>
      <c r="S402" t="b">
        <v>0</v>
      </c>
      <c r="T402" t="b">
        <v>0</v>
      </c>
      <c r="V402" t="b">
        <v>1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s">
        <v>1267</v>
      </c>
      <c r="AE402" t="s">
        <v>1268</v>
      </c>
    </row>
    <row r="403" spans="1:31" x14ac:dyDescent="0.3">
      <c r="A403">
        <v>-73.968191736609995</v>
      </c>
      <c r="B403">
        <v>40.772329881380003</v>
      </c>
      <c r="C403" t="s">
        <v>1269</v>
      </c>
      <c r="D403" t="s">
        <v>1270</v>
      </c>
      <c r="E403" t="s">
        <v>33</v>
      </c>
      <c r="F403">
        <v>10122018</v>
      </c>
      <c r="G403">
        <v>3</v>
      </c>
      <c r="H403" t="s">
        <v>48</v>
      </c>
      <c r="I403" t="s">
        <v>42</v>
      </c>
      <c r="K403" t="s">
        <v>43</v>
      </c>
      <c r="M403" t="s">
        <v>65</v>
      </c>
      <c r="N403" t="b">
        <v>0</v>
      </c>
      <c r="P403" t="b">
        <v>1</v>
      </c>
      <c r="Q403" t="b">
        <v>0</v>
      </c>
      <c r="R403" t="b">
        <v>1</v>
      </c>
      <c r="S403" t="b">
        <v>0</v>
      </c>
      <c r="T403" t="b">
        <v>1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1</v>
      </c>
      <c r="AD403" t="s">
        <v>1271</v>
      </c>
      <c r="AE403" t="s">
        <v>1272</v>
      </c>
    </row>
    <row r="404" spans="1:31" x14ac:dyDescent="0.3">
      <c r="A404">
        <v>-73.959747065990001</v>
      </c>
      <c r="B404">
        <v>40.797321593539998</v>
      </c>
      <c r="C404" t="s">
        <v>1273</v>
      </c>
      <c r="D404" t="s">
        <v>680</v>
      </c>
      <c r="E404" t="s">
        <v>33</v>
      </c>
      <c r="F404">
        <v>10132018</v>
      </c>
      <c r="G404">
        <v>1</v>
      </c>
      <c r="H404" t="s">
        <v>48</v>
      </c>
      <c r="I404" t="s">
        <v>42</v>
      </c>
      <c r="J404" t="s">
        <v>53</v>
      </c>
      <c r="K404" t="s">
        <v>54</v>
      </c>
      <c r="M404" t="s">
        <v>65</v>
      </c>
      <c r="N404" t="b">
        <v>0</v>
      </c>
      <c r="P404" t="b">
        <v>1</v>
      </c>
      <c r="Q404" t="b">
        <v>0</v>
      </c>
      <c r="R404" t="b">
        <v>0</v>
      </c>
      <c r="S404" t="b">
        <v>0</v>
      </c>
      <c r="T404" t="b">
        <v>1</v>
      </c>
      <c r="V404" t="b">
        <v>0</v>
      </c>
      <c r="W404" t="b">
        <v>0</v>
      </c>
      <c r="X404" t="b">
        <v>0</v>
      </c>
      <c r="Y404" t="b">
        <v>0</v>
      </c>
      <c r="Z404" t="b">
        <v>1</v>
      </c>
      <c r="AA404" t="b">
        <v>0</v>
      </c>
      <c r="AB404" t="b">
        <v>0</v>
      </c>
      <c r="AC404" t="b">
        <v>1</v>
      </c>
      <c r="AE404" t="s">
        <v>1274</v>
      </c>
    </row>
    <row r="405" spans="1:31" x14ac:dyDescent="0.3">
      <c r="A405">
        <v>-73.968077454850004</v>
      </c>
      <c r="B405">
        <v>40.776249190370002</v>
      </c>
      <c r="C405" t="s">
        <v>1275</v>
      </c>
      <c r="D405" t="s">
        <v>225</v>
      </c>
      <c r="E405" t="s">
        <v>33</v>
      </c>
      <c r="F405">
        <v>10122018</v>
      </c>
      <c r="G405">
        <v>1</v>
      </c>
      <c r="H405" t="s">
        <v>48</v>
      </c>
      <c r="I405" t="s">
        <v>42</v>
      </c>
      <c r="J405" t="s">
        <v>53</v>
      </c>
      <c r="K405" t="s">
        <v>54</v>
      </c>
      <c r="M405" t="s">
        <v>65</v>
      </c>
      <c r="N405" t="b">
        <v>0</v>
      </c>
      <c r="P405" t="b">
        <v>1</v>
      </c>
      <c r="Q405" t="b">
        <v>0</v>
      </c>
      <c r="R405" t="b">
        <v>0</v>
      </c>
      <c r="S405" t="b">
        <v>1</v>
      </c>
      <c r="T405" t="b">
        <v>1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1</v>
      </c>
      <c r="AC405" t="b">
        <v>0</v>
      </c>
      <c r="AE405" t="s">
        <v>1276</v>
      </c>
    </row>
    <row r="406" spans="1:31" x14ac:dyDescent="0.3">
      <c r="A406">
        <v>-73.978660314709998</v>
      </c>
      <c r="B406">
        <v>40.767193783700002</v>
      </c>
      <c r="C406" t="s">
        <v>1277</v>
      </c>
      <c r="D406" t="s">
        <v>1278</v>
      </c>
      <c r="E406" t="s">
        <v>38</v>
      </c>
      <c r="F406">
        <v>10062018</v>
      </c>
      <c r="G406">
        <v>9</v>
      </c>
      <c r="H406" t="s">
        <v>48</v>
      </c>
      <c r="I406" t="s">
        <v>53</v>
      </c>
      <c r="J406" t="s">
        <v>59</v>
      </c>
      <c r="K406" t="s">
        <v>60</v>
      </c>
      <c r="M406" t="s">
        <v>65</v>
      </c>
      <c r="N406" t="b">
        <v>0</v>
      </c>
      <c r="P406" t="b">
        <v>1</v>
      </c>
      <c r="Q406" t="b">
        <v>0</v>
      </c>
      <c r="R406" t="b">
        <v>0</v>
      </c>
      <c r="S406" t="b">
        <v>0</v>
      </c>
      <c r="T406" t="b">
        <v>1</v>
      </c>
      <c r="V406" t="b">
        <v>0</v>
      </c>
      <c r="W406" t="b">
        <v>0</v>
      </c>
      <c r="X406" t="b">
        <v>0</v>
      </c>
      <c r="Y406" t="b">
        <v>0</v>
      </c>
      <c r="Z406" t="b">
        <v>1</v>
      </c>
      <c r="AA406" t="b">
        <v>0</v>
      </c>
      <c r="AB406" t="b">
        <v>1</v>
      </c>
      <c r="AC406" t="b">
        <v>0</v>
      </c>
      <c r="AE406" t="s">
        <v>1279</v>
      </c>
    </row>
    <row r="407" spans="1:31" x14ac:dyDescent="0.3">
      <c r="A407">
        <v>-73.976635496719993</v>
      </c>
      <c r="B407">
        <v>40.773457516630003</v>
      </c>
      <c r="C407" t="s">
        <v>1280</v>
      </c>
      <c r="D407" t="s">
        <v>235</v>
      </c>
      <c r="E407" t="s">
        <v>38</v>
      </c>
      <c r="F407">
        <v>10072018</v>
      </c>
      <c r="G407">
        <v>9</v>
      </c>
      <c r="H407" t="s">
        <v>48</v>
      </c>
      <c r="I407" t="s">
        <v>42</v>
      </c>
      <c r="K407" t="s">
        <v>43</v>
      </c>
      <c r="M407" t="s">
        <v>65</v>
      </c>
      <c r="N407" t="b">
        <v>0</v>
      </c>
      <c r="P407" t="b">
        <v>1</v>
      </c>
      <c r="Q407" t="b">
        <v>0</v>
      </c>
      <c r="R407" t="b">
        <v>0</v>
      </c>
      <c r="S407" t="b">
        <v>1</v>
      </c>
      <c r="T407" t="b">
        <v>0</v>
      </c>
      <c r="U407" t="s">
        <v>1281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1</v>
      </c>
      <c r="AC407" t="b">
        <v>0</v>
      </c>
      <c r="AE407" t="s">
        <v>1282</v>
      </c>
    </row>
    <row r="408" spans="1:31" x14ac:dyDescent="0.3">
      <c r="A408">
        <v>-73.978765843519994</v>
      </c>
      <c r="B408">
        <v>40.768941976539999</v>
      </c>
      <c r="C408" t="s">
        <v>1283</v>
      </c>
      <c r="D408" t="s">
        <v>455</v>
      </c>
      <c r="E408" t="s">
        <v>33</v>
      </c>
      <c r="F408">
        <v>10072018</v>
      </c>
      <c r="G408">
        <v>7</v>
      </c>
      <c r="H408" t="s">
        <v>48</v>
      </c>
      <c r="I408" t="s">
        <v>42</v>
      </c>
      <c r="J408" t="s">
        <v>59</v>
      </c>
      <c r="K408" t="s">
        <v>79</v>
      </c>
      <c r="M408" t="s">
        <v>65</v>
      </c>
      <c r="N408" t="b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s">
        <v>1284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1</v>
      </c>
      <c r="AC408" t="b">
        <v>0</v>
      </c>
      <c r="AE408" t="s">
        <v>1285</v>
      </c>
    </row>
    <row r="409" spans="1:31" x14ac:dyDescent="0.3">
      <c r="A409">
        <v>-73.963376017360005</v>
      </c>
      <c r="B409">
        <v>40.781842235760003</v>
      </c>
      <c r="C409" t="s">
        <v>1286</v>
      </c>
      <c r="D409" t="s">
        <v>1287</v>
      </c>
      <c r="E409" t="s">
        <v>33</v>
      </c>
      <c r="F409">
        <v>10182018</v>
      </c>
      <c r="G409">
        <v>3</v>
      </c>
      <c r="H409" t="s">
        <v>105</v>
      </c>
      <c r="I409" t="s">
        <v>42</v>
      </c>
      <c r="J409" t="s">
        <v>53</v>
      </c>
      <c r="K409" t="s">
        <v>54</v>
      </c>
      <c r="M409" t="s">
        <v>65</v>
      </c>
      <c r="N409" t="b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s">
        <v>1288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1</v>
      </c>
      <c r="AC409" t="b">
        <v>0</v>
      </c>
      <c r="AD409" t="s">
        <v>1289</v>
      </c>
      <c r="AE409" t="s">
        <v>1290</v>
      </c>
    </row>
    <row r="410" spans="1:31" x14ac:dyDescent="0.3">
      <c r="A410">
        <v>-73.953080965050006</v>
      </c>
      <c r="B410">
        <v>40.795917631770003</v>
      </c>
      <c r="C410" t="s">
        <v>1291</v>
      </c>
      <c r="D410" t="s">
        <v>1292</v>
      </c>
      <c r="E410" t="s">
        <v>33</v>
      </c>
      <c r="F410">
        <v>10132018</v>
      </c>
      <c r="G410">
        <v>2</v>
      </c>
      <c r="H410" t="s">
        <v>48</v>
      </c>
      <c r="I410" t="s">
        <v>42</v>
      </c>
      <c r="K410" t="s">
        <v>43</v>
      </c>
      <c r="M410" t="s">
        <v>65</v>
      </c>
      <c r="N410" t="b">
        <v>0</v>
      </c>
      <c r="P410" t="b">
        <v>1</v>
      </c>
      <c r="Q410" t="b">
        <v>0</v>
      </c>
      <c r="R410" t="b">
        <v>0</v>
      </c>
      <c r="S410" t="b">
        <v>1</v>
      </c>
      <c r="T410" t="b">
        <v>0</v>
      </c>
      <c r="U410" t="s">
        <v>1293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1</v>
      </c>
      <c r="AD410" t="s">
        <v>1294</v>
      </c>
      <c r="AE410" t="s">
        <v>1295</v>
      </c>
    </row>
    <row r="411" spans="1:31" x14ac:dyDescent="0.3">
      <c r="A411">
        <v>-73.958402493639994</v>
      </c>
      <c r="B411">
        <v>40.785149170190003</v>
      </c>
      <c r="C411" t="s">
        <v>1296</v>
      </c>
      <c r="D411" t="s">
        <v>1083</v>
      </c>
      <c r="E411" t="s">
        <v>33</v>
      </c>
      <c r="F411">
        <v>10202018</v>
      </c>
      <c r="G411">
        <v>1</v>
      </c>
      <c r="H411" t="s">
        <v>48</v>
      </c>
      <c r="I411" t="s">
        <v>42</v>
      </c>
      <c r="J411" t="s">
        <v>59</v>
      </c>
      <c r="K411" t="s">
        <v>79</v>
      </c>
      <c r="M411" t="s">
        <v>65</v>
      </c>
      <c r="N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1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1</v>
      </c>
      <c r="AC411" t="b">
        <v>1</v>
      </c>
      <c r="AD411" t="s">
        <v>1085</v>
      </c>
      <c r="AE411" t="s">
        <v>1297</v>
      </c>
    </row>
    <row r="412" spans="1:31" x14ac:dyDescent="0.3">
      <c r="A412">
        <v>-73.966936640110006</v>
      </c>
      <c r="B412">
        <v>40.783602389800002</v>
      </c>
      <c r="C412" t="s">
        <v>1298</v>
      </c>
      <c r="D412" t="s">
        <v>689</v>
      </c>
      <c r="E412" t="s">
        <v>33</v>
      </c>
      <c r="F412">
        <v>10062018</v>
      </c>
      <c r="G412">
        <v>9</v>
      </c>
      <c r="H412" t="s">
        <v>48</v>
      </c>
      <c r="I412" t="s">
        <v>42</v>
      </c>
      <c r="K412" t="s">
        <v>43</v>
      </c>
      <c r="M412" t="s">
        <v>65</v>
      </c>
      <c r="N412" t="b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V412" t="b">
        <v>0</v>
      </c>
      <c r="W412" t="b">
        <v>1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E412" t="s">
        <v>1299</v>
      </c>
    </row>
    <row r="413" spans="1:31" x14ac:dyDescent="0.3">
      <c r="A413">
        <v>-73.9785675798</v>
      </c>
      <c r="B413">
        <v>40.767299240530001</v>
      </c>
      <c r="C413" t="s">
        <v>1300</v>
      </c>
      <c r="D413" t="s">
        <v>1301</v>
      </c>
      <c r="E413" t="s">
        <v>33</v>
      </c>
      <c r="F413">
        <v>10132018</v>
      </c>
      <c r="G413">
        <v>5</v>
      </c>
      <c r="H413" t="s">
        <v>48</v>
      </c>
      <c r="I413" t="s">
        <v>53</v>
      </c>
      <c r="K413" t="s">
        <v>155</v>
      </c>
      <c r="M413" t="s">
        <v>65</v>
      </c>
      <c r="N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1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E413" t="s">
        <v>1302</v>
      </c>
    </row>
    <row r="414" spans="1:31" x14ac:dyDescent="0.3">
      <c r="A414">
        <v>-73.96989341826</v>
      </c>
      <c r="B414">
        <v>40.770821163390004</v>
      </c>
      <c r="C414" t="s">
        <v>1303</v>
      </c>
      <c r="D414" t="s">
        <v>183</v>
      </c>
      <c r="E414" t="s">
        <v>33</v>
      </c>
      <c r="F414">
        <v>10142018</v>
      </c>
      <c r="G414">
        <v>3</v>
      </c>
      <c r="H414" t="s">
        <v>48</v>
      </c>
      <c r="I414" t="s">
        <v>42</v>
      </c>
      <c r="J414" t="s">
        <v>53</v>
      </c>
      <c r="K414" t="s">
        <v>54</v>
      </c>
      <c r="M414" t="s">
        <v>65</v>
      </c>
      <c r="N414" t="b">
        <v>0</v>
      </c>
      <c r="P414" t="b">
        <v>1</v>
      </c>
      <c r="Q414" t="b">
        <v>0</v>
      </c>
      <c r="R414" t="b">
        <v>0</v>
      </c>
      <c r="S414" t="b">
        <v>0</v>
      </c>
      <c r="T414" t="b">
        <v>1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E414" t="s">
        <v>1304</v>
      </c>
    </row>
    <row r="415" spans="1:31" x14ac:dyDescent="0.3">
      <c r="A415">
        <v>-73.972189983860005</v>
      </c>
      <c r="B415">
        <v>40.77615190457</v>
      </c>
      <c r="C415" t="s">
        <v>1305</v>
      </c>
      <c r="D415" t="s">
        <v>604</v>
      </c>
      <c r="E415" t="s">
        <v>38</v>
      </c>
      <c r="F415">
        <v>10102018</v>
      </c>
      <c r="G415">
        <v>3</v>
      </c>
      <c r="H415" t="s">
        <v>48</v>
      </c>
      <c r="I415" t="s">
        <v>42</v>
      </c>
      <c r="K415" t="s">
        <v>43</v>
      </c>
      <c r="M415" t="s">
        <v>44</v>
      </c>
      <c r="N415">
        <v>20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1</v>
      </c>
      <c r="AC415" t="b">
        <v>0</v>
      </c>
      <c r="AE415" t="s">
        <v>1306</v>
      </c>
    </row>
    <row r="416" spans="1:31" x14ac:dyDescent="0.3">
      <c r="A416">
        <v>-73.957013189039998</v>
      </c>
      <c r="B416">
        <v>40.799178673610001</v>
      </c>
      <c r="C416" t="s">
        <v>1307</v>
      </c>
      <c r="D416" t="s">
        <v>367</v>
      </c>
      <c r="E416" t="s">
        <v>33</v>
      </c>
      <c r="F416">
        <v>10142018</v>
      </c>
      <c r="G416">
        <v>5</v>
      </c>
      <c r="H416" t="s">
        <v>48</v>
      </c>
      <c r="I416" t="s">
        <v>42</v>
      </c>
      <c r="K416" t="s">
        <v>43</v>
      </c>
      <c r="M416" t="s">
        <v>44</v>
      </c>
      <c r="N416">
        <v>25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  <c r="V416" t="b">
        <v>1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1</v>
      </c>
      <c r="AC416" t="b">
        <v>1</v>
      </c>
      <c r="AE416" t="s">
        <v>1308</v>
      </c>
    </row>
    <row r="417" spans="1:31" x14ac:dyDescent="0.3">
      <c r="A417">
        <v>-73.97027885784</v>
      </c>
      <c r="B417">
        <v>40.769448499729997</v>
      </c>
      <c r="C417" t="s">
        <v>1309</v>
      </c>
      <c r="D417" t="s">
        <v>1310</v>
      </c>
      <c r="E417" t="s">
        <v>33</v>
      </c>
      <c r="F417">
        <v>10132018</v>
      </c>
      <c r="G417">
        <v>5</v>
      </c>
      <c r="H417" t="s">
        <v>48</v>
      </c>
      <c r="I417" t="s">
        <v>42</v>
      </c>
      <c r="J417" t="s">
        <v>53</v>
      </c>
      <c r="K417" t="s">
        <v>54</v>
      </c>
      <c r="M417" t="s">
        <v>65</v>
      </c>
      <c r="N417" t="b">
        <v>0</v>
      </c>
      <c r="O417" t="s">
        <v>1311</v>
      </c>
      <c r="P417" t="b">
        <v>0</v>
      </c>
      <c r="Q417" t="b">
        <v>0</v>
      </c>
      <c r="R417" t="b">
        <v>0</v>
      </c>
      <c r="S417" t="b">
        <v>1</v>
      </c>
      <c r="T417" t="b">
        <v>0</v>
      </c>
      <c r="V417" t="b">
        <v>0</v>
      </c>
      <c r="W417" t="b">
        <v>0</v>
      </c>
      <c r="X417" t="b">
        <v>0</v>
      </c>
      <c r="Y417" t="b">
        <v>1</v>
      </c>
      <c r="Z417" t="b">
        <v>0</v>
      </c>
      <c r="AA417" t="b">
        <v>0</v>
      </c>
      <c r="AB417" t="b">
        <v>0</v>
      </c>
      <c r="AC417" t="b">
        <v>0</v>
      </c>
      <c r="AE417" t="s">
        <v>1312</v>
      </c>
    </row>
    <row r="418" spans="1:31" x14ac:dyDescent="0.3">
      <c r="A418">
        <v>-73.963988809230003</v>
      </c>
      <c r="B418">
        <v>40.79144939591</v>
      </c>
      <c r="C418" t="s">
        <v>1313</v>
      </c>
      <c r="D418" t="s">
        <v>383</v>
      </c>
      <c r="E418" t="s">
        <v>38</v>
      </c>
      <c r="F418">
        <v>10102018</v>
      </c>
      <c r="G418">
        <v>1</v>
      </c>
      <c r="H418" t="s">
        <v>48</v>
      </c>
      <c r="I418" t="s">
        <v>42</v>
      </c>
      <c r="K418" t="s">
        <v>43</v>
      </c>
      <c r="M418" t="s">
        <v>65</v>
      </c>
      <c r="N418" t="b">
        <v>0</v>
      </c>
      <c r="P418" t="b">
        <v>0</v>
      </c>
      <c r="Q418" t="b">
        <v>0</v>
      </c>
      <c r="R418" t="b">
        <v>0</v>
      </c>
      <c r="S418" t="b">
        <v>1</v>
      </c>
      <c r="T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1</v>
      </c>
      <c r="AA418" t="b">
        <v>0</v>
      </c>
      <c r="AB418" t="b">
        <v>0</v>
      </c>
      <c r="AC418" t="b">
        <v>1</v>
      </c>
      <c r="AE418" t="s">
        <v>1314</v>
      </c>
    </row>
    <row r="419" spans="1:31" x14ac:dyDescent="0.3">
      <c r="A419">
        <v>-73.957360488039996</v>
      </c>
      <c r="B419">
        <v>40.793084415800003</v>
      </c>
      <c r="C419" t="s">
        <v>1315</v>
      </c>
      <c r="D419" t="s">
        <v>483</v>
      </c>
      <c r="E419" t="s">
        <v>33</v>
      </c>
      <c r="F419">
        <v>10062018</v>
      </c>
      <c r="G419">
        <v>3</v>
      </c>
      <c r="H419" t="s">
        <v>48</v>
      </c>
      <c r="I419" t="s">
        <v>42</v>
      </c>
      <c r="J419" t="s">
        <v>53</v>
      </c>
      <c r="K419" t="s">
        <v>54</v>
      </c>
      <c r="M419" t="s">
        <v>65</v>
      </c>
      <c r="N419" t="b">
        <v>0</v>
      </c>
      <c r="P419" t="b">
        <v>0</v>
      </c>
      <c r="Q419" t="b">
        <v>0</v>
      </c>
      <c r="R419" t="b">
        <v>0</v>
      </c>
      <c r="S419" t="b">
        <v>1</v>
      </c>
      <c r="T419" t="b">
        <v>1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1</v>
      </c>
      <c r="AC419" t="b">
        <v>0</v>
      </c>
      <c r="AE419" t="s">
        <v>1316</v>
      </c>
    </row>
    <row r="420" spans="1:31" x14ac:dyDescent="0.3">
      <c r="A420">
        <v>-73.977732870989996</v>
      </c>
      <c r="B420">
        <v>40.766908772470003</v>
      </c>
      <c r="C420" t="s">
        <v>1317</v>
      </c>
      <c r="D420" t="s">
        <v>1278</v>
      </c>
      <c r="E420" t="s">
        <v>38</v>
      </c>
      <c r="F420">
        <v>10062018</v>
      </c>
      <c r="G420">
        <v>2</v>
      </c>
      <c r="H420" t="s">
        <v>105</v>
      </c>
      <c r="I420" t="s">
        <v>42</v>
      </c>
      <c r="J420" t="s">
        <v>53</v>
      </c>
      <c r="K420" t="s">
        <v>54</v>
      </c>
      <c r="M420" t="s">
        <v>65</v>
      </c>
      <c r="N420" t="b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1</v>
      </c>
      <c r="AA420" t="b">
        <v>0</v>
      </c>
      <c r="AB420" t="b">
        <v>0</v>
      </c>
      <c r="AC420" t="b">
        <v>0</v>
      </c>
      <c r="AE420" t="s">
        <v>1318</v>
      </c>
    </row>
    <row r="421" spans="1:31" x14ac:dyDescent="0.3">
      <c r="A421">
        <v>-73.96718516112</v>
      </c>
      <c r="B421">
        <v>40.77508786576</v>
      </c>
      <c r="C421" t="s">
        <v>1319</v>
      </c>
      <c r="D421" t="s">
        <v>1320</v>
      </c>
      <c r="E421" t="s">
        <v>33</v>
      </c>
      <c r="F421">
        <v>10122018</v>
      </c>
      <c r="G421">
        <v>1</v>
      </c>
      <c r="H421" t="s">
        <v>48</v>
      </c>
      <c r="I421" t="s">
        <v>42</v>
      </c>
      <c r="J421" t="s">
        <v>148</v>
      </c>
      <c r="K421" t="s">
        <v>149</v>
      </c>
      <c r="M421" t="s">
        <v>65</v>
      </c>
      <c r="N421" t="b">
        <v>0</v>
      </c>
      <c r="P421" t="b">
        <v>1</v>
      </c>
      <c r="Q421" t="b">
        <v>0</v>
      </c>
      <c r="R421" t="b">
        <v>0</v>
      </c>
      <c r="S421" t="b">
        <v>1</v>
      </c>
      <c r="T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1</v>
      </c>
      <c r="AB421" t="b">
        <v>0</v>
      </c>
      <c r="AC421" t="b">
        <v>0</v>
      </c>
      <c r="AD421" t="s">
        <v>1321</v>
      </c>
      <c r="AE421" t="s">
        <v>1322</v>
      </c>
    </row>
    <row r="422" spans="1:31" x14ac:dyDescent="0.3">
      <c r="A422">
        <v>-73.966463006780003</v>
      </c>
      <c r="B422">
        <v>40.775636151580002</v>
      </c>
      <c r="C422" t="s">
        <v>1323</v>
      </c>
      <c r="D422" t="s">
        <v>1320</v>
      </c>
      <c r="E422" t="s">
        <v>38</v>
      </c>
      <c r="F422">
        <v>10072018</v>
      </c>
      <c r="G422">
        <v>4</v>
      </c>
      <c r="H422" t="s">
        <v>105</v>
      </c>
      <c r="I422" t="s">
        <v>42</v>
      </c>
      <c r="J422" t="s">
        <v>59</v>
      </c>
      <c r="K422" t="s">
        <v>79</v>
      </c>
      <c r="M422" t="s">
        <v>65</v>
      </c>
      <c r="N422" t="b">
        <v>0</v>
      </c>
      <c r="P422" t="b">
        <v>0</v>
      </c>
      <c r="Q422" t="b">
        <v>1</v>
      </c>
      <c r="R422" t="b">
        <v>0</v>
      </c>
      <c r="S422" t="b">
        <v>0</v>
      </c>
      <c r="T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1</v>
      </c>
      <c r="AE422" t="s">
        <v>1324</v>
      </c>
    </row>
    <row r="423" spans="1:31" x14ac:dyDescent="0.3">
      <c r="A423">
        <v>-73.96946304091</v>
      </c>
      <c r="B423">
        <v>40.769737659649998</v>
      </c>
      <c r="C423" t="s">
        <v>1325</v>
      </c>
      <c r="D423" t="s">
        <v>1326</v>
      </c>
      <c r="E423" t="s">
        <v>33</v>
      </c>
      <c r="F423">
        <v>10132018</v>
      </c>
      <c r="G423">
        <v>1</v>
      </c>
      <c r="H423" t="s">
        <v>48</v>
      </c>
      <c r="I423" t="s">
        <v>42</v>
      </c>
      <c r="J423" t="s">
        <v>96</v>
      </c>
      <c r="K423" t="s">
        <v>97</v>
      </c>
      <c r="M423" t="s">
        <v>65</v>
      </c>
      <c r="N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1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1</v>
      </c>
      <c r="AC423" t="b">
        <v>0</v>
      </c>
      <c r="AE423" t="s">
        <v>1327</v>
      </c>
    </row>
    <row r="424" spans="1:31" x14ac:dyDescent="0.3">
      <c r="A424">
        <v>-73.975675429770007</v>
      </c>
      <c r="B424">
        <v>40.773851884339997</v>
      </c>
      <c r="C424" t="s">
        <v>1328</v>
      </c>
      <c r="D424" t="s">
        <v>790</v>
      </c>
      <c r="E424" t="s">
        <v>33</v>
      </c>
      <c r="F424">
        <v>10132018</v>
      </c>
      <c r="G424">
        <v>2</v>
      </c>
      <c r="H424" t="s">
        <v>105</v>
      </c>
      <c r="I424" t="s">
        <v>53</v>
      </c>
      <c r="J424" t="s">
        <v>42</v>
      </c>
      <c r="K424" t="s">
        <v>89</v>
      </c>
      <c r="M424" t="s">
        <v>65</v>
      </c>
      <c r="N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1</v>
      </c>
      <c r="V424" t="b">
        <v>0</v>
      </c>
      <c r="W424" t="b">
        <v>0</v>
      </c>
      <c r="X424" t="b">
        <v>0</v>
      </c>
      <c r="Y424" t="b">
        <v>0</v>
      </c>
      <c r="Z424" t="b">
        <v>1</v>
      </c>
      <c r="AA424" t="b">
        <v>0</v>
      </c>
      <c r="AB424" t="b">
        <v>1</v>
      </c>
      <c r="AC424" t="b">
        <v>0</v>
      </c>
      <c r="AE424" t="s">
        <v>1329</v>
      </c>
    </row>
    <row r="425" spans="1:31" x14ac:dyDescent="0.3">
      <c r="A425">
        <v>-73.975655708640005</v>
      </c>
      <c r="B425">
        <v>40.773296289820003</v>
      </c>
      <c r="C425" t="s">
        <v>1330</v>
      </c>
      <c r="D425" t="s">
        <v>235</v>
      </c>
      <c r="E425" t="s">
        <v>33</v>
      </c>
      <c r="F425">
        <v>10122018</v>
      </c>
      <c r="G425">
        <v>8</v>
      </c>
      <c r="H425" t="s">
        <v>48</v>
      </c>
      <c r="I425" t="s">
        <v>53</v>
      </c>
      <c r="J425" t="s">
        <v>59</v>
      </c>
      <c r="K425" t="s">
        <v>60</v>
      </c>
      <c r="M425" t="s">
        <v>65</v>
      </c>
      <c r="N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1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1</v>
      </c>
      <c r="AC425" t="b">
        <v>0</v>
      </c>
      <c r="AE425" t="s">
        <v>1331</v>
      </c>
    </row>
    <row r="426" spans="1:31" x14ac:dyDescent="0.3">
      <c r="A426">
        <v>-73.970448523190001</v>
      </c>
      <c r="B426">
        <v>40.771729056079998</v>
      </c>
      <c r="C426" t="s">
        <v>1332</v>
      </c>
      <c r="D426" t="s">
        <v>571</v>
      </c>
      <c r="E426" t="s">
        <v>38</v>
      </c>
      <c r="F426">
        <v>10072018</v>
      </c>
      <c r="G426">
        <v>2</v>
      </c>
      <c r="H426" t="s">
        <v>48</v>
      </c>
      <c r="I426" t="s">
        <v>42</v>
      </c>
      <c r="K426" t="s">
        <v>43</v>
      </c>
      <c r="M426" t="s">
        <v>44</v>
      </c>
      <c r="N426">
        <v>25</v>
      </c>
      <c r="P426" t="b">
        <v>0</v>
      </c>
      <c r="Q426" t="b">
        <v>0</v>
      </c>
      <c r="R426" t="b">
        <v>1</v>
      </c>
      <c r="S426" t="b">
        <v>0</v>
      </c>
      <c r="T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1</v>
      </c>
      <c r="AD426" t="s">
        <v>1333</v>
      </c>
      <c r="AE426" t="s">
        <v>1334</v>
      </c>
    </row>
    <row r="427" spans="1:31" x14ac:dyDescent="0.3">
      <c r="A427">
        <v>-73.974194436709993</v>
      </c>
      <c r="B427">
        <v>40.77698899536</v>
      </c>
      <c r="C427" t="s">
        <v>1335</v>
      </c>
      <c r="D427" t="s">
        <v>1336</v>
      </c>
      <c r="E427" t="s">
        <v>33</v>
      </c>
      <c r="F427">
        <v>10082018</v>
      </c>
      <c r="G427">
        <v>1</v>
      </c>
      <c r="H427" t="s">
        <v>48</v>
      </c>
      <c r="I427" t="s">
        <v>42</v>
      </c>
      <c r="J427" t="s">
        <v>59</v>
      </c>
      <c r="K427" t="s">
        <v>79</v>
      </c>
      <c r="M427" t="s">
        <v>44</v>
      </c>
      <c r="N427">
        <v>2</v>
      </c>
      <c r="O427" t="s">
        <v>1337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1</v>
      </c>
      <c r="AC427" t="b">
        <v>0</v>
      </c>
      <c r="AE427" t="s">
        <v>1338</v>
      </c>
    </row>
    <row r="428" spans="1:31" x14ac:dyDescent="0.3">
      <c r="A428">
        <v>-73.958936770920005</v>
      </c>
      <c r="B428">
        <v>40.789646530349998</v>
      </c>
      <c r="C428" t="s">
        <v>1339</v>
      </c>
      <c r="D428" t="s">
        <v>893</v>
      </c>
      <c r="E428" t="s">
        <v>33</v>
      </c>
      <c r="F428">
        <v>10072018</v>
      </c>
      <c r="G428">
        <v>4</v>
      </c>
      <c r="H428" t="s">
        <v>48</v>
      </c>
      <c r="I428" t="s">
        <v>42</v>
      </c>
      <c r="K428" t="s">
        <v>43</v>
      </c>
      <c r="M428" t="s">
        <v>65</v>
      </c>
      <c r="N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1</v>
      </c>
      <c r="V428" t="b">
        <v>0</v>
      </c>
      <c r="W428" t="b">
        <v>0</v>
      </c>
      <c r="X428" t="b">
        <v>0</v>
      </c>
      <c r="Y428" t="b">
        <v>1</v>
      </c>
      <c r="Z428" t="b">
        <v>0</v>
      </c>
      <c r="AA428" t="b">
        <v>0</v>
      </c>
      <c r="AB428" t="b">
        <v>0</v>
      </c>
      <c r="AC428" t="b">
        <v>1</v>
      </c>
      <c r="AE428" t="s">
        <v>1340</v>
      </c>
    </row>
    <row r="429" spans="1:31" x14ac:dyDescent="0.3">
      <c r="A429">
        <v>-73.963628276080001</v>
      </c>
      <c r="B429">
        <v>40.780799459519997</v>
      </c>
      <c r="C429" t="s">
        <v>1341</v>
      </c>
      <c r="D429" t="s">
        <v>343</v>
      </c>
      <c r="E429" t="s">
        <v>38</v>
      </c>
      <c r="F429">
        <v>10142018</v>
      </c>
      <c r="G429">
        <v>2</v>
      </c>
      <c r="H429" t="s">
        <v>48</v>
      </c>
      <c r="I429" t="s">
        <v>42</v>
      </c>
      <c r="J429" t="s">
        <v>59</v>
      </c>
      <c r="K429" t="s">
        <v>79</v>
      </c>
      <c r="M429" t="s">
        <v>44</v>
      </c>
      <c r="N429">
        <v>3</v>
      </c>
      <c r="O429" t="s">
        <v>742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1</v>
      </c>
      <c r="AC429" t="b">
        <v>0</v>
      </c>
      <c r="AE429" t="s">
        <v>1342</v>
      </c>
    </row>
    <row r="430" spans="1:31" x14ac:dyDescent="0.3">
      <c r="A430">
        <v>-73.971011680139995</v>
      </c>
      <c r="B430">
        <v>40.772368930200003</v>
      </c>
      <c r="C430" t="s">
        <v>1343</v>
      </c>
      <c r="D430" t="s">
        <v>600</v>
      </c>
      <c r="E430" t="s">
        <v>33</v>
      </c>
      <c r="F430">
        <v>10172018</v>
      </c>
      <c r="G430">
        <v>8</v>
      </c>
      <c r="H430" t="s">
        <v>48</v>
      </c>
      <c r="I430" t="s">
        <v>176</v>
      </c>
      <c r="J430" t="s">
        <v>53</v>
      </c>
      <c r="K430" t="s">
        <v>705</v>
      </c>
      <c r="M430" t="s">
        <v>44</v>
      </c>
      <c r="N430">
        <v>10</v>
      </c>
      <c r="P430" t="b">
        <v>0</v>
      </c>
      <c r="Q430" t="b">
        <v>0</v>
      </c>
      <c r="R430" t="b">
        <v>1</v>
      </c>
      <c r="S430" t="b">
        <v>0</v>
      </c>
      <c r="T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E430" t="s">
        <v>1344</v>
      </c>
    </row>
    <row r="431" spans="1:31" x14ac:dyDescent="0.3">
      <c r="A431">
        <v>-73.975743601939996</v>
      </c>
      <c r="B431">
        <v>40.774606436319999</v>
      </c>
      <c r="C431" t="s">
        <v>1345</v>
      </c>
      <c r="D431" t="s">
        <v>462</v>
      </c>
      <c r="E431" t="s">
        <v>33</v>
      </c>
      <c r="F431">
        <v>10142018</v>
      </c>
      <c r="G431">
        <v>1</v>
      </c>
      <c r="H431" t="s">
        <v>48</v>
      </c>
      <c r="I431" t="s">
        <v>42</v>
      </c>
      <c r="J431" t="s">
        <v>59</v>
      </c>
      <c r="K431" t="s">
        <v>79</v>
      </c>
      <c r="M431" t="s">
        <v>65</v>
      </c>
      <c r="N431" t="b">
        <v>0</v>
      </c>
      <c r="O431" t="s">
        <v>1346</v>
      </c>
      <c r="P431" t="b">
        <v>0</v>
      </c>
      <c r="Q431" t="b">
        <v>0</v>
      </c>
      <c r="R431" t="b">
        <v>0</v>
      </c>
      <c r="S431" t="b">
        <v>0</v>
      </c>
      <c r="T431" t="b">
        <v>1</v>
      </c>
      <c r="V431" t="b">
        <v>0</v>
      </c>
      <c r="W431" t="b">
        <v>0</v>
      </c>
      <c r="X431" t="b">
        <v>0</v>
      </c>
      <c r="Y431" t="b">
        <v>0</v>
      </c>
      <c r="Z431" t="b">
        <v>1</v>
      </c>
      <c r="AA431" t="b">
        <v>0</v>
      </c>
      <c r="AB431" t="b">
        <v>0</v>
      </c>
      <c r="AC431" t="b">
        <v>0</v>
      </c>
      <c r="AD431" t="s">
        <v>1347</v>
      </c>
      <c r="AE431" t="s">
        <v>1348</v>
      </c>
    </row>
    <row r="432" spans="1:31" x14ac:dyDescent="0.3">
      <c r="A432">
        <v>-73.975778713590003</v>
      </c>
      <c r="B432">
        <v>40.773723142729999</v>
      </c>
      <c r="C432" t="s">
        <v>1349</v>
      </c>
      <c r="D432" t="s">
        <v>790</v>
      </c>
      <c r="E432" t="s">
        <v>33</v>
      </c>
      <c r="F432">
        <v>10132018</v>
      </c>
      <c r="G432">
        <v>3</v>
      </c>
      <c r="H432" t="s">
        <v>105</v>
      </c>
      <c r="I432" t="s">
        <v>53</v>
      </c>
      <c r="J432" t="s">
        <v>42</v>
      </c>
      <c r="K432" t="s">
        <v>89</v>
      </c>
      <c r="M432" t="s">
        <v>65</v>
      </c>
      <c r="N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1</v>
      </c>
      <c r="V432" t="b">
        <v>0</v>
      </c>
      <c r="W432" t="b">
        <v>0</v>
      </c>
      <c r="X432" t="b">
        <v>0</v>
      </c>
      <c r="Y432" t="b">
        <v>0</v>
      </c>
      <c r="Z432" t="b">
        <v>1</v>
      </c>
      <c r="AA432" t="b">
        <v>0</v>
      </c>
      <c r="AB432" t="b">
        <v>1</v>
      </c>
      <c r="AC432" t="b">
        <v>0</v>
      </c>
      <c r="AE432" t="s">
        <v>1350</v>
      </c>
    </row>
    <row r="433" spans="1:31" x14ac:dyDescent="0.3">
      <c r="A433">
        <v>-73.955847470120005</v>
      </c>
      <c r="B433">
        <v>40.791333551549997</v>
      </c>
      <c r="C433" t="s">
        <v>1351</v>
      </c>
      <c r="D433" t="s">
        <v>1352</v>
      </c>
      <c r="E433" t="s">
        <v>38</v>
      </c>
      <c r="F433">
        <v>10072018</v>
      </c>
      <c r="G433">
        <v>1</v>
      </c>
      <c r="H433" t="s">
        <v>48</v>
      </c>
      <c r="I433" t="s">
        <v>42</v>
      </c>
      <c r="J433" t="s">
        <v>53</v>
      </c>
      <c r="K433" t="s">
        <v>54</v>
      </c>
      <c r="M433" t="s">
        <v>44</v>
      </c>
      <c r="N433">
        <v>40</v>
      </c>
      <c r="O433" t="s">
        <v>190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V433" t="b">
        <v>1</v>
      </c>
      <c r="W433" t="b">
        <v>1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E433" t="s">
        <v>1353</v>
      </c>
    </row>
    <row r="434" spans="1:31" x14ac:dyDescent="0.3">
      <c r="A434">
        <v>-73.967663974049998</v>
      </c>
      <c r="B434">
        <v>40.77453696165</v>
      </c>
      <c r="C434" t="s">
        <v>1354</v>
      </c>
      <c r="D434" t="s">
        <v>189</v>
      </c>
      <c r="E434" t="s">
        <v>33</v>
      </c>
      <c r="F434">
        <v>10102018</v>
      </c>
      <c r="G434">
        <v>7</v>
      </c>
      <c r="H434" t="s">
        <v>48</v>
      </c>
      <c r="I434" t="s">
        <v>42</v>
      </c>
      <c r="K434" t="s">
        <v>43</v>
      </c>
      <c r="M434" t="s">
        <v>65</v>
      </c>
      <c r="N434" t="b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1</v>
      </c>
      <c r="AE434" t="s">
        <v>1355</v>
      </c>
    </row>
    <row r="435" spans="1:31" x14ac:dyDescent="0.3">
      <c r="A435">
        <v>-73.970296305689999</v>
      </c>
      <c r="B435">
        <v>40.76979287308</v>
      </c>
      <c r="C435" t="s">
        <v>1356</v>
      </c>
      <c r="D435" t="s">
        <v>92</v>
      </c>
      <c r="E435" t="s">
        <v>38</v>
      </c>
      <c r="F435">
        <v>10062018</v>
      </c>
      <c r="G435">
        <v>11</v>
      </c>
      <c r="H435" t="s">
        <v>48</v>
      </c>
      <c r="I435" t="s">
        <v>42</v>
      </c>
      <c r="J435" t="s">
        <v>53</v>
      </c>
      <c r="K435" t="s">
        <v>54</v>
      </c>
      <c r="M435" t="s">
        <v>65</v>
      </c>
      <c r="N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1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1</v>
      </c>
      <c r="AB435" t="b">
        <v>0</v>
      </c>
      <c r="AC435" t="b">
        <v>0</v>
      </c>
      <c r="AE435" t="s">
        <v>1357</v>
      </c>
    </row>
    <row r="436" spans="1:31" x14ac:dyDescent="0.3">
      <c r="A436">
        <v>-73.973469576799999</v>
      </c>
      <c r="B436">
        <v>40.771629749139997</v>
      </c>
      <c r="C436" t="s">
        <v>1358</v>
      </c>
      <c r="D436" t="s">
        <v>1206</v>
      </c>
      <c r="E436" t="s">
        <v>33</v>
      </c>
      <c r="F436">
        <v>10082018</v>
      </c>
      <c r="G436">
        <v>5</v>
      </c>
      <c r="H436" t="s">
        <v>48</v>
      </c>
      <c r="I436" t="s">
        <v>42</v>
      </c>
      <c r="J436" t="s">
        <v>59</v>
      </c>
      <c r="K436" t="s">
        <v>79</v>
      </c>
      <c r="M436" t="s">
        <v>65</v>
      </c>
      <c r="N436" t="b">
        <v>0</v>
      </c>
      <c r="O436" t="s">
        <v>1359</v>
      </c>
      <c r="P436" t="b">
        <v>0</v>
      </c>
      <c r="Q436" t="b">
        <v>0</v>
      </c>
      <c r="R436" t="b">
        <v>0</v>
      </c>
      <c r="S436" t="b">
        <v>1</v>
      </c>
      <c r="T436" t="b">
        <v>1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E436" t="s">
        <v>1360</v>
      </c>
    </row>
    <row r="437" spans="1:31" x14ac:dyDescent="0.3">
      <c r="A437">
        <v>-73.979395206600003</v>
      </c>
      <c r="B437">
        <v>40.77078376579</v>
      </c>
      <c r="C437" t="s">
        <v>1361</v>
      </c>
      <c r="D437" t="s">
        <v>1362</v>
      </c>
      <c r="E437" t="s">
        <v>33</v>
      </c>
      <c r="F437">
        <v>10072018</v>
      </c>
      <c r="G437">
        <v>3</v>
      </c>
      <c r="H437" t="s">
        <v>48</v>
      </c>
      <c r="I437" t="s">
        <v>42</v>
      </c>
      <c r="J437" t="s">
        <v>59</v>
      </c>
      <c r="K437" t="s">
        <v>79</v>
      </c>
      <c r="M437" t="s">
        <v>65</v>
      </c>
      <c r="N437" t="b">
        <v>0</v>
      </c>
      <c r="O437" t="s">
        <v>1363</v>
      </c>
      <c r="P437" t="b">
        <v>0</v>
      </c>
      <c r="Q437" t="b">
        <v>0</v>
      </c>
      <c r="R437" t="b">
        <v>0</v>
      </c>
      <c r="S437" t="b">
        <v>1</v>
      </c>
      <c r="T437" t="b">
        <v>1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1</v>
      </c>
      <c r="AC437" t="b">
        <v>0</v>
      </c>
      <c r="AE437" t="s">
        <v>1364</v>
      </c>
    </row>
    <row r="438" spans="1:31" x14ac:dyDescent="0.3">
      <c r="A438">
        <v>-73.952574751689994</v>
      </c>
      <c r="B438">
        <v>40.797725743530002</v>
      </c>
      <c r="C438" t="s">
        <v>1365</v>
      </c>
      <c r="D438" t="s">
        <v>1366</v>
      </c>
      <c r="E438" t="s">
        <v>33</v>
      </c>
      <c r="F438">
        <v>10172018</v>
      </c>
      <c r="G438">
        <v>2</v>
      </c>
      <c r="H438" t="s">
        <v>48</v>
      </c>
      <c r="I438" t="s">
        <v>42</v>
      </c>
      <c r="J438" t="s">
        <v>53</v>
      </c>
      <c r="K438" t="s">
        <v>54</v>
      </c>
      <c r="M438" t="s">
        <v>65</v>
      </c>
      <c r="N438" t="b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s">
        <v>1367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1</v>
      </c>
      <c r="AC438" t="b">
        <v>0</v>
      </c>
      <c r="AE438" t="s">
        <v>1368</v>
      </c>
    </row>
    <row r="439" spans="1:31" x14ac:dyDescent="0.3">
      <c r="A439">
        <v>-73.958977020670005</v>
      </c>
      <c r="B439">
        <v>40.791240542170002</v>
      </c>
      <c r="C439" t="s">
        <v>1369</v>
      </c>
      <c r="D439" t="s">
        <v>1211</v>
      </c>
      <c r="E439" t="s">
        <v>38</v>
      </c>
      <c r="F439">
        <v>10142018</v>
      </c>
      <c r="G439">
        <v>5</v>
      </c>
      <c r="H439" t="s">
        <v>48</v>
      </c>
      <c r="I439" t="s">
        <v>42</v>
      </c>
      <c r="J439" t="s">
        <v>59</v>
      </c>
      <c r="K439" t="s">
        <v>79</v>
      </c>
      <c r="M439" t="s">
        <v>65</v>
      </c>
      <c r="N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1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1</v>
      </c>
      <c r="AC439" t="b">
        <v>0</v>
      </c>
      <c r="AE439" t="s">
        <v>1370</v>
      </c>
    </row>
    <row r="440" spans="1:31" x14ac:dyDescent="0.3">
      <c r="A440">
        <v>-73.964271743599994</v>
      </c>
      <c r="B440">
        <v>40.782087049689999</v>
      </c>
      <c r="C440" t="s">
        <v>1371</v>
      </c>
      <c r="D440" t="s">
        <v>82</v>
      </c>
      <c r="E440" t="s">
        <v>38</v>
      </c>
      <c r="F440">
        <v>10072018</v>
      </c>
      <c r="G440">
        <v>5</v>
      </c>
      <c r="H440" t="s">
        <v>48</v>
      </c>
      <c r="I440" t="s">
        <v>42</v>
      </c>
      <c r="J440" t="s">
        <v>59</v>
      </c>
      <c r="K440" t="s">
        <v>79</v>
      </c>
      <c r="M440" t="s">
        <v>44</v>
      </c>
      <c r="N440">
        <v>10</v>
      </c>
      <c r="O440" t="s">
        <v>190</v>
      </c>
      <c r="P440" t="b">
        <v>0</v>
      </c>
      <c r="Q440" t="b">
        <v>0</v>
      </c>
      <c r="R440" t="b">
        <v>1</v>
      </c>
      <c r="S440" t="b">
        <v>0</v>
      </c>
      <c r="T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1</v>
      </c>
      <c r="AC440" t="b">
        <v>0</v>
      </c>
      <c r="AE440" t="s">
        <v>1372</v>
      </c>
    </row>
    <row r="441" spans="1:31" x14ac:dyDescent="0.3">
      <c r="A441">
        <v>-73.974297342040003</v>
      </c>
      <c r="B441">
        <v>40.769180164429997</v>
      </c>
      <c r="C441" t="s">
        <v>1373</v>
      </c>
      <c r="D441" t="s">
        <v>250</v>
      </c>
      <c r="E441" t="s">
        <v>38</v>
      </c>
      <c r="F441">
        <v>10072018</v>
      </c>
      <c r="G441">
        <v>4</v>
      </c>
      <c r="H441" t="s">
        <v>48</v>
      </c>
      <c r="I441" t="s">
        <v>42</v>
      </c>
      <c r="J441" t="s">
        <v>53</v>
      </c>
      <c r="K441" t="s">
        <v>54</v>
      </c>
      <c r="M441" t="s">
        <v>44</v>
      </c>
      <c r="O441" t="s">
        <v>1374</v>
      </c>
      <c r="P441" t="b">
        <v>0</v>
      </c>
      <c r="Q441" t="b">
        <v>0</v>
      </c>
      <c r="R441" t="b">
        <v>0</v>
      </c>
      <c r="S441" t="b">
        <v>1</v>
      </c>
      <c r="T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E441" t="s">
        <v>1375</v>
      </c>
    </row>
    <row r="442" spans="1:31" x14ac:dyDescent="0.3">
      <c r="A442">
        <v>-73.950246628909994</v>
      </c>
      <c r="B442">
        <v>40.795922877990002</v>
      </c>
      <c r="C442" t="s">
        <v>1376</v>
      </c>
      <c r="D442" t="s">
        <v>1377</v>
      </c>
      <c r="E442" t="s">
        <v>38</v>
      </c>
      <c r="F442">
        <v>10182018</v>
      </c>
      <c r="G442">
        <v>2</v>
      </c>
      <c r="H442" t="s">
        <v>105</v>
      </c>
      <c r="I442" t="s">
        <v>42</v>
      </c>
      <c r="K442" t="s">
        <v>43</v>
      </c>
      <c r="M442" t="s">
        <v>65</v>
      </c>
      <c r="N442" t="b">
        <v>0</v>
      </c>
      <c r="P442" t="b">
        <v>1</v>
      </c>
      <c r="Q442" t="b">
        <v>0</v>
      </c>
      <c r="R442" t="b">
        <v>0</v>
      </c>
      <c r="S442" t="b">
        <v>0</v>
      </c>
      <c r="T442" t="b">
        <v>1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s">
        <v>1378</v>
      </c>
      <c r="AE442" t="s">
        <v>1379</v>
      </c>
    </row>
    <row r="443" spans="1:31" x14ac:dyDescent="0.3">
      <c r="A443">
        <v>-73.972088727550002</v>
      </c>
      <c r="B443">
        <v>40.7760799538</v>
      </c>
      <c r="C443" t="s">
        <v>1380</v>
      </c>
      <c r="D443" t="s">
        <v>415</v>
      </c>
      <c r="E443" t="s">
        <v>33</v>
      </c>
      <c r="F443">
        <v>10182018</v>
      </c>
      <c r="G443">
        <v>8</v>
      </c>
      <c r="H443" t="s">
        <v>48</v>
      </c>
      <c r="I443" t="s">
        <v>42</v>
      </c>
      <c r="J443" t="s">
        <v>96</v>
      </c>
      <c r="K443" t="s">
        <v>97</v>
      </c>
      <c r="L443" t="s">
        <v>1381</v>
      </c>
      <c r="M443" t="s">
        <v>65</v>
      </c>
      <c r="N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1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1</v>
      </c>
      <c r="AC443" t="b">
        <v>0</v>
      </c>
      <c r="AE443" t="s">
        <v>1382</v>
      </c>
    </row>
    <row r="444" spans="1:31" x14ac:dyDescent="0.3">
      <c r="A444">
        <v>-73.964146236049999</v>
      </c>
      <c r="B444">
        <v>40.777831600550002</v>
      </c>
      <c r="C444" t="s">
        <v>1383</v>
      </c>
      <c r="D444" t="s">
        <v>1141</v>
      </c>
      <c r="E444" t="s">
        <v>33</v>
      </c>
      <c r="F444">
        <v>10072018</v>
      </c>
      <c r="G444">
        <v>9</v>
      </c>
      <c r="H444" t="s">
        <v>48</v>
      </c>
      <c r="I444" t="s">
        <v>42</v>
      </c>
      <c r="J444" t="s">
        <v>53</v>
      </c>
      <c r="K444" t="s">
        <v>54</v>
      </c>
      <c r="M444" t="s">
        <v>44</v>
      </c>
      <c r="N444">
        <v>20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  <c r="U444" t="s">
        <v>1384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1</v>
      </c>
      <c r="AC444" t="b">
        <v>0</v>
      </c>
      <c r="AE444" t="s">
        <v>1385</v>
      </c>
    </row>
    <row r="445" spans="1:31" x14ac:dyDescent="0.3">
      <c r="A445">
        <v>-73.971405732720001</v>
      </c>
      <c r="B445">
        <v>40.772037513530002</v>
      </c>
      <c r="C445" t="s">
        <v>1386</v>
      </c>
      <c r="D445" t="s">
        <v>517</v>
      </c>
      <c r="E445" t="s">
        <v>33</v>
      </c>
      <c r="F445">
        <v>10142018</v>
      </c>
      <c r="G445">
        <v>4</v>
      </c>
      <c r="H445" t="s">
        <v>48</v>
      </c>
      <c r="I445" t="s">
        <v>42</v>
      </c>
      <c r="J445" t="s">
        <v>53</v>
      </c>
      <c r="K445" t="s">
        <v>54</v>
      </c>
      <c r="M445" t="s">
        <v>65</v>
      </c>
      <c r="N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1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1</v>
      </c>
      <c r="AC445" t="b">
        <v>0</v>
      </c>
      <c r="AE445" t="s">
        <v>1387</v>
      </c>
    </row>
    <row r="446" spans="1:31" x14ac:dyDescent="0.3">
      <c r="A446">
        <v>-73.967877431470001</v>
      </c>
      <c r="B446">
        <v>40.77385351713</v>
      </c>
      <c r="C446" t="s">
        <v>1388</v>
      </c>
      <c r="D446" t="s">
        <v>1389</v>
      </c>
      <c r="E446" t="s">
        <v>33</v>
      </c>
      <c r="F446">
        <v>10072018</v>
      </c>
      <c r="G446">
        <v>4</v>
      </c>
      <c r="I446" t="s">
        <v>42</v>
      </c>
      <c r="J446" t="s">
        <v>53</v>
      </c>
      <c r="K446" t="s">
        <v>54</v>
      </c>
      <c r="P446" t="b">
        <v>0</v>
      </c>
      <c r="Q446" t="b">
        <v>0</v>
      </c>
      <c r="R446" t="b">
        <v>0</v>
      </c>
      <c r="S446" t="b">
        <v>1</v>
      </c>
      <c r="T446" t="b">
        <v>0</v>
      </c>
      <c r="U446" t="s">
        <v>1390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1</v>
      </c>
      <c r="AC446" t="b">
        <v>0</v>
      </c>
      <c r="AE446" t="s">
        <v>1391</v>
      </c>
    </row>
    <row r="447" spans="1:31" x14ac:dyDescent="0.3">
      <c r="A447">
        <v>-73.972590601649998</v>
      </c>
      <c r="B447">
        <v>40.771388972970001</v>
      </c>
      <c r="C447" t="s">
        <v>1392</v>
      </c>
      <c r="D447" t="s">
        <v>764</v>
      </c>
      <c r="E447" t="s">
        <v>33</v>
      </c>
      <c r="F447">
        <v>10122018</v>
      </c>
      <c r="G447">
        <v>5</v>
      </c>
      <c r="H447" t="s">
        <v>48</v>
      </c>
      <c r="I447" t="s">
        <v>42</v>
      </c>
      <c r="J447" t="s">
        <v>53</v>
      </c>
      <c r="K447" t="s">
        <v>54</v>
      </c>
      <c r="M447" t="s">
        <v>65</v>
      </c>
      <c r="N447" t="b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1</v>
      </c>
      <c r="AA447" t="b">
        <v>0</v>
      </c>
      <c r="AB447" t="b">
        <v>0</v>
      </c>
      <c r="AC447" t="b">
        <v>0</v>
      </c>
      <c r="AE447" t="s">
        <v>1393</v>
      </c>
    </row>
    <row r="448" spans="1:31" x14ac:dyDescent="0.3">
      <c r="A448">
        <v>-73.97069293413</v>
      </c>
      <c r="B448">
        <v>40.776047387239998</v>
      </c>
      <c r="C448" t="s">
        <v>1394</v>
      </c>
      <c r="D448" t="s">
        <v>52</v>
      </c>
      <c r="E448" t="s">
        <v>33</v>
      </c>
      <c r="F448">
        <v>10082018</v>
      </c>
      <c r="G448">
        <v>6</v>
      </c>
      <c r="H448" t="s">
        <v>48</v>
      </c>
      <c r="I448" t="s">
        <v>42</v>
      </c>
      <c r="J448" t="s">
        <v>59</v>
      </c>
      <c r="K448" t="s">
        <v>79</v>
      </c>
      <c r="M448" t="s">
        <v>65</v>
      </c>
      <c r="N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1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1</v>
      </c>
      <c r="AC448" t="b">
        <v>0</v>
      </c>
      <c r="AE448" t="s">
        <v>1395</v>
      </c>
    </row>
    <row r="449" spans="1:31" x14ac:dyDescent="0.3">
      <c r="A449">
        <v>-73.970133516299995</v>
      </c>
      <c r="B449">
        <v>40.772205101140003</v>
      </c>
      <c r="C449" t="s">
        <v>1396</v>
      </c>
      <c r="D449" t="s">
        <v>600</v>
      </c>
      <c r="E449" t="s">
        <v>38</v>
      </c>
      <c r="F449">
        <v>10062018</v>
      </c>
      <c r="G449">
        <v>10</v>
      </c>
      <c r="H449" t="s">
        <v>48</v>
      </c>
      <c r="I449" t="s">
        <v>42</v>
      </c>
      <c r="K449" t="s">
        <v>43</v>
      </c>
      <c r="M449" t="s">
        <v>65</v>
      </c>
      <c r="N449" t="b">
        <v>0</v>
      </c>
      <c r="P449" t="b">
        <v>0</v>
      </c>
      <c r="Q449" t="b">
        <v>1</v>
      </c>
      <c r="R449" t="b">
        <v>0</v>
      </c>
      <c r="S449" t="b">
        <v>0</v>
      </c>
      <c r="T449" t="b">
        <v>0</v>
      </c>
      <c r="V449" t="b">
        <v>0</v>
      </c>
      <c r="W449" t="b">
        <v>1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E449" t="s">
        <v>1397</v>
      </c>
    </row>
    <row r="450" spans="1:31" x14ac:dyDescent="0.3">
      <c r="A450">
        <v>-73.964429319580006</v>
      </c>
      <c r="B450">
        <v>40.781382917210003</v>
      </c>
      <c r="C450" t="s">
        <v>1398</v>
      </c>
      <c r="D450" t="s">
        <v>1199</v>
      </c>
      <c r="E450" t="s">
        <v>38</v>
      </c>
      <c r="F450">
        <v>10182018</v>
      </c>
      <c r="G450">
        <v>2</v>
      </c>
      <c r="H450" t="s">
        <v>48</v>
      </c>
      <c r="I450" t="s">
        <v>42</v>
      </c>
      <c r="J450" t="s">
        <v>53</v>
      </c>
      <c r="K450" t="s">
        <v>54</v>
      </c>
      <c r="M450" t="s">
        <v>65</v>
      </c>
      <c r="N450" t="b">
        <v>0</v>
      </c>
      <c r="P450" t="b">
        <v>0</v>
      </c>
      <c r="Q450" t="b">
        <v>0</v>
      </c>
      <c r="R450" t="b">
        <v>0</v>
      </c>
      <c r="S450" t="b">
        <v>1</v>
      </c>
      <c r="T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1</v>
      </c>
      <c r="AA450" t="b">
        <v>0</v>
      </c>
      <c r="AB450" t="b">
        <v>1</v>
      </c>
      <c r="AC450" t="b">
        <v>0</v>
      </c>
      <c r="AE450" t="s">
        <v>1399</v>
      </c>
    </row>
    <row r="451" spans="1:31" x14ac:dyDescent="0.3">
      <c r="A451">
        <v>-73.975314064040006</v>
      </c>
      <c r="B451">
        <v>40.773403780510002</v>
      </c>
      <c r="C451" t="s">
        <v>1400</v>
      </c>
      <c r="D451" t="s">
        <v>1401</v>
      </c>
      <c r="E451" t="s">
        <v>38</v>
      </c>
      <c r="F451">
        <v>10062018</v>
      </c>
      <c r="G451">
        <v>2</v>
      </c>
      <c r="H451" t="s">
        <v>48</v>
      </c>
      <c r="I451" t="s">
        <v>42</v>
      </c>
      <c r="K451" t="s">
        <v>43</v>
      </c>
      <c r="M451" t="s">
        <v>65</v>
      </c>
      <c r="N451" t="b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1</v>
      </c>
      <c r="AC451" t="b">
        <v>0</v>
      </c>
      <c r="AE451" t="s">
        <v>1402</v>
      </c>
    </row>
    <row r="452" spans="1:31" x14ac:dyDescent="0.3">
      <c r="A452">
        <v>-73.960300330029995</v>
      </c>
      <c r="B452">
        <v>40.795347587190001</v>
      </c>
      <c r="C452" t="s">
        <v>1403</v>
      </c>
      <c r="D452" t="s">
        <v>1404</v>
      </c>
      <c r="E452" t="s">
        <v>38</v>
      </c>
      <c r="F452">
        <v>10132018</v>
      </c>
      <c r="G452">
        <v>3</v>
      </c>
      <c r="I452" t="s">
        <v>42</v>
      </c>
      <c r="K452" t="s">
        <v>43</v>
      </c>
      <c r="M452" t="s">
        <v>65</v>
      </c>
      <c r="N452" t="b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1</v>
      </c>
      <c r="AC452" t="b">
        <v>0</v>
      </c>
      <c r="AE452" t="s">
        <v>1405</v>
      </c>
    </row>
    <row r="453" spans="1:31" x14ac:dyDescent="0.3">
      <c r="A453">
        <v>-73.959514034869997</v>
      </c>
      <c r="B453">
        <v>40.789911786419999</v>
      </c>
      <c r="C453" t="s">
        <v>1406</v>
      </c>
      <c r="D453" t="s">
        <v>1407</v>
      </c>
      <c r="E453" t="s">
        <v>33</v>
      </c>
      <c r="F453">
        <v>10062018</v>
      </c>
      <c r="G453">
        <v>2</v>
      </c>
      <c r="H453" t="s">
        <v>48</v>
      </c>
      <c r="I453" t="s">
        <v>42</v>
      </c>
      <c r="J453" t="s">
        <v>53</v>
      </c>
      <c r="K453" t="s">
        <v>54</v>
      </c>
      <c r="M453" t="s">
        <v>65</v>
      </c>
      <c r="N453" t="b">
        <v>0</v>
      </c>
      <c r="O453" t="s">
        <v>1408</v>
      </c>
      <c r="P453" t="b">
        <v>0</v>
      </c>
      <c r="Q453" t="b">
        <v>0</v>
      </c>
      <c r="R453" t="b">
        <v>0</v>
      </c>
      <c r="S453" t="b">
        <v>1</v>
      </c>
      <c r="T453" t="b">
        <v>1</v>
      </c>
      <c r="V453" t="b">
        <v>0</v>
      </c>
      <c r="W453" t="b">
        <v>1</v>
      </c>
      <c r="X453" t="b">
        <v>0</v>
      </c>
      <c r="Y453" t="b">
        <v>0</v>
      </c>
      <c r="Z453" t="b">
        <v>0</v>
      </c>
      <c r="AA453" t="b">
        <v>0</v>
      </c>
      <c r="AB453" t="b">
        <v>1</v>
      </c>
      <c r="AC453" t="b">
        <v>0</v>
      </c>
      <c r="AE453" t="s">
        <v>1409</v>
      </c>
    </row>
    <row r="454" spans="1:31" x14ac:dyDescent="0.3">
      <c r="A454">
        <v>-73.975279319570006</v>
      </c>
      <c r="B454">
        <v>40.773396012889997</v>
      </c>
      <c r="C454" t="s">
        <v>1410</v>
      </c>
      <c r="D454" t="s">
        <v>1401</v>
      </c>
      <c r="E454" t="s">
        <v>38</v>
      </c>
      <c r="F454">
        <v>10062018</v>
      </c>
      <c r="G454">
        <v>3</v>
      </c>
      <c r="H454" t="s">
        <v>48</v>
      </c>
      <c r="I454" t="s">
        <v>53</v>
      </c>
      <c r="K454" t="s">
        <v>155</v>
      </c>
      <c r="M454" t="s">
        <v>65</v>
      </c>
      <c r="N454" t="b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1</v>
      </c>
      <c r="AC454" t="b">
        <v>0</v>
      </c>
      <c r="AE454" t="s">
        <v>1411</v>
      </c>
    </row>
    <row r="455" spans="1:31" x14ac:dyDescent="0.3">
      <c r="A455">
        <v>-73.954787802530007</v>
      </c>
      <c r="B455">
        <v>40.789915187349997</v>
      </c>
      <c r="C455" t="s">
        <v>1412</v>
      </c>
      <c r="D455" t="s">
        <v>921</v>
      </c>
      <c r="E455" t="s">
        <v>33</v>
      </c>
      <c r="F455">
        <v>10062018</v>
      </c>
      <c r="G455">
        <v>5</v>
      </c>
      <c r="H455" t="s">
        <v>48</v>
      </c>
      <c r="I455" t="s">
        <v>42</v>
      </c>
      <c r="K455" t="s">
        <v>43</v>
      </c>
      <c r="M455" t="s">
        <v>65</v>
      </c>
      <c r="N455" t="b">
        <v>0</v>
      </c>
      <c r="P455" t="b">
        <v>0</v>
      </c>
      <c r="Q455" t="b">
        <v>0</v>
      </c>
      <c r="R455" t="b">
        <v>0</v>
      </c>
      <c r="S455" t="b">
        <v>1</v>
      </c>
      <c r="T455" t="b">
        <v>1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1</v>
      </c>
      <c r="AC455" t="b">
        <v>0</v>
      </c>
      <c r="AE455" t="s">
        <v>1413</v>
      </c>
    </row>
    <row r="456" spans="1:31" x14ac:dyDescent="0.3">
      <c r="A456">
        <v>-73.965848283829999</v>
      </c>
      <c r="B456">
        <v>40.779724303309997</v>
      </c>
      <c r="C456" t="s">
        <v>1414</v>
      </c>
      <c r="D456" t="s">
        <v>1032</v>
      </c>
      <c r="E456" t="s">
        <v>33</v>
      </c>
      <c r="F456">
        <v>10172018</v>
      </c>
      <c r="G456">
        <v>1</v>
      </c>
      <c r="H456" t="s">
        <v>48</v>
      </c>
      <c r="I456" t="s">
        <v>42</v>
      </c>
      <c r="J456" t="s">
        <v>53</v>
      </c>
      <c r="K456" t="s">
        <v>54</v>
      </c>
      <c r="M456" t="s">
        <v>65</v>
      </c>
      <c r="N456" t="b">
        <v>0</v>
      </c>
      <c r="P456" t="b">
        <v>0</v>
      </c>
      <c r="Q456" t="b">
        <v>0</v>
      </c>
      <c r="R456" t="b">
        <v>1</v>
      </c>
      <c r="S456" t="b">
        <v>0</v>
      </c>
      <c r="T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1</v>
      </c>
      <c r="AC456" t="b">
        <v>0</v>
      </c>
      <c r="AE456" t="s">
        <v>1415</v>
      </c>
    </row>
    <row r="457" spans="1:31" x14ac:dyDescent="0.3">
      <c r="A457">
        <v>-73.973575035300001</v>
      </c>
      <c r="B457">
        <v>40.769450033379997</v>
      </c>
      <c r="C457" t="s">
        <v>1416</v>
      </c>
      <c r="D457" t="s">
        <v>514</v>
      </c>
      <c r="E457" t="s">
        <v>33</v>
      </c>
      <c r="F457">
        <v>10082018</v>
      </c>
      <c r="G457">
        <v>6</v>
      </c>
      <c r="H457" t="s">
        <v>48</v>
      </c>
      <c r="I457" t="s">
        <v>53</v>
      </c>
      <c r="J457" t="s">
        <v>115</v>
      </c>
      <c r="K457" t="s">
        <v>116</v>
      </c>
      <c r="L457" t="s">
        <v>1417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1</v>
      </c>
      <c r="AC457" t="b">
        <v>0</v>
      </c>
      <c r="AE457" t="s">
        <v>1418</v>
      </c>
    </row>
    <row r="458" spans="1:31" x14ac:dyDescent="0.3">
      <c r="A458">
        <v>-73.962454691760001</v>
      </c>
      <c r="B458">
        <v>40.788823495979997</v>
      </c>
      <c r="C458" t="s">
        <v>1419</v>
      </c>
      <c r="D458" t="s">
        <v>1420</v>
      </c>
      <c r="E458" t="s">
        <v>38</v>
      </c>
      <c r="F458">
        <v>10142018</v>
      </c>
      <c r="G458">
        <v>4</v>
      </c>
      <c r="H458" t="s">
        <v>105</v>
      </c>
      <c r="I458" t="s">
        <v>42</v>
      </c>
      <c r="K458" t="s">
        <v>43</v>
      </c>
      <c r="M458" t="s">
        <v>65</v>
      </c>
      <c r="N458" t="b">
        <v>0</v>
      </c>
      <c r="O458" t="s">
        <v>1421</v>
      </c>
      <c r="P458" t="b">
        <v>0</v>
      </c>
      <c r="Q458" t="b">
        <v>0</v>
      </c>
      <c r="R458" t="b">
        <v>0</v>
      </c>
      <c r="S458" t="b">
        <v>0</v>
      </c>
      <c r="T458" t="b">
        <v>1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1</v>
      </c>
      <c r="AC458" t="b">
        <v>0</v>
      </c>
      <c r="AE458" t="s">
        <v>1422</v>
      </c>
    </row>
    <row r="459" spans="1:31" x14ac:dyDescent="0.3">
      <c r="A459">
        <v>-73.954913520700003</v>
      </c>
      <c r="B459">
        <v>40.79852589723</v>
      </c>
      <c r="C459" t="s">
        <v>1423</v>
      </c>
      <c r="D459" t="s">
        <v>1424</v>
      </c>
      <c r="E459" t="s">
        <v>33</v>
      </c>
      <c r="F459">
        <v>10132018</v>
      </c>
      <c r="G459">
        <v>3</v>
      </c>
      <c r="H459" t="s">
        <v>48</v>
      </c>
      <c r="I459" t="s">
        <v>42</v>
      </c>
      <c r="J459" t="s">
        <v>53</v>
      </c>
      <c r="K459" t="s">
        <v>54</v>
      </c>
      <c r="M459" t="s">
        <v>44</v>
      </c>
      <c r="N459">
        <v>25</v>
      </c>
      <c r="O459" t="s">
        <v>456</v>
      </c>
      <c r="P459" t="b">
        <v>0</v>
      </c>
      <c r="Q459" t="b">
        <v>0</v>
      </c>
      <c r="R459" t="b">
        <v>0</v>
      </c>
      <c r="S459" t="b">
        <v>1</v>
      </c>
      <c r="T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1</v>
      </c>
      <c r="AC459" t="b">
        <v>0</v>
      </c>
      <c r="AE459" t="s">
        <v>1425</v>
      </c>
    </row>
    <row r="460" spans="1:31" x14ac:dyDescent="0.3">
      <c r="A460">
        <v>-73.964819543320004</v>
      </c>
      <c r="B460">
        <v>40.779639995590003</v>
      </c>
      <c r="C460" t="s">
        <v>1426</v>
      </c>
      <c r="D460" t="s">
        <v>1427</v>
      </c>
      <c r="E460" t="s">
        <v>33</v>
      </c>
      <c r="F460">
        <v>10172018</v>
      </c>
      <c r="G460">
        <v>3</v>
      </c>
      <c r="H460" t="s">
        <v>48</v>
      </c>
      <c r="I460" t="s">
        <v>53</v>
      </c>
      <c r="K460" t="s">
        <v>155</v>
      </c>
      <c r="M460" t="s">
        <v>65</v>
      </c>
      <c r="N460" t="b">
        <v>0</v>
      </c>
      <c r="P460" t="b">
        <v>0</v>
      </c>
      <c r="Q460" t="b">
        <v>0</v>
      </c>
      <c r="R460" t="b">
        <v>1</v>
      </c>
      <c r="S460" t="b">
        <v>1</v>
      </c>
      <c r="T460" t="b">
        <v>0</v>
      </c>
      <c r="U460" t="s">
        <v>1428</v>
      </c>
      <c r="V460" t="b">
        <v>0</v>
      </c>
      <c r="W460" t="b">
        <v>0</v>
      </c>
      <c r="X460" t="b">
        <v>0</v>
      </c>
      <c r="Y460" t="b">
        <v>0</v>
      </c>
      <c r="Z460" t="b">
        <v>1</v>
      </c>
      <c r="AA460" t="b">
        <v>0</v>
      </c>
      <c r="AB460" t="b">
        <v>0</v>
      </c>
      <c r="AC460" t="b">
        <v>0</v>
      </c>
      <c r="AE460" t="s">
        <v>1429</v>
      </c>
    </row>
    <row r="461" spans="1:31" x14ac:dyDescent="0.3">
      <c r="A461">
        <v>-73.966178594050007</v>
      </c>
      <c r="B461">
        <v>40.77425699362</v>
      </c>
      <c r="C461" t="s">
        <v>1430</v>
      </c>
      <c r="D461" t="s">
        <v>1431</v>
      </c>
      <c r="E461" t="s">
        <v>33</v>
      </c>
      <c r="F461">
        <v>10082018</v>
      </c>
      <c r="G461">
        <v>1</v>
      </c>
      <c r="H461" t="s">
        <v>48</v>
      </c>
      <c r="I461" t="s">
        <v>42</v>
      </c>
      <c r="J461" t="s">
        <v>53</v>
      </c>
      <c r="K461" t="s">
        <v>54</v>
      </c>
      <c r="M461" t="s">
        <v>44</v>
      </c>
      <c r="N461">
        <v>5</v>
      </c>
      <c r="O461" t="s">
        <v>1432</v>
      </c>
      <c r="P461" t="b">
        <v>1</v>
      </c>
      <c r="Q461" t="b">
        <v>0</v>
      </c>
      <c r="R461" t="b">
        <v>1</v>
      </c>
      <c r="S461" t="b">
        <v>0</v>
      </c>
      <c r="T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1</v>
      </c>
      <c r="AC461" t="b">
        <v>0</v>
      </c>
      <c r="AE461" t="s">
        <v>1433</v>
      </c>
    </row>
    <row r="462" spans="1:31" x14ac:dyDescent="0.3">
      <c r="A462">
        <v>-73.959210306429995</v>
      </c>
      <c r="B462">
        <v>40.790439069160001</v>
      </c>
      <c r="C462" t="s">
        <v>1434</v>
      </c>
      <c r="D462" t="s">
        <v>47</v>
      </c>
      <c r="E462" t="s">
        <v>33</v>
      </c>
      <c r="F462">
        <v>10172018</v>
      </c>
      <c r="G462">
        <v>10</v>
      </c>
      <c r="H462" t="s">
        <v>48</v>
      </c>
      <c r="I462" t="s">
        <v>42</v>
      </c>
      <c r="K462" t="s">
        <v>43</v>
      </c>
      <c r="M462" t="s">
        <v>65</v>
      </c>
      <c r="N462" t="b">
        <v>0</v>
      </c>
      <c r="P462" t="b">
        <v>0</v>
      </c>
      <c r="Q462" t="b">
        <v>0</v>
      </c>
      <c r="R462" t="b">
        <v>0</v>
      </c>
      <c r="S462" t="b">
        <v>1</v>
      </c>
      <c r="T462" t="b">
        <v>1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1</v>
      </c>
      <c r="AE462" t="s">
        <v>1435</v>
      </c>
    </row>
    <row r="463" spans="1:31" x14ac:dyDescent="0.3">
      <c r="A463">
        <v>-73.966445039909999</v>
      </c>
      <c r="B463">
        <v>40.78878449047</v>
      </c>
      <c r="C463" t="s">
        <v>1436</v>
      </c>
      <c r="D463" t="s">
        <v>1071</v>
      </c>
      <c r="E463" t="s">
        <v>38</v>
      </c>
      <c r="F463">
        <v>10082018</v>
      </c>
      <c r="G463">
        <v>2</v>
      </c>
      <c r="H463" t="s">
        <v>48</v>
      </c>
      <c r="I463" t="s">
        <v>53</v>
      </c>
      <c r="J463" t="s">
        <v>59</v>
      </c>
      <c r="K463" t="s">
        <v>60</v>
      </c>
      <c r="M463" t="s">
        <v>65</v>
      </c>
      <c r="N463" t="b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1</v>
      </c>
      <c r="AE463" t="s">
        <v>1437</v>
      </c>
    </row>
    <row r="464" spans="1:31" x14ac:dyDescent="0.3">
      <c r="A464">
        <v>-73.968304109930003</v>
      </c>
      <c r="B464">
        <v>40.786265230010002</v>
      </c>
      <c r="C464" t="s">
        <v>1438</v>
      </c>
      <c r="D464" t="s">
        <v>1439</v>
      </c>
      <c r="E464" t="s">
        <v>38</v>
      </c>
      <c r="F464">
        <v>10142018</v>
      </c>
      <c r="G464">
        <v>1</v>
      </c>
      <c r="H464" t="s">
        <v>48</v>
      </c>
      <c r="I464" t="s">
        <v>42</v>
      </c>
      <c r="J464" t="s">
        <v>59</v>
      </c>
      <c r="K464" t="s">
        <v>79</v>
      </c>
      <c r="M464" t="s">
        <v>65</v>
      </c>
      <c r="N464" t="b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s">
        <v>1440</v>
      </c>
      <c r="AE464" t="s">
        <v>1441</v>
      </c>
    </row>
    <row r="465" spans="1:31" x14ac:dyDescent="0.3">
      <c r="A465">
        <v>-73.970308716069994</v>
      </c>
      <c r="B465">
        <v>40.776398566730002</v>
      </c>
      <c r="C465" t="s">
        <v>1442</v>
      </c>
      <c r="D465" t="s">
        <v>100</v>
      </c>
      <c r="E465" t="s">
        <v>38</v>
      </c>
      <c r="F465">
        <v>10082018</v>
      </c>
      <c r="G465">
        <v>20</v>
      </c>
      <c r="H465" t="s">
        <v>48</v>
      </c>
      <c r="I465" t="s">
        <v>42</v>
      </c>
      <c r="K465" t="s">
        <v>43</v>
      </c>
      <c r="M465" t="s">
        <v>65</v>
      </c>
      <c r="N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1</v>
      </c>
      <c r="U465" t="s">
        <v>101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1</v>
      </c>
      <c r="AC465" t="b">
        <v>0</v>
      </c>
      <c r="AE465" t="s">
        <v>1443</v>
      </c>
    </row>
    <row r="466" spans="1:31" x14ac:dyDescent="0.3">
      <c r="A466">
        <v>-73.957972411989999</v>
      </c>
      <c r="B466">
        <v>40.79487099</v>
      </c>
      <c r="C466" t="s">
        <v>1444</v>
      </c>
      <c r="D466" t="s">
        <v>390</v>
      </c>
      <c r="E466" t="s">
        <v>38</v>
      </c>
      <c r="F466">
        <v>10182018</v>
      </c>
      <c r="G466">
        <v>1</v>
      </c>
      <c r="H466" t="s">
        <v>105</v>
      </c>
      <c r="I466" t="s">
        <v>42</v>
      </c>
      <c r="J466" t="s">
        <v>59</v>
      </c>
      <c r="K466" t="s">
        <v>79</v>
      </c>
      <c r="M466" t="s">
        <v>65</v>
      </c>
      <c r="N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1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1</v>
      </c>
      <c r="AC466" t="b">
        <v>0</v>
      </c>
      <c r="AE466" t="s">
        <v>1445</v>
      </c>
    </row>
    <row r="467" spans="1:31" x14ac:dyDescent="0.3">
      <c r="A467">
        <v>-73.978065967960006</v>
      </c>
      <c r="B467">
        <v>40.76723822828</v>
      </c>
      <c r="C467" t="s">
        <v>1446</v>
      </c>
      <c r="D467" t="s">
        <v>1278</v>
      </c>
      <c r="E467" t="s">
        <v>33</v>
      </c>
      <c r="F467">
        <v>10072018</v>
      </c>
      <c r="G467">
        <v>6</v>
      </c>
      <c r="H467" t="s">
        <v>48</v>
      </c>
      <c r="I467" t="s">
        <v>42</v>
      </c>
      <c r="J467" t="s">
        <v>59</v>
      </c>
      <c r="K467" t="s">
        <v>79</v>
      </c>
      <c r="M467" t="s">
        <v>65</v>
      </c>
      <c r="N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1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1</v>
      </c>
      <c r="AC467" t="b">
        <v>0</v>
      </c>
      <c r="AE467" t="s">
        <v>1447</v>
      </c>
    </row>
    <row r="468" spans="1:31" x14ac:dyDescent="0.3">
      <c r="A468">
        <v>-73.971720137879998</v>
      </c>
      <c r="B468">
        <v>40.776120280880001</v>
      </c>
      <c r="C468" t="s">
        <v>1448</v>
      </c>
      <c r="D468" t="s">
        <v>415</v>
      </c>
      <c r="E468" t="s">
        <v>33</v>
      </c>
      <c r="F468">
        <v>10182018</v>
      </c>
      <c r="G468">
        <v>2</v>
      </c>
      <c r="H468" t="s">
        <v>48</v>
      </c>
      <c r="I468" t="s">
        <v>42</v>
      </c>
      <c r="J468" t="s">
        <v>59</v>
      </c>
      <c r="K468" t="s">
        <v>79</v>
      </c>
      <c r="M468" t="s">
        <v>65</v>
      </c>
      <c r="N468" t="b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1</v>
      </c>
      <c r="AC468" t="b">
        <v>0</v>
      </c>
      <c r="AE468" t="s">
        <v>1449</v>
      </c>
    </row>
    <row r="469" spans="1:31" x14ac:dyDescent="0.3">
      <c r="A469">
        <v>-73.958124302170006</v>
      </c>
      <c r="B469">
        <v>40.794431473389999</v>
      </c>
      <c r="C469" t="s">
        <v>1450</v>
      </c>
      <c r="D469" t="s">
        <v>1451</v>
      </c>
      <c r="E469" t="s">
        <v>38</v>
      </c>
      <c r="F469">
        <v>10072018</v>
      </c>
      <c r="G469">
        <v>1</v>
      </c>
      <c r="H469" t="s">
        <v>48</v>
      </c>
      <c r="I469" t="s">
        <v>53</v>
      </c>
      <c r="J469" t="s">
        <v>42</v>
      </c>
      <c r="K469" t="s">
        <v>89</v>
      </c>
      <c r="M469" t="s">
        <v>65</v>
      </c>
      <c r="N469" t="b">
        <v>0</v>
      </c>
      <c r="P469" t="b">
        <v>0</v>
      </c>
      <c r="Q469" t="b">
        <v>0</v>
      </c>
      <c r="R469" t="b">
        <v>1</v>
      </c>
      <c r="S469" t="b">
        <v>0</v>
      </c>
      <c r="T469" t="b">
        <v>1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1</v>
      </c>
      <c r="AD469" t="s">
        <v>1452</v>
      </c>
      <c r="AE469" t="s">
        <v>1453</v>
      </c>
    </row>
    <row r="470" spans="1:31" x14ac:dyDescent="0.3">
      <c r="A470">
        <v>-73.97072153949</v>
      </c>
      <c r="B470">
        <v>40.772750814909998</v>
      </c>
      <c r="C470" t="s">
        <v>1454</v>
      </c>
      <c r="D470" t="s">
        <v>600</v>
      </c>
      <c r="E470" t="s">
        <v>38</v>
      </c>
      <c r="F470">
        <v>10062018</v>
      </c>
      <c r="G470">
        <v>5</v>
      </c>
      <c r="H470" t="s">
        <v>48</v>
      </c>
      <c r="I470" t="s">
        <v>42</v>
      </c>
      <c r="K470" t="s">
        <v>43</v>
      </c>
      <c r="M470" t="s">
        <v>65</v>
      </c>
      <c r="N470" t="b">
        <v>0</v>
      </c>
      <c r="P470" t="b">
        <v>0</v>
      </c>
      <c r="Q470" t="b">
        <v>1</v>
      </c>
      <c r="R470" t="b">
        <v>0</v>
      </c>
      <c r="S470" t="b">
        <v>0</v>
      </c>
      <c r="T470" t="b">
        <v>0</v>
      </c>
      <c r="U470" t="s">
        <v>1455</v>
      </c>
      <c r="V470" t="b">
        <v>1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E470" t="s">
        <v>1456</v>
      </c>
    </row>
    <row r="471" spans="1:31" x14ac:dyDescent="0.3">
      <c r="A471">
        <v>-73.97027212447</v>
      </c>
      <c r="B471">
        <v>40.770101177420003</v>
      </c>
      <c r="C471" t="s">
        <v>1457</v>
      </c>
      <c r="D471" t="s">
        <v>92</v>
      </c>
      <c r="E471" t="s">
        <v>38</v>
      </c>
      <c r="F471">
        <v>10062018</v>
      </c>
      <c r="G471">
        <v>15</v>
      </c>
      <c r="H471" t="s">
        <v>48</v>
      </c>
      <c r="I471" t="s">
        <v>42</v>
      </c>
      <c r="J471" t="s">
        <v>53</v>
      </c>
      <c r="K471" t="s">
        <v>54</v>
      </c>
      <c r="M471" t="s">
        <v>65</v>
      </c>
      <c r="N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1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1</v>
      </c>
      <c r="AC471" t="b">
        <v>0</v>
      </c>
      <c r="AE471" t="s">
        <v>1458</v>
      </c>
    </row>
    <row r="472" spans="1:31" x14ac:dyDescent="0.3">
      <c r="A472">
        <v>-73.95701300172</v>
      </c>
      <c r="B472">
        <v>40.799602742860003</v>
      </c>
      <c r="C472" t="s">
        <v>1459</v>
      </c>
      <c r="D472" t="s">
        <v>1460</v>
      </c>
      <c r="E472" t="s">
        <v>38</v>
      </c>
      <c r="F472">
        <v>10142018</v>
      </c>
      <c r="G472">
        <v>2</v>
      </c>
      <c r="H472" t="s">
        <v>48</v>
      </c>
      <c r="I472" t="s">
        <v>176</v>
      </c>
      <c r="K472" t="s">
        <v>177</v>
      </c>
      <c r="M472" t="s">
        <v>65</v>
      </c>
      <c r="N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1</v>
      </c>
      <c r="U472" t="s">
        <v>340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1</v>
      </c>
      <c r="AC472" t="b">
        <v>0</v>
      </c>
      <c r="AE472" t="s">
        <v>1461</v>
      </c>
    </row>
    <row r="473" spans="1:31" x14ac:dyDescent="0.3">
      <c r="A473">
        <v>-73.954065230469993</v>
      </c>
      <c r="B473">
        <v>40.795522617819998</v>
      </c>
      <c r="C473" t="s">
        <v>1462</v>
      </c>
      <c r="D473" t="s">
        <v>133</v>
      </c>
      <c r="E473" t="s">
        <v>33</v>
      </c>
      <c r="F473">
        <v>10132018</v>
      </c>
      <c r="G473">
        <v>5</v>
      </c>
      <c r="H473" t="s">
        <v>48</v>
      </c>
      <c r="I473" t="s">
        <v>42</v>
      </c>
      <c r="J473" t="s">
        <v>53</v>
      </c>
      <c r="K473" t="s">
        <v>54</v>
      </c>
      <c r="M473" t="s">
        <v>65</v>
      </c>
      <c r="N473" t="b">
        <v>0</v>
      </c>
      <c r="P473" t="b">
        <v>0</v>
      </c>
      <c r="Q473" t="b">
        <v>1</v>
      </c>
      <c r="R473" t="b">
        <v>0</v>
      </c>
      <c r="S473" t="b">
        <v>0</v>
      </c>
      <c r="T473" t="b">
        <v>1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E473" t="s">
        <v>1463</v>
      </c>
    </row>
    <row r="474" spans="1:31" x14ac:dyDescent="0.3">
      <c r="A474">
        <v>-73.969785557310004</v>
      </c>
      <c r="B474">
        <v>40.774218639190003</v>
      </c>
      <c r="C474" t="s">
        <v>1464</v>
      </c>
      <c r="D474" t="s">
        <v>646</v>
      </c>
      <c r="E474" t="s">
        <v>33</v>
      </c>
      <c r="F474">
        <v>10072018</v>
      </c>
      <c r="G474">
        <v>5</v>
      </c>
      <c r="H474" t="s">
        <v>48</v>
      </c>
      <c r="I474" t="s">
        <v>42</v>
      </c>
      <c r="J474" t="s">
        <v>59</v>
      </c>
      <c r="K474" t="s">
        <v>79</v>
      </c>
      <c r="M474" t="s">
        <v>65</v>
      </c>
      <c r="N474" t="b">
        <v>0</v>
      </c>
      <c r="P474" t="b">
        <v>0</v>
      </c>
      <c r="Q474" t="b">
        <v>0</v>
      </c>
      <c r="R474" t="b">
        <v>0</v>
      </c>
      <c r="S474" t="b">
        <v>1</v>
      </c>
      <c r="T474" t="b">
        <v>1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1</v>
      </c>
      <c r="AC474" t="b">
        <v>0</v>
      </c>
      <c r="AE474" t="s">
        <v>1465</v>
      </c>
    </row>
    <row r="475" spans="1:31" x14ac:dyDescent="0.3">
      <c r="A475">
        <v>-73.969096816079997</v>
      </c>
      <c r="B475">
        <v>40.76992326944</v>
      </c>
      <c r="C475" t="s">
        <v>1466</v>
      </c>
      <c r="D475" t="s">
        <v>1326</v>
      </c>
      <c r="E475" t="s">
        <v>38</v>
      </c>
      <c r="F475">
        <v>10062018</v>
      </c>
      <c r="G475">
        <v>8</v>
      </c>
      <c r="H475" t="s">
        <v>48</v>
      </c>
      <c r="I475" t="s">
        <v>42</v>
      </c>
      <c r="J475" t="s">
        <v>53</v>
      </c>
      <c r="K475" t="s">
        <v>54</v>
      </c>
      <c r="M475" t="s">
        <v>44</v>
      </c>
      <c r="N475">
        <v>6</v>
      </c>
      <c r="O475" t="s">
        <v>190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V475" t="b">
        <v>1</v>
      </c>
      <c r="W475" t="b">
        <v>1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s">
        <v>1467</v>
      </c>
      <c r="AE475" t="s">
        <v>1468</v>
      </c>
    </row>
    <row r="476" spans="1:31" x14ac:dyDescent="0.3">
      <c r="A476">
        <v>-73.970148120030004</v>
      </c>
      <c r="B476">
        <v>40.775111035400002</v>
      </c>
      <c r="C476" t="s">
        <v>1469</v>
      </c>
      <c r="D476" t="s">
        <v>646</v>
      </c>
      <c r="E476" t="s">
        <v>38</v>
      </c>
      <c r="F476">
        <v>10202018</v>
      </c>
      <c r="G476">
        <v>6</v>
      </c>
      <c r="H476" t="s">
        <v>48</v>
      </c>
      <c r="I476" t="s">
        <v>53</v>
      </c>
      <c r="J476" t="s">
        <v>59</v>
      </c>
      <c r="K476" t="s">
        <v>60</v>
      </c>
      <c r="M476" t="s">
        <v>65</v>
      </c>
      <c r="N476" t="b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E476" t="s">
        <v>1470</v>
      </c>
    </row>
    <row r="477" spans="1:31" x14ac:dyDescent="0.3">
      <c r="A477">
        <v>-73.954482814190001</v>
      </c>
      <c r="B477">
        <v>40.798703176799997</v>
      </c>
      <c r="C477" t="s">
        <v>1471</v>
      </c>
      <c r="D477" t="s">
        <v>1424</v>
      </c>
      <c r="E477" t="s">
        <v>33</v>
      </c>
      <c r="F477">
        <v>10132018</v>
      </c>
      <c r="G477">
        <v>1</v>
      </c>
      <c r="H477" t="s">
        <v>48</v>
      </c>
      <c r="I477" t="s">
        <v>42</v>
      </c>
      <c r="J477" t="s">
        <v>53</v>
      </c>
      <c r="K477" t="s">
        <v>54</v>
      </c>
      <c r="L477" t="s">
        <v>1472</v>
      </c>
      <c r="M477" t="s">
        <v>65</v>
      </c>
      <c r="N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1</v>
      </c>
      <c r="U477" t="s">
        <v>1473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1</v>
      </c>
      <c r="AB477" t="b">
        <v>1</v>
      </c>
      <c r="AC477" t="b">
        <v>0</v>
      </c>
      <c r="AE477" t="s">
        <v>1474</v>
      </c>
    </row>
    <row r="478" spans="1:31" x14ac:dyDescent="0.3">
      <c r="A478">
        <v>-73.956940336580004</v>
      </c>
      <c r="B478">
        <v>40.795659960880002</v>
      </c>
      <c r="C478" t="s">
        <v>1475</v>
      </c>
      <c r="D478" t="s">
        <v>835</v>
      </c>
      <c r="E478" t="s">
        <v>33</v>
      </c>
      <c r="F478">
        <v>10062018</v>
      </c>
      <c r="G478">
        <v>1</v>
      </c>
      <c r="H478" t="s">
        <v>48</v>
      </c>
      <c r="I478" t="s">
        <v>42</v>
      </c>
      <c r="J478" t="s">
        <v>53</v>
      </c>
      <c r="K478" t="s">
        <v>54</v>
      </c>
      <c r="M478" t="s">
        <v>65</v>
      </c>
      <c r="N478" t="b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s">
        <v>1476</v>
      </c>
      <c r="AE478" t="s">
        <v>1477</v>
      </c>
    </row>
    <row r="479" spans="1:31" x14ac:dyDescent="0.3">
      <c r="A479">
        <v>-73.964129328370007</v>
      </c>
      <c r="B479">
        <v>40.790765400600002</v>
      </c>
      <c r="C479" t="s">
        <v>1478</v>
      </c>
      <c r="D479" t="s">
        <v>908</v>
      </c>
      <c r="E479" t="s">
        <v>38</v>
      </c>
      <c r="F479">
        <v>10072018</v>
      </c>
      <c r="G479">
        <v>3</v>
      </c>
      <c r="H479" t="s">
        <v>48</v>
      </c>
      <c r="I479" t="s">
        <v>42</v>
      </c>
      <c r="K479" t="s">
        <v>43</v>
      </c>
      <c r="M479" t="s">
        <v>44</v>
      </c>
      <c r="N479">
        <v>30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E479" t="s">
        <v>1479</v>
      </c>
    </row>
    <row r="480" spans="1:31" x14ac:dyDescent="0.3">
      <c r="A480">
        <v>-73.971430331570005</v>
      </c>
      <c r="B480">
        <v>40.774593494770002</v>
      </c>
      <c r="C480" t="s">
        <v>1480</v>
      </c>
      <c r="D480" t="s">
        <v>1112</v>
      </c>
      <c r="E480" t="s">
        <v>38</v>
      </c>
      <c r="F480">
        <v>10132018</v>
      </c>
      <c r="G480">
        <v>4</v>
      </c>
      <c r="H480" t="s">
        <v>48</v>
      </c>
      <c r="I480" t="s">
        <v>176</v>
      </c>
      <c r="K480" t="s">
        <v>177</v>
      </c>
      <c r="M480" t="s">
        <v>65</v>
      </c>
      <c r="N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1</v>
      </c>
      <c r="U480" t="s">
        <v>511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1</v>
      </c>
      <c r="AC480" t="b">
        <v>0</v>
      </c>
      <c r="AE480" t="s">
        <v>1481</v>
      </c>
    </row>
    <row r="481" spans="1:31" x14ac:dyDescent="0.3">
      <c r="A481">
        <v>-73.972179782460003</v>
      </c>
      <c r="B481">
        <v>40.780121384360001</v>
      </c>
      <c r="C481" t="s">
        <v>1482</v>
      </c>
      <c r="D481" t="s">
        <v>1103</v>
      </c>
      <c r="E481" t="s">
        <v>33</v>
      </c>
      <c r="F481">
        <v>10192018</v>
      </c>
      <c r="G481">
        <v>7</v>
      </c>
      <c r="H481" t="s">
        <v>105</v>
      </c>
      <c r="I481" t="s">
        <v>42</v>
      </c>
      <c r="J481" t="s">
        <v>96</v>
      </c>
      <c r="K481" t="s">
        <v>97</v>
      </c>
      <c r="M481" t="s">
        <v>65</v>
      </c>
      <c r="N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1</v>
      </c>
      <c r="V481" t="b">
        <v>0</v>
      </c>
      <c r="W481" t="b">
        <v>0</v>
      </c>
      <c r="X481" t="b">
        <v>0</v>
      </c>
      <c r="Y481" t="b">
        <v>0</v>
      </c>
      <c r="Z481" t="b">
        <v>1</v>
      </c>
      <c r="AA481" t="b">
        <v>1</v>
      </c>
      <c r="AB481" t="b">
        <v>0</v>
      </c>
      <c r="AC481" t="b">
        <v>0</v>
      </c>
      <c r="AD481" t="s">
        <v>1483</v>
      </c>
      <c r="AE481" t="s">
        <v>1484</v>
      </c>
    </row>
    <row r="482" spans="1:31" x14ac:dyDescent="0.3">
      <c r="A482">
        <v>-73.978995202959993</v>
      </c>
      <c r="B482">
        <v>40.76977583331</v>
      </c>
      <c r="C482" t="s">
        <v>1485</v>
      </c>
      <c r="D482" t="s">
        <v>886</v>
      </c>
      <c r="E482" t="s">
        <v>38</v>
      </c>
      <c r="F482">
        <v>10102018</v>
      </c>
      <c r="G482">
        <v>3</v>
      </c>
      <c r="H482" t="s">
        <v>105</v>
      </c>
      <c r="I482" t="s">
        <v>42</v>
      </c>
      <c r="J482" t="s">
        <v>59</v>
      </c>
      <c r="K482" t="s">
        <v>79</v>
      </c>
      <c r="M482" t="s">
        <v>44</v>
      </c>
      <c r="N482">
        <v>25</v>
      </c>
      <c r="P482" t="b">
        <v>0</v>
      </c>
      <c r="Q482" t="b">
        <v>0</v>
      </c>
      <c r="R482" t="b">
        <v>1</v>
      </c>
      <c r="S482" t="b">
        <v>0</v>
      </c>
      <c r="T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1</v>
      </c>
      <c r="AC482" t="b">
        <v>0</v>
      </c>
      <c r="AE482" t="s">
        <v>1486</v>
      </c>
    </row>
    <row r="483" spans="1:31" x14ac:dyDescent="0.3">
      <c r="A483">
        <v>-73.966652655480004</v>
      </c>
      <c r="B483">
        <v>40.775611171839998</v>
      </c>
      <c r="C483" t="s">
        <v>1487</v>
      </c>
      <c r="D483" t="s">
        <v>1320</v>
      </c>
      <c r="E483" t="s">
        <v>38</v>
      </c>
      <c r="F483">
        <v>10072018</v>
      </c>
      <c r="G483">
        <v>2</v>
      </c>
      <c r="H483" t="s">
        <v>105</v>
      </c>
      <c r="I483" t="s">
        <v>42</v>
      </c>
      <c r="J483" t="s">
        <v>53</v>
      </c>
      <c r="K483" t="s">
        <v>54</v>
      </c>
      <c r="M483" t="s">
        <v>65</v>
      </c>
      <c r="N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s">
        <v>121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1</v>
      </c>
      <c r="AC483" t="b">
        <v>0</v>
      </c>
      <c r="AE483" t="s">
        <v>1488</v>
      </c>
    </row>
    <row r="484" spans="1:31" x14ac:dyDescent="0.3">
      <c r="A484">
        <v>-73.967742315470005</v>
      </c>
      <c r="B484">
        <v>40.772881335020003</v>
      </c>
      <c r="C484" t="s">
        <v>1489</v>
      </c>
      <c r="D484" t="s">
        <v>1270</v>
      </c>
      <c r="E484" t="s">
        <v>38</v>
      </c>
      <c r="F484">
        <v>10122018</v>
      </c>
      <c r="G484">
        <v>2</v>
      </c>
      <c r="H484" t="s">
        <v>48</v>
      </c>
      <c r="I484" t="s">
        <v>53</v>
      </c>
      <c r="J484" t="s">
        <v>59</v>
      </c>
      <c r="K484" t="s">
        <v>60</v>
      </c>
      <c r="M484" t="s">
        <v>65</v>
      </c>
      <c r="N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1</v>
      </c>
      <c r="V484" t="b">
        <v>0</v>
      </c>
      <c r="W484" t="b">
        <v>0</v>
      </c>
      <c r="X484" t="b">
        <v>0</v>
      </c>
      <c r="Y484" t="b">
        <v>0</v>
      </c>
      <c r="Z484" t="b">
        <v>1</v>
      </c>
      <c r="AA484" t="b">
        <v>0</v>
      </c>
      <c r="AB484" t="b">
        <v>1</v>
      </c>
      <c r="AC484" t="b">
        <v>0</v>
      </c>
      <c r="AE484" t="s">
        <v>1490</v>
      </c>
    </row>
    <row r="485" spans="1:31" x14ac:dyDescent="0.3">
      <c r="A485">
        <v>-73.971213385699997</v>
      </c>
      <c r="B485">
        <v>40.769872094340002</v>
      </c>
      <c r="C485" t="s">
        <v>1491</v>
      </c>
      <c r="D485" t="s">
        <v>92</v>
      </c>
      <c r="E485" t="s">
        <v>38</v>
      </c>
      <c r="F485">
        <v>10062018</v>
      </c>
      <c r="G485">
        <v>4</v>
      </c>
      <c r="H485" t="s">
        <v>48</v>
      </c>
      <c r="I485" t="s">
        <v>42</v>
      </c>
      <c r="J485" t="s">
        <v>53</v>
      </c>
      <c r="K485" t="s">
        <v>54</v>
      </c>
      <c r="M485" t="s">
        <v>65</v>
      </c>
      <c r="N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1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1</v>
      </c>
      <c r="AC485" t="b">
        <v>0</v>
      </c>
      <c r="AE485" t="s">
        <v>1492</v>
      </c>
    </row>
    <row r="486" spans="1:31" x14ac:dyDescent="0.3">
      <c r="A486">
        <v>-73.966652109430001</v>
      </c>
      <c r="B486">
        <v>40.784275351760002</v>
      </c>
      <c r="C486" t="s">
        <v>1493</v>
      </c>
      <c r="D486" t="s">
        <v>271</v>
      </c>
      <c r="E486" t="s">
        <v>33</v>
      </c>
      <c r="F486">
        <v>10142018</v>
      </c>
      <c r="G486">
        <v>2</v>
      </c>
      <c r="H486" t="s">
        <v>48</v>
      </c>
      <c r="I486" t="s">
        <v>42</v>
      </c>
      <c r="K486" t="s">
        <v>43</v>
      </c>
      <c r="M486" t="s">
        <v>65</v>
      </c>
      <c r="N486" t="b">
        <v>0</v>
      </c>
      <c r="O486" t="s">
        <v>1494</v>
      </c>
      <c r="P486" t="b">
        <v>1</v>
      </c>
      <c r="Q486" t="b">
        <v>0</v>
      </c>
      <c r="R486" t="b">
        <v>0</v>
      </c>
      <c r="S486" t="b">
        <v>0</v>
      </c>
      <c r="T486" t="b">
        <v>1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E486" t="s">
        <v>1495</v>
      </c>
    </row>
    <row r="487" spans="1:31" x14ac:dyDescent="0.3">
      <c r="A487">
        <v>-73.961575114859997</v>
      </c>
      <c r="B487">
        <v>40.795455123810001</v>
      </c>
      <c r="C487" t="s">
        <v>1496</v>
      </c>
      <c r="D487" t="s">
        <v>372</v>
      </c>
      <c r="E487" t="s">
        <v>38</v>
      </c>
      <c r="F487">
        <v>10182018</v>
      </c>
      <c r="G487">
        <v>1</v>
      </c>
      <c r="H487" t="s">
        <v>105</v>
      </c>
      <c r="I487" t="s">
        <v>42</v>
      </c>
      <c r="J487" t="s">
        <v>59</v>
      </c>
      <c r="K487" t="s">
        <v>79</v>
      </c>
      <c r="M487" t="s">
        <v>44</v>
      </c>
      <c r="N487">
        <v>15</v>
      </c>
      <c r="P487" t="b">
        <v>0</v>
      </c>
      <c r="Q487" t="b">
        <v>0</v>
      </c>
      <c r="R487" t="b">
        <v>0</v>
      </c>
      <c r="S487" t="b">
        <v>1</v>
      </c>
      <c r="T487" t="b">
        <v>0</v>
      </c>
      <c r="U487" t="s">
        <v>1497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1</v>
      </c>
      <c r="AC487" t="b">
        <v>0</v>
      </c>
      <c r="AE487" t="s">
        <v>1498</v>
      </c>
    </row>
    <row r="488" spans="1:31" x14ac:dyDescent="0.3">
      <c r="A488">
        <v>-73.977802969090007</v>
      </c>
      <c r="B488">
        <v>40.767632106070003</v>
      </c>
      <c r="C488" t="s">
        <v>1499</v>
      </c>
      <c r="D488" t="s">
        <v>756</v>
      </c>
      <c r="E488" t="s">
        <v>38</v>
      </c>
      <c r="F488">
        <v>10072018</v>
      </c>
      <c r="G488">
        <v>6</v>
      </c>
      <c r="H488" t="s">
        <v>48</v>
      </c>
      <c r="I488" t="s">
        <v>42</v>
      </c>
      <c r="J488" t="s">
        <v>96</v>
      </c>
      <c r="K488" t="s">
        <v>97</v>
      </c>
      <c r="M488" t="s">
        <v>65</v>
      </c>
      <c r="N488" t="b">
        <v>0</v>
      </c>
      <c r="P488" t="b">
        <v>0</v>
      </c>
      <c r="Q488" t="b">
        <v>0</v>
      </c>
      <c r="R488" t="b">
        <v>0</v>
      </c>
      <c r="S488" t="b">
        <v>1</v>
      </c>
      <c r="T488" t="b">
        <v>1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1</v>
      </c>
      <c r="AC488" t="b">
        <v>0</v>
      </c>
      <c r="AE488" t="s">
        <v>1500</v>
      </c>
    </row>
    <row r="489" spans="1:31" x14ac:dyDescent="0.3">
      <c r="A489">
        <v>-73.978426472500004</v>
      </c>
      <c r="B489">
        <v>40.771904101840001</v>
      </c>
      <c r="C489" t="s">
        <v>1501</v>
      </c>
      <c r="D489" t="s">
        <v>870</v>
      </c>
      <c r="E489" t="s">
        <v>33</v>
      </c>
      <c r="F489">
        <v>10122018</v>
      </c>
      <c r="G489">
        <v>4</v>
      </c>
      <c r="H489" t="s">
        <v>48</v>
      </c>
      <c r="I489" t="s">
        <v>53</v>
      </c>
      <c r="J489" t="s">
        <v>59</v>
      </c>
      <c r="K489" t="s">
        <v>60</v>
      </c>
      <c r="M489" t="s">
        <v>65</v>
      </c>
      <c r="N489" t="b">
        <v>0</v>
      </c>
      <c r="P489" t="b">
        <v>1</v>
      </c>
      <c r="Q489" t="b">
        <v>0</v>
      </c>
      <c r="R489" t="b">
        <v>0</v>
      </c>
      <c r="S489" t="b">
        <v>0</v>
      </c>
      <c r="T489" t="b">
        <v>1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E489" t="s">
        <v>1502</v>
      </c>
    </row>
    <row r="490" spans="1:31" x14ac:dyDescent="0.3">
      <c r="A490">
        <v>-73.968847083130001</v>
      </c>
      <c r="B490">
        <v>40.784465194639999</v>
      </c>
      <c r="C490" t="s">
        <v>1503</v>
      </c>
      <c r="D490" t="s">
        <v>298</v>
      </c>
      <c r="E490" t="s">
        <v>38</v>
      </c>
      <c r="F490">
        <v>10082018</v>
      </c>
      <c r="G490">
        <v>3</v>
      </c>
      <c r="H490" t="s">
        <v>48</v>
      </c>
      <c r="I490" t="s">
        <v>42</v>
      </c>
      <c r="K490" t="s">
        <v>43</v>
      </c>
      <c r="M490" t="s">
        <v>65</v>
      </c>
      <c r="N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1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1</v>
      </c>
      <c r="AE490" t="s">
        <v>1504</v>
      </c>
    </row>
    <row r="491" spans="1:31" x14ac:dyDescent="0.3">
      <c r="A491">
        <v>-73.970301085619994</v>
      </c>
      <c r="B491">
        <v>40.770198357550001</v>
      </c>
      <c r="C491" t="s">
        <v>1505</v>
      </c>
      <c r="D491" t="s">
        <v>183</v>
      </c>
      <c r="E491" t="s">
        <v>33</v>
      </c>
      <c r="F491">
        <v>10142018</v>
      </c>
      <c r="G491">
        <v>6</v>
      </c>
      <c r="H491" t="s">
        <v>48</v>
      </c>
      <c r="I491" t="s">
        <v>42</v>
      </c>
      <c r="K491" t="s">
        <v>43</v>
      </c>
      <c r="M491" t="s">
        <v>65</v>
      </c>
      <c r="N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1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1</v>
      </c>
      <c r="AC491" t="b">
        <v>0</v>
      </c>
      <c r="AE491" t="s">
        <v>1506</v>
      </c>
    </row>
    <row r="492" spans="1:31" x14ac:dyDescent="0.3">
      <c r="A492">
        <v>-73.977685479789997</v>
      </c>
      <c r="B492">
        <v>40.768310229569998</v>
      </c>
      <c r="C492" t="s">
        <v>1507</v>
      </c>
      <c r="D492" t="s">
        <v>502</v>
      </c>
      <c r="E492" t="s">
        <v>38</v>
      </c>
      <c r="F492">
        <v>10062018</v>
      </c>
      <c r="G492">
        <v>4</v>
      </c>
      <c r="H492" t="s">
        <v>48</v>
      </c>
      <c r="I492" t="s">
        <v>53</v>
      </c>
      <c r="J492" t="s">
        <v>42</v>
      </c>
      <c r="K492" t="s">
        <v>89</v>
      </c>
      <c r="M492" t="s">
        <v>65</v>
      </c>
      <c r="N492" t="b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1</v>
      </c>
      <c r="AD492" t="s">
        <v>1508</v>
      </c>
      <c r="AE492" t="s">
        <v>1509</v>
      </c>
    </row>
    <row r="493" spans="1:31" x14ac:dyDescent="0.3">
      <c r="A493">
        <v>-73.95883757451</v>
      </c>
      <c r="B493">
        <v>40.79850039878</v>
      </c>
      <c r="C493" t="s">
        <v>1510</v>
      </c>
      <c r="D493" t="s">
        <v>448</v>
      </c>
      <c r="E493" t="s">
        <v>33</v>
      </c>
      <c r="F493">
        <v>10142018</v>
      </c>
      <c r="G493">
        <v>6</v>
      </c>
      <c r="H493" t="s">
        <v>48</v>
      </c>
      <c r="I493" t="s">
        <v>42</v>
      </c>
      <c r="J493" t="s">
        <v>96</v>
      </c>
      <c r="K493" t="s">
        <v>97</v>
      </c>
      <c r="M493" t="s">
        <v>65</v>
      </c>
      <c r="N493" t="b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E493" t="s">
        <v>1511</v>
      </c>
    </row>
    <row r="494" spans="1:31" x14ac:dyDescent="0.3">
      <c r="A494">
        <v>-73.980100732750003</v>
      </c>
      <c r="B494">
        <v>40.767745563390001</v>
      </c>
      <c r="C494" t="s">
        <v>1512</v>
      </c>
      <c r="D494" t="s">
        <v>851</v>
      </c>
      <c r="E494" t="s">
        <v>33</v>
      </c>
      <c r="F494">
        <v>10192018</v>
      </c>
      <c r="G494">
        <v>6</v>
      </c>
      <c r="H494" t="s">
        <v>105</v>
      </c>
      <c r="I494" t="s">
        <v>53</v>
      </c>
      <c r="J494" t="s">
        <v>59</v>
      </c>
      <c r="K494" t="s">
        <v>60</v>
      </c>
      <c r="M494" t="s">
        <v>65</v>
      </c>
      <c r="N494" t="b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1</v>
      </c>
      <c r="AC494" t="b">
        <v>0</v>
      </c>
      <c r="AE494" t="s">
        <v>1513</v>
      </c>
    </row>
    <row r="495" spans="1:31" x14ac:dyDescent="0.3">
      <c r="A495">
        <v>-73.954843074159996</v>
      </c>
      <c r="B495">
        <v>40.798207350939997</v>
      </c>
      <c r="C495" t="s">
        <v>1514</v>
      </c>
      <c r="D495" t="s">
        <v>1515</v>
      </c>
      <c r="E495" t="s">
        <v>38</v>
      </c>
      <c r="F495">
        <v>10072018</v>
      </c>
      <c r="G495">
        <v>6</v>
      </c>
      <c r="H495" t="s">
        <v>48</v>
      </c>
      <c r="I495" t="s">
        <v>42</v>
      </c>
      <c r="K495" t="s">
        <v>43</v>
      </c>
      <c r="M495" t="s">
        <v>44</v>
      </c>
      <c r="N495">
        <v>30</v>
      </c>
      <c r="O495" t="s">
        <v>190</v>
      </c>
      <c r="P495" t="b">
        <v>0</v>
      </c>
      <c r="Q495" t="b">
        <v>0</v>
      </c>
      <c r="R495" t="b">
        <v>1</v>
      </c>
      <c r="S495" t="b">
        <v>0</v>
      </c>
      <c r="T495" t="b">
        <v>1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E495" t="s">
        <v>1516</v>
      </c>
    </row>
    <row r="496" spans="1:31" x14ac:dyDescent="0.3">
      <c r="A496">
        <v>-73.960216687699997</v>
      </c>
      <c r="B496">
        <v>40.7953811004</v>
      </c>
      <c r="C496" t="s">
        <v>1517</v>
      </c>
      <c r="D496" t="s">
        <v>1404</v>
      </c>
      <c r="E496" t="s">
        <v>38</v>
      </c>
      <c r="F496">
        <v>10132018</v>
      </c>
      <c r="G496">
        <v>4</v>
      </c>
      <c r="I496" t="s">
        <v>176</v>
      </c>
      <c r="K496" t="s">
        <v>177</v>
      </c>
      <c r="M496" t="s">
        <v>44</v>
      </c>
      <c r="N496">
        <v>20</v>
      </c>
      <c r="O496" t="s">
        <v>1518</v>
      </c>
      <c r="P496" t="b">
        <v>0</v>
      </c>
      <c r="Q496" t="b">
        <v>1</v>
      </c>
      <c r="R496" t="b">
        <v>0</v>
      </c>
      <c r="S496" t="b">
        <v>0</v>
      </c>
      <c r="T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1</v>
      </c>
      <c r="AE496" t="s">
        <v>1519</v>
      </c>
    </row>
    <row r="497" spans="1:31" x14ac:dyDescent="0.3">
      <c r="A497">
        <v>-73.966943292959996</v>
      </c>
      <c r="B497">
        <v>40.7791365183</v>
      </c>
      <c r="C497" t="s">
        <v>1520</v>
      </c>
      <c r="D497" t="s">
        <v>1521</v>
      </c>
      <c r="E497" t="s">
        <v>38</v>
      </c>
      <c r="F497">
        <v>10142018</v>
      </c>
      <c r="G497">
        <v>1</v>
      </c>
      <c r="H497" t="s">
        <v>48</v>
      </c>
      <c r="I497" t="s">
        <v>42</v>
      </c>
      <c r="J497" t="s">
        <v>59</v>
      </c>
      <c r="K497" t="s">
        <v>79</v>
      </c>
      <c r="M497" t="s">
        <v>44</v>
      </c>
      <c r="O497" t="s">
        <v>1522</v>
      </c>
      <c r="P497" t="b">
        <v>0</v>
      </c>
      <c r="Q497" t="b">
        <v>0</v>
      </c>
      <c r="R497" t="b">
        <v>0</v>
      </c>
      <c r="S497" t="b">
        <v>1</v>
      </c>
      <c r="T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1</v>
      </c>
      <c r="AC497" t="b">
        <v>0</v>
      </c>
      <c r="AE497" t="s">
        <v>1523</v>
      </c>
    </row>
    <row r="498" spans="1:31" x14ac:dyDescent="0.3">
      <c r="A498">
        <v>-73.965728805500007</v>
      </c>
      <c r="B498">
        <v>40.776458003629998</v>
      </c>
      <c r="C498" t="s">
        <v>1524</v>
      </c>
      <c r="D498" t="s">
        <v>1525</v>
      </c>
      <c r="E498" t="s">
        <v>33</v>
      </c>
      <c r="F498">
        <v>10142018</v>
      </c>
      <c r="G498">
        <v>4</v>
      </c>
      <c r="H498" t="s">
        <v>48</v>
      </c>
      <c r="I498" t="s">
        <v>42</v>
      </c>
      <c r="J498" t="s">
        <v>53</v>
      </c>
      <c r="K498" t="s">
        <v>54</v>
      </c>
      <c r="M498" t="s">
        <v>65</v>
      </c>
      <c r="N498" t="b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1</v>
      </c>
      <c r="AC498" t="b">
        <v>0</v>
      </c>
      <c r="AE498" t="s">
        <v>1526</v>
      </c>
    </row>
    <row r="499" spans="1:31" x14ac:dyDescent="0.3">
      <c r="A499">
        <v>-73.956830551300001</v>
      </c>
      <c r="B499">
        <v>40.79740866313</v>
      </c>
      <c r="C499" t="s">
        <v>1527</v>
      </c>
      <c r="D499" t="s">
        <v>1245</v>
      </c>
      <c r="E499" t="s">
        <v>33</v>
      </c>
      <c r="F499">
        <v>10062018</v>
      </c>
      <c r="G499">
        <v>5</v>
      </c>
      <c r="H499" t="s">
        <v>48</v>
      </c>
      <c r="I499" t="s">
        <v>42</v>
      </c>
      <c r="K499" t="s">
        <v>43</v>
      </c>
      <c r="M499" t="s">
        <v>65</v>
      </c>
      <c r="N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E499" t="s">
        <v>1528</v>
      </c>
    </row>
    <row r="500" spans="1:31" x14ac:dyDescent="0.3">
      <c r="A500">
        <v>-73.97087984961</v>
      </c>
      <c r="B500">
        <v>40.776153208849998</v>
      </c>
      <c r="C500" t="s">
        <v>1529</v>
      </c>
      <c r="D500" t="s">
        <v>415</v>
      </c>
      <c r="E500" t="s">
        <v>38</v>
      </c>
      <c r="F500">
        <v>10142018</v>
      </c>
      <c r="G500">
        <v>6</v>
      </c>
      <c r="H500" t="s">
        <v>48</v>
      </c>
      <c r="I500" t="s">
        <v>42</v>
      </c>
      <c r="J500" t="s">
        <v>53</v>
      </c>
      <c r="K500" t="s">
        <v>54</v>
      </c>
      <c r="M500" t="s">
        <v>65</v>
      </c>
      <c r="N500" t="b">
        <v>0</v>
      </c>
      <c r="P500" t="b">
        <v>1</v>
      </c>
      <c r="Q500" t="b">
        <v>0</v>
      </c>
      <c r="R500" t="b">
        <v>0</v>
      </c>
      <c r="S500" t="b">
        <v>1</v>
      </c>
      <c r="T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1</v>
      </c>
      <c r="AE500" t="s">
        <v>1530</v>
      </c>
    </row>
    <row r="501" spans="1:31" x14ac:dyDescent="0.3">
      <c r="A501">
        <v>-73.968331245300007</v>
      </c>
      <c r="B501">
        <v>40.780166168569998</v>
      </c>
      <c r="C501" t="s">
        <v>1531</v>
      </c>
      <c r="D501" t="s">
        <v>1076</v>
      </c>
      <c r="E501" t="s">
        <v>33</v>
      </c>
      <c r="F501">
        <v>10172018</v>
      </c>
      <c r="G501">
        <v>1</v>
      </c>
      <c r="H501" t="s">
        <v>48</v>
      </c>
      <c r="I501" t="s">
        <v>42</v>
      </c>
      <c r="K501" t="s">
        <v>43</v>
      </c>
      <c r="M501" t="s">
        <v>65</v>
      </c>
      <c r="N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1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E501" t="s">
        <v>1532</v>
      </c>
    </row>
    <row r="502" spans="1:31" x14ac:dyDescent="0.3">
      <c r="A502">
        <v>-73.959834078360004</v>
      </c>
      <c r="B502">
        <v>40.791585703030002</v>
      </c>
      <c r="C502" t="s">
        <v>1533</v>
      </c>
      <c r="D502" t="s">
        <v>1202</v>
      </c>
      <c r="E502" t="s">
        <v>33</v>
      </c>
      <c r="F502">
        <v>10062018</v>
      </c>
      <c r="G502">
        <v>2</v>
      </c>
      <c r="I502" t="s">
        <v>42</v>
      </c>
      <c r="J502" t="s">
        <v>53</v>
      </c>
      <c r="K502" t="s">
        <v>54</v>
      </c>
      <c r="M502" t="s">
        <v>44</v>
      </c>
      <c r="N502">
        <v>15</v>
      </c>
      <c r="P502" t="b">
        <v>0</v>
      </c>
      <c r="Q502" t="b">
        <v>1</v>
      </c>
      <c r="R502" t="b">
        <v>0</v>
      </c>
      <c r="S502" t="b">
        <v>0</v>
      </c>
      <c r="T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1</v>
      </c>
      <c r="AE502" t="s">
        <v>1534</v>
      </c>
    </row>
    <row r="503" spans="1:31" x14ac:dyDescent="0.3">
      <c r="A503">
        <v>-73.953347602069996</v>
      </c>
      <c r="B503">
        <v>40.793300354469999</v>
      </c>
      <c r="C503" t="s">
        <v>1535</v>
      </c>
      <c r="D503" t="s">
        <v>863</v>
      </c>
      <c r="E503" t="s">
        <v>33</v>
      </c>
      <c r="F503">
        <v>10062018</v>
      </c>
      <c r="G503">
        <v>2</v>
      </c>
      <c r="H503" t="s">
        <v>48</v>
      </c>
      <c r="I503" t="s">
        <v>42</v>
      </c>
      <c r="J503" t="s">
        <v>53</v>
      </c>
      <c r="K503" t="s">
        <v>54</v>
      </c>
      <c r="M503" t="s">
        <v>65</v>
      </c>
      <c r="N503" t="b">
        <v>0</v>
      </c>
      <c r="O503" t="s">
        <v>190</v>
      </c>
      <c r="P503" t="b">
        <v>1</v>
      </c>
      <c r="Q503" t="b">
        <v>0</v>
      </c>
      <c r="R503" t="b">
        <v>1</v>
      </c>
      <c r="S503" t="b">
        <v>0</v>
      </c>
      <c r="T503" t="b">
        <v>1</v>
      </c>
      <c r="V503" t="b">
        <v>1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1</v>
      </c>
      <c r="AD503" t="s">
        <v>1536</v>
      </c>
      <c r="AE503" t="s">
        <v>1537</v>
      </c>
    </row>
    <row r="504" spans="1:31" x14ac:dyDescent="0.3">
      <c r="A504">
        <v>-73.967738733670004</v>
      </c>
      <c r="B504">
        <v>40.774269591200003</v>
      </c>
      <c r="C504" t="s">
        <v>1538</v>
      </c>
      <c r="D504" t="s">
        <v>1389</v>
      </c>
      <c r="E504" t="s">
        <v>33</v>
      </c>
      <c r="F504">
        <v>10072018</v>
      </c>
      <c r="G504">
        <v>2</v>
      </c>
      <c r="H504" t="s">
        <v>48</v>
      </c>
      <c r="I504" t="s">
        <v>42</v>
      </c>
      <c r="J504" t="s">
        <v>53</v>
      </c>
      <c r="K504" t="s">
        <v>54</v>
      </c>
      <c r="M504" t="s">
        <v>44</v>
      </c>
      <c r="N504">
        <v>10</v>
      </c>
      <c r="O504" t="s">
        <v>456</v>
      </c>
      <c r="P504" t="b">
        <v>0</v>
      </c>
      <c r="Q504" t="b">
        <v>0</v>
      </c>
      <c r="R504" t="b">
        <v>1</v>
      </c>
      <c r="S504" t="b">
        <v>1</v>
      </c>
      <c r="T504" t="b">
        <v>0</v>
      </c>
      <c r="U504" t="s">
        <v>1539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1</v>
      </c>
      <c r="AC504" t="b">
        <v>0</v>
      </c>
      <c r="AE504" t="s">
        <v>1540</v>
      </c>
    </row>
    <row r="505" spans="1:31" x14ac:dyDescent="0.3">
      <c r="A505">
        <v>-73.964961108970002</v>
      </c>
      <c r="B505">
        <v>40.781437183480001</v>
      </c>
      <c r="C505" t="s">
        <v>1541</v>
      </c>
      <c r="D505" t="s">
        <v>1199</v>
      </c>
      <c r="E505" t="s">
        <v>38</v>
      </c>
      <c r="F505">
        <v>10182018</v>
      </c>
      <c r="G505">
        <v>5</v>
      </c>
      <c r="H505" t="s">
        <v>48</v>
      </c>
      <c r="I505" t="s">
        <v>53</v>
      </c>
      <c r="J505" t="s">
        <v>42</v>
      </c>
      <c r="K505" t="s">
        <v>89</v>
      </c>
      <c r="M505" t="s">
        <v>44</v>
      </c>
      <c r="N505">
        <v>2</v>
      </c>
      <c r="P505" t="b">
        <v>0</v>
      </c>
      <c r="Q505" t="b">
        <v>0</v>
      </c>
      <c r="R505" t="b">
        <v>1</v>
      </c>
      <c r="S505" t="b">
        <v>0</v>
      </c>
      <c r="T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1</v>
      </c>
      <c r="AA505" t="b">
        <v>0</v>
      </c>
      <c r="AB505" t="b">
        <v>0</v>
      </c>
      <c r="AC505" t="b">
        <v>1</v>
      </c>
      <c r="AE505" t="s">
        <v>1542</v>
      </c>
    </row>
    <row r="506" spans="1:31" x14ac:dyDescent="0.3">
      <c r="A506">
        <v>-73.974483556310005</v>
      </c>
      <c r="B506">
        <v>40.772952143319998</v>
      </c>
      <c r="C506" t="s">
        <v>1543</v>
      </c>
      <c r="D506" t="s">
        <v>1544</v>
      </c>
      <c r="E506" t="s">
        <v>38</v>
      </c>
      <c r="F506">
        <v>10082018</v>
      </c>
      <c r="G506">
        <v>1</v>
      </c>
      <c r="H506" t="s">
        <v>48</v>
      </c>
      <c r="I506" t="s">
        <v>42</v>
      </c>
      <c r="K506" t="s">
        <v>43</v>
      </c>
      <c r="M506" t="s">
        <v>65</v>
      </c>
      <c r="N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1</v>
      </c>
      <c r="V506" t="b">
        <v>0</v>
      </c>
      <c r="W506" t="b">
        <v>0</v>
      </c>
      <c r="X506" t="b">
        <v>0</v>
      </c>
      <c r="Y506" t="b">
        <v>1</v>
      </c>
      <c r="Z506" t="b">
        <v>0</v>
      </c>
      <c r="AA506" t="b">
        <v>0</v>
      </c>
      <c r="AB506" t="b">
        <v>0</v>
      </c>
      <c r="AC506" t="b">
        <v>1</v>
      </c>
      <c r="AE506" t="s">
        <v>1545</v>
      </c>
    </row>
    <row r="507" spans="1:31" x14ac:dyDescent="0.3">
      <c r="A507">
        <v>-73.974691876210002</v>
      </c>
      <c r="B507">
        <v>40.765523188369997</v>
      </c>
      <c r="C507" t="s">
        <v>1546</v>
      </c>
      <c r="D507" t="s">
        <v>963</v>
      </c>
      <c r="E507" t="s">
        <v>38</v>
      </c>
      <c r="F507">
        <v>10062018</v>
      </c>
      <c r="G507">
        <v>2</v>
      </c>
      <c r="H507" t="s">
        <v>105</v>
      </c>
      <c r="I507" t="s">
        <v>42</v>
      </c>
      <c r="J507" t="s">
        <v>59</v>
      </c>
      <c r="K507" t="s">
        <v>79</v>
      </c>
      <c r="M507" t="s">
        <v>44</v>
      </c>
      <c r="N507">
        <v>30</v>
      </c>
      <c r="P507" t="b">
        <v>0</v>
      </c>
      <c r="Q507" t="b">
        <v>0</v>
      </c>
      <c r="R507" t="b">
        <v>1</v>
      </c>
      <c r="S507" t="b">
        <v>0</v>
      </c>
      <c r="T507" t="b">
        <v>1</v>
      </c>
      <c r="V507" t="b">
        <v>0</v>
      </c>
      <c r="W507" t="b">
        <v>0</v>
      </c>
      <c r="X507" t="b">
        <v>0</v>
      </c>
      <c r="Y507" t="b">
        <v>0</v>
      </c>
      <c r="Z507" t="b">
        <v>1</v>
      </c>
      <c r="AA507" t="b">
        <v>0</v>
      </c>
      <c r="AB507" t="b">
        <v>1</v>
      </c>
      <c r="AC507" t="b">
        <v>0</v>
      </c>
      <c r="AE507" t="s">
        <v>1547</v>
      </c>
    </row>
    <row r="508" spans="1:31" x14ac:dyDescent="0.3">
      <c r="A508">
        <v>-73.971428959240001</v>
      </c>
      <c r="B508">
        <v>40.77506707021</v>
      </c>
      <c r="C508" t="s">
        <v>1548</v>
      </c>
      <c r="D508" t="s">
        <v>726</v>
      </c>
      <c r="E508" t="s">
        <v>33</v>
      </c>
      <c r="F508">
        <v>10182018</v>
      </c>
      <c r="G508">
        <v>4</v>
      </c>
      <c r="H508" t="s">
        <v>48</v>
      </c>
      <c r="I508" t="s">
        <v>53</v>
      </c>
      <c r="K508" t="s">
        <v>155</v>
      </c>
      <c r="M508" t="s">
        <v>44</v>
      </c>
      <c r="N508">
        <v>10</v>
      </c>
      <c r="P508" t="b">
        <v>0</v>
      </c>
      <c r="Q508" t="b">
        <v>0</v>
      </c>
      <c r="R508" t="b">
        <v>1</v>
      </c>
      <c r="S508" t="b">
        <v>0</v>
      </c>
      <c r="T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1</v>
      </c>
      <c r="AE508" t="s">
        <v>1549</v>
      </c>
    </row>
    <row r="509" spans="1:31" x14ac:dyDescent="0.3">
      <c r="A509">
        <v>-73.963859076839995</v>
      </c>
      <c r="B509">
        <v>40.777678211500003</v>
      </c>
      <c r="C509" t="s">
        <v>1550</v>
      </c>
      <c r="D509" t="s">
        <v>1141</v>
      </c>
      <c r="E509" t="s">
        <v>38</v>
      </c>
      <c r="F509">
        <v>10172018</v>
      </c>
      <c r="G509">
        <v>2</v>
      </c>
      <c r="H509" t="s">
        <v>48</v>
      </c>
      <c r="I509" t="s">
        <v>42</v>
      </c>
      <c r="J509" t="s">
        <v>176</v>
      </c>
      <c r="K509" t="s">
        <v>339</v>
      </c>
      <c r="M509" t="s">
        <v>44</v>
      </c>
      <c r="N509">
        <v>15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1</v>
      </c>
      <c r="AA509" t="b">
        <v>0</v>
      </c>
      <c r="AB509" t="b">
        <v>0</v>
      </c>
      <c r="AC509" t="b">
        <v>1</v>
      </c>
      <c r="AE509" t="s">
        <v>1551</v>
      </c>
    </row>
    <row r="510" spans="1:31" x14ac:dyDescent="0.3">
      <c r="A510">
        <v>-73.965314263690004</v>
      </c>
      <c r="B510">
        <v>40.776001512930002</v>
      </c>
      <c r="C510" t="s">
        <v>1552</v>
      </c>
      <c r="D510" t="s">
        <v>408</v>
      </c>
      <c r="E510" t="s">
        <v>38</v>
      </c>
      <c r="F510">
        <v>10082018</v>
      </c>
      <c r="G510">
        <v>4</v>
      </c>
      <c r="H510" t="s">
        <v>48</v>
      </c>
      <c r="I510" t="s">
        <v>42</v>
      </c>
      <c r="K510" t="s">
        <v>43</v>
      </c>
      <c r="M510" t="s">
        <v>65</v>
      </c>
      <c r="N510" t="b">
        <v>0</v>
      </c>
      <c r="P510" t="b">
        <v>0</v>
      </c>
      <c r="Q510" t="b">
        <v>0</v>
      </c>
      <c r="R510" t="b">
        <v>1</v>
      </c>
      <c r="S510" t="b">
        <v>1</v>
      </c>
      <c r="T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1</v>
      </c>
      <c r="AE510" t="s">
        <v>1553</v>
      </c>
    </row>
    <row r="511" spans="1:31" x14ac:dyDescent="0.3">
      <c r="A511">
        <v>-73.958609817020005</v>
      </c>
      <c r="B511">
        <v>40.793965373390002</v>
      </c>
      <c r="C511" t="s">
        <v>1554</v>
      </c>
      <c r="D511" t="s">
        <v>505</v>
      </c>
      <c r="E511" t="s">
        <v>38</v>
      </c>
      <c r="F511">
        <v>10192018</v>
      </c>
      <c r="G511">
        <v>1</v>
      </c>
      <c r="K511" t="s">
        <v>34</v>
      </c>
      <c r="M511" t="s">
        <v>44</v>
      </c>
      <c r="O511" t="s">
        <v>1555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V511" t="b">
        <v>1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E511" t="s">
        <v>1556</v>
      </c>
    </row>
    <row r="512" spans="1:31" x14ac:dyDescent="0.3">
      <c r="A512">
        <v>-73.963100689810005</v>
      </c>
      <c r="B512">
        <v>40.792025518949998</v>
      </c>
      <c r="C512" t="s">
        <v>1557</v>
      </c>
      <c r="D512" t="s">
        <v>773</v>
      </c>
      <c r="E512" t="s">
        <v>38</v>
      </c>
      <c r="F512">
        <v>10172018</v>
      </c>
      <c r="G512">
        <v>2</v>
      </c>
      <c r="H512" t="s">
        <v>48</v>
      </c>
      <c r="I512" t="s">
        <v>42</v>
      </c>
      <c r="J512" t="s">
        <v>53</v>
      </c>
      <c r="K512" t="s">
        <v>54</v>
      </c>
      <c r="L512" t="s">
        <v>1558</v>
      </c>
      <c r="M512" t="s">
        <v>65</v>
      </c>
      <c r="N512" t="b">
        <v>0</v>
      </c>
      <c r="P512" t="b">
        <v>1</v>
      </c>
      <c r="Q512" t="b">
        <v>0</v>
      </c>
      <c r="R512" t="b">
        <v>0</v>
      </c>
      <c r="S512" t="b">
        <v>0</v>
      </c>
      <c r="T512" t="b">
        <v>1</v>
      </c>
      <c r="V512" t="b">
        <v>0</v>
      </c>
      <c r="W512" t="b">
        <v>0</v>
      </c>
      <c r="X512" t="b">
        <v>0</v>
      </c>
      <c r="Y512" t="b">
        <v>0</v>
      </c>
      <c r="Z512" t="b">
        <v>1</v>
      </c>
      <c r="AA512" t="b">
        <v>0</v>
      </c>
      <c r="AB512" t="b">
        <v>0</v>
      </c>
      <c r="AC512" t="b">
        <v>1</v>
      </c>
      <c r="AE512" t="s">
        <v>1559</v>
      </c>
    </row>
    <row r="513" spans="1:31" x14ac:dyDescent="0.3">
      <c r="A513">
        <v>-73.976835717390003</v>
      </c>
      <c r="B513">
        <v>40.76838133583</v>
      </c>
      <c r="C513" t="s">
        <v>1560</v>
      </c>
      <c r="D513" t="s">
        <v>502</v>
      </c>
      <c r="E513" t="s">
        <v>33</v>
      </c>
      <c r="F513">
        <v>10102018</v>
      </c>
      <c r="G513">
        <v>12</v>
      </c>
      <c r="H513" t="s">
        <v>48</v>
      </c>
      <c r="I513" t="s">
        <v>53</v>
      </c>
      <c r="J513" t="s">
        <v>59</v>
      </c>
      <c r="K513" t="s">
        <v>60</v>
      </c>
      <c r="M513" t="s">
        <v>65</v>
      </c>
      <c r="N513" t="b">
        <v>0</v>
      </c>
      <c r="P513" t="b">
        <v>1</v>
      </c>
      <c r="Q513" t="b">
        <v>1</v>
      </c>
      <c r="R513" t="b">
        <v>0</v>
      </c>
      <c r="S513" t="b">
        <v>0</v>
      </c>
      <c r="T513" t="b">
        <v>1</v>
      </c>
      <c r="V513" t="b">
        <v>0</v>
      </c>
      <c r="W513" t="b">
        <v>1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E513" t="s">
        <v>1561</v>
      </c>
    </row>
    <row r="514" spans="1:31" x14ac:dyDescent="0.3">
      <c r="A514">
        <v>-73.960148648320001</v>
      </c>
      <c r="B514">
        <v>40.794372410859999</v>
      </c>
      <c r="C514" t="s">
        <v>1562</v>
      </c>
      <c r="D514" t="s">
        <v>195</v>
      </c>
      <c r="E514" t="s">
        <v>33</v>
      </c>
      <c r="F514">
        <v>10132018</v>
      </c>
      <c r="G514">
        <v>2</v>
      </c>
      <c r="I514" t="s">
        <v>42</v>
      </c>
      <c r="J514" t="s">
        <v>53</v>
      </c>
      <c r="K514" t="s">
        <v>54</v>
      </c>
      <c r="M514" t="s">
        <v>65</v>
      </c>
      <c r="N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1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1</v>
      </c>
      <c r="AB514" t="b">
        <v>0</v>
      </c>
      <c r="AC514" t="b">
        <v>0</v>
      </c>
      <c r="AD514" t="s">
        <v>1563</v>
      </c>
      <c r="AE514" t="s">
        <v>1564</v>
      </c>
    </row>
    <row r="515" spans="1:31" x14ac:dyDescent="0.3">
      <c r="A515">
        <v>-73.959741836670005</v>
      </c>
      <c r="B515">
        <v>40.796441708499998</v>
      </c>
      <c r="C515" t="s">
        <v>1565</v>
      </c>
      <c r="D515" t="s">
        <v>969</v>
      </c>
      <c r="E515" t="s">
        <v>33</v>
      </c>
      <c r="F515">
        <v>10132018</v>
      </c>
      <c r="G515">
        <v>5</v>
      </c>
      <c r="H515" t="s">
        <v>48</v>
      </c>
      <c r="I515" t="s">
        <v>42</v>
      </c>
      <c r="J515" t="s">
        <v>53</v>
      </c>
      <c r="K515" t="s">
        <v>54</v>
      </c>
      <c r="M515" t="s">
        <v>65</v>
      </c>
      <c r="N515" t="b">
        <v>0</v>
      </c>
      <c r="P515" t="b">
        <v>0</v>
      </c>
      <c r="Q515" t="b">
        <v>0</v>
      </c>
      <c r="R515" t="b">
        <v>0</v>
      </c>
      <c r="S515" t="b">
        <v>1</v>
      </c>
      <c r="T515" t="b">
        <v>1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1</v>
      </c>
      <c r="AC515" t="b">
        <v>0</v>
      </c>
      <c r="AE515" t="s">
        <v>1566</v>
      </c>
    </row>
    <row r="516" spans="1:31" x14ac:dyDescent="0.3">
      <c r="A516">
        <v>-73.954959868819998</v>
      </c>
      <c r="B516">
        <v>40.798540496560001</v>
      </c>
      <c r="C516" t="s">
        <v>1567</v>
      </c>
      <c r="D516" t="s">
        <v>338</v>
      </c>
      <c r="E516" t="s">
        <v>33</v>
      </c>
      <c r="F516">
        <v>10142018</v>
      </c>
      <c r="G516">
        <v>3</v>
      </c>
      <c r="H516" t="s">
        <v>48</v>
      </c>
      <c r="I516" t="s">
        <v>42</v>
      </c>
      <c r="J516" t="s">
        <v>59</v>
      </c>
      <c r="K516" t="s">
        <v>79</v>
      </c>
      <c r="M516" t="s">
        <v>65</v>
      </c>
      <c r="N516" t="b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E516" t="s">
        <v>1568</v>
      </c>
    </row>
    <row r="517" spans="1:31" x14ac:dyDescent="0.3">
      <c r="A517">
        <v>-73.968784741069996</v>
      </c>
      <c r="B517">
        <v>40.778185700309997</v>
      </c>
      <c r="C517" t="s">
        <v>1569</v>
      </c>
      <c r="D517" t="s">
        <v>256</v>
      </c>
      <c r="E517" t="s">
        <v>38</v>
      </c>
      <c r="F517">
        <v>10142018</v>
      </c>
      <c r="G517">
        <v>9</v>
      </c>
      <c r="H517" t="s">
        <v>48</v>
      </c>
      <c r="I517" t="s">
        <v>42</v>
      </c>
      <c r="K517" t="s">
        <v>43</v>
      </c>
      <c r="M517" t="s">
        <v>44</v>
      </c>
      <c r="N517">
        <v>25</v>
      </c>
      <c r="O517" t="s">
        <v>1084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1</v>
      </c>
      <c r="AC517" t="b">
        <v>0</v>
      </c>
      <c r="AE517" t="s">
        <v>1570</v>
      </c>
    </row>
    <row r="518" spans="1:31" x14ac:dyDescent="0.3">
      <c r="A518">
        <v>-73.965901023840004</v>
      </c>
      <c r="B518">
        <v>40.779168366619999</v>
      </c>
      <c r="C518" t="s">
        <v>1571</v>
      </c>
      <c r="D518" t="s">
        <v>510</v>
      </c>
      <c r="E518" t="s">
        <v>33</v>
      </c>
      <c r="F518">
        <v>10132018</v>
      </c>
      <c r="G518">
        <v>2</v>
      </c>
      <c r="H518" t="s">
        <v>48</v>
      </c>
      <c r="I518" t="s">
        <v>42</v>
      </c>
      <c r="K518" t="s">
        <v>43</v>
      </c>
      <c r="M518" t="s">
        <v>65</v>
      </c>
      <c r="N518" t="b">
        <v>0</v>
      </c>
      <c r="P518" t="b">
        <v>0</v>
      </c>
      <c r="Q518" t="b">
        <v>0</v>
      </c>
      <c r="R518" t="b">
        <v>0</v>
      </c>
      <c r="S518" t="b">
        <v>1</v>
      </c>
      <c r="T518" t="b">
        <v>1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E518" t="s">
        <v>1572</v>
      </c>
    </row>
    <row r="519" spans="1:31" x14ac:dyDescent="0.3">
      <c r="A519">
        <v>-73.974944662970003</v>
      </c>
      <c r="B519">
        <v>40.772065969609997</v>
      </c>
      <c r="C519" t="s">
        <v>1573</v>
      </c>
      <c r="D519" t="s">
        <v>1574</v>
      </c>
      <c r="E519" t="s">
        <v>33</v>
      </c>
      <c r="F519">
        <v>10102018</v>
      </c>
      <c r="G519">
        <v>1</v>
      </c>
      <c r="H519" t="s">
        <v>48</v>
      </c>
      <c r="I519" t="s">
        <v>42</v>
      </c>
      <c r="J519" t="s">
        <v>59</v>
      </c>
      <c r="K519" t="s">
        <v>79</v>
      </c>
      <c r="M519" t="s">
        <v>65</v>
      </c>
      <c r="N519" t="b">
        <v>0</v>
      </c>
      <c r="O519" t="s">
        <v>1575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E519" t="s">
        <v>1576</v>
      </c>
    </row>
    <row r="520" spans="1:31" x14ac:dyDescent="0.3">
      <c r="A520">
        <v>-73.971322876670001</v>
      </c>
      <c r="B520">
        <v>40.771414508639999</v>
      </c>
      <c r="C520" t="s">
        <v>1577</v>
      </c>
      <c r="D520" t="s">
        <v>1578</v>
      </c>
      <c r="E520" t="s">
        <v>33</v>
      </c>
      <c r="F520">
        <v>10172018</v>
      </c>
      <c r="G520">
        <v>1</v>
      </c>
      <c r="H520" t="s">
        <v>48</v>
      </c>
      <c r="I520" t="s">
        <v>42</v>
      </c>
      <c r="J520" t="s">
        <v>96</v>
      </c>
      <c r="K520" t="s">
        <v>97</v>
      </c>
      <c r="M520" t="s">
        <v>65</v>
      </c>
      <c r="N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1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1</v>
      </c>
      <c r="AC520" t="b">
        <v>0</v>
      </c>
      <c r="AE520" t="s">
        <v>1579</v>
      </c>
    </row>
    <row r="521" spans="1:31" x14ac:dyDescent="0.3">
      <c r="A521">
        <v>-73.977382113559997</v>
      </c>
      <c r="B521">
        <v>40.769045349439999</v>
      </c>
      <c r="C521" t="s">
        <v>1580</v>
      </c>
      <c r="D521" t="s">
        <v>1581</v>
      </c>
      <c r="E521" t="s">
        <v>33</v>
      </c>
      <c r="F521">
        <v>10102018</v>
      </c>
      <c r="G521">
        <v>6</v>
      </c>
      <c r="H521" t="s">
        <v>48</v>
      </c>
      <c r="I521" t="s">
        <v>42</v>
      </c>
      <c r="J521" t="s">
        <v>53</v>
      </c>
      <c r="K521" t="s">
        <v>54</v>
      </c>
      <c r="M521" t="s">
        <v>65</v>
      </c>
      <c r="N521" t="b">
        <v>0</v>
      </c>
      <c r="O521" t="s">
        <v>1582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1</v>
      </c>
      <c r="AA521" t="b">
        <v>0</v>
      </c>
      <c r="AB521" t="b">
        <v>0</v>
      </c>
      <c r="AC521" t="b">
        <v>1</v>
      </c>
      <c r="AE521" t="s">
        <v>1583</v>
      </c>
    </row>
    <row r="522" spans="1:31" x14ac:dyDescent="0.3">
      <c r="A522">
        <v>-73.979310334090002</v>
      </c>
      <c r="B522">
        <v>40.767820153599999</v>
      </c>
      <c r="C522" t="s">
        <v>1584</v>
      </c>
      <c r="D522" t="s">
        <v>1301</v>
      </c>
      <c r="E522" t="s">
        <v>33</v>
      </c>
      <c r="F522">
        <v>10132018</v>
      </c>
      <c r="G522">
        <v>6</v>
      </c>
      <c r="H522" t="s">
        <v>48</v>
      </c>
      <c r="I522" t="s">
        <v>42</v>
      </c>
      <c r="J522" t="s">
        <v>96</v>
      </c>
      <c r="K522" t="s">
        <v>97</v>
      </c>
      <c r="M522" t="s">
        <v>65</v>
      </c>
      <c r="N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1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E522" t="s">
        <v>1585</v>
      </c>
    </row>
    <row r="523" spans="1:31" x14ac:dyDescent="0.3">
      <c r="A523">
        <v>-73.970173142920004</v>
      </c>
      <c r="B523">
        <v>40.776234992409996</v>
      </c>
      <c r="C523" t="s">
        <v>1586</v>
      </c>
      <c r="D523" t="s">
        <v>100</v>
      </c>
      <c r="E523" t="s">
        <v>38</v>
      </c>
      <c r="F523">
        <v>10082018</v>
      </c>
      <c r="G523">
        <v>19</v>
      </c>
      <c r="H523" t="s">
        <v>48</v>
      </c>
      <c r="I523" t="s">
        <v>42</v>
      </c>
      <c r="K523" t="s">
        <v>43</v>
      </c>
      <c r="M523" t="s">
        <v>65</v>
      </c>
      <c r="N523" t="b">
        <v>0</v>
      </c>
      <c r="P523" t="b">
        <v>0</v>
      </c>
      <c r="Q523" t="b">
        <v>0</v>
      </c>
      <c r="R523" t="b">
        <v>0</v>
      </c>
      <c r="S523" t="b">
        <v>1</v>
      </c>
      <c r="T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1</v>
      </c>
      <c r="AC523" t="b">
        <v>0</v>
      </c>
      <c r="AE523" t="s">
        <v>1587</v>
      </c>
    </row>
    <row r="524" spans="1:31" x14ac:dyDescent="0.3">
      <c r="A524">
        <v>-73.952526164389994</v>
      </c>
      <c r="B524">
        <v>40.796375924049997</v>
      </c>
      <c r="C524" t="s">
        <v>1588</v>
      </c>
      <c r="D524" t="s">
        <v>1292</v>
      </c>
      <c r="E524" t="s">
        <v>38</v>
      </c>
      <c r="F524">
        <v>10072018</v>
      </c>
      <c r="G524">
        <v>2</v>
      </c>
      <c r="H524" t="s">
        <v>105</v>
      </c>
      <c r="I524" t="s">
        <v>53</v>
      </c>
      <c r="J524" t="s">
        <v>42</v>
      </c>
      <c r="K524" t="s">
        <v>89</v>
      </c>
      <c r="M524" t="s">
        <v>44</v>
      </c>
      <c r="N524">
        <v>18</v>
      </c>
      <c r="P524" t="b">
        <v>1</v>
      </c>
      <c r="Q524" t="b">
        <v>0</v>
      </c>
      <c r="R524" t="b">
        <v>1</v>
      </c>
      <c r="S524" t="b">
        <v>0</v>
      </c>
      <c r="T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1</v>
      </c>
      <c r="AC524" t="b">
        <v>0</v>
      </c>
      <c r="AE524" t="s">
        <v>1589</v>
      </c>
    </row>
    <row r="525" spans="1:31" x14ac:dyDescent="0.3">
      <c r="A525">
        <v>-73.979638371519997</v>
      </c>
      <c r="B525">
        <v>40.768247773820001</v>
      </c>
      <c r="C525" t="s">
        <v>1590</v>
      </c>
      <c r="D525" t="s">
        <v>204</v>
      </c>
      <c r="E525" t="s">
        <v>38</v>
      </c>
      <c r="F525">
        <v>10102018</v>
      </c>
      <c r="G525">
        <v>7</v>
      </c>
      <c r="H525" t="s">
        <v>48</v>
      </c>
      <c r="I525" t="s">
        <v>42</v>
      </c>
      <c r="K525" t="s">
        <v>43</v>
      </c>
      <c r="M525" t="s">
        <v>65</v>
      </c>
      <c r="N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1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1</v>
      </c>
      <c r="AC525" t="b">
        <v>0</v>
      </c>
      <c r="AE525" t="s">
        <v>1591</v>
      </c>
    </row>
    <row r="526" spans="1:31" x14ac:dyDescent="0.3">
      <c r="A526">
        <v>-73.963264604960003</v>
      </c>
      <c r="B526">
        <v>40.78174012921</v>
      </c>
      <c r="C526" t="s">
        <v>1592</v>
      </c>
      <c r="D526" t="s">
        <v>1287</v>
      </c>
      <c r="E526" t="s">
        <v>38</v>
      </c>
      <c r="F526">
        <v>10182018</v>
      </c>
      <c r="G526">
        <v>5</v>
      </c>
      <c r="H526" t="s">
        <v>48</v>
      </c>
      <c r="I526" t="s">
        <v>42</v>
      </c>
      <c r="J526" t="s">
        <v>53</v>
      </c>
      <c r="K526" t="s">
        <v>54</v>
      </c>
      <c r="M526" t="s">
        <v>65</v>
      </c>
      <c r="N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1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1</v>
      </c>
      <c r="AC526" t="b">
        <v>0</v>
      </c>
      <c r="AE526" t="s">
        <v>1593</v>
      </c>
    </row>
    <row r="527" spans="1:31" x14ac:dyDescent="0.3">
      <c r="A527">
        <v>-73.964728420659995</v>
      </c>
      <c r="B527">
        <v>40.783961184090003</v>
      </c>
      <c r="C527" t="s">
        <v>1594</v>
      </c>
      <c r="D527" t="s">
        <v>1595</v>
      </c>
      <c r="E527" t="s">
        <v>33</v>
      </c>
      <c r="F527">
        <v>10062018</v>
      </c>
      <c r="G527">
        <v>1</v>
      </c>
      <c r="H527" t="s">
        <v>48</v>
      </c>
      <c r="I527" t="s">
        <v>42</v>
      </c>
      <c r="J527" t="s">
        <v>53</v>
      </c>
      <c r="K527" t="s">
        <v>54</v>
      </c>
      <c r="M527" t="s">
        <v>44</v>
      </c>
      <c r="O527" t="s">
        <v>1072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1</v>
      </c>
      <c r="AE527" t="s">
        <v>1596</v>
      </c>
    </row>
    <row r="528" spans="1:31" x14ac:dyDescent="0.3">
      <c r="A528">
        <v>-73.963529075119993</v>
      </c>
      <c r="B528">
        <v>40.782093662820003</v>
      </c>
      <c r="C528" t="s">
        <v>1597</v>
      </c>
      <c r="D528" t="s">
        <v>1287</v>
      </c>
      <c r="E528" t="s">
        <v>38</v>
      </c>
      <c r="F528">
        <v>10182018</v>
      </c>
      <c r="G528">
        <v>2</v>
      </c>
      <c r="H528" t="s">
        <v>48</v>
      </c>
      <c r="I528" t="s">
        <v>42</v>
      </c>
      <c r="K528" t="s">
        <v>43</v>
      </c>
      <c r="M528" t="s">
        <v>65</v>
      </c>
      <c r="N528" t="b">
        <v>0</v>
      </c>
      <c r="P528" t="b">
        <v>1</v>
      </c>
      <c r="Q528" t="b">
        <v>0</v>
      </c>
      <c r="R528" t="b">
        <v>1</v>
      </c>
      <c r="S528" t="b">
        <v>0</v>
      </c>
      <c r="T528" t="b">
        <v>0</v>
      </c>
      <c r="V528" t="b">
        <v>1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1</v>
      </c>
      <c r="AE528" t="s">
        <v>1598</v>
      </c>
    </row>
    <row r="529" spans="1:31" x14ac:dyDescent="0.3">
      <c r="A529">
        <v>-73.969636075650001</v>
      </c>
      <c r="B529">
        <v>40.778654565910003</v>
      </c>
      <c r="C529" t="s">
        <v>1599</v>
      </c>
      <c r="D529" t="s">
        <v>709</v>
      </c>
      <c r="E529" t="s">
        <v>33</v>
      </c>
      <c r="F529">
        <v>10102018</v>
      </c>
      <c r="G529">
        <v>3</v>
      </c>
      <c r="H529" t="s">
        <v>48</v>
      </c>
      <c r="I529" t="s">
        <v>42</v>
      </c>
      <c r="K529" t="s">
        <v>43</v>
      </c>
      <c r="M529" t="s">
        <v>44</v>
      </c>
      <c r="N529">
        <v>18</v>
      </c>
      <c r="P529" t="b">
        <v>0</v>
      </c>
      <c r="Q529" t="b">
        <v>0</v>
      </c>
      <c r="R529" t="b">
        <v>1</v>
      </c>
      <c r="S529" t="b">
        <v>1</v>
      </c>
      <c r="T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1</v>
      </c>
      <c r="AC529" t="b">
        <v>0</v>
      </c>
      <c r="AE529" t="s">
        <v>1600</v>
      </c>
    </row>
    <row r="530" spans="1:31" x14ac:dyDescent="0.3">
      <c r="A530">
        <v>-73.970910438030003</v>
      </c>
      <c r="B530">
        <v>40.776909695759997</v>
      </c>
      <c r="C530" t="s">
        <v>1601</v>
      </c>
      <c r="D530" t="s">
        <v>729</v>
      </c>
      <c r="E530" t="s">
        <v>38</v>
      </c>
      <c r="F530">
        <v>10142018</v>
      </c>
      <c r="G530">
        <v>16</v>
      </c>
      <c r="H530" t="s">
        <v>48</v>
      </c>
      <c r="I530" t="s">
        <v>42</v>
      </c>
      <c r="J530" t="s">
        <v>96</v>
      </c>
      <c r="K530" t="s">
        <v>97</v>
      </c>
      <c r="M530" t="s">
        <v>65</v>
      </c>
      <c r="N530" t="b">
        <v>0</v>
      </c>
      <c r="P530" t="b">
        <v>0</v>
      </c>
      <c r="Q530" t="b">
        <v>0</v>
      </c>
      <c r="R530" t="b">
        <v>1</v>
      </c>
      <c r="S530" t="b">
        <v>0</v>
      </c>
      <c r="T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1</v>
      </c>
      <c r="AC530" t="b">
        <v>0</v>
      </c>
      <c r="AE530" t="s">
        <v>1602</v>
      </c>
    </row>
    <row r="531" spans="1:31" x14ac:dyDescent="0.3">
      <c r="A531">
        <v>-73.968542906080003</v>
      </c>
      <c r="B531">
        <v>40.77247869616</v>
      </c>
      <c r="C531" t="s">
        <v>1603</v>
      </c>
      <c r="D531" t="s">
        <v>58</v>
      </c>
      <c r="E531" t="s">
        <v>38</v>
      </c>
      <c r="F531">
        <v>10102018</v>
      </c>
      <c r="G531">
        <v>5</v>
      </c>
      <c r="H531" t="s">
        <v>48</v>
      </c>
      <c r="I531" t="s">
        <v>42</v>
      </c>
      <c r="J531" t="s">
        <v>59</v>
      </c>
      <c r="K531" t="s">
        <v>79</v>
      </c>
      <c r="M531" t="s">
        <v>65</v>
      </c>
      <c r="N531" t="b">
        <v>0</v>
      </c>
      <c r="P531" t="b">
        <v>0</v>
      </c>
      <c r="Q531" t="b">
        <v>1</v>
      </c>
      <c r="R531" t="b">
        <v>0</v>
      </c>
      <c r="S531" t="b">
        <v>0</v>
      </c>
      <c r="T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1</v>
      </c>
      <c r="AC531" t="b">
        <v>0</v>
      </c>
      <c r="AE531" t="s">
        <v>1604</v>
      </c>
    </row>
    <row r="532" spans="1:31" x14ac:dyDescent="0.3">
      <c r="A532">
        <v>-73.965258474980004</v>
      </c>
      <c r="B532">
        <v>40.78030111244</v>
      </c>
      <c r="C532" t="s">
        <v>1605</v>
      </c>
      <c r="D532" t="s">
        <v>1032</v>
      </c>
      <c r="E532" t="s">
        <v>33</v>
      </c>
      <c r="F532">
        <v>10172018</v>
      </c>
      <c r="G532">
        <v>4</v>
      </c>
      <c r="H532" t="s">
        <v>48</v>
      </c>
      <c r="I532" t="s">
        <v>42</v>
      </c>
      <c r="J532" t="s">
        <v>53</v>
      </c>
      <c r="K532" t="s">
        <v>54</v>
      </c>
      <c r="M532" t="s">
        <v>65</v>
      </c>
      <c r="N532" t="b">
        <v>0</v>
      </c>
      <c r="P532" t="b">
        <v>0</v>
      </c>
      <c r="Q532" t="b">
        <v>1</v>
      </c>
      <c r="R532" t="b">
        <v>1</v>
      </c>
      <c r="S532" t="b">
        <v>0</v>
      </c>
      <c r="T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1</v>
      </c>
      <c r="AA532" t="b">
        <v>0</v>
      </c>
      <c r="AB532" t="b">
        <v>0</v>
      </c>
      <c r="AC532" t="b">
        <v>1</v>
      </c>
      <c r="AE532" t="s">
        <v>1606</v>
      </c>
    </row>
    <row r="533" spans="1:31" x14ac:dyDescent="0.3">
      <c r="A533">
        <v>-73.965049950700006</v>
      </c>
      <c r="B533">
        <v>40.790819178219998</v>
      </c>
      <c r="C533" t="s">
        <v>1607</v>
      </c>
      <c r="D533" t="s">
        <v>1608</v>
      </c>
      <c r="E533" t="s">
        <v>38</v>
      </c>
      <c r="F533">
        <v>10102018</v>
      </c>
      <c r="G533">
        <v>1</v>
      </c>
      <c r="H533" t="s">
        <v>48</v>
      </c>
      <c r="I533" t="s">
        <v>53</v>
      </c>
      <c r="J533" t="s">
        <v>42</v>
      </c>
      <c r="K533" t="s">
        <v>89</v>
      </c>
      <c r="M533" t="s">
        <v>44</v>
      </c>
      <c r="N533">
        <v>10</v>
      </c>
      <c r="P533" t="b">
        <v>1</v>
      </c>
      <c r="Q533" t="b">
        <v>0</v>
      </c>
      <c r="R533" t="b">
        <v>1</v>
      </c>
      <c r="S533" t="b">
        <v>0</v>
      </c>
      <c r="T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1</v>
      </c>
      <c r="AA533" t="b">
        <v>0</v>
      </c>
      <c r="AB533" t="b">
        <v>0</v>
      </c>
      <c r="AC533" t="b">
        <v>1</v>
      </c>
      <c r="AE533" t="s">
        <v>1609</v>
      </c>
    </row>
    <row r="534" spans="1:31" x14ac:dyDescent="0.3">
      <c r="A534">
        <v>-73.977239672850004</v>
      </c>
      <c r="B534">
        <v>40.766869641180001</v>
      </c>
      <c r="C534" t="s">
        <v>1610</v>
      </c>
      <c r="D534" t="s">
        <v>879</v>
      </c>
      <c r="E534" t="s">
        <v>38</v>
      </c>
      <c r="F534">
        <v>10102018</v>
      </c>
      <c r="G534">
        <v>2</v>
      </c>
      <c r="H534" t="s">
        <v>48</v>
      </c>
      <c r="I534" t="s">
        <v>42</v>
      </c>
      <c r="K534" t="s">
        <v>43</v>
      </c>
      <c r="M534" t="s">
        <v>65</v>
      </c>
      <c r="N534" t="b">
        <v>0</v>
      </c>
      <c r="P534" t="b">
        <v>1</v>
      </c>
      <c r="Q534" t="b">
        <v>0</v>
      </c>
      <c r="R534" t="b">
        <v>0</v>
      </c>
      <c r="S534" t="b">
        <v>1</v>
      </c>
      <c r="T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1</v>
      </c>
      <c r="AC534" t="b">
        <v>0</v>
      </c>
      <c r="AD534" t="s">
        <v>1611</v>
      </c>
      <c r="AE534" t="s">
        <v>1612</v>
      </c>
    </row>
    <row r="535" spans="1:31" x14ac:dyDescent="0.3">
      <c r="A535">
        <v>-73.956114166229995</v>
      </c>
      <c r="B535">
        <v>40.797625845859997</v>
      </c>
      <c r="C535" t="s">
        <v>1613</v>
      </c>
      <c r="D535" t="s">
        <v>428</v>
      </c>
      <c r="E535" t="s">
        <v>33</v>
      </c>
      <c r="F535">
        <v>10132018</v>
      </c>
      <c r="G535">
        <v>5</v>
      </c>
      <c r="H535" t="s">
        <v>48</v>
      </c>
      <c r="I535" t="s">
        <v>42</v>
      </c>
      <c r="J535" t="s">
        <v>53</v>
      </c>
      <c r="K535" t="s">
        <v>54</v>
      </c>
      <c r="M535" t="s">
        <v>65</v>
      </c>
      <c r="N535" t="b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1</v>
      </c>
      <c r="AE535" t="s">
        <v>1614</v>
      </c>
    </row>
    <row r="536" spans="1:31" x14ac:dyDescent="0.3">
      <c r="A536">
        <v>-73.968280324099993</v>
      </c>
      <c r="B536">
        <v>40.772451055829997</v>
      </c>
      <c r="C536" t="s">
        <v>1615</v>
      </c>
      <c r="D536" t="s">
        <v>58</v>
      </c>
      <c r="E536" t="s">
        <v>38</v>
      </c>
      <c r="F536">
        <v>10102018</v>
      </c>
      <c r="G536">
        <v>4</v>
      </c>
      <c r="I536" t="s">
        <v>42</v>
      </c>
      <c r="J536" t="s">
        <v>59</v>
      </c>
      <c r="K536" t="s">
        <v>79</v>
      </c>
      <c r="P536" t="b">
        <v>0</v>
      </c>
      <c r="Q536" t="b">
        <v>0</v>
      </c>
      <c r="R536" t="b">
        <v>0</v>
      </c>
      <c r="S536" t="b">
        <v>0</v>
      </c>
      <c r="T536" t="b">
        <v>1</v>
      </c>
      <c r="V536" t="b">
        <v>0</v>
      </c>
      <c r="W536" t="b">
        <v>0</v>
      </c>
      <c r="X536" t="b">
        <v>0</v>
      </c>
      <c r="Y536" t="b">
        <v>0</v>
      </c>
      <c r="Z536" t="b">
        <v>1</v>
      </c>
      <c r="AA536" t="b">
        <v>0</v>
      </c>
      <c r="AB536" t="b">
        <v>0</v>
      </c>
      <c r="AC536" t="b">
        <v>0</v>
      </c>
      <c r="AE536" t="s">
        <v>1616</v>
      </c>
    </row>
    <row r="537" spans="1:31" x14ac:dyDescent="0.3">
      <c r="A537">
        <v>-73.955311377109993</v>
      </c>
      <c r="B537">
        <v>40.797843198019997</v>
      </c>
      <c r="C537" t="s">
        <v>1617</v>
      </c>
      <c r="D537" t="s">
        <v>338</v>
      </c>
      <c r="E537" t="s">
        <v>38</v>
      </c>
      <c r="F537">
        <v>10142018</v>
      </c>
      <c r="G537">
        <v>5</v>
      </c>
      <c r="H537" t="s">
        <v>48</v>
      </c>
      <c r="I537" t="s">
        <v>42</v>
      </c>
      <c r="J537" t="s">
        <v>176</v>
      </c>
      <c r="K537" t="s">
        <v>339</v>
      </c>
      <c r="M537" t="s">
        <v>65</v>
      </c>
      <c r="N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1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1</v>
      </c>
      <c r="AC537" t="b">
        <v>0</v>
      </c>
      <c r="AE537" t="s">
        <v>1618</v>
      </c>
    </row>
    <row r="538" spans="1:31" x14ac:dyDescent="0.3">
      <c r="A538">
        <v>-73.976144062800003</v>
      </c>
      <c r="B538">
        <v>40.770603530149998</v>
      </c>
      <c r="C538" t="s">
        <v>1619</v>
      </c>
      <c r="D538" t="s">
        <v>722</v>
      </c>
      <c r="E538" t="s">
        <v>33</v>
      </c>
      <c r="F538">
        <v>10202018</v>
      </c>
      <c r="G538">
        <v>4</v>
      </c>
      <c r="I538" t="s">
        <v>42</v>
      </c>
      <c r="K538" t="s">
        <v>43</v>
      </c>
      <c r="M538" t="s">
        <v>44</v>
      </c>
      <c r="N538">
        <v>15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1</v>
      </c>
      <c r="AC538" t="b">
        <v>0</v>
      </c>
      <c r="AE538" t="s">
        <v>1620</v>
      </c>
    </row>
    <row r="539" spans="1:31" x14ac:dyDescent="0.3">
      <c r="A539">
        <v>-73.9746802194</v>
      </c>
      <c r="B539">
        <v>40.773134745219998</v>
      </c>
      <c r="C539" t="s">
        <v>1621</v>
      </c>
      <c r="D539" t="s">
        <v>1401</v>
      </c>
      <c r="E539" t="s">
        <v>33</v>
      </c>
      <c r="F539">
        <v>10062018</v>
      </c>
      <c r="G539">
        <v>1</v>
      </c>
      <c r="H539" t="s">
        <v>48</v>
      </c>
      <c r="I539" t="s">
        <v>42</v>
      </c>
      <c r="J539" t="s">
        <v>96</v>
      </c>
      <c r="K539" t="s">
        <v>97</v>
      </c>
      <c r="M539" t="s">
        <v>65</v>
      </c>
      <c r="N539" t="b">
        <v>0</v>
      </c>
      <c r="P539" t="b">
        <v>0</v>
      </c>
      <c r="Q539" t="b">
        <v>0</v>
      </c>
      <c r="R539" t="b">
        <v>0</v>
      </c>
      <c r="S539" t="b">
        <v>1</v>
      </c>
      <c r="T539" t="b">
        <v>1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1</v>
      </c>
      <c r="AE539" t="s">
        <v>1622</v>
      </c>
    </row>
    <row r="540" spans="1:31" x14ac:dyDescent="0.3">
      <c r="A540">
        <v>-73.961761238869997</v>
      </c>
      <c r="B540">
        <v>40.795287595429997</v>
      </c>
      <c r="C540" t="s">
        <v>1623</v>
      </c>
      <c r="D540" t="s">
        <v>286</v>
      </c>
      <c r="E540" t="s">
        <v>38</v>
      </c>
      <c r="F540">
        <v>10142018</v>
      </c>
      <c r="G540">
        <v>4</v>
      </c>
      <c r="H540" t="s">
        <v>48</v>
      </c>
      <c r="I540" t="s">
        <v>42</v>
      </c>
      <c r="J540" t="s">
        <v>96</v>
      </c>
      <c r="K540" t="s">
        <v>97</v>
      </c>
      <c r="M540" t="s">
        <v>65</v>
      </c>
      <c r="N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1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1</v>
      </c>
      <c r="AC540" t="b">
        <v>0</v>
      </c>
      <c r="AE540" t="s">
        <v>1624</v>
      </c>
    </row>
    <row r="541" spans="1:31" x14ac:dyDescent="0.3">
      <c r="A541">
        <v>-73.971348759159994</v>
      </c>
      <c r="B541">
        <v>40.778435304369999</v>
      </c>
      <c r="C541" t="s">
        <v>1625</v>
      </c>
      <c r="D541" t="s">
        <v>1626</v>
      </c>
      <c r="E541" t="s">
        <v>33</v>
      </c>
      <c r="F541">
        <v>10172018</v>
      </c>
      <c r="G541">
        <v>3</v>
      </c>
      <c r="H541" t="s">
        <v>48</v>
      </c>
      <c r="I541" t="s">
        <v>176</v>
      </c>
      <c r="K541" t="s">
        <v>177</v>
      </c>
      <c r="M541" t="s">
        <v>44</v>
      </c>
      <c r="N541">
        <v>17</v>
      </c>
      <c r="O541" t="s">
        <v>1627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1</v>
      </c>
      <c r="AC541" t="b">
        <v>0</v>
      </c>
      <c r="AE541" t="s">
        <v>1628</v>
      </c>
    </row>
    <row r="542" spans="1:31" x14ac:dyDescent="0.3">
      <c r="A542">
        <v>-73.970131075330002</v>
      </c>
      <c r="B542">
        <v>40.77680010081</v>
      </c>
      <c r="C542" t="s">
        <v>1629</v>
      </c>
      <c r="D542" t="s">
        <v>100</v>
      </c>
      <c r="E542" t="s">
        <v>38</v>
      </c>
      <c r="F542">
        <v>10082018</v>
      </c>
      <c r="G542">
        <v>6</v>
      </c>
      <c r="H542" t="s">
        <v>48</v>
      </c>
      <c r="I542" t="s">
        <v>42</v>
      </c>
      <c r="K542" t="s">
        <v>43</v>
      </c>
      <c r="M542" t="s">
        <v>65</v>
      </c>
      <c r="N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1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1</v>
      </c>
      <c r="AC542" t="b">
        <v>0</v>
      </c>
      <c r="AE542" t="s">
        <v>1630</v>
      </c>
    </row>
    <row r="543" spans="1:31" x14ac:dyDescent="0.3">
      <c r="A543">
        <v>-73.971847448090003</v>
      </c>
      <c r="B543">
        <v>40.779496335429997</v>
      </c>
      <c r="C543" t="s">
        <v>1631</v>
      </c>
      <c r="D543" t="s">
        <v>1632</v>
      </c>
      <c r="E543" t="s">
        <v>38</v>
      </c>
      <c r="F543">
        <v>10142018</v>
      </c>
      <c r="G543">
        <v>1</v>
      </c>
      <c r="H543" t="s">
        <v>48</v>
      </c>
      <c r="I543" t="s">
        <v>42</v>
      </c>
      <c r="J543" t="s">
        <v>53</v>
      </c>
      <c r="K543" t="s">
        <v>54</v>
      </c>
      <c r="M543" t="s">
        <v>65</v>
      </c>
      <c r="N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1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1</v>
      </c>
      <c r="AE543" t="s">
        <v>1633</v>
      </c>
    </row>
    <row r="544" spans="1:31" x14ac:dyDescent="0.3">
      <c r="A544">
        <v>-73.975681045360005</v>
      </c>
      <c r="B544">
        <v>40.775625745799999</v>
      </c>
      <c r="C544" t="s">
        <v>1634</v>
      </c>
      <c r="D544" t="s">
        <v>1635</v>
      </c>
      <c r="E544" t="s">
        <v>33</v>
      </c>
      <c r="F544">
        <v>10132018</v>
      </c>
      <c r="G544">
        <v>1</v>
      </c>
      <c r="H544" t="s">
        <v>48</v>
      </c>
      <c r="I544" t="s">
        <v>53</v>
      </c>
      <c r="J544" t="s">
        <v>42</v>
      </c>
      <c r="K544" t="s">
        <v>89</v>
      </c>
      <c r="L544" t="s">
        <v>1636</v>
      </c>
      <c r="M544" t="s">
        <v>65</v>
      </c>
      <c r="N544" t="b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  <c r="U544" t="s">
        <v>1637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1</v>
      </c>
      <c r="AC544" t="b">
        <v>0</v>
      </c>
      <c r="AE544" t="s">
        <v>1638</v>
      </c>
    </row>
    <row r="545" spans="1:31" x14ac:dyDescent="0.3">
      <c r="A545">
        <v>-73.954742329029997</v>
      </c>
      <c r="B545">
        <v>40.789970262879997</v>
      </c>
      <c r="C545" t="s">
        <v>1639</v>
      </c>
      <c r="D545" t="s">
        <v>921</v>
      </c>
      <c r="E545" t="s">
        <v>33</v>
      </c>
      <c r="F545">
        <v>10062018</v>
      </c>
      <c r="G545">
        <v>9</v>
      </c>
      <c r="H545" t="s">
        <v>48</v>
      </c>
      <c r="I545" t="s">
        <v>176</v>
      </c>
      <c r="K545" t="s">
        <v>177</v>
      </c>
      <c r="M545" t="s">
        <v>65</v>
      </c>
      <c r="N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1</v>
      </c>
      <c r="V545" t="b">
        <v>0</v>
      </c>
      <c r="W545" t="b">
        <v>0</v>
      </c>
      <c r="X545" t="b">
        <v>0</v>
      </c>
      <c r="Y545" t="b">
        <v>0</v>
      </c>
      <c r="Z545" t="b">
        <v>1</v>
      </c>
      <c r="AA545" t="b">
        <v>0</v>
      </c>
      <c r="AB545" t="b">
        <v>1</v>
      </c>
      <c r="AC545" t="b">
        <v>0</v>
      </c>
      <c r="AE545" t="s">
        <v>1640</v>
      </c>
    </row>
    <row r="546" spans="1:31" x14ac:dyDescent="0.3">
      <c r="A546">
        <v>-73.955967796370004</v>
      </c>
      <c r="B546">
        <v>40.795112407689999</v>
      </c>
      <c r="C546" t="s">
        <v>1641</v>
      </c>
      <c r="D546" t="s">
        <v>520</v>
      </c>
      <c r="E546" t="s">
        <v>38</v>
      </c>
      <c r="F546">
        <v>10102018</v>
      </c>
      <c r="G546">
        <v>7</v>
      </c>
      <c r="H546" t="s">
        <v>48</v>
      </c>
      <c r="I546" t="s">
        <v>42</v>
      </c>
      <c r="J546" t="s">
        <v>53</v>
      </c>
      <c r="K546" t="s">
        <v>54</v>
      </c>
      <c r="M546" t="s">
        <v>44</v>
      </c>
      <c r="N546">
        <v>1</v>
      </c>
      <c r="O546" t="s">
        <v>1642</v>
      </c>
      <c r="P546" t="b">
        <v>1</v>
      </c>
      <c r="Q546" t="b">
        <v>1</v>
      </c>
      <c r="R546" t="b">
        <v>0</v>
      </c>
      <c r="S546" t="b">
        <v>0</v>
      </c>
      <c r="T546" t="b">
        <v>0</v>
      </c>
      <c r="U546" t="s">
        <v>1643</v>
      </c>
      <c r="V546" t="b">
        <v>0</v>
      </c>
      <c r="W546" t="b">
        <v>0</v>
      </c>
      <c r="X546" t="b">
        <v>0</v>
      </c>
      <c r="Y546" t="b">
        <v>0</v>
      </c>
      <c r="Z546" t="b">
        <v>1</v>
      </c>
      <c r="AA546" t="b">
        <v>0</v>
      </c>
      <c r="AB546" t="b">
        <v>0</v>
      </c>
      <c r="AC546" t="b">
        <v>1</v>
      </c>
      <c r="AE546" t="s">
        <v>1644</v>
      </c>
    </row>
    <row r="547" spans="1:31" x14ac:dyDescent="0.3">
      <c r="A547">
        <v>-73.958469608330006</v>
      </c>
      <c r="B547">
        <v>40.798012122659998</v>
      </c>
      <c r="C547" t="s">
        <v>1645</v>
      </c>
      <c r="D547" t="s">
        <v>802</v>
      </c>
      <c r="E547" t="s">
        <v>33</v>
      </c>
      <c r="F547">
        <v>10142018</v>
      </c>
      <c r="G547">
        <v>3</v>
      </c>
      <c r="H547" t="s">
        <v>48</v>
      </c>
      <c r="I547" t="s">
        <v>42</v>
      </c>
      <c r="K547" t="s">
        <v>43</v>
      </c>
      <c r="M547" t="s">
        <v>65</v>
      </c>
      <c r="N547" t="b">
        <v>0</v>
      </c>
      <c r="P547" t="b">
        <v>0</v>
      </c>
      <c r="Q547" t="b">
        <v>0</v>
      </c>
      <c r="R547" t="b">
        <v>0</v>
      </c>
      <c r="S547" t="b">
        <v>1</v>
      </c>
      <c r="T547" t="b">
        <v>1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1</v>
      </c>
      <c r="AC547" t="b">
        <v>0</v>
      </c>
      <c r="AE547" t="s">
        <v>1646</v>
      </c>
    </row>
    <row r="548" spans="1:31" x14ac:dyDescent="0.3">
      <c r="A548">
        <v>-73.954908248120006</v>
      </c>
      <c r="B548">
        <v>40.79335375846</v>
      </c>
      <c r="C548" t="s">
        <v>1647</v>
      </c>
      <c r="D548" t="s">
        <v>1648</v>
      </c>
      <c r="E548" t="s">
        <v>33</v>
      </c>
      <c r="F548">
        <v>10122018</v>
      </c>
      <c r="G548">
        <v>1</v>
      </c>
      <c r="H548" t="s">
        <v>48</v>
      </c>
      <c r="I548" t="s">
        <v>42</v>
      </c>
      <c r="J548" t="s">
        <v>59</v>
      </c>
      <c r="K548" t="s">
        <v>79</v>
      </c>
      <c r="M548" t="s">
        <v>65</v>
      </c>
      <c r="N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s">
        <v>1649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E548" t="s">
        <v>1650</v>
      </c>
    </row>
    <row r="549" spans="1:31" x14ac:dyDescent="0.3">
      <c r="A549">
        <v>-73.971446549329997</v>
      </c>
      <c r="B549">
        <v>40.777213558729997</v>
      </c>
      <c r="C549" t="s">
        <v>1651</v>
      </c>
      <c r="D549" t="s">
        <v>1652</v>
      </c>
      <c r="E549" t="s">
        <v>33</v>
      </c>
      <c r="F549">
        <v>10062018</v>
      </c>
      <c r="G549">
        <v>2</v>
      </c>
      <c r="H549" t="s">
        <v>48</v>
      </c>
      <c r="I549" t="s">
        <v>42</v>
      </c>
      <c r="K549" t="s">
        <v>43</v>
      </c>
      <c r="M549" t="s">
        <v>65</v>
      </c>
      <c r="N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  <c r="V549" t="b">
        <v>0</v>
      </c>
      <c r="W549" t="b">
        <v>0</v>
      </c>
      <c r="X549" t="b">
        <v>0</v>
      </c>
      <c r="Y549" t="b">
        <v>0</v>
      </c>
      <c r="Z549" t="b">
        <v>1</v>
      </c>
      <c r="AA549" t="b">
        <v>0</v>
      </c>
      <c r="AB549" t="b">
        <v>0</v>
      </c>
      <c r="AC549" t="b">
        <v>1</v>
      </c>
      <c r="AE549" t="s">
        <v>1653</v>
      </c>
    </row>
    <row r="550" spans="1:31" x14ac:dyDescent="0.3">
      <c r="A550">
        <v>-73.964382538159995</v>
      </c>
      <c r="B550">
        <v>40.781544584119999</v>
      </c>
      <c r="C550" t="s">
        <v>1654</v>
      </c>
      <c r="D550" t="s">
        <v>1199</v>
      </c>
      <c r="E550" t="s">
        <v>33</v>
      </c>
      <c r="F550">
        <v>10182018</v>
      </c>
      <c r="G550">
        <v>3</v>
      </c>
      <c r="H550" t="s">
        <v>48</v>
      </c>
      <c r="I550" t="s">
        <v>42</v>
      </c>
      <c r="J550" t="s">
        <v>53</v>
      </c>
      <c r="K550" t="s">
        <v>54</v>
      </c>
      <c r="M550" t="s">
        <v>65</v>
      </c>
      <c r="N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1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E550" t="s">
        <v>1655</v>
      </c>
    </row>
    <row r="551" spans="1:31" x14ac:dyDescent="0.3">
      <c r="A551">
        <v>-73.962541620089993</v>
      </c>
      <c r="B551">
        <v>40.781130239790002</v>
      </c>
      <c r="C551" t="s">
        <v>1656</v>
      </c>
      <c r="D551" t="s">
        <v>1657</v>
      </c>
      <c r="E551" t="s">
        <v>38</v>
      </c>
      <c r="F551">
        <v>10172018</v>
      </c>
      <c r="G551">
        <v>2</v>
      </c>
      <c r="H551" t="s">
        <v>48</v>
      </c>
      <c r="I551" t="s">
        <v>53</v>
      </c>
      <c r="J551" t="s">
        <v>42</v>
      </c>
      <c r="K551" t="s">
        <v>89</v>
      </c>
      <c r="M551" t="s">
        <v>44</v>
      </c>
      <c r="N551">
        <v>1</v>
      </c>
      <c r="P551" t="b">
        <v>0</v>
      </c>
      <c r="Q551" t="b">
        <v>0</v>
      </c>
      <c r="R551" t="b">
        <v>1</v>
      </c>
      <c r="S551" t="b">
        <v>0</v>
      </c>
      <c r="T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1</v>
      </c>
      <c r="AE551" t="s">
        <v>1658</v>
      </c>
    </row>
    <row r="552" spans="1:31" x14ac:dyDescent="0.3">
      <c r="A552">
        <v>-73.963852606209997</v>
      </c>
      <c r="B552">
        <v>40.78269384899</v>
      </c>
      <c r="C552" t="s">
        <v>1659</v>
      </c>
      <c r="D552" t="s">
        <v>82</v>
      </c>
      <c r="E552" t="s">
        <v>38</v>
      </c>
      <c r="F552">
        <v>10072018</v>
      </c>
      <c r="G552">
        <v>2</v>
      </c>
      <c r="H552" t="s">
        <v>48</v>
      </c>
      <c r="I552" t="s">
        <v>42</v>
      </c>
      <c r="J552" t="s">
        <v>53</v>
      </c>
      <c r="K552" t="s">
        <v>54</v>
      </c>
      <c r="M552" t="s">
        <v>65</v>
      </c>
      <c r="N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s">
        <v>1660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1</v>
      </c>
      <c r="AC552" t="b">
        <v>0</v>
      </c>
      <c r="AE552" t="s">
        <v>1661</v>
      </c>
    </row>
    <row r="553" spans="1:31" x14ac:dyDescent="0.3">
      <c r="A553">
        <v>-73.973351945819999</v>
      </c>
      <c r="B553">
        <v>40.768814796039997</v>
      </c>
      <c r="C553" t="s">
        <v>1662</v>
      </c>
      <c r="D553" t="s">
        <v>1663</v>
      </c>
      <c r="E553" t="s">
        <v>33</v>
      </c>
      <c r="F553">
        <v>10102018</v>
      </c>
      <c r="G553">
        <v>3</v>
      </c>
      <c r="H553" t="s">
        <v>48</v>
      </c>
      <c r="I553" t="s">
        <v>42</v>
      </c>
      <c r="K553" t="s">
        <v>43</v>
      </c>
      <c r="M553" t="s">
        <v>65</v>
      </c>
      <c r="N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1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1</v>
      </c>
      <c r="AE553" t="s">
        <v>1664</v>
      </c>
    </row>
    <row r="554" spans="1:31" x14ac:dyDescent="0.3">
      <c r="A554">
        <v>-73.968522731069996</v>
      </c>
      <c r="B554">
        <v>40.77659946659</v>
      </c>
      <c r="C554" t="s">
        <v>1665</v>
      </c>
      <c r="D554" t="s">
        <v>232</v>
      </c>
      <c r="E554" t="s">
        <v>38</v>
      </c>
      <c r="F554">
        <v>10072018</v>
      </c>
      <c r="G554">
        <v>2</v>
      </c>
      <c r="H554" t="s">
        <v>48</v>
      </c>
      <c r="I554" t="s">
        <v>42</v>
      </c>
      <c r="J554" t="s">
        <v>53</v>
      </c>
      <c r="K554" t="s">
        <v>54</v>
      </c>
      <c r="L554" t="s">
        <v>1666</v>
      </c>
      <c r="M554" t="s">
        <v>44</v>
      </c>
      <c r="N554">
        <v>20</v>
      </c>
      <c r="P554" t="b">
        <v>1</v>
      </c>
      <c r="Q554" t="b">
        <v>0</v>
      </c>
      <c r="R554" t="b">
        <v>1</v>
      </c>
      <c r="S554" t="b">
        <v>0</v>
      </c>
      <c r="T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1</v>
      </c>
      <c r="AE554" t="s">
        <v>1667</v>
      </c>
    </row>
    <row r="555" spans="1:31" x14ac:dyDescent="0.3">
      <c r="A555">
        <v>-73.972167004240006</v>
      </c>
      <c r="B555">
        <v>40.776085913839999</v>
      </c>
      <c r="C555" t="s">
        <v>1668</v>
      </c>
      <c r="D555" t="s">
        <v>415</v>
      </c>
      <c r="E555" t="s">
        <v>33</v>
      </c>
      <c r="F555">
        <v>10182018</v>
      </c>
      <c r="G555">
        <v>9</v>
      </c>
      <c r="H555" t="s">
        <v>48</v>
      </c>
      <c r="I555" t="s">
        <v>42</v>
      </c>
      <c r="J555" t="s">
        <v>59</v>
      </c>
      <c r="K555" t="s">
        <v>79</v>
      </c>
      <c r="M555" t="s">
        <v>65</v>
      </c>
      <c r="N555" t="b">
        <v>0</v>
      </c>
      <c r="P555" t="b">
        <v>1</v>
      </c>
      <c r="Q555" t="b">
        <v>0</v>
      </c>
      <c r="R555" t="b">
        <v>0</v>
      </c>
      <c r="S555" t="b">
        <v>0</v>
      </c>
      <c r="T555" t="b">
        <v>1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1</v>
      </c>
      <c r="AC555" t="b">
        <v>0</v>
      </c>
      <c r="AE555" t="s">
        <v>1669</v>
      </c>
    </row>
    <row r="556" spans="1:31" x14ac:dyDescent="0.3">
      <c r="A556">
        <v>-73.979215389309999</v>
      </c>
      <c r="B556">
        <v>40.768827249300003</v>
      </c>
      <c r="C556" t="s">
        <v>1670</v>
      </c>
      <c r="D556" t="s">
        <v>455</v>
      </c>
      <c r="E556" t="s">
        <v>38</v>
      </c>
      <c r="F556">
        <v>10102018</v>
      </c>
      <c r="G556">
        <v>1</v>
      </c>
      <c r="H556" t="s">
        <v>48</v>
      </c>
      <c r="I556" t="s">
        <v>53</v>
      </c>
      <c r="J556" t="s">
        <v>42</v>
      </c>
      <c r="K556" t="s">
        <v>89</v>
      </c>
      <c r="M556" t="s">
        <v>65</v>
      </c>
      <c r="N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1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1</v>
      </c>
      <c r="AC556" t="b">
        <v>0</v>
      </c>
      <c r="AE556" t="s">
        <v>1671</v>
      </c>
    </row>
    <row r="557" spans="1:31" x14ac:dyDescent="0.3">
      <c r="A557">
        <v>-73.957933527549997</v>
      </c>
      <c r="B557">
        <v>40.795308067370001</v>
      </c>
      <c r="C557" t="s">
        <v>1672</v>
      </c>
      <c r="D557" t="s">
        <v>390</v>
      </c>
      <c r="E557" t="s">
        <v>33</v>
      </c>
      <c r="F557">
        <v>10142018</v>
      </c>
      <c r="G557">
        <v>5</v>
      </c>
      <c r="H557" t="s">
        <v>48</v>
      </c>
      <c r="I557" t="s">
        <v>42</v>
      </c>
      <c r="K557" t="s">
        <v>43</v>
      </c>
      <c r="M557" t="s">
        <v>65</v>
      </c>
      <c r="N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1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1</v>
      </c>
      <c r="AE557" t="s">
        <v>1673</v>
      </c>
    </row>
    <row r="558" spans="1:31" x14ac:dyDescent="0.3">
      <c r="A558">
        <v>-73.970416619480005</v>
      </c>
      <c r="B558">
        <v>40.776672034660002</v>
      </c>
      <c r="C558" t="s">
        <v>1674</v>
      </c>
      <c r="D558" t="s">
        <v>100</v>
      </c>
      <c r="E558" t="s">
        <v>38</v>
      </c>
      <c r="F558">
        <v>10082018</v>
      </c>
      <c r="G558">
        <v>7</v>
      </c>
      <c r="H558" t="s">
        <v>48</v>
      </c>
      <c r="I558" t="s">
        <v>42</v>
      </c>
      <c r="K558" t="s">
        <v>43</v>
      </c>
      <c r="M558" t="s">
        <v>65</v>
      </c>
      <c r="N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1</v>
      </c>
      <c r="U558" t="s">
        <v>101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1</v>
      </c>
      <c r="AC558" t="b">
        <v>0</v>
      </c>
      <c r="AE558" t="s">
        <v>1675</v>
      </c>
    </row>
    <row r="559" spans="1:31" x14ac:dyDescent="0.3">
      <c r="A559">
        <v>-73.957305768620003</v>
      </c>
      <c r="B559">
        <v>40.79857341057</v>
      </c>
      <c r="C559" t="s">
        <v>1676</v>
      </c>
      <c r="D559" t="s">
        <v>212</v>
      </c>
      <c r="E559" t="s">
        <v>33</v>
      </c>
      <c r="F559">
        <v>10142018</v>
      </c>
      <c r="G559">
        <v>1</v>
      </c>
      <c r="H559" t="s">
        <v>48</v>
      </c>
      <c r="I559" t="s">
        <v>42</v>
      </c>
      <c r="J559" t="s">
        <v>53</v>
      </c>
      <c r="K559" t="s">
        <v>54</v>
      </c>
      <c r="M559" t="s">
        <v>65</v>
      </c>
      <c r="N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1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1</v>
      </c>
      <c r="AC559" t="b">
        <v>0</v>
      </c>
      <c r="AE559" t="s">
        <v>1677</v>
      </c>
    </row>
    <row r="560" spans="1:31" x14ac:dyDescent="0.3">
      <c r="A560">
        <v>-73.958198248650007</v>
      </c>
      <c r="B560">
        <v>40.79921945753</v>
      </c>
      <c r="C560" t="s">
        <v>1678</v>
      </c>
      <c r="D560" t="s">
        <v>468</v>
      </c>
      <c r="E560" t="s">
        <v>33</v>
      </c>
      <c r="F560">
        <v>10072018</v>
      </c>
      <c r="G560">
        <v>3</v>
      </c>
      <c r="H560" t="s">
        <v>48</v>
      </c>
      <c r="I560" t="s">
        <v>42</v>
      </c>
      <c r="J560" t="s">
        <v>59</v>
      </c>
      <c r="K560" t="s">
        <v>79</v>
      </c>
      <c r="M560" t="s">
        <v>44</v>
      </c>
      <c r="N560">
        <v>55</v>
      </c>
      <c r="P560" t="b">
        <v>1</v>
      </c>
      <c r="Q560" t="b">
        <v>0</v>
      </c>
      <c r="R560" t="b">
        <v>1</v>
      </c>
      <c r="S560" t="b">
        <v>0</v>
      </c>
      <c r="T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1</v>
      </c>
      <c r="AA560" t="b">
        <v>0</v>
      </c>
      <c r="AB560" t="b">
        <v>0</v>
      </c>
      <c r="AC560" t="b">
        <v>0</v>
      </c>
      <c r="AE560" t="s">
        <v>1679</v>
      </c>
    </row>
    <row r="561" spans="1:31" x14ac:dyDescent="0.3">
      <c r="A561">
        <v>-73.972467515470001</v>
      </c>
      <c r="B561">
        <v>40.765913186520002</v>
      </c>
      <c r="C561" t="s">
        <v>1680</v>
      </c>
      <c r="D561" t="s">
        <v>985</v>
      </c>
      <c r="E561" t="s">
        <v>33</v>
      </c>
      <c r="F561">
        <v>10132018</v>
      </c>
      <c r="G561">
        <v>5</v>
      </c>
      <c r="H561" t="s">
        <v>48</v>
      </c>
      <c r="I561" t="s">
        <v>42</v>
      </c>
      <c r="J561" t="s">
        <v>53</v>
      </c>
      <c r="K561" t="s">
        <v>54</v>
      </c>
      <c r="M561" t="s">
        <v>65</v>
      </c>
      <c r="N561" t="b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1</v>
      </c>
      <c r="AC561" t="b">
        <v>0</v>
      </c>
      <c r="AE561" t="s">
        <v>1681</v>
      </c>
    </row>
    <row r="562" spans="1:31" x14ac:dyDescent="0.3">
      <c r="A562">
        <v>-73.970033071209997</v>
      </c>
      <c r="B562">
        <v>40.778291392569997</v>
      </c>
      <c r="C562" t="s">
        <v>1682</v>
      </c>
      <c r="D562" t="s">
        <v>709</v>
      </c>
      <c r="E562" t="s">
        <v>33</v>
      </c>
      <c r="F562">
        <v>10102018</v>
      </c>
      <c r="G562">
        <v>6</v>
      </c>
      <c r="H562" t="s">
        <v>48</v>
      </c>
      <c r="I562" t="s">
        <v>42</v>
      </c>
      <c r="K562" t="s">
        <v>43</v>
      </c>
      <c r="M562" t="s">
        <v>65</v>
      </c>
      <c r="N562" t="b">
        <v>0</v>
      </c>
      <c r="P562" t="b">
        <v>1</v>
      </c>
      <c r="Q562" t="b">
        <v>0</v>
      </c>
      <c r="R562" t="b">
        <v>0</v>
      </c>
      <c r="S562" t="b">
        <v>0</v>
      </c>
      <c r="T562" t="b">
        <v>1</v>
      </c>
      <c r="U562" t="s">
        <v>101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s">
        <v>1683</v>
      </c>
      <c r="AE562" t="s">
        <v>1684</v>
      </c>
    </row>
    <row r="563" spans="1:31" x14ac:dyDescent="0.3">
      <c r="A563">
        <v>-73.957008621230003</v>
      </c>
      <c r="B563">
        <v>40.794667975579998</v>
      </c>
      <c r="C563" t="s">
        <v>1685</v>
      </c>
      <c r="D563" t="s">
        <v>394</v>
      </c>
      <c r="E563" t="s">
        <v>33</v>
      </c>
      <c r="F563">
        <v>10062018</v>
      </c>
      <c r="G563">
        <v>8</v>
      </c>
      <c r="H563" t="s">
        <v>48</v>
      </c>
      <c r="I563" t="s">
        <v>42</v>
      </c>
      <c r="K563" t="s">
        <v>43</v>
      </c>
      <c r="M563" t="s">
        <v>65</v>
      </c>
      <c r="N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1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1</v>
      </c>
      <c r="AC563" t="b">
        <v>0</v>
      </c>
      <c r="AE563" t="s">
        <v>1686</v>
      </c>
    </row>
    <row r="564" spans="1:31" x14ac:dyDescent="0.3">
      <c r="A564">
        <v>-73.961540262970004</v>
      </c>
      <c r="B564">
        <v>40.792408233030002</v>
      </c>
      <c r="C564" t="s">
        <v>1687</v>
      </c>
      <c r="D564" t="s">
        <v>275</v>
      </c>
      <c r="E564" t="s">
        <v>38</v>
      </c>
      <c r="F564">
        <v>10122018</v>
      </c>
      <c r="G564">
        <v>2</v>
      </c>
      <c r="H564" t="s">
        <v>48</v>
      </c>
      <c r="I564" t="s">
        <v>42</v>
      </c>
      <c r="J564" t="s">
        <v>53</v>
      </c>
      <c r="K564" t="s">
        <v>54</v>
      </c>
      <c r="L564" t="s">
        <v>1688</v>
      </c>
      <c r="M564" t="s">
        <v>44</v>
      </c>
      <c r="N564">
        <v>20</v>
      </c>
      <c r="O564" t="s">
        <v>1689</v>
      </c>
      <c r="P564" t="b">
        <v>0</v>
      </c>
      <c r="Q564" t="b">
        <v>1</v>
      </c>
      <c r="R564" t="b">
        <v>1</v>
      </c>
      <c r="S564" t="b">
        <v>0</v>
      </c>
      <c r="T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1</v>
      </c>
      <c r="AC564" t="b">
        <v>0</v>
      </c>
      <c r="AE564" t="s">
        <v>1690</v>
      </c>
    </row>
    <row r="565" spans="1:31" x14ac:dyDescent="0.3">
      <c r="A565">
        <v>-73.970836458359997</v>
      </c>
      <c r="B565">
        <v>40.772369158739998</v>
      </c>
      <c r="C565" t="s">
        <v>1691</v>
      </c>
      <c r="D565" t="s">
        <v>314</v>
      </c>
      <c r="E565" t="s">
        <v>38</v>
      </c>
      <c r="F565">
        <v>10072018</v>
      </c>
      <c r="G565">
        <v>1</v>
      </c>
      <c r="H565" t="s">
        <v>48</v>
      </c>
      <c r="I565" t="s">
        <v>42</v>
      </c>
      <c r="K565" t="s">
        <v>43</v>
      </c>
      <c r="M565" t="s">
        <v>44</v>
      </c>
      <c r="N565">
        <v>60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V565" t="b">
        <v>0</v>
      </c>
      <c r="W565" t="b">
        <v>0</v>
      </c>
      <c r="X565" t="b">
        <v>0</v>
      </c>
      <c r="Y565" t="b">
        <v>1</v>
      </c>
      <c r="Z565" t="b">
        <v>0</v>
      </c>
      <c r="AA565" t="b">
        <v>0</v>
      </c>
      <c r="AB565" t="b">
        <v>0</v>
      </c>
      <c r="AC565" t="b">
        <v>0</v>
      </c>
      <c r="AE565" t="s">
        <v>1692</v>
      </c>
    </row>
    <row r="566" spans="1:31" x14ac:dyDescent="0.3">
      <c r="A566">
        <v>-73.975697264760001</v>
      </c>
      <c r="B566">
        <v>40.773624164829997</v>
      </c>
      <c r="C566" t="s">
        <v>1693</v>
      </c>
      <c r="D566" t="s">
        <v>790</v>
      </c>
      <c r="E566" t="s">
        <v>33</v>
      </c>
      <c r="F566">
        <v>10132018</v>
      </c>
      <c r="G566">
        <v>4</v>
      </c>
      <c r="H566" t="s">
        <v>105</v>
      </c>
      <c r="I566" t="s">
        <v>42</v>
      </c>
      <c r="J566" t="s">
        <v>176</v>
      </c>
      <c r="K566" t="s">
        <v>339</v>
      </c>
      <c r="M566" t="s">
        <v>44</v>
      </c>
      <c r="N566">
        <v>30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1</v>
      </c>
      <c r="AA566" t="b">
        <v>0</v>
      </c>
      <c r="AB566" t="b">
        <v>1</v>
      </c>
      <c r="AC566" t="b">
        <v>0</v>
      </c>
      <c r="AE566" t="s">
        <v>1694</v>
      </c>
    </row>
    <row r="567" spans="1:31" x14ac:dyDescent="0.3">
      <c r="A567">
        <v>-73.97994414934</v>
      </c>
      <c r="B567">
        <v>40.767149999750004</v>
      </c>
      <c r="C567" t="s">
        <v>1695</v>
      </c>
      <c r="D567" t="s">
        <v>1301</v>
      </c>
      <c r="E567" t="s">
        <v>38</v>
      </c>
      <c r="F567">
        <v>10122018</v>
      </c>
      <c r="G567">
        <v>1</v>
      </c>
      <c r="H567" t="s">
        <v>48</v>
      </c>
      <c r="I567" t="s">
        <v>42</v>
      </c>
      <c r="J567" t="s">
        <v>148</v>
      </c>
      <c r="K567" t="s">
        <v>149</v>
      </c>
      <c r="L567" t="s">
        <v>1696</v>
      </c>
      <c r="M567" t="s">
        <v>65</v>
      </c>
      <c r="N567" t="b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V567" t="b">
        <v>0</v>
      </c>
      <c r="W567" t="b">
        <v>0</v>
      </c>
      <c r="X567" t="b">
        <v>0</v>
      </c>
      <c r="Y567" t="b">
        <v>1</v>
      </c>
      <c r="Z567" t="b">
        <v>0</v>
      </c>
      <c r="AA567" t="b">
        <v>0</v>
      </c>
      <c r="AB567" t="b">
        <v>0</v>
      </c>
      <c r="AC567" t="b">
        <v>1</v>
      </c>
      <c r="AE567" t="s">
        <v>1697</v>
      </c>
    </row>
    <row r="568" spans="1:31" x14ac:dyDescent="0.3">
      <c r="A568">
        <v>-73.970904062380001</v>
      </c>
      <c r="B568">
        <v>40.770116389270001</v>
      </c>
      <c r="C568" t="s">
        <v>1698</v>
      </c>
      <c r="D568" t="s">
        <v>92</v>
      </c>
      <c r="E568" t="s">
        <v>33</v>
      </c>
      <c r="F568">
        <v>10062018</v>
      </c>
      <c r="G568">
        <v>3</v>
      </c>
      <c r="H568" t="s">
        <v>48</v>
      </c>
      <c r="I568" t="s">
        <v>42</v>
      </c>
      <c r="K568" t="s">
        <v>43</v>
      </c>
      <c r="M568" t="s">
        <v>44</v>
      </c>
      <c r="N568">
        <v>8</v>
      </c>
      <c r="O568" t="s">
        <v>190</v>
      </c>
      <c r="P568" t="b">
        <v>1</v>
      </c>
      <c r="Q568" t="b">
        <v>0</v>
      </c>
      <c r="R568" t="b">
        <v>1</v>
      </c>
      <c r="S568" t="b">
        <v>0</v>
      </c>
      <c r="T568" t="b">
        <v>0</v>
      </c>
      <c r="V568" t="b">
        <v>0</v>
      </c>
      <c r="W568" t="b">
        <v>0</v>
      </c>
      <c r="X568" t="b">
        <v>0</v>
      </c>
      <c r="Y568" t="b">
        <v>1</v>
      </c>
      <c r="Z568" t="b">
        <v>0</v>
      </c>
      <c r="AA568" t="b">
        <v>0</v>
      </c>
      <c r="AB568" t="b">
        <v>1</v>
      </c>
      <c r="AC568" t="b">
        <v>0</v>
      </c>
      <c r="AE568" t="s">
        <v>1699</v>
      </c>
    </row>
    <row r="569" spans="1:31" x14ac:dyDescent="0.3">
      <c r="A569">
        <v>-73.974522776979995</v>
      </c>
      <c r="B569">
        <v>40.767361828479999</v>
      </c>
      <c r="C569" t="s">
        <v>1700</v>
      </c>
      <c r="D569" t="s">
        <v>1701</v>
      </c>
      <c r="E569" t="s">
        <v>38</v>
      </c>
      <c r="F569">
        <v>10062018</v>
      </c>
      <c r="G569">
        <v>9</v>
      </c>
      <c r="H569" t="s">
        <v>105</v>
      </c>
      <c r="I569" t="s">
        <v>42</v>
      </c>
      <c r="J569" t="s">
        <v>96</v>
      </c>
      <c r="K569" t="s">
        <v>97</v>
      </c>
      <c r="M569" t="s">
        <v>65</v>
      </c>
      <c r="N569" t="b">
        <v>0</v>
      </c>
      <c r="O569" t="s">
        <v>1702</v>
      </c>
      <c r="P569" t="b">
        <v>0</v>
      </c>
      <c r="Q569" t="b">
        <v>0</v>
      </c>
      <c r="R569" t="b">
        <v>0</v>
      </c>
      <c r="S569" t="b">
        <v>0</v>
      </c>
      <c r="T569" t="b">
        <v>1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1</v>
      </c>
      <c r="AC569" t="b">
        <v>0</v>
      </c>
      <c r="AE569" t="s">
        <v>1703</v>
      </c>
    </row>
    <row r="570" spans="1:31" x14ac:dyDescent="0.3">
      <c r="A570">
        <v>-73.965954996350007</v>
      </c>
      <c r="B570">
        <v>40.783365968920002</v>
      </c>
      <c r="C570" t="s">
        <v>1704</v>
      </c>
      <c r="D570" t="s">
        <v>736</v>
      </c>
      <c r="E570" t="s">
        <v>33</v>
      </c>
      <c r="F570">
        <v>10122018</v>
      </c>
      <c r="G570">
        <v>5</v>
      </c>
      <c r="H570" t="s">
        <v>48</v>
      </c>
      <c r="I570" t="s">
        <v>42</v>
      </c>
      <c r="J570" t="s">
        <v>148</v>
      </c>
      <c r="K570" t="s">
        <v>149</v>
      </c>
      <c r="P570" t="b">
        <v>0</v>
      </c>
      <c r="Q570" t="b">
        <v>0</v>
      </c>
      <c r="R570" t="b">
        <v>0</v>
      </c>
      <c r="S570" t="b">
        <v>1</v>
      </c>
      <c r="T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1</v>
      </c>
      <c r="AC570" t="b">
        <v>0</v>
      </c>
      <c r="AE570" t="s">
        <v>1705</v>
      </c>
    </row>
    <row r="571" spans="1:31" x14ac:dyDescent="0.3">
      <c r="A571">
        <v>-73.976362226929993</v>
      </c>
      <c r="B571">
        <v>40.770467129590003</v>
      </c>
      <c r="C571" t="s">
        <v>1706</v>
      </c>
      <c r="D571" t="s">
        <v>88</v>
      </c>
      <c r="E571" t="s">
        <v>33</v>
      </c>
      <c r="F571">
        <v>10102018</v>
      </c>
      <c r="G571">
        <v>10</v>
      </c>
      <c r="H571" t="s">
        <v>48</v>
      </c>
      <c r="I571" t="s">
        <v>42</v>
      </c>
      <c r="J571" t="s">
        <v>53</v>
      </c>
      <c r="K571" t="s">
        <v>54</v>
      </c>
      <c r="M571" t="s">
        <v>65</v>
      </c>
      <c r="N571" t="b">
        <v>0</v>
      </c>
      <c r="P571" t="b">
        <v>0</v>
      </c>
      <c r="Q571" t="b">
        <v>0</v>
      </c>
      <c r="R571" t="b">
        <v>0</v>
      </c>
      <c r="S571" t="b">
        <v>1</v>
      </c>
      <c r="T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1</v>
      </c>
      <c r="AB571" t="b">
        <v>0</v>
      </c>
      <c r="AC571" t="b">
        <v>0</v>
      </c>
      <c r="AD571" t="s">
        <v>1707</v>
      </c>
      <c r="AE571" t="s">
        <v>1708</v>
      </c>
    </row>
    <row r="572" spans="1:31" x14ac:dyDescent="0.3">
      <c r="A572">
        <v>-73.967468843359995</v>
      </c>
      <c r="B572">
        <v>40.778972838190001</v>
      </c>
      <c r="C572" t="s">
        <v>1709</v>
      </c>
      <c r="D572" t="s">
        <v>200</v>
      </c>
      <c r="E572" t="s">
        <v>38</v>
      </c>
      <c r="F572">
        <v>10172018</v>
      </c>
      <c r="G572">
        <v>6</v>
      </c>
      <c r="H572" t="s">
        <v>48</v>
      </c>
      <c r="I572" t="s">
        <v>42</v>
      </c>
      <c r="K572" t="s">
        <v>43</v>
      </c>
      <c r="M572" t="s">
        <v>65</v>
      </c>
      <c r="N572" t="b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1</v>
      </c>
      <c r="AC572" t="b">
        <v>0</v>
      </c>
      <c r="AE572" t="s">
        <v>1710</v>
      </c>
    </row>
    <row r="573" spans="1:31" x14ac:dyDescent="0.3">
      <c r="A573">
        <v>-73.970636000530007</v>
      </c>
      <c r="B573">
        <v>40.771707404449998</v>
      </c>
      <c r="C573" t="s">
        <v>1711</v>
      </c>
      <c r="D573" t="s">
        <v>571</v>
      </c>
      <c r="E573" t="s">
        <v>33</v>
      </c>
      <c r="F573">
        <v>10072018</v>
      </c>
      <c r="G573">
        <v>5</v>
      </c>
      <c r="H573" t="s">
        <v>48</v>
      </c>
      <c r="I573" t="s">
        <v>42</v>
      </c>
      <c r="J573" t="s">
        <v>59</v>
      </c>
      <c r="K573" t="s">
        <v>79</v>
      </c>
      <c r="M573" t="s">
        <v>65</v>
      </c>
      <c r="N573" t="b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1</v>
      </c>
      <c r="AE573" t="s">
        <v>1712</v>
      </c>
    </row>
    <row r="574" spans="1:31" x14ac:dyDescent="0.3">
      <c r="A574">
        <v>-73.978336690380004</v>
      </c>
      <c r="B574">
        <v>40.766830005609997</v>
      </c>
      <c r="C574" t="s">
        <v>1713</v>
      </c>
      <c r="D574" t="s">
        <v>1278</v>
      </c>
      <c r="E574" t="s">
        <v>33</v>
      </c>
      <c r="F574">
        <v>10072018</v>
      </c>
      <c r="G574">
        <v>3</v>
      </c>
      <c r="H574" t="s">
        <v>48</v>
      </c>
      <c r="I574" t="s">
        <v>42</v>
      </c>
      <c r="J574" t="s">
        <v>59</v>
      </c>
      <c r="K574" t="s">
        <v>79</v>
      </c>
      <c r="M574" t="s">
        <v>65</v>
      </c>
      <c r="N574" t="b">
        <v>0</v>
      </c>
      <c r="P574" t="b">
        <v>0</v>
      </c>
      <c r="Q574" t="b">
        <v>1</v>
      </c>
      <c r="R574" t="b">
        <v>0</v>
      </c>
      <c r="S574" t="b">
        <v>0</v>
      </c>
      <c r="T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1</v>
      </c>
      <c r="AC574" t="b">
        <v>0</v>
      </c>
      <c r="AE574" t="s">
        <v>1714</v>
      </c>
    </row>
    <row r="575" spans="1:31" x14ac:dyDescent="0.3">
      <c r="A575">
        <v>-73.962204767770004</v>
      </c>
      <c r="B575">
        <v>40.794512635849998</v>
      </c>
      <c r="C575" t="s">
        <v>1715</v>
      </c>
      <c r="D575" t="s">
        <v>286</v>
      </c>
      <c r="E575" t="s">
        <v>38</v>
      </c>
      <c r="F575">
        <v>10142018</v>
      </c>
      <c r="G575">
        <v>6</v>
      </c>
      <c r="H575" t="s">
        <v>48</v>
      </c>
      <c r="I575" t="s">
        <v>42</v>
      </c>
      <c r="J575" t="s">
        <v>53</v>
      </c>
      <c r="K575" t="s">
        <v>54</v>
      </c>
      <c r="M575" t="s">
        <v>65</v>
      </c>
      <c r="N575" t="b">
        <v>0</v>
      </c>
      <c r="P575" t="b">
        <v>0</v>
      </c>
      <c r="Q575" t="b">
        <v>1</v>
      </c>
      <c r="R575" t="b">
        <v>0</v>
      </c>
      <c r="S575" t="b">
        <v>0</v>
      </c>
      <c r="T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1</v>
      </c>
      <c r="AC575" t="b">
        <v>0</v>
      </c>
      <c r="AE575" t="s">
        <v>1716</v>
      </c>
    </row>
    <row r="576" spans="1:31" x14ac:dyDescent="0.3">
      <c r="A576">
        <v>-73.949721767460005</v>
      </c>
      <c r="B576">
        <v>40.796517007209999</v>
      </c>
      <c r="C576" t="s">
        <v>1717</v>
      </c>
      <c r="D576" t="s">
        <v>1718</v>
      </c>
      <c r="E576" t="s">
        <v>33</v>
      </c>
      <c r="F576">
        <v>10142018</v>
      </c>
      <c r="G576">
        <v>3</v>
      </c>
      <c r="I576" t="s">
        <v>42</v>
      </c>
      <c r="J576" t="s">
        <v>53</v>
      </c>
      <c r="K576" t="s">
        <v>54</v>
      </c>
      <c r="M576" t="s">
        <v>65</v>
      </c>
      <c r="N576" t="b">
        <v>0</v>
      </c>
      <c r="P576" t="b">
        <v>0</v>
      </c>
      <c r="Q576" t="b">
        <v>0</v>
      </c>
      <c r="R576" t="b">
        <v>0</v>
      </c>
      <c r="S576" t="b">
        <v>1</v>
      </c>
      <c r="T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1</v>
      </c>
      <c r="AC576" t="b">
        <v>0</v>
      </c>
      <c r="AE576" t="s">
        <v>1719</v>
      </c>
    </row>
    <row r="577" spans="1:31" x14ac:dyDescent="0.3">
      <c r="A577">
        <v>-73.967130643120001</v>
      </c>
      <c r="B577">
        <v>40.783887015909997</v>
      </c>
      <c r="C577" t="s">
        <v>1720</v>
      </c>
      <c r="D577" t="s">
        <v>689</v>
      </c>
      <c r="E577" t="s">
        <v>33</v>
      </c>
      <c r="F577">
        <v>10062018</v>
      </c>
      <c r="G577">
        <v>5</v>
      </c>
      <c r="H577" t="s">
        <v>105</v>
      </c>
      <c r="I577" t="s">
        <v>42</v>
      </c>
      <c r="K577" t="s">
        <v>43</v>
      </c>
      <c r="M577" t="s">
        <v>65</v>
      </c>
      <c r="N577" t="b">
        <v>0</v>
      </c>
      <c r="P577" t="b">
        <v>0</v>
      </c>
      <c r="Q577" t="b">
        <v>0</v>
      </c>
      <c r="R577" t="b">
        <v>0</v>
      </c>
      <c r="S577" t="b">
        <v>1</v>
      </c>
      <c r="T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E577" t="s">
        <v>1721</v>
      </c>
    </row>
    <row r="578" spans="1:31" x14ac:dyDescent="0.3">
      <c r="A578">
        <v>-73.978671420729995</v>
      </c>
      <c r="B578">
        <v>40.769687080620002</v>
      </c>
      <c r="C578" t="s">
        <v>1722</v>
      </c>
      <c r="D578" t="s">
        <v>886</v>
      </c>
      <c r="E578" t="s">
        <v>33</v>
      </c>
      <c r="F578">
        <v>10182018</v>
      </c>
      <c r="G578">
        <v>1</v>
      </c>
      <c r="H578" t="s">
        <v>48</v>
      </c>
      <c r="I578" t="s">
        <v>42</v>
      </c>
      <c r="K578" t="s">
        <v>43</v>
      </c>
      <c r="M578" t="s">
        <v>65</v>
      </c>
      <c r="N578" t="b">
        <v>0</v>
      </c>
      <c r="P578" t="b">
        <v>0</v>
      </c>
      <c r="Q578" t="b">
        <v>0</v>
      </c>
      <c r="R578" t="b">
        <v>0</v>
      </c>
      <c r="S578" t="b">
        <v>1</v>
      </c>
      <c r="T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1</v>
      </c>
      <c r="AB578" t="b">
        <v>0</v>
      </c>
      <c r="AC578" t="b">
        <v>0</v>
      </c>
      <c r="AE578" t="s">
        <v>1723</v>
      </c>
    </row>
    <row r="579" spans="1:31" x14ac:dyDescent="0.3">
      <c r="A579">
        <v>-73.975099256440004</v>
      </c>
      <c r="B579">
        <v>40.774339188379997</v>
      </c>
      <c r="C579" t="s">
        <v>1724</v>
      </c>
      <c r="D579" t="s">
        <v>462</v>
      </c>
      <c r="E579" t="s">
        <v>33</v>
      </c>
      <c r="F579">
        <v>10142018</v>
      </c>
      <c r="G579">
        <v>3</v>
      </c>
      <c r="H579" t="s">
        <v>48</v>
      </c>
      <c r="I579" t="s">
        <v>42</v>
      </c>
      <c r="J579" t="s">
        <v>59</v>
      </c>
      <c r="K579" t="s">
        <v>79</v>
      </c>
      <c r="M579" t="s">
        <v>65</v>
      </c>
      <c r="N579" t="b">
        <v>0</v>
      </c>
      <c r="P579" t="b">
        <v>0</v>
      </c>
      <c r="Q579" t="b">
        <v>0</v>
      </c>
      <c r="R579" t="b">
        <v>0</v>
      </c>
      <c r="S579" t="b">
        <v>1</v>
      </c>
      <c r="T579" t="b">
        <v>1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s">
        <v>463</v>
      </c>
      <c r="AE579" t="s">
        <v>1725</v>
      </c>
    </row>
    <row r="580" spans="1:31" x14ac:dyDescent="0.3">
      <c r="A580">
        <v>-73.955621819930002</v>
      </c>
      <c r="B580">
        <v>40.798046020400001</v>
      </c>
      <c r="C580" t="s">
        <v>1726</v>
      </c>
      <c r="D580" t="s">
        <v>338</v>
      </c>
      <c r="E580" t="s">
        <v>33</v>
      </c>
      <c r="F580">
        <v>10142018</v>
      </c>
      <c r="G580">
        <v>1</v>
      </c>
      <c r="H580" t="s">
        <v>48</v>
      </c>
      <c r="I580" t="s">
        <v>42</v>
      </c>
      <c r="J580" t="s">
        <v>53</v>
      </c>
      <c r="K580" t="s">
        <v>54</v>
      </c>
      <c r="M580" t="s">
        <v>65</v>
      </c>
      <c r="N580" t="b">
        <v>0</v>
      </c>
      <c r="P580" t="b">
        <v>0</v>
      </c>
      <c r="Q580" t="b">
        <v>0</v>
      </c>
      <c r="R580" t="b">
        <v>0</v>
      </c>
      <c r="S580" t="b">
        <v>1</v>
      </c>
      <c r="T580" t="b">
        <v>0</v>
      </c>
      <c r="U580" t="s">
        <v>1727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1</v>
      </c>
      <c r="AE580" t="s">
        <v>1728</v>
      </c>
    </row>
    <row r="581" spans="1:31" x14ac:dyDescent="0.3">
      <c r="A581">
        <v>-73.967777940849999</v>
      </c>
      <c r="B581">
        <v>40.786748221129997</v>
      </c>
      <c r="C581" t="s">
        <v>1729</v>
      </c>
      <c r="D581" t="s">
        <v>127</v>
      </c>
      <c r="E581" t="s">
        <v>38</v>
      </c>
      <c r="F581">
        <v>10132018</v>
      </c>
      <c r="G581">
        <v>2</v>
      </c>
      <c r="I581" t="s">
        <v>42</v>
      </c>
      <c r="K581" t="s">
        <v>43</v>
      </c>
      <c r="M581" t="s">
        <v>44</v>
      </c>
      <c r="N581">
        <v>15</v>
      </c>
      <c r="O581" t="s">
        <v>1730</v>
      </c>
      <c r="P581" t="b">
        <v>0</v>
      </c>
      <c r="Q581" t="b">
        <v>1</v>
      </c>
      <c r="R581" t="b">
        <v>0</v>
      </c>
      <c r="S581" t="b">
        <v>0</v>
      </c>
      <c r="T581" t="b">
        <v>0</v>
      </c>
      <c r="U581" t="s">
        <v>1029</v>
      </c>
      <c r="V581" t="b">
        <v>0</v>
      </c>
      <c r="W581" t="b">
        <v>0</v>
      </c>
      <c r="X581" t="b">
        <v>0</v>
      </c>
      <c r="Y581" t="b">
        <v>1</v>
      </c>
      <c r="Z581" t="b">
        <v>0</v>
      </c>
      <c r="AA581" t="b">
        <v>0</v>
      </c>
      <c r="AB581" t="b">
        <v>1</v>
      </c>
      <c r="AC581" t="b">
        <v>0</v>
      </c>
      <c r="AE581" t="s">
        <v>1731</v>
      </c>
    </row>
    <row r="582" spans="1:31" x14ac:dyDescent="0.3">
      <c r="A582">
        <v>-73.961239850979993</v>
      </c>
      <c r="B582">
        <v>40.795003315039999</v>
      </c>
      <c r="C582" t="s">
        <v>1732</v>
      </c>
      <c r="D582" t="s">
        <v>286</v>
      </c>
      <c r="E582" t="s">
        <v>33</v>
      </c>
      <c r="F582">
        <v>10132018</v>
      </c>
      <c r="G582">
        <v>12</v>
      </c>
      <c r="H582" t="s">
        <v>48</v>
      </c>
      <c r="I582" t="s">
        <v>42</v>
      </c>
      <c r="J582" t="s">
        <v>53</v>
      </c>
      <c r="K582" t="s">
        <v>54</v>
      </c>
      <c r="M582" t="s">
        <v>65</v>
      </c>
      <c r="N582" t="b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V582" t="b">
        <v>0</v>
      </c>
      <c r="W582" t="b">
        <v>0</v>
      </c>
      <c r="X582" t="b">
        <v>0</v>
      </c>
      <c r="Y582" t="b">
        <v>1</v>
      </c>
      <c r="Z582" t="b">
        <v>0</v>
      </c>
      <c r="AA582" t="b">
        <v>0</v>
      </c>
      <c r="AB582" t="b">
        <v>0</v>
      </c>
      <c r="AC582" t="b">
        <v>1</v>
      </c>
      <c r="AE582" t="s">
        <v>1733</v>
      </c>
    </row>
    <row r="583" spans="1:31" x14ac:dyDescent="0.3">
      <c r="A583">
        <v>-73.972055375349996</v>
      </c>
      <c r="B583">
        <v>40.766448817540002</v>
      </c>
      <c r="C583" t="s">
        <v>1734</v>
      </c>
      <c r="D583" t="s">
        <v>985</v>
      </c>
      <c r="E583" t="s">
        <v>38</v>
      </c>
      <c r="F583">
        <v>10102018</v>
      </c>
      <c r="G583">
        <v>4</v>
      </c>
      <c r="H583" t="s">
        <v>48</v>
      </c>
      <c r="I583" t="s">
        <v>42</v>
      </c>
      <c r="K583" t="s">
        <v>43</v>
      </c>
      <c r="M583" t="s">
        <v>65</v>
      </c>
      <c r="N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1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1</v>
      </c>
      <c r="AC583" t="b">
        <v>0</v>
      </c>
      <c r="AE583" t="s">
        <v>1735</v>
      </c>
    </row>
    <row r="584" spans="1:31" x14ac:dyDescent="0.3">
      <c r="A584">
        <v>-73.970014824840007</v>
      </c>
      <c r="B584">
        <v>40.778778019340002</v>
      </c>
      <c r="C584" t="s">
        <v>1736</v>
      </c>
      <c r="D584" t="s">
        <v>709</v>
      </c>
      <c r="E584" t="s">
        <v>33</v>
      </c>
      <c r="F584">
        <v>10102018</v>
      </c>
      <c r="G584">
        <v>4</v>
      </c>
      <c r="H584" t="s">
        <v>48</v>
      </c>
      <c r="I584" t="s">
        <v>42</v>
      </c>
      <c r="K584" t="s">
        <v>43</v>
      </c>
      <c r="M584" t="s">
        <v>65</v>
      </c>
      <c r="N584" t="b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1</v>
      </c>
      <c r="AC584" t="b">
        <v>0</v>
      </c>
      <c r="AE584" t="s">
        <v>1737</v>
      </c>
    </row>
    <row r="585" spans="1:31" x14ac:dyDescent="0.3">
      <c r="A585">
        <v>-73.97891260886</v>
      </c>
      <c r="B585">
        <v>40.768507914970002</v>
      </c>
      <c r="C585" t="s">
        <v>1738</v>
      </c>
      <c r="D585" t="s">
        <v>1232</v>
      </c>
      <c r="E585" t="s">
        <v>33</v>
      </c>
      <c r="F585">
        <v>10132018</v>
      </c>
      <c r="G585">
        <v>8</v>
      </c>
      <c r="H585" t="s">
        <v>48</v>
      </c>
      <c r="I585" t="s">
        <v>42</v>
      </c>
      <c r="J585" t="s">
        <v>59</v>
      </c>
      <c r="K585" t="s">
        <v>79</v>
      </c>
      <c r="M585" t="s">
        <v>65</v>
      </c>
      <c r="N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1</v>
      </c>
      <c r="AB585" t="b">
        <v>0</v>
      </c>
      <c r="AC585" t="b">
        <v>0</v>
      </c>
      <c r="AE585" t="s">
        <v>1739</v>
      </c>
    </row>
    <row r="586" spans="1:31" x14ac:dyDescent="0.3">
      <c r="A586">
        <v>-73.977184391220007</v>
      </c>
      <c r="B586">
        <v>40.772366638210002</v>
      </c>
      <c r="C586" t="s">
        <v>1740</v>
      </c>
      <c r="D586" t="s">
        <v>439</v>
      </c>
      <c r="E586" t="s">
        <v>38</v>
      </c>
      <c r="F586">
        <v>10082018</v>
      </c>
      <c r="G586">
        <v>1</v>
      </c>
      <c r="H586" t="s">
        <v>48</v>
      </c>
      <c r="I586" t="s">
        <v>42</v>
      </c>
      <c r="K586" t="s">
        <v>43</v>
      </c>
      <c r="M586" t="s">
        <v>65</v>
      </c>
      <c r="N586" t="b">
        <v>0</v>
      </c>
      <c r="P586" t="b">
        <v>0</v>
      </c>
      <c r="Q586" t="b">
        <v>0</v>
      </c>
      <c r="R586" t="b">
        <v>0</v>
      </c>
      <c r="S586" t="b">
        <v>1</v>
      </c>
      <c r="T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1</v>
      </c>
      <c r="AC586" t="b">
        <v>0</v>
      </c>
      <c r="AE586" t="s">
        <v>1741</v>
      </c>
    </row>
    <row r="587" spans="1:31" x14ac:dyDescent="0.3">
      <c r="A587">
        <v>-73.96465974521</v>
      </c>
      <c r="B587">
        <v>40.782769822070001</v>
      </c>
      <c r="C587" t="s">
        <v>1742</v>
      </c>
      <c r="D587" t="s">
        <v>82</v>
      </c>
      <c r="E587" t="s">
        <v>38</v>
      </c>
      <c r="F587">
        <v>10072018</v>
      </c>
      <c r="G587">
        <v>7</v>
      </c>
      <c r="H587" t="s">
        <v>105</v>
      </c>
      <c r="I587" t="s">
        <v>53</v>
      </c>
      <c r="J587" t="s">
        <v>42</v>
      </c>
      <c r="K587" t="s">
        <v>89</v>
      </c>
      <c r="M587" t="s">
        <v>44</v>
      </c>
      <c r="N587">
        <v>3</v>
      </c>
      <c r="P587" t="b">
        <v>0</v>
      </c>
      <c r="Q587" t="b">
        <v>0</v>
      </c>
      <c r="R587" t="b">
        <v>1</v>
      </c>
      <c r="S587" t="b">
        <v>0</v>
      </c>
      <c r="T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1</v>
      </c>
      <c r="AA587" t="b">
        <v>0</v>
      </c>
      <c r="AB587" t="b">
        <v>0</v>
      </c>
      <c r="AC587" t="b">
        <v>0</v>
      </c>
      <c r="AD587" t="s">
        <v>1743</v>
      </c>
      <c r="AE587" t="s">
        <v>1744</v>
      </c>
    </row>
    <row r="588" spans="1:31" x14ac:dyDescent="0.3">
      <c r="A588">
        <v>-73.978264381390005</v>
      </c>
      <c r="B588">
        <v>40.771708609080001</v>
      </c>
      <c r="C588" t="s">
        <v>1745</v>
      </c>
      <c r="D588" t="s">
        <v>870</v>
      </c>
      <c r="E588" t="s">
        <v>38</v>
      </c>
      <c r="F588">
        <v>10062018</v>
      </c>
      <c r="G588">
        <v>4</v>
      </c>
      <c r="H588" t="s">
        <v>48</v>
      </c>
      <c r="I588" t="s">
        <v>42</v>
      </c>
      <c r="J588" t="s">
        <v>59</v>
      </c>
      <c r="K588" t="s">
        <v>79</v>
      </c>
      <c r="M588" t="s">
        <v>65</v>
      </c>
      <c r="N588" t="b">
        <v>0</v>
      </c>
      <c r="P588" t="b">
        <v>0</v>
      </c>
      <c r="Q588" t="b">
        <v>1</v>
      </c>
      <c r="R588" t="b">
        <v>0</v>
      </c>
      <c r="S588" t="b">
        <v>0</v>
      </c>
      <c r="T588" t="b">
        <v>1</v>
      </c>
      <c r="V588" t="b">
        <v>0</v>
      </c>
      <c r="W588" t="b">
        <v>0</v>
      </c>
      <c r="X588" t="b">
        <v>0</v>
      </c>
      <c r="Y588" t="b">
        <v>0</v>
      </c>
      <c r="Z588" t="b">
        <v>1</v>
      </c>
      <c r="AA588" t="b">
        <v>0</v>
      </c>
      <c r="AB588" t="b">
        <v>0</v>
      </c>
      <c r="AC588" t="b">
        <v>0</v>
      </c>
      <c r="AD588" t="s">
        <v>1746</v>
      </c>
      <c r="AE588" t="s">
        <v>1747</v>
      </c>
    </row>
    <row r="589" spans="1:31" x14ac:dyDescent="0.3">
      <c r="A589">
        <v>-73.978513330140004</v>
      </c>
      <c r="B589">
        <v>40.771826028829999</v>
      </c>
      <c r="C589" t="s">
        <v>1748</v>
      </c>
      <c r="D589" t="s">
        <v>870</v>
      </c>
      <c r="E589" t="s">
        <v>33</v>
      </c>
      <c r="F589">
        <v>10122018</v>
      </c>
      <c r="G589">
        <v>5</v>
      </c>
      <c r="H589" t="s">
        <v>48</v>
      </c>
      <c r="I589" t="s">
        <v>53</v>
      </c>
      <c r="J589" t="s">
        <v>59</v>
      </c>
      <c r="K589" t="s">
        <v>60</v>
      </c>
      <c r="M589" t="s">
        <v>65</v>
      </c>
      <c r="N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1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E589" t="s">
        <v>1749</v>
      </c>
    </row>
    <row r="590" spans="1:31" x14ac:dyDescent="0.3">
      <c r="A590">
        <v>-73.954332378689998</v>
      </c>
      <c r="B590">
        <v>40.794308653039998</v>
      </c>
      <c r="C590" t="s">
        <v>1750</v>
      </c>
      <c r="D590" t="s">
        <v>936</v>
      </c>
      <c r="E590" t="s">
        <v>33</v>
      </c>
      <c r="F590">
        <v>10072018</v>
      </c>
      <c r="G590">
        <v>3</v>
      </c>
      <c r="H590" t="s">
        <v>48</v>
      </c>
      <c r="I590" t="s">
        <v>42</v>
      </c>
      <c r="J590" t="s">
        <v>53</v>
      </c>
      <c r="K590" t="s">
        <v>54</v>
      </c>
      <c r="M590" t="s">
        <v>44</v>
      </c>
      <c r="N590">
        <v>15</v>
      </c>
      <c r="P590" t="b">
        <v>0</v>
      </c>
      <c r="Q590" t="b">
        <v>0</v>
      </c>
      <c r="R590" t="b">
        <v>0</v>
      </c>
      <c r="S590" t="b">
        <v>1</v>
      </c>
      <c r="T590" t="b">
        <v>0</v>
      </c>
      <c r="U590" t="s">
        <v>1751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E590" t="s">
        <v>1752</v>
      </c>
    </row>
    <row r="591" spans="1:31" x14ac:dyDescent="0.3">
      <c r="A591">
        <v>-73.971225676529997</v>
      </c>
      <c r="B591">
        <v>40.776094287249997</v>
      </c>
      <c r="C591" t="s">
        <v>1753</v>
      </c>
      <c r="D591" t="s">
        <v>415</v>
      </c>
      <c r="E591" t="s">
        <v>33</v>
      </c>
      <c r="F591">
        <v>10182018</v>
      </c>
      <c r="G591">
        <v>13</v>
      </c>
      <c r="H591" t="s">
        <v>48</v>
      </c>
      <c r="I591" t="s">
        <v>42</v>
      </c>
      <c r="J591" t="s">
        <v>96</v>
      </c>
      <c r="K591" t="s">
        <v>97</v>
      </c>
      <c r="L591" t="s">
        <v>1754</v>
      </c>
      <c r="M591" t="s">
        <v>65</v>
      </c>
      <c r="N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1</v>
      </c>
      <c r="U591" t="s">
        <v>340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1</v>
      </c>
      <c r="AC591" t="b">
        <v>0</v>
      </c>
      <c r="AE591" t="s">
        <v>1755</v>
      </c>
    </row>
    <row r="592" spans="1:31" x14ac:dyDescent="0.3">
      <c r="A592">
        <v>-73.959335280619996</v>
      </c>
      <c r="B592">
        <v>40.791815056799997</v>
      </c>
      <c r="C592" t="s">
        <v>1756</v>
      </c>
      <c r="D592" t="s">
        <v>1211</v>
      </c>
      <c r="E592" t="s">
        <v>38</v>
      </c>
      <c r="F592">
        <v>10142018</v>
      </c>
      <c r="G592">
        <v>2</v>
      </c>
      <c r="H592" t="s">
        <v>105</v>
      </c>
      <c r="I592" t="s">
        <v>176</v>
      </c>
      <c r="K592" t="s">
        <v>177</v>
      </c>
      <c r="M592" t="s">
        <v>44</v>
      </c>
      <c r="N592">
        <v>10</v>
      </c>
      <c r="P592" t="b">
        <v>0</v>
      </c>
      <c r="Q592" t="b">
        <v>0</v>
      </c>
      <c r="R592" t="b">
        <v>1</v>
      </c>
      <c r="S592" t="b">
        <v>0</v>
      </c>
      <c r="T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1</v>
      </c>
      <c r="AE592" t="s">
        <v>1757</v>
      </c>
    </row>
    <row r="593" spans="1:31" x14ac:dyDescent="0.3">
      <c r="A593">
        <v>-73.972748864069999</v>
      </c>
      <c r="B593">
        <v>40.778191678059997</v>
      </c>
      <c r="C593" t="s">
        <v>1758</v>
      </c>
      <c r="D593" t="s">
        <v>1759</v>
      </c>
      <c r="E593" t="s">
        <v>33</v>
      </c>
      <c r="F593">
        <v>10142018</v>
      </c>
      <c r="G593">
        <v>6</v>
      </c>
      <c r="H593" t="s">
        <v>105</v>
      </c>
      <c r="I593" t="s">
        <v>42</v>
      </c>
      <c r="J593" t="s">
        <v>53</v>
      </c>
      <c r="K593" t="s">
        <v>54</v>
      </c>
      <c r="M593" t="s">
        <v>65</v>
      </c>
      <c r="N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s">
        <v>488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1</v>
      </c>
      <c r="AB593" t="b">
        <v>0</v>
      </c>
      <c r="AC593" t="b">
        <v>0</v>
      </c>
      <c r="AD593" t="s">
        <v>1760</v>
      </c>
      <c r="AE593" t="s">
        <v>1761</v>
      </c>
    </row>
    <row r="594" spans="1:31" x14ac:dyDescent="0.3">
      <c r="A594">
        <v>-73.974280455240006</v>
      </c>
      <c r="B594">
        <v>40.770716767190002</v>
      </c>
      <c r="C594" t="s">
        <v>1762</v>
      </c>
      <c r="D594" t="s">
        <v>139</v>
      </c>
      <c r="E594" t="s">
        <v>33</v>
      </c>
      <c r="F594">
        <v>10132018</v>
      </c>
      <c r="G594">
        <v>5</v>
      </c>
      <c r="H594" t="s">
        <v>48</v>
      </c>
      <c r="I594" t="s">
        <v>42</v>
      </c>
      <c r="J594" t="s">
        <v>53</v>
      </c>
      <c r="K594" t="s">
        <v>54</v>
      </c>
      <c r="M594" t="s">
        <v>65</v>
      </c>
      <c r="N594" t="b">
        <v>0</v>
      </c>
      <c r="O594" t="s">
        <v>1763</v>
      </c>
      <c r="P594" t="b">
        <v>0</v>
      </c>
      <c r="Q594" t="b">
        <v>0</v>
      </c>
      <c r="R594" t="b">
        <v>0</v>
      </c>
      <c r="S594" t="b">
        <v>1</v>
      </c>
      <c r="T594" t="b">
        <v>1</v>
      </c>
      <c r="V594" t="b">
        <v>0</v>
      </c>
      <c r="W594" t="b">
        <v>0</v>
      </c>
      <c r="X594" t="b">
        <v>0</v>
      </c>
      <c r="Y594" t="b">
        <v>0</v>
      </c>
      <c r="Z594" t="b">
        <v>1</v>
      </c>
      <c r="AA594" t="b">
        <v>0</v>
      </c>
      <c r="AB594" t="b">
        <v>1</v>
      </c>
      <c r="AC594" t="b">
        <v>0</v>
      </c>
      <c r="AE594" t="s">
        <v>1764</v>
      </c>
    </row>
    <row r="595" spans="1:31" x14ac:dyDescent="0.3">
      <c r="A595">
        <v>-73.976931945030003</v>
      </c>
      <c r="B595">
        <v>40.774388357619998</v>
      </c>
      <c r="C595" t="s">
        <v>1765</v>
      </c>
      <c r="D595" t="s">
        <v>855</v>
      </c>
      <c r="E595" t="s">
        <v>38</v>
      </c>
      <c r="F595">
        <v>10132018</v>
      </c>
      <c r="G595">
        <v>11</v>
      </c>
      <c r="H595" t="s">
        <v>105</v>
      </c>
      <c r="I595" t="s">
        <v>42</v>
      </c>
      <c r="J595" t="s">
        <v>53</v>
      </c>
      <c r="K595" t="s">
        <v>54</v>
      </c>
      <c r="M595" t="s">
        <v>65</v>
      </c>
      <c r="N595" t="b">
        <v>0</v>
      </c>
      <c r="O595" t="s">
        <v>1766</v>
      </c>
      <c r="P595" t="b">
        <v>1</v>
      </c>
      <c r="Q595" t="b">
        <v>1</v>
      </c>
      <c r="R595" t="b">
        <v>0</v>
      </c>
      <c r="S595" t="b">
        <v>0</v>
      </c>
      <c r="T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1</v>
      </c>
      <c r="AC595" t="b">
        <v>0</v>
      </c>
      <c r="AE595" t="s">
        <v>1767</v>
      </c>
    </row>
    <row r="596" spans="1:31" x14ac:dyDescent="0.3">
      <c r="A596">
        <v>-73.971827082030003</v>
      </c>
      <c r="B596">
        <v>40.77483009913</v>
      </c>
      <c r="C596" t="s">
        <v>1768</v>
      </c>
      <c r="D596" t="s">
        <v>74</v>
      </c>
      <c r="E596" t="s">
        <v>38</v>
      </c>
      <c r="F596">
        <v>10102018</v>
      </c>
      <c r="G596">
        <v>6</v>
      </c>
      <c r="H596" t="s">
        <v>48</v>
      </c>
      <c r="I596" t="s">
        <v>42</v>
      </c>
      <c r="J596" t="s">
        <v>53</v>
      </c>
      <c r="K596" t="s">
        <v>54</v>
      </c>
      <c r="M596" t="s">
        <v>65</v>
      </c>
      <c r="N596" t="b">
        <v>0</v>
      </c>
      <c r="P596" t="b">
        <v>0</v>
      </c>
      <c r="Q596" t="b">
        <v>0</v>
      </c>
      <c r="R596" t="b">
        <v>0</v>
      </c>
      <c r="S596" t="b">
        <v>1</v>
      </c>
      <c r="T596" t="b">
        <v>1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1</v>
      </c>
      <c r="AC596" t="b">
        <v>0</v>
      </c>
      <c r="AE596" t="s">
        <v>1769</v>
      </c>
    </row>
    <row r="597" spans="1:31" x14ac:dyDescent="0.3">
      <c r="A597">
        <v>-73.969819667120007</v>
      </c>
      <c r="B597">
        <v>40.780297200150002</v>
      </c>
      <c r="C597" t="s">
        <v>1770</v>
      </c>
      <c r="D597" t="s">
        <v>622</v>
      </c>
      <c r="E597" t="s">
        <v>33</v>
      </c>
      <c r="F597">
        <v>10182018</v>
      </c>
      <c r="G597">
        <v>3</v>
      </c>
      <c r="H597" t="s">
        <v>105</v>
      </c>
      <c r="I597" t="s">
        <v>42</v>
      </c>
      <c r="K597" t="s">
        <v>43</v>
      </c>
      <c r="M597" t="s">
        <v>44</v>
      </c>
      <c r="N597">
        <v>1</v>
      </c>
      <c r="P597" t="b">
        <v>1</v>
      </c>
      <c r="Q597" t="b">
        <v>1</v>
      </c>
      <c r="R597" t="b">
        <v>0</v>
      </c>
      <c r="S597" t="b">
        <v>0</v>
      </c>
      <c r="T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1</v>
      </c>
      <c r="AE597" t="s">
        <v>1771</v>
      </c>
    </row>
    <row r="598" spans="1:31" x14ac:dyDescent="0.3">
      <c r="A598">
        <v>-73.953026355250003</v>
      </c>
      <c r="B598">
        <v>40.792094978839998</v>
      </c>
      <c r="C598" t="s">
        <v>1772</v>
      </c>
      <c r="D598" t="s">
        <v>85</v>
      </c>
      <c r="E598" t="s">
        <v>33</v>
      </c>
      <c r="F598">
        <v>10072018</v>
      </c>
      <c r="G598">
        <v>5</v>
      </c>
      <c r="H598" t="s">
        <v>48</v>
      </c>
      <c r="I598" t="s">
        <v>42</v>
      </c>
      <c r="K598" t="s">
        <v>43</v>
      </c>
      <c r="M598" t="s">
        <v>65</v>
      </c>
      <c r="N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1</v>
      </c>
      <c r="V598" t="b">
        <v>0</v>
      </c>
      <c r="W598" t="b">
        <v>0</v>
      </c>
      <c r="X598" t="b">
        <v>0</v>
      </c>
      <c r="Y598" t="b">
        <v>0</v>
      </c>
      <c r="Z598" t="b">
        <v>1</v>
      </c>
      <c r="AA598" t="b">
        <v>0</v>
      </c>
      <c r="AB598" t="b">
        <v>1</v>
      </c>
      <c r="AC598" t="b">
        <v>0</v>
      </c>
      <c r="AE598" t="s">
        <v>1773</v>
      </c>
    </row>
    <row r="599" spans="1:31" x14ac:dyDescent="0.3">
      <c r="A599">
        <v>-73.980820208850005</v>
      </c>
      <c r="B599">
        <v>40.768292184229999</v>
      </c>
      <c r="C599" t="s">
        <v>1774</v>
      </c>
      <c r="D599" t="s">
        <v>1775</v>
      </c>
      <c r="E599" t="s">
        <v>33</v>
      </c>
      <c r="F599">
        <v>10142018</v>
      </c>
      <c r="G599">
        <v>2</v>
      </c>
      <c r="H599" t="s">
        <v>48</v>
      </c>
      <c r="I599" t="s">
        <v>53</v>
      </c>
      <c r="J599" t="s">
        <v>59</v>
      </c>
      <c r="K599" t="s">
        <v>60</v>
      </c>
      <c r="M599" t="s">
        <v>44</v>
      </c>
      <c r="N599">
        <v>6</v>
      </c>
      <c r="P599" t="b">
        <v>0</v>
      </c>
      <c r="Q599" t="b">
        <v>1</v>
      </c>
      <c r="R599" t="b">
        <v>0</v>
      </c>
      <c r="S599" t="b">
        <v>0</v>
      </c>
      <c r="T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E599" t="s">
        <v>1776</v>
      </c>
    </row>
    <row r="600" spans="1:31" x14ac:dyDescent="0.3">
      <c r="A600">
        <v>-73.952229160339996</v>
      </c>
      <c r="B600">
        <v>40.797698538580001</v>
      </c>
      <c r="C600" t="s">
        <v>1777</v>
      </c>
      <c r="D600" t="s">
        <v>386</v>
      </c>
      <c r="E600" t="s">
        <v>33</v>
      </c>
      <c r="F600">
        <v>10142018</v>
      </c>
      <c r="G600">
        <v>1</v>
      </c>
      <c r="H600" t="s">
        <v>48</v>
      </c>
      <c r="I600" t="s">
        <v>42</v>
      </c>
      <c r="J600" t="s">
        <v>59</v>
      </c>
      <c r="K600" t="s">
        <v>79</v>
      </c>
      <c r="M600" t="s">
        <v>44</v>
      </c>
      <c r="N600">
        <v>8</v>
      </c>
      <c r="P600" t="b">
        <v>0</v>
      </c>
      <c r="Q600" t="b">
        <v>0</v>
      </c>
      <c r="R600" t="b">
        <v>1</v>
      </c>
      <c r="S600" t="b">
        <v>0</v>
      </c>
      <c r="T600" t="b">
        <v>1</v>
      </c>
      <c r="V600" t="b">
        <v>0</v>
      </c>
      <c r="W600" t="b">
        <v>0</v>
      </c>
      <c r="X600" t="b">
        <v>1</v>
      </c>
      <c r="Y600" t="b">
        <v>0</v>
      </c>
      <c r="Z600" t="b">
        <v>0</v>
      </c>
      <c r="AA600" t="b">
        <v>0</v>
      </c>
      <c r="AB600" t="b">
        <v>0</v>
      </c>
      <c r="AC600" t="b">
        <v>1</v>
      </c>
      <c r="AE600" t="s">
        <v>1778</v>
      </c>
    </row>
    <row r="601" spans="1:31" x14ac:dyDescent="0.3">
      <c r="A601">
        <v>-73.968575159549999</v>
      </c>
      <c r="B601">
        <v>40.770941356789997</v>
      </c>
      <c r="C601" t="s">
        <v>1779</v>
      </c>
      <c r="D601" t="s">
        <v>1780</v>
      </c>
      <c r="E601" t="s">
        <v>33</v>
      </c>
      <c r="F601">
        <v>10102018</v>
      </c>
      <c r="G601">
        <v>7</v>
      </c>
      <c r="H601" t="s">
        <v>48</v>
      </c>
      <c r="I601" t="s">
        <v>42</v>
      </c>
      <c r="J601" t="s">
        <v>59</v>
      </c>
      <c r="K601" t="s">
        <v>79</v>
      </c>
      <c r="M601" t="s">
        <v>44</v>
      </c>
      <c r="N601">
        <v>1</v>
      </c>
      <c r="O601" t="s">
        <v>1203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1</v>
      </c>
      <c r="AE601" t="s">
        <v>1781</v>
      </c>
    </row>
    <row r="602" spans="1:31" x14ac:dyDescent="0.3">
      <c r="A602">
        <v>-73.972159237840003</v>
      </c>
      <c r="B602">
        <v>40.776034583570002</v>
      </c>
      <c r="C602" t="s">
        <v>1782</v>
      </c>
      <c r="D602" t="s">
        <v>761</v>
      </c>
      <c r="E602" t="s">
        <v>38</v>
      </c>
      <c r="F602">
        <v>10132018</v>
      </c>
      <c r="G602">
        <v>2</v>
      </c>
      <c r="H602" t="s">
        <v>48</v>
      </c>
      <c r="I602" t="s">
        <v>42</v>
      </c>
      <c r="K602" t="s">
        <v>43</v>
      </c>
      <c r="M602" t="s">
        <v>65</v>
      </c>
      <c r="N602" t="b">
        <v>0</v>
      </c>
      <c r="P602" t="b">
        <v>0</v>
      </c>
      <c r="Q602" t="b">
        <v>1</v>
      </c>
      <c r="R602" t="b">
        <v>0</v>
      </c>
      <c r="S602" t="b">
        <v>0</v>
      </c>
      <c r="T602" t="b">
        <v>0</v>
      </c>
      <c r="V602" t="b">
        <v>1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1</v>
      </c>
      <c r="AC602" t="b">
        <v>0</v>
      </c>
      <c r="AE602" t="s">
        <v>1783</v>
      </c>
    </row>
    <row r="603" spans="1:31" x14ac:dyDescent="0.3">
      <c r="A603">
        <v>-73.954090851309999</v>
      </c>
      <c r="B603">
        <v>40.794201225050003</v>
      </c>
      <c r="C603" t="s">
        <v>1784</v>
      </c>
      <c r="D603" t="s">
        <v>936</v>
      </c>
      <c r="E603" t="s">
        <v>33</v>
      </c>
      <c r="F603">
        <v>10072018</v>
      </c>
      <c r="G603">
        <v>4</v>
      </c>
      <c r="I603" t="s">
        <v>53</v>
      </c>
      <c r="J603" t="s">
        <v>42</v>
      </c>
      <c r="K603" t="s">
        <v>89</v>
      </c>
      <c r="L603" t="s">
        <v>1785</v>
      </c>
      <c r="M603" t="s">
        <v>65</v>
      </c>
      <c r="N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1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E603" t="s">
        <v>1786</v>
      </c>
    </row>
    <row r="604" spans="1:31" x14ac:dyDescent="0.3">
      <c r="A604">
        <v>-73.957393007990007</v>
      </c>
      <c r="B604">
        <v>40.793457029450003</v>
      </c>
      <c r="C604" t="s">
        <v>1787</v>
      </c>
      <c r="D604" t="s">
        <v>483</v>
      </c>
      <c r="E604" t="s">
        <v>38</v>
      </c>
      <c r="F604">
        <v>10202018</v>
      </c>
      <c r="G604">
        <v>3</v>
      </c>
      <c r="H604" t="s">
        <v>48</v>
      </c>
      <c r="I604" t="s">
        <v>42</v>
      </c>
      <c r="J604" t="s">
        <v>53</v>
      </c>
      <c r="K604" t="s">
        <v>54</v>
      </c>
      <c r="M604" t="s">
        <v>65</v>
      </c>
      <c r="N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1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1</v>
      </c>
      <c r="AC604" t="b">
        <v>0</v>
      </c>
      <c r="AE604" t="s">
        <v>1788</v>
      </c>
    </row>
    <row r="605" spans="1:31" x14ac:dyDescent="0.3">
      <c r="A605">
        <v>-73.971758022870006</v>
      </c>
      <c r="B605">
        <v>40.771572615940002</v>
      </c>
      <c r="C605" t="s">
        <v>1789</v>
      </c>
      <c r="D605" t="s">
        <v>764</v>
      </c>
      <c r="E605" t="s">
        <v>33</v>
      </c>
      <c r="F605">
        <v>10122018</v>
      </c>
      <c r="G605">
        <v>1</v>
      </c>
      <c r="H605" t="s">
        <v>48</v>
      </c>
      <c r="I605" t="s">
        <v>42</v>
      </c>
      <c r="J605" t="s">
        <v>53</v>
      </c>
      <c r="K605" t="s">
        <v>54</v>
      </c>
      <c r="M605" t="s">
        <v>65</v>
      </c>
      <c r="N605" t="b">
        <v>0</v>
      </c>
      <c r="P605" t="b">
        <v>0</v>
      </c>
      <c r="Q605" t="b">
        <v>0</v>
      </c>
      <c r="R605" t="b">
        <v>0</v>
      </c>
      <c r="S605" t="b">
        <v>1</v>
      </c>
      <c r="T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E605" t="s">
        <v>1790</v>
      </c>
    </row>
    <row r="606" spans="1:31" x14ac:dyDescent="0.3">
      <c r="A606">
        <v>-73.975724983410004</v>
      </c>
      <c r="B606">
        <v>40.769703260679997</v>
      </c>
      <c r="C606" t="s">
        <v>1791</v>
      </c>
      <c r="D606" t="s">
        <v>574</v>
      </c>
      <c r="E606" t="s">
        <v>33</v>
      </c>
      <c r="F606">
        <v>10182018</v>
      </c>
      <c r="G606">
        <v>5</v>
      </c>
      <c r="H606" t="s">
        <v>105</v>
      </c>
      <c r="I606" t="s">
        <v>42</v>
      </c>
      <c r="K606" t="s">
        <v>43</v>
      </c>
      <c r="M606" t="s">
        <v>44</v>
      </c>
      <c r="N606">
        <v>3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1</v>
      </c>
      <c r="AE606" t="s">
        <v>1792</v>
      </c>
    </row>
    <row r="607" spans="1:31" x14ac:dyDescent="0.3">
      <c r="A607">
        <v>-73.954771179679994</v>
      </c>
      <c r="B607">
        <v>40.790854075200002</v>
      </c>
      <c r="C607" t="s">
        <v>1793</v>
      </c>
      <c r="D607" t="s">
        <v>1025</v>
      </c>
      <c r="E607" t="s">
        <v>33</v>
      </c>
      <c r="F607">
        <v>10102018</v>
      </c>
      <c r="G607">
        <v>6</v>
      </c>
      <c r="H607" t="s">
        <v>48</v>
      </c>
      <c r="I607" t="s">
        <v>42</v>
      </c>
      <c r="K607" t="s">
        <v>43</v>
      </c>
      <c r="P607" t="b">
        <v>0</v>
      </c>
      <c r="Q607" t="b">
        <v>0</v>
      </c>
      <c r="R607" t="b">
        <v>0</v>
      </c>
      <c r="S607" t="b">
        <v>0</v>
      </c>
      <c r="T607" t="b">
        <v>1</v>
      </c>
      <c r="V607" t="b">
        <v>0</v>
      </c>
      <c r="W607" t="b">
        <v>0</v>
      </c>
      <c r="X607" t="b">
        <v>0</v>
      </c>
      <c r="Y607" t="b">
        <v>0</v>
      </c>
      <c r="Z607" t="b">
        <v>1</v>
      </c>
      <c r="AA607" t="b">
        <v>0</v>
      </c>
      <c r="AB607" t="b">
        <v>0</v>
      </c>
      <c r="AC607" t="b">
        <v>0</v>
      </c>
      <c r="AE607" t="s">
        <v>1794</v>
      </c>
    </row>
    <row r="608" spans="1:31" x14ac:dyDescent="0.3">
      <c r="A608">
        <v>-73.958967599549993</v>
      </c>
      <c r="B608">
        <v>40.791311922360002</v>
      </c>
      <c r="C608" t="s">
        <v>1795</v>
      </c>
      <c r="D608" t="s">
        <v>1211</v>
      </c>
      <c r="E608" t="s">
        <v>38</v>
      </c>
      <c r="F608">
        <v>10142018</v>
      </c>
      <c r="G608">
        <v>9</v>
      </c>
      <c r="H608" t="s">
        <v>105</v>
      </c>
      <c r="I608" t="s">
        <v>176</v>
      </c>
      <c r="K608" t="s">
        <v>177</v>
      </c>
      <c r="M608" t="s">
        <v>44</v>
      </c>
      <c r="N608">
        <v>15</v>
      </c>
      <c r="P608" t="b">
        <v>0</v>
      </c>
      <c r="Q608" t="b">
        <v>1</v>
      </c>
      <c r="R608" t="b">
        <v>0</v>
      </c>
      <c r="S608" t="b">
        <v>0</v>
      </c>
      <c r="T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1</v>
      </c>
      <c r="AC608" t="b">
        <v>0</v>
      </c>
      <c r="AE608" t="s">
        <v>1796</v>
      </c>
    </row>
    <row r="609" spans="1:31" x14ac:dyDescent="0.3">
      <c r="A609">
        <v>-73.969876202310004</v>
      </c>
      <c r="B609">
        <v>40.778205568810002</v>
      </c>
      <c r="C609" t="s">
        <v>1797</v>
      </c>
      <c r="D609" t="s">
        <v>709</v>
      </c>
      <c r="E609" t="s">
        <v>33</v>
      </c>
      <c r="F609">
        <v>10102018</v>
      </c>
      <c r="G609">
        <v>9</v>
      </c>
      <c r="H609" t="s">
        <v>48</v>
      </c>
      <c r="I609" t="s">
        <v>42</v>
      </c>
      <c r="K609" t="s">
        <v>43</v>
      </c>
      <c r="M609" t="s">
        <v>65</v>
      </c>
      <c r="N609" t="b">
        <v>0</v>
      </c>
      <c r="P609" t="b">
        <v>0</v>
      </c>
      <c r="Q609" t="b">
        <v>1</v>
      </c>
      <c r="R609" t="b">
        <v>0</v>
      </c>
      <c r="S609" t="b">
        <v>0</v>
      </c>
      <c r="T609" t="b">
        <v>0</v>
      </c>
      <c r="V609" t="b">
        <v>1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1</v>
      </c>
      <c r="AC609" t="b">
        <v>0</v>
      </c>
      <c r="AE609" t="s">
        <v>1798</v>
      </c>
    </row>
    <row r="610" spans="1:31" x14ac:dyDescent="0.3">
      <c r="A610">
        <v>-73.967154956610003</v>
      </c>
      <c r="B610">
        <v>40.775134287070003</v>
      </c>
      <c r="C610" t="s">
        <v>1799</v>
      </c>
      <c r="D610" t="s">
        <v>1320</v>
      </c>
      <c r="E610" t="s">
        <v>38</v>
      </c>
      <c r="F610">
        <v>10072018</v>
      </c>
      <c r="G610">
        <v>1</v>
      </c>
      <c r="H610" t="s">
        <v>48</v>
      </c>
      <c r="I610" t="s">
        <v>42</v>
      </c>
      <c r="K610" t="s">
        <v>43</v>
      </c>
      <c r="M610" t="s">
        <v>44</v>
      </c>
      <c r="N610">
        <v>180</v>
      </c>
      <c r="O610" t="s">
        <v>1800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s">
        <v>1801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1</v>
      </c>
      <c r="AC610" t="b">
        <v>0</v>
      </c>
      <c r="AE610" t="s">
        <v>1802</v>
      </c>
    </row>
    <row r="611" spans="1:31" x14ac:dyDescent="0.3">
      <c r="A611">
        <v>-73.967939909739997</v>
      </c>
      <c r="B611">
        <v>40.774281315000003</v>
      </c>
      <c r="C611" t="s">
        <v>1803</v>
      </c>
      <c r="D611" t="s">
        <v>189</v>
      </c>
      <c r="E611" t="s">
        <v>33</v>
      </c>
      <c r="F611">
        <v>10102018</v>
      </c>
      <c r="G611">
        <v>9</v>
      </c>
      <c r="H611" t="s">
        <v>48</v>
      </c>
      <c r="I611" t="s">
        <v>42</v>
      </c>
      <c r="K611" t="s">
        <v>43</v>
      </c>
      <c r="M611" t="s">
        <v>65</v>
      </c>
      <c r="N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1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1</v>
      </c>
      <c r="AC611" t="b">
        <v>0</v>
      </c>
      <c r="AE611" t="s">
        <v>1804</v>
      </c>
    </row>
    <row r="612" spans="1:31" x14ac:dyDescent="0.3">
      <c r="A612">
        <v>-73.962942011359999</v>
      </c>
      <c r="B612">
        <v>40.789133072719999</v>
      </c>
      <c r="C612" t="s">
        <v>1805</v>
      </c>
      <c r="D612" t="s">
        <v>172</v>
      </c>
      <c r="E612" t="s">
        <v>38</v>
      </c>
      <c r="F612">
        <v>10072018</v>
      </c>
      <c r="G612">
        <v>3</v>
      </c>
      <c r="H612" t="s">
        <v>48</v>
      </c>
      <c r="I612" t="s">
        <v>42</v>
      </c>
      <c r="J612" t="s">
        <v>53</v>
      </c>
      <c r="K612" t="s">
        <v>54</v>
      </c>
      <c r="M612" t="s">
        <v>65</v>
      </c>
      <c r="N612" t="b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1</v>
      </c>
      <c r="AE612" t="s">
        <v>1806</v>
      </c>
    </row>
    <row r="613" spans="1:31" x14ac:dyDescent="0.3">
      <c r="A613">
        <v>-73.968846687460001</v>
      </c>
      <c r="B613">
        <v>40.773791155989997</v>
      </c>
      <c r="C613" t="s">
        <v>1807</v>
      </c>
      <c r="D613" t="s">
        <v>988</v>
      </c>
      <c r="E613" t="s">
        <v>33</v>
      </c>
      <c r="F613">
        <v>10072018</v>
      </c>
      <c r="G613">
        <v>5</v>
      </c>
      <c r="I613" t="s">
        <v>42</v>
      </c>
      <c r="J613" t="s">
        <v>53</v>
      </c>
      <c r="K613" t="s">
        <v>54</v>
      </c>
      <c r="M613" t="s">
        <v>65</v>
      </c>
      <c r="N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E613" t="s">
        <v>1808</v>
      </c>
    </row>
    <row r="614" spans="1:31" x14ac:dyDescent="0.3">
      <c r="A614">
        <v>-73.964241199040003</v>
      </c>
      <c r="B614">
        <v>40.777969277719997</v>
      </c>
      <c r="C614" t="s">
        <v>1809</v>
      </c>
      <c r="D614" t="s">
        <v>1810</v>
      </c>
      <c r="E614" t="s">
        <v>33</v>
      </c>
      <c r="F614">
        <v>10142018</v>
      </c>
      <c r="G614">
        <v>3</v>
      </c>
      <c r="H614" t="s">
        <v>48</v>
      </c>
      <c r="I614" t="s">
        <v>42</v>
      </c>
      <c r="J614" t="s">
        <v>53</v>
      </c>
      <c r="K614" t="s">
        <v>54</v>
      </c>
      <c r="M614" t="s">
        <v>65</v>
      </c>
      <c r="N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1</v>
      </c>
      <c r="V614" t="b">
        <v>0</v>
      </c>
      <c r="W614" t="b">
        <v>0</v>
      </c>
      <c r="X614" t="b">
        <v>0</v>
      </c>
      <c r="Y614" t="b">
        <v>1</v>
      </c>
      <c r="Z614" t="b">
        <v>0</v>
      </c>
      <c r="AA614" t="b">
        <v>0</v>
      </c>
      <c r="AB614" t="b">
        <v>1</v>
      </c>
      <c r="AC614" t="b">
        <v>0</v>
      </c>
      <c r="AE614" t="s">
        <v>1811</v>
      </c>
    </row>
    <row r="615" spans="1:31" x14ac:dyDescent="0.3">
      <c r="A615">
        <v>-73.965327906989998</v>
      </c>
      <c r="B615">
        <v>40.775874311380001</v>
      </c>
      <c r="C615" t="s">
        <v>1812</v>
      </c>
      <c r="D615" t="s">
        <v>408</v>
      </c>
      <c r="E615" t="s">
        <v>38</v>
      </c>
      <c r="F615">
        <v>10082018</v>
      </c>
      <c r="G615">
        <v>2</v>
      </c>
      <c r="H615" t="s">
        <v>48</v>
      </c>
      <c r="I615" t="s">
        <v>42</v>
      </c>
      <c r="J615" t="s">
        <v>53</v>
      </c>
      <c r="K615" t="s">
        <v>54</v>
      </c>
      <c r="L615" t="s">
        <v>1813</v>
      </c>
      <c r="M615" t="s">
        <v>44</v>
      </c>
      <c r="N615">
        <v>4</v>
      </c>
      <c r="O615" t="s">
        <v>748</v>
      </c>
      <c r="P615" t="b">
        <v>0</v>
      </c>
      <c r="Q615" t="b">
        <v>0</v>
      </c>
      <c r="R615" t="b">
        <v>0</v>
      </c>
      <c r="S615" t="b">
        <v>1</v>
      </c>
      <c r="T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1</v>
      </c>
      <c r="AE615" t="s">
        <v>1814</v>
      </c>
    </row>
    <row r="616" spans="1:31" x14ac:dyDescent="0.3">
      <c r="A616">
        <v>-73.955693721830002</v>
      </c>
      <c r="B616">
        <v>40.799092806239997</v>
      </c>
      <c r="C616" t="s">
        <v>1815</v>
      </c>
      <c r="D616" t="s">
        <v>335</v>
      </c>
      <c r="E616" t="s">
        <v>38</v>
      </c>
      <c r="F616">
        <v>10072018</v>
      </c>
      <c r="G616">
        <v>4</v>
      </c>
      <c r="H616" t="s">
        <v>48</v>
      </c>
      <c r="I616" t="s">
        <v>42</v>
      </c>
      <c r="J616" t="s">
        <v>96</v>
      </c>
      <c r="K616" t="s">
        <v>97</v>
      </c>
      <c r="L616" t="s">
        <v>1816</v>
      </c>
      <c r="M616" t="s">
        <v>65</v>
      </c>
      <c r="N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s">
        <v>101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1</v>
      </c>
      <c r="AC616" t="b">
        <v>0</v>
      </c>
      <c r="AE616" t="s">
        <v>1817</v>
      </c>
    </row>
    <row r="617" spans="1:31" x14ac:dyDescent="0.3">
      <c r="A617">
        <v>-73.955880906459996</v>
      </c>
      <c r="B617">
        <v>40.795276502219998</v>
      </c>
      <c r="C617" t="s">
        <v>1818</v>
      </c>
      <c r="D617" t="s">
        <v>520</v>
      </c>
      <c r="E617" t="s">
        <v>33</v>
      </c>
      <c r="F617">
        <v>10142018</v>
      </c>
      <c r="G617">
        <v>3</v>
      </c>
      <c r="I617" t="s">
        <v>42</v>
      </c>
      <c r="K617" t="s">
        <v>43</v>
      </c>
      <c r="M617" t="s">
        <v>65</v>
      </c>
      <c r="N617" t="b">
        <v>0</v>
      </c>
      <c r="O617" t="s">
        <v>1819</v>
      </c>
      <c r="P617" t="b">
        <v>0</v>
      </c>
      <c r="Q617" t="b">
        <v>0</v>
      </c>
      <c r="R617" t="b">
        <v>0</v>
      </c>
      <c r="S617" t="b">
        <v>0</v>
      </c>
      <c r="T617" t="b">
        <v>1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1</v>
      </c>
      <c r="AC617" t="b">
        <v>0</v>
      </c>
      <c r="AE617" t="s">
        <v>1820</v>
      </c>
    </row>
    <row r="618" spans="1:31" x14ac:dyDescent="0.3">
      <c r="A618">
        <v>-73.957976896139996</v>
      </c>
      <c r="B618">
        <v>40.797027128240003</v>
      </c>
      <c r="C618" t="s">
        <v>1821</v>
      </c>
      <c r="D618" t="s">
        <v>218</v>
      </c>
      <c r="E618" t="s">
        <v>38</v>
      </c>
      <c r="F618">
        <v>10172018</v>
      </c>
      <c r="G618">
        <v>4</v>
      </c>
      <c r="H618" t="s">
        <v>48</v>
      </c>
      <c r="I618" t="s">
        <v>42</v>
      </c>
      <c r="K618" t="s">
        <v>43</v>
      </c>
      <c r="M618" t="s">
        <v>65</v>
      </c>
      <c r="N618" t="b">
        <v>0</v>
      </c>
      <c r="P618" t="b">
        <v>0</v>
      </c>
      <c r="Q618" t="b">
        <v>0</v>
      </c>
      <c r="R618" t="b">
        <v>0</v>
      </c>
      <c r="S618" t="b">
        <v>1</v>
      </c>
      <c r="T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1</v>
      </c>
      <c r="AE618" t="s">
        <v>1822</v>
      </c>
    </row>
    <row r="619" spans="1:31" x14ac:dyDescent="0.3">
      <c r="A619">
        <v>-73.976988747389996</v>
      </c>
      <c r="B619">
        <v>40.770756153290002</v>
      </c>
      <c r="C619" t="s">
        <v>1823</v>
      </c>
      <c r="D619" t="s">
        <v>88</v>
      </c>
      <c r="E619" t="s">
        <v>33</v>
      </c>
      <c r="F619">
        <v>10102018</v>
      </c>
      <c r="G619">
        <v>4</v>
      </c>
      <c r="H619" t="s">
        <v>48</v>
      </c>
      <c r="I619" t="s">
        <v>42</v>
      </c>
      <c r="J619" t="s">
        <v>53</v>
      </c>
      <c r="K619" t="s">
        <v>54</v>
      </c>
      <c r="M619" t="s">
        <v>65</v>
      </c>
      <c r="N619" t="b">
        <v>0</v>
      </c>
      <c r="P619" t="b">
        <v>1</v>
      </c>
      <c r="Q619" t="b">
        <v>0</v>
      </c>
      <c r="R619" t="b">
        <v>0</v>
      </c>
      <c r="S619" t="b">
        <v>1</v>
      </c>
      <c r="T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1</v>
      </c>
      <c r="AC619" t="b">
        <v>0</v>
      </c>
      <c r="AE619" t="s">
        <v>1824</v>
      </c>
    </row>
    <row r="620" spans="1:31" x14ac:dyDescent="0.3">
      <c r="A620">
        <v>-73.965590530089997</v>
      </c>
      <c r="B620">
        <v>40.7752614638</v>
      </c>
      <c r="C620" t="s">
        <v>1825</v>
      </c>
      <c r="D620" t="s">
        <v>1090</v>
      </c>
      <c r="E620" t="s">
        <v>33</v>
      </c>
      <c r="F620">
        <v>10182018</v>
      </c>
      <c r="G620">
        <v>6</v>
      </c>
      <c r="H620" t="s">
        <v>48</v>
      </c>
      <c r="I620" t="s">
        <v>53</v>
      </c>
      <c r="J620" t="s">
        <v>176</v>
      </c>
      <c r="K620" t="s">
        <v>1142</v>
      </c>
      <c r="M620" t="s">
        <v>44</v>
      </c>
      <c r="N620">
        <v>2</v>
      </c>
      <c r="P620" t="b">
        <v>1</v>
      </c>
      <c r="Q620" t="b">
        <v>0</v>
      </c>
      <c r="R620" t="b">
        <v>1</v>
      </c>
      <c r="S620" t="b">
        <v>0</v>
      </c>
      <c r="T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1</v>
      </c>
      <c r="AA620" t="b">
        <v>0</v>
      </c>
      <c r="AB620" t="b">
        <v>1</v>
      </c>
      <c r="AC620" t="b">
        <v>0</v>
      </c>
      <c r="AE620" t="s">
        <v>1826</v>
      </c>
    </row>
    <row r="621" spans="1:31" x14ac:dyDescent="0.3">
      <c r="A621">
        <v>-73.958888608379993</v>
      </c>
      <c r="B621">
        <v>40.790999173339998</v>
      </c>
      <c r="C621" t="s">
        <v>1827</v>
      </c>
      <c r="D621" t="s">
        <v>47</v>
      </c>
      <c r="E621" t="s">
        <v>33</v>
      </c>
      <c r="F621">
        <v>10172018</v>
      </c>
      <c r="G621">
        <v>1</v>
      </c>
      <c r="H621" t="s">
        <v>48</v>
      </c>
      <c r="I621" t="s">
        <v>42</v>
      </c>
      <c r="K621" t="s">
        <v>43</v>
      </c>
      <c r="M621" t="s">
        <v>65</v>
      </c>
      <c r="N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1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1</v>
      </c>
      <c r="AE621" t="s">
        <v>1828</v>
      </c>
    </row>
    <row r="622" spans="1:31" x14ac:dyDescent="0.3">
      <c r="A622">
        <v>-73.975483679670006</v>
      </c>
      <c r="B622">
        <v>40.773887954540001</v>
      </c>
      <c r="C622" t="s">
        <v>1829</v>
      </c>
      <c r="D622" t="s">
        <v>790</v>
      </c>
      <c r="E622" t="s">
        <v>33</v>
      </c>
      <c r="F622">
        <v>10132018</v>
      </c>
      <c r="G622">
        <v>1</v>
      </c>
      <c r="H622" t="s">
        <v>105</v>
      </c>
      <c r="I622" t="s">
        <v>42</v>
      </c>
      <c r="J622" t="s">
        <v>53</v>
      </c>
      <c r="K622" t="s">
        <v>54</v>
      </c>
      <c r="M622" t="s">
        <v>65</v>
      </c>
      <c r="N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s">
        <v>1367</v>
      </c>
      <c r="V622" t="b">
        <v>0</v>
      </c>
      <c r="W622" t="b">
        <v>0</v>
      </c>
      <c r="X622" t="b">
        <v>0</v>
      </c>
      <c r="Y622" t="b">
        <v>0</v>
      </c>
      <c r="Z622" t="b">
        <v>1</v>
      </c>
      <c r="AA622" t="b">
        <v>0</v>
      </c>
      <c r="AB622" t="b">
        <v>1</v>
      </c>
      <c r="AC622" t="b">
        <v>0</v>
      </c>
      <c r="AE622" t="s">
        <v>1830</v>
      </c>
    </row>
    <row r="623" spans="1:31" x14ac:dyDescent="0.3">
      <c r="A623">
        <v>-73.966293963070001</v>
      </c>
      <c r="B623">
        <v>40.7878502338</v>
      </c>
      <c r="C623" t="s">
        <v>1831</v>
      </c>
      <c r="D623" t="s">
        <v>1832</v>
      </c>
      <c r="E623" t="s">
        <v>38</v>
      </c>
      <c r="F623">
        <v>10102018</v>
      </c>
      <c r="G623">
        <v>1</v>
      </c>
      <c r="H623" t="s">
        <v>48</v>
      </c>
      <c r="I623" t="s">
        <v>42</v>
      </c>
      <c r="K623" t="s">
        <v>43</v>
      </c>
      <c r="M623" t="s">
        <v>65</v>
      </c>
      <c r="N623" t="b">
        <v>0</v>
      </c>
      <c r="O623" t="s">
        <v>1833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1</v>
      </c>
      <c r="AE623" t="s">
        <v>1834</v>
      </c>
    </row>
    <row r="624" spans="1:31" x14ac:dyDescent="0.3">
      <c r="A624">
        <v>-73.961305195730006</v>
      </c>
      <c r="B624">
        <v>40.790935139349997</v>
      </c>
      <c r="C624" t="s">
        <v>1835</v>
      </c>
      <c r="D624" t="s">
        <v>612</v>
      </c>
      <c r="E624" t="s">
        <v>38</v>
      </c>
      <c r="F624">
        <v>10142018</v>
      </c>
      <c r="G624">
        <v>2</v>
      </c>
      <c r="H624" t="s">
        <v>105</v>
      </c>
      <c r="I624" t="s">
        <v>42</v>
      </c>
      <c r="J624" t="s">
        <v>59</v>
      </c>
      <c r="K624" t="s">
        <v>79</v>
      </c>
      <c r="M624" t="s">
        <v>65</v>
      </c>
      <c r="N624" t="b">
        <v>0</v>
      </c>
      <c r="O624" t="s">
        <v>1836</v>
      </c>
      <c r="P624" t="b">
        <v>0</v>
      </c>
      <c r="Q624" t="b">
        <v>0</v>
      </c>
      <c r="R624" t="b">
        <v>0</v>
      </c>
      <c r="S624" t="b">
        <v>0</v>
      </c>
      <c r="T624" t="b">
        <v>1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1</v>
      </c>
      <c r="AE624" t="s">
        <v>1837</v>
      </c>
    </row>
    <row r="625" spans="1:31" x14ac:dyDescent="0.3">
      <c r="A625">
        <v>-73.976423537330007</v>
      </c>
      <c r="B625">
        <v>40.770606513990003</v>
      </c>
      <c r="C625" t="s">
        <v>1838</v>
      </c>
      <c r="D625" t="s">
        <v>88</v>
      </c>
      <c r="E625" t="s">
        <v>33</v>
      </c>
      <c r="F625">
        <v>10102018</v>
      </c>
      <c r="G625">
        <v>11</v>
      </c>
      <c r="H625" t="s">
        <v>48</v>
      </c>
      <c r="I625" t="s">
        <v>53</v>
      </c>
      <c r="J625" t="s">
        <v>42</v>
      </c>
      <c r="K625" t="s">
        <v>89</v>
      </c>
      <c r="M625" t="s">
        <v>65</v>
      </c>
      <c r="N625" t="b">
        <v>0</v>
      </c>
      <c r="P625" t="b">
        <v>0</v>
      </c>
      <c r="Q625" t="b">
        <v>0</v>
      </c>
      <c r="R625" t="b">
        <v>1</v>
      </c>
      <c r="S625" t="b">
        <v>0</v>
      </c>
      <c r="T625" t="b">
        <v>1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E625" t="s">
        <v>1839</v>
      </c>
    </row>
    <row r="626" spans="1:31" x14ac:dyDescent="0.3">
      <c r="A626">
        <v>-73.970505382159999</v>
      </c>
      <c r="B626">
        <v>40.778750322020002</v>
      </c>
      <c r="C626" t="s">
        <v>1840</v>
      </c>
      <c r="D626" t="s">
        <v>95</v>
      </c>
      <c r="E626" t="s">
        <v>38</v>
      </c>
      <c r="F626">
        <v>10142018</v>
      </c>
      <c r="G626">
        <v>4</v>
      </c>
      <c r="H626" t="s">
        <v>48</v>
      </c>
      <c r="I626" t="s">
        <v>42</v>
      </c>
      <c r="J626" t="s">
        <v>176</v>
      </c>
      <c r="K626" t="s">
        <v>339</v>
      </c>
      <c r="M626" t="s">
        <v>65</v>
      </c>
      <c r="N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1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1</v>
      </c>
      <c r="AC626" t="b">
        <v>0</v>
      </c>
      <c r="AE626" t="s">
        <v>1841</v>
      </c>
    </row>
    <row r="627" spans="1:31" x14ac:dyDescent="0.3">
      <c r="A627">
        <v>-73.976379112139995</v>
      </c>
      <c r="B627">
        <v>40.770281512250001</v>
      </c>
      <c r="C627" t="s">
        <v>1842</v>
      </c>
      <c r="D627" t="s">
        <v>574</v>
      </c>
      <c r="E627" t="s">
        <v>33</v>
      </c>
      <c r="F627">
        <v>10182018</v>
      </c>
      <c r="G627">
        <v>4</v>
      </c>
      <c r="H627" t="s">
        <v>48</v>
      </c>
      <c r="I627" t="s">
        <v>42</v>
      </c>
      <c r="J627" t="s">
        <v>59</v>
      </c>
      <c r="K627" t="s">
        <v>79</v>
      </c>
      <c r="L627" t="s">
        <v>1843</v>
      </c>
      <c r="M627" t="s">
        <v>65</v>
      </c>
      <c r="N627" t="b">
        <v>0</v>
      </c>
      <c r="P627" t="b">
        <v>0</v>
      </c>
      <c r="Q627" t="b">
        <v>1</v>
      </c>
      <c r="R627" t="b">
        <v>0</v>
      </c>
      <c r="S627" t="b">
        <v>0</v>
      </c>
      <c r="T627" t="b">
        <v>0</v>
      </c>
      <c r="U627" t="s">
        <v>1844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1</v>
      </c>
      <c r="AE627" t="s">
        <v>1845</v>
      </c>
    </row>
    <row r="628" spans="1:31" x14ac:dyDescent="0.3">
      <c r="A628">
        <v>-73.960016578549997</v>
      </c>
      <c r="B628">
        <v>40.79524667618</v>
      </c>
      <c r="C628" t="s">
        <v>1846</v>
      </c>
      <c r="D628" t="s">
        <v>1404</v>
      </c>
      <c r="E628" t="s">
        <v>33</v>
      </c>
      <c r="F628">
        <v>10132018</v>
      </c>
      <c r="G628">
        <v>3</v>
      </c>
      <c r="H628" t="s">
        <v>48</v>
      </c>
      <c r="I628" t="s">
        <v>42</v>
      </c>
      <c r="J628" t="s">
        <v>53</v>
      </c>
      <c r="K628" t="s">
        <v>54</v>
      </c>
      <c r="M628" t="s">
        <v>65</v>
      </c>
      <c r="N628" t="b">
        <v>0</v>
      </c>
      <c r="P628" t="b">
        <v>1</v>
      </c>
      <c r="Q628" t="b">
        <v>1</v>
      </c>
      <c r="R628" t="b">
        <v>0</v>
      </c>
      <c r="S628" t="b">
        <v>0</v>
      </c>
      <c r="T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1</v>
      </c>
      <c r="AA628" t="b">
        <v>0</v>
      </c>
      <c r="AB628" t="b">
        <v>0</v>
      </c>
      <c r="AC628" t="b">
        <v>1</v>
      </c>
      <c r="AE628" t="s">
        <v>1847</v>
      </c>
    </row>
    <row r="629" spans="1:31" x14ac:dyDescent="0.3">
      <c r="A629">
        <v>-73.957372413330006</v>
      </c>
      <c r="B629">
        <v>40.798008091109999</v>
      </c>
      <c r="C629" t="s">
        <v>1848</v>
      </c>
      <c r="D629" t="s">
        <v>1245</v>
      </c>
      <c r="E629" t="s">
        <v>38</v>
      </c>
      <c r="F629">
        <v>10172018</v>
      </c>
      <c r="G629">
        <v>2</v>
      </c>
      <c r="H629" t="s">
        <v>48</v>
      </c>
      <c r="I629" t="s">
        <v>42</v>
      </c>
      <c r="J629" t="s">
        <v>96</v>
      </c>
      <c r="K629" t="s">
        <v>97</v>
      </c>
      <c r="M629" t="s">
        <v>65</v>
      </c>
      <c r="N629" t="b">
        <v>0</v>
      </c>
      <c r="P629" t="b">
        <v>0</v>
      </c>
      <c r="Q629" t="b">
        <v>1</v>
      </c>
      <c r="R629" t="b">
        <v>0</v>
      </c>
      <c r="S629" t="b">
        <v>1</v>
      </c>
      <c r="T629" t="b">
        <v>0</v>
      </c>
      <c r="U629" t="s">
        <v>1849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1</v>
      </c>
      <c r="AE629" t="s">
        <v>1850</v>
      </c>
    </row>
    <row r="630" spans="1:31" x14ac:dyDescent="0.3">
      <c r="A630">
        <v>-73.958010935710007</v>
      </c>
      <c r="B630">
        <v>40.785565440539997</v>
      </c>
      <c r="C630" t="s">
        <v>1851</v>
      </c>
      <c r="D630" t="s">
        <v>1852</v>
      </c>
      <c r="E630" t="s">
        <v>38</v>
      </c>
      <c r="F630">
        <v>10132018</v>
      </c>
      <c r="G630">
        <v>1</v>
      </c>
      <c r="H630" t="s">
        <v>48</v>
      </c>
      <c r="I630" t="s">
        <v>42</v>
      </c>
      <c r="J630" t="s">
        <v>53</v>
      </c>
      <c r="K630" t="s">
        <v>54</v>
      </c>
      <c r="M630" t="s">
        <v>65</v>
      </c>
      <c r="N630" t="b">
        <v>0</v>
      </c>
      <c r="O630" t="s">
        <v>1853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s">
        <v>1854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1</v>
      </c>
      <c r="AE630" t="s">
        <v>1855</v>
      </c>
    </row>
    <row r="631" spans="1:31" x14ac:dyDescent="0.3">
      <c r="A631">
        <v>-73.954887783009994</v>
      </c>
      <c r="B631">
        <v>40.795015748909996</v>
      </c>
      <c r="C631" t="s">
        <v>1856</v>
      </c>
      <c r="D631" t="s">
        <v>363</v>
      </c>
      <c r="E631" t="s">
        <v>38</v>
      </c>
      <c r="F631">
        <v>10182018</v>
      </c>
      <c r="G631">
        <v>4</v>
      </c>
      <c r="H631" t="s">
        <v>48</v>
      </c>
      <c r="I631" t="s">
        <v>42</v>
      </c>
      <c r="J631" t="s">
        <v>53</v>
      </c>
      <c r="K631" t="s">
        <v>54</v>
      </c>
      <c r="M631" t="s">
        <v>65</v>
      </c>
      <c r="N631" t="b">
        <v>0</v>
      </c>
      <c r="P631" t="b">
        <v>0</v>
      </c>
      <c r="Q631" t="b">
        <v>0</v>
      </c>
      <c r="R631" t="b">
        <v>1</v>
      </c>
      <c r="S631" t="b">
        <v>0</v>
      </c>
      <c r="T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E631" t="s">
        <v>1857</v>
      </c>
    </row>
    <row r="632" spans="1:31" x14ac:dyDescent="0.3">
      <c r="A632">
        <v>-73.9767314435</v>
      </c>
      <c r="B632">
        <v>40.766119988939998</v>
      </c>
      <c r="C632" t="s">
        <v>1858</v>
      </c>
      <c r="D632" t="s">
        <v>1859</v>
      </c>
      <c r="E632" t="s">
        <v>38</v>
      </c>
      <c r="F632">
        <v>10102018</v>
      </c>
      <c r="G632">
        <v>1</v>
      </c>
      <c r="H632" t="s">
        <v>48</v>
      </c>
      <c r="I632" t="s">
        <v>42</v>
      </c>
      <c r="K632" t="s">
        <v>43</v>
      </c>
      <c r="M632" t="s">
        <v>65</v>
      </c>
      <c r="N632" t="b">
        <v>0</v>
      </c>
      <c r="P632" t="b">
        <v>0</v>
      </c>
      <c r="Q632" t="b">
        <v>0</v>
      </c>
      <c r="R632" t="b">
        <v>0</v>
      </c>
      <c r="S632" t="b">
        <v>1</v>
      </c>
      <c r="T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1</v>
      </c>
      <c r="AC632" t="b">
        <v>0</v>
      </c>
      <c r="AE632" t="s">
        <v>1860</v>
      </c>
    </row>
    <row r="633" spans="1:31" x14ac:dyDescent="0.3">
      <c r="A633">
        <v>-73.967324369989996</v>
      </c>
      <c r="B633">
        <v>40.787539295770003</v>
      </c>
      <c r="C633" t="s">
        <v>1861</v>
      </c>
      <c r="D633" t="s">
        <v>478</v>
      </c>
      <c r="E633" t="s">
        <v>38</v>
      </c>
      <c r="F633">
        <v>10142018</v>
      </c>
      <c r="G633">
        <v>1</v>
      </c>
      <c r="I633" t="s">
        <v>42</v>
      </c>
      <c r="J633" t="s">
        <v>53</v>
      </c>
      <c r="K633" t="s">
        <v>54</v>
      </c>
      <c r="M633" t="s">
        <v>65</v>
      </c>
      <c r="N633" t="b">
        <v>0</v>
      </c>
      <c r="P633" t="b">
        <v>0</v>
      </c>
      <c r="Q633" t="b">
        <v>1</v>
      </c>
      <c r="R633" t="b">
        <v>0</v>
      </c>
      <c r="S633" t="b">
        <v>0</v>
      </c>
      <c r="T633" t="b">
        <v>1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s">
        <v>1862</v>
      </c>
      <c r="AE633" t="s">
        <v>1863</v>
      </c>
    </row>
    <row r="634" spans="1:31" x14ac:dyDescent="0.3">
      <c r="A634">
        <v>-73.959637590699998</v>
      </c>
      <c r="B634">
        <v>40.790734770839997</v>
      </c>
      <c r="C634" t="s">
        <v>1864</v>
      </c>
      <c r="D634" t="s">
        <v>47</v>
      </c>
      <c r="E634" t="s">
        <v>38</v>
      </c>
      <c r="F634">
        <v>10072018</v>
      </c>
      <c r="G634">
        <v>5</v>
      </c>
      <c r="H634" t="s">
        <v>48</v>
      </c>
      <c r="I634" t="s">
        <v>176</v>
      </c>
      <c r="K634" t="s">
        <v>177</v>
      </c>
      <c r="M634" t="s">
        <v>44</v>
      </c>
      <c r="N634">
        <v>30</v>
      </c>
      <c r="P634" t="b">
        <v>0</v>
      </c>
      <c r="Q634" t="b">
        <v>0</v>
      </c>
      <c r="R634" t="b">
        <v>1</v>
      </c>
      <c r="S634" t="b">
        <v>0</v>
      </c>
      <c r="T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1</v>
      </c>
      <c r="AC634" t="b">
        <v>0</v>
      </c>
      <c r="AE634" t="s">
        <v>1865</v>
      </c>
    </row>
    <row r="635" spans="1:31" x14ac:dyDescent="0.3">
      <c r="A635">
        <v>-73.967323555530001</v>
      </c>
      <c r="B635">
        <v>40.778674959680004</v>
      </c>
      <c r="C635" t="s">
        <v>1866</v>
      </c>
      <c r="D635" t="s">
        <v>111</v>
      </c>
      <c r="E635" t="s">
        <v>33</v>
      </c>
      <c r="F635">
        <v>10202018</v>
      </c>
      <c r="G635">
        <v>4</v>
      </c>
      <c r="H635" t="s">
        <v>105</v>
      </c>
      <c r="I635" t="s">
        <v>42</v>
      </c>
      <c r="J635" t="s">
        <v>53</v>
      </c>
      <c r="K635" t="s">
        <v>54</v>
      </c>
      <c r="M635" t="s">
        <v>44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E635" t="s">
        <v>1867</v>
      </c>
    </row>
    <row r="636" spans="1:31" x14ac:dyDescent="0.3">
      <c r="A636">
        <v>-73.975753618729996</v>
      </c>
      <c r="B636">
        <v>40.775511981069997</v>
      </c>
      <c r="C636" t="s">
        <v>1868</v>
      </c>
      <c r="D636" t="s">
        <v>1635</v>
      </c>
      <c r="E636" t="s">
        <v>33</v>
      </c>
      <c r="F636">
        <v>10132018</v>
      </c>
      <c r="G636">
        <v>3</v>
      </c>
      <c r="H636" t="s">
        <v>48</v>
      </c>
      <c r="I636" t="s">
        <v>53</v>
      </c>
      <c r="J636" t="s">
        <v>42</v>
      </c>
      <c r="K636" t="s">
        <v>89</v>
      </c>
      <c r="M636" t="s">
        <v>65</v>
      </c>
      <c r="N636" t="b">
        <v>0</v>
      </c>
      <c r="P636" t="b">
        <v>0</v>
      </c>
      <c r="Q636" t="b">
        <v>0</v>
      </c>
      <c r="R636" t="b">
        <v>0</v>
      </c>
      <c r="S636" t="b">
        <v>1</v>
      </c>
      <c r="T636" t="b">
        <v>1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1</v>
      </c>
      <c r="AC636" t="b">
        <v>0</v>
      </c>
      <c r="AE636" t="s">
        <v>1869</v>
      </c>
    </row>
    <row r="637" spans="1:31" x14ac:dyDescent="0.3">
      <c r="A637">
        <v>-73.967504748029995</v>
      </c>
      <c r="B637">
        <v>40.778923439720003</v>
      </c>
      <c r="C637" t="s">
        <v>1870</v>
      </c>
      <c r="D637" t="s">
        <v>200</v>
      </c>
      <c r="E637" t="s">
        <v>38</v>
      </c>
      <c r="F637">
        <v>10172018</v>
      </c>
      <c r="G637">
        <v>1</v>
      </c>
      <c r="H637" t="s">
        <v>48</v>
      </c>
      <c r="I637" t="s">
        <v>42</v>
      </c>
      <c r="K637" t="s">
        <v>43</v>
      </c>
      <c r="M637" t="s">
        <v>65</v>
      </c>
      <c r="N637" t="b">
        <v>0</v>
      </c>
      <c r="O637" t="s">
        <v>1871</v>
      </c>
      <c r="P637" t="b">
        <v>0</v>
      </c>
      <c r="Q637" t="b">
        <v>0</v>
      </c>
      <c r="R637" t="b">
        <v>0</v>
      </c>
      <c r="S637" t="b">
        <v>0</v>
      </c>
      <c r="T637" t="b">
        <v>1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1</v>
      </c>
      <c r="AC637" t="b">
        <v>0</v>
      </c>
      <c r="AE637" t="s">
        <v>1872</v>
      </c>
    </row>
    <row r="638" spans="1:31" x14ac:dyDescent="0.3">
      <c r="A638">
        <v>-73.956276528800004</v>
      </c>
      <c r="B638">
        <v>40.788061796389997</v>
      </c>
      <c r="C638" t="s">
        <v>1873</v>
      </c>
      <c r="D638" t="s">
        <v>1874</v>
      </c>
      <c r="E638" t="s">
        <v>33</v>
      </c>
      <c r="F638">
        <v>10192018</v>
      </c>
      <c r="G638">
        <v>2</v>
      </c>
      <c r="H638" t="s">
        <v>48</v>
      </c>
      <c r="I638" t="s">
        <v>42</v>
      </c>
      <c r="K638" t="s">
        <v>43</v>
      </c>
      <c r="M638" t="s">
        <v>65</v>
      </c>
      <c r="N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1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1</v>
      </c>
      <c r="AC638" t="b">
        <v>0</v>
      </c>
      <c r="AE638" t="s">
        <v>1875</v>
      </c>
    </row>
    <row r="639" spans="1:31" x14ac:dyDescent="0.3">
      <c r="A639">
        <v>-73.95585895296</v>
      </c>
      <c r="B639">
        <v>40.789240039489997</v>
      </c>
      <c r="C639" t="s">
        <v>1876</v>
      </c>
      <c r="D639" t="s">
        <v>331</v>
      </c>
      <c r="E639" t="s">
        <v>33</v>
      </c>
      <c r="F639">
        <v>10062018</v>
      </c>
      <c r="G639">
        <v>2</v>
      </c>
      <c r="I639" t="s">
        <v>42</v>
      </c>
      <c r="K639" t="s">
        <v>43</v>
      </c>
      <c r="M639" t="s">
        <v>44</v>
      </c>
      <c r="N639">
        <v>8</v>
      </c>
      <c r="P639" t="b">
        <v>0</v>
      </c>
      <c r="Q639" t="b">
        <v>0</v>
      </c>
      <c r="R639" t="b">
        <v>1</v>
      </c>
      <c r="S639" t="b">
        <v>0</v>
      </c>
      <c r="T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E639" t="s">
        <v>1877</v>
      </c>
    </row>
    <row r="640" spans="1:31" x14ac:dyDescent="0.3">
      <c r="A640">
        <v>-73.978553652909994</v>
      </c>
      <c r="B640">
        <v>40.7716184505</v>
      </c>
      <c r="C640" t="s">
        <v>1878</v>
      </c>
      <c r="D640" t="s">
        <v>870</v>
      </c>
      <c r="E640" t="s">
        <v>33</v>
      </c>
      <c r="F640">
        <v>10122018</v>
      </c>
      <c r="G640">
        <v>7</v>
      </c>
      <c r="H640" t="s">
        <v>48</v>
      </c>
      <c r="I640" t="s">
        <v>53</v>
      </c>
      <c r="J640" t="s">
        <v>59</v>
      </c>
      <c r="K640" t="s">
        <v>60</v>
      </c>
      <c r="M640" t="s">
        <v>65</v>
      </c>
      <c r="N640" t="b">
        <v>0</v>
      </c>
      <c r="O640" t="s">
        <v>1879</v>
      </c>
      <c r="P640" t="b">
        <v>0</v>
      </c>
      <c r="Q640" t="b">
        <v>1</v>
      </c>
      <c r="R640" t="b">
        <v>0</v>
      </c>
      <c r="S640" t="b">
        <v>0</v>
      </c>
      <c r="T640" t="b">
        <v>1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1</v>
      </c>
      <c r="AC640" t="b">
        <v>0</v>
      </c>
      <c r="AE640" t="s">
        <v>1880</v>
      </c>
    </row>
    <row r="641" spans="1:31" x14ac:dyDescent="0.3">
      <c r="A641">
        <v>-73.971903621739997</v>
      </c>
      <c r="B641">
        <v>40.780358812240003</v>
      </c>
      <c r="C641" t="s">
        <v>1881</v>
      </c>
      <c r="D641" t="s">
        <v>1882</v>
      </c>
      <c r="E641" t="s">
        <v>38</v>
      </c>
      <c r="F641">
        <v>10172018</v>
      </c>
      <c r="G641">
        <v>1</v>
      </c>
      <c r="H641" t="s">
        <v>48</v>
      </c>
      <c r="I641" t="s">
        <v>42</v>
      </c>
      <c r="J641" t="s">
        <v>53</v>
      </c>
      <c r="K641" t="s">
        <v>54</v>
      </c>
      <c r="M641" t="s">
        <v>44</v>
      </c>
      <c r="N641">
        <v>3</v>
      </c>
      <c r="O641" t="s">
        <v>1883</v>
      </c>
      <c r="P641" t="b">
        <v>1</v>
      </c>
      <c r="Q641" t="b">
        <v>0</v>
      </c>
      <c r="R641" t="b">
        <v>1</v>
      </c>
      <c r="S641" t="b">
        <v>0</v>
      </c>
      <c r="T641" t="b">
        <v>1</v>
      </c>
      <c r="V641" t="b">
        <v>0</v>
      </c>
      <c r="W641" t="b">
        <v>0</v>
      </c>
      <c r="X641" t="b">
        <v>0</v>
      </c>
      <c r="Y641" t="b">
        <v>0</v>
      </c>
      <c r="Z641" t="b">
        <v>1</v>
      </c>
      <c r="AA641" t="b">
        <v>0</v>
      </c>
      <c r="AB641" t="b">
        <v>0</v>
      </c>
      <c r="AC641" t="b">
        <v>1</v>
      </c>
      <c r="AE641" t="s">
        <v>1884</v>
      </c>
    </row>
    <row r="642" spans="1:31" x14ac:dyDescent="0.3">
      <c r="A642">
        <v>-73.956838227920002</v>
      </c>
      <c r="B642">
        <v>40.797568547099999</v>
      </c>
      <c r="C642" t="s">
        <v>1885</v>
      </c>
      <c r="D642" t="s">
        <v>1245</v>
      </c>
      <c r="E642" t="s">
        <v>38</v>
      </c>
      <c r="F642">
        <v>10172018</v>
      </c>
      <c r="G642">
        <v>7</v>
      </c>
      <c r="H642" t="s">
        <v>48</v>
      </c>
      <c r="I642" t="s">
        <v>42</v>
      </c>
      <c r="J642" t="s">
        <v>96</v>
      </c>
      <c r="K642" t="s">
        <v>97</v>
      </c>
      <c r="M642" t="s">
        <v>65</v>
      </c>
      <c r="N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1</v>
      </c>
      <c r="U642" t="s">
        <v>340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1</v>
      </c>
      <c r="AC642" t="b">
        <v>0</v>
      </c>
      <c r="AE642" t="s">
        <v>1886</v>
      </c>
    </row>
    <row r="643" spans="1:31" x14ac:dyDescent="0.3">
      <c r="A643">
        <v>-73.976730206740001</v>
      </c>
      <c r="B643">
        <v>40.773709213910003</v>
      </c>
      <c r="C643" t="s">
        <v>1887</v>
      </c>
      <c r="D643" t="s">
        <v>741</v>
      </c>
      <c r="E643" t="s">
        <v>33</v>
      </c>
      <c r="F643">
        <v>10142018</v>
      </c>
      <c r="G643">
        <v>1</v>
      </c>
      <c r="H643" t="s">
        <v>48</v>
      </c>
      <c r="I643" t="s">
        <v>42</v>
      </c>
      <c r="J643" t="s">
        <v>59</v>
      </c>
      <c r="K643" t="s">
        <v>79</v>
      </c>
      <c r="M643" t="s">
        <v>65</v>
      </c>
      <c r="N643" t="b">
        <v>0</v>
      </c>
      <c r="P643" t="b">
        <v>0</v>
      </c>
      <c r="Q643" t="b">
        <v>0</v>
      </c>
      <c r="R643" t="b">
        <v>1</v>
      </c>
      <c r="S643" t="b">
        <v>1</v>
      </c>
      <c r="T643" t="b">
        <v>0</v>
      </c>
      <c r="V643" t="b">
        <v>1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1</v>
      </c>
      <c r="AD643" t="s">
        <v>1888</v>
      </c>
      <c r="AE643" t="s">
        <v>1889</v>
      </c>
    </row>
    <row r="644" spans="1:31" x14ac:dyDescent="0.3">
      <c r="A644">
        <v>-73.972212562999999</v>
      </c>
      <c r="B644">
        <v>40.776131146589996</v>
      </c>
      <c r="C644" t="s">
        <v>1890</v>
      </c>
      <c r="D644" t="s">
        <v>604</v>
      </c>
      <c r="E644" t="s">
        <v>33</v>
      </c>
      <c r="F644">
        <v>10192018</v>
      </c>
      <c r="G644">
        <v>5</v>
      </c>
      <c r="H644" t="s">
        <v>48</v>
      </c>
      <c r="I644" t="s">
        <v>42</v>
      </c>
      <c r="J644" t="s">
        <v>53</v>
      </c>
      <c r="K644" t="s">
        <v>54</v>
      </c>
      <c r="M644" t="s">
        <v>65</v>
      </c>
      <c r="N644" t="b">
        <v>0</v>
      </c>
      <c r="P644" t="b">
        <v>0</v>
      </c>
      <c r="Q644" t="b">
        <v>0</v>
      </c>
      <c r="R644" t="b">
        <v>0</v>
      </c>
      <c r="S644" t="b">
        <v>1</v>
      </c>
      <c r="T644" t="b">
        <v>1</v>
      </c>
      <c r="V644" t="b">
        <v>0</v>
      </c>
      <c r="W644" t="b">
        <v>0</v>
      </c>
      <c r="X644" t="b">
        <v>0</v>
      </c>
      <c r="Y644" t="b">
        <v>0</v>
      </c>
      <c r="Z644" t="b">
        <v>1</v>
      </c>
      <c r="AA644" t="b">
        <v>1</v>
      </c>
      <c r="AB644" t="b">
        <v>1</v>
      </c>
      <c r="AC644" t="b">
        <v>0</v>
      </c>
      <c r="AE644" t="s">
        <v>1891</v>
      </c>
    </row>
    <row r="645" spans="1:31" x14ac:dyDescent="0.3">
      <c r="A645">
        <v>-73.975815232260004</v>
      </c>
      <c r="B645">
        <v>40.769237740149997</v>
      </c>
      <c r="C645" t="s">
        <v>1892</v>
      </c>
      <c r="D645" t="s">
        <v>782</v>
      </c>
      <c r="E645" t="s">
        <v>33</v>
      </c>
      <c r="F645">
        <v>10082018</v>
      </c>
      <c r="G645">
        <v>3</v>
      </c>
      <c r="H645" t="s">
        <v>48</v>
      </c>
      <c r="I645" t="s">
        <v>42</v>
      </c>
      <c r="K645" t="s">
        <v>43</v>
      </c>
      <c r="P645" t="b">
        <v>0</v>
      </c>
      <c r="Q645" t="b">
        <v>1</v>
      </c>
      <c r="R645" t="b">
        <v>0</v>
      </c>
      <c r="S645" t="b">
        <v>0</v>
      </c>
      <c r="T645" t="b">
        <v>0</v>
      </c>
      <c r="U645" t="s">
        <v>1893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E645" t="s">
        <v>1894</v>
      </c>
    </row>
    <row r="646" spans="1:31" x14ac:dyDescent="0.3">
      <c r="A646">
        <v>-73.954092292210007</v>
      </c>
      <c r="B646">
        <v>40.797980039540001</v>
      </c>
      <c r="C646" t="s">
        <v>1895</v>
      </c>
      <c r="D646" t="s">
        <v>1515</v>
      </c>
      <c r="E646" t="s">
        <v>33</v>
      </c>
      <c r="F646">
        <v>10132018</v>
      </c>
      <c r="G646">
        <v>5</v>
      </c>
      <c r="H646" t="s">
        <v>105</v>
      </c>
      <c r="I646" t="s">
        <v>42</v>
      </c>
      <c r="J646" t="s">
        <v>96</v>
      </c>
      <c r="K646" t="s">
        <v>97</v>
      </c>
      <c r="L646" t="s">
        <v>1896</v>
      </c>
      <c r="M646" t="s">
        <v>44</v>
      </c>
      <c r="N646">
        <v>10</v>
      </c>
      <c r="P646" t="b">
        <v>0</v>
      </c>
      <c r="Q646" t="b">
        <v>0</v>
      </c>
      <c r="R646" t="b">
        <v>0</v>
      </c>
      <c r="S646" t="b">
        <v>1</v>
      </c>
      <c r="T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E646" t="s">
        <v>1897</v>
      </c>
    </row>
    <row r="647" spans="1:31" x14ac:dyDescent="0.3">
      <c r="A647">
        <v>-73.97347626493</v>
      </c>
      <c r="B647">
        <v>40.766370340450003</v>
      </c>
      <c r="C647" t="s">
        <v>1898</v>
      </c>
      <c r="D647" t="s">
        <v>1899</v>
      </c>
      <c r="E647" t="s">
        <v>38</v>
      </c>
      <c r="F647">
        <v>10082018</v>
      </c>
      <c r="G647">
        <v>5</v>
      </c>
      <c r="H647" t="s">
        <v>48</v>
      </c>
      <c r="I647" t="s">
        <v>42</v>
      </c>
      <c r="J647" t="s">
        <v>53</v>
      </c>
      <c r="K647" t="s">
        <v>54</v>
      </c>
      <c r="M647" t="s">
        <v>44</v>
      </c>
      <c r="N647">
        <v>13</v>
      </c>
      <c r="P647" t="b">
        <v>0</v>
      </c>
      <c r="Q647" t="b">
        <v>0</v>
      </c>
      <c r="R647" t="b">
        <v>1</v>
      </c>
      <c r="S647" t="b">
        <v>0</v>
      </c>
      <c r="T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1</v>
      </c>
      <c r="AA647" t="b">
        <v>0</v>
      </c>
      <c r="AB647" t="b">
        <v>0</v>
      </c>
      <c r="AC647" t="b">
        <v>0</v>
      </c>
      <c r="AE647" t="s">
        <v>1900</v>
      </c>
    </row>
    <row r="648" spans="1:31" x14ac:dyDescent="0.3">
      <c r="A648">
        <v>-73.953940002820005</v>
      </c>
      <c r="B648">
        <v>40.798004127170003</v>
      </c>
      <c r="C648" t="s">
        <v>1901</v>
      </c>
      <c r="D648" t="s">
        <v>1515</v>
      </c>
      <c r="E648" t="s">
        <v>38</v>
      </c>
      <c r="F648">
        <v>10072018</v>
      </c>
      <c r="G648">
        <v>2</v>
      </c>
      <c r="H648" t="s">
        <v>48</v>
      </c>
      <c r="I648" t="s">
        <v>42</v>
      </c>
      <c r="K648" t="s">
        <v>43</v>
      </c>
      <c r="M648" t="s">
        <v>65</v>
      </c>
      <c r="N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1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1</v>
      </c>
      <c r="AE648" t="s">
        <v>1902</v>
      </c>
    </row>
    <row r="649" spans="1:31" x14ac:dyDescent="0.3">
      <c r="A649">
        <v>-73.955489100349993</v>
      </c>
      <c r="B649">
        <v>40.796877459969998</v>
      </c>
      <c r="C649" t="s">
        <v>1903</v>
      </c>
      <c r="D649" t="s">
        <v>627</v>
      </c>
      <c r="E649" t="s">
        <v>38</v>
      </c>
      <c r="F649">
        <v>10142018</v>
      </c>
      <c r="G649">
        <v>3</v>
      </c>
      <c r="H649" t="s">
        <v>48</v>
      </c>
      <c r="I649" t="s">
        <v>42</v>
      </c>
      <c r="J649" t="s">
        <v>59</v>
      </c>
      <c r="K649" t="s">
        <v>79</v>
      </c>
      <c r="M649" t="s">
        <v>65</v>
      </c>
      <c r="N649" t="b">
        <v>0</v>
      </c>
      <c r="P649" t="b">
        <v>0</v>
      </c>
      <c r="Q649" t="b">
        <v>0</v>
      </c>
      <c r="R649" t="b">
        <v>1</v>
      </c>
      <c r="S649" t="b">
        <v>0</v>
      </c>
      <c r="T649" t="b">
        <v>1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1</v>
      </c>
      <c r="AC649" t="b">
        <v>0</v>
      </c>
      <c r="AE649" t="s">
        <v>1904</v>
      </c>
    </row>
    <row r="650" spans="1:31" x14ac:dyDescent="0.3">
      <c r="A650">
        <v>-73.980961011719998</v>
      </c>
      <c r="B650">
        <v>40.76838966655</v>
      </c>
      <c r="C650" t="s">
        <v>1905</v>
      </c>
      <c r="D650" t="s">
        <v>1906</v>
      </c>
      <c r="E650" t="s">
        <v>38</v>
      </c>
      <c r="F650">
        <v>10102018</v>
      </c>
      <c r="G650">
        <v>2</v>
      </c>
      <c r="I650" t="s">
        <v>42</v>
      </c>
      <c r="J650" t="s">
        <v>53</v>
      </c>
      <c r="K650" t="s">
        <v>54</v>
      </c>
      <c r="M650" t="s">
        <v>44</v>
      </c>
      <c r="O650" t="s">
        <v>1907</v>
      </c>
      <c r="P650" t="b">
        <v>0</v>
      </c>
      <c r="Q650" t="b">
        <v>0</v>
      </c>
      <c r="R650" t="b">
        <v>0</v>
      </c>
      <c r="S650" t="b">
        <v>1</v>
      </c>
      <c r="T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1</v>
      </c>
      <c r="AA650" t="b">
        <v>0</v>
      </c>
      <c r="AB650" t="b">
        <v>0</v>
      </c>
      <c r="AC650" t="b">
        <v>1</v>
      </c>
      <c r="AE650" t="s">
        <v>1908</v>
      </c>
    </row>
    <row r="651" spans="1:31" x14ac:dyDescent="0.3">
      <c r="A651">
        <v>-73.980166190389994</v>
      </c>
      <c r="B651">
        <v>40.769795014179998</v>
      </c>
      <c r="C651" t="s">
        <v>1909</v>
      </c>
      <c r="D651" t="s">
        <v>239</v>
      </c>
      <c r="E651" t="s">
        <v>33</v>
      </c>
      <c r="F651">
        <v>10172018</v>
      </c>
      <c r="G651">
        <v>3</v>
      </c>
      <c r="H651" t="s">
        <v>48</v>
      </c>
      <c r="I651" t="s">
        <v>53</v>
      </c>
      <c r="J651" t="s">
        <v>42</v>
      </c>
      <c r="K651" t="s">
        <v>89</v>
      </c>
      <c r="M651" t="s">
        <v>65</v>
      </c>
      <c r="N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1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1</v>
      </c>
      <c r="AB651" t="b">
        <v>0</v>
      </c>
      <c r="AC651" t="b">
        <v>0</v>
      </c>
      <c r="AE651" t="s">
        <v>1910</v>
      </c>
    </row>
    <row r="652" spans="1:31" x14ac:dyDescent="0.3">
      <c r="A652">
        <v>-73.957005612399996</v>
      </c>
      <c r="B652">
        <v>40.787875606759997</v>
      </c>
      <c r="C652" t="s">
        <v>1911</v>
      </c>
      <c r="D652" t="s">
        <v>1912</v>
      </c>
      <c r="E652" t="s">
        <v>33</v>
      </c>
      <c r="F652">
        <v>10062018</v>
      </c>
      <c r="G652">
        <v>2</v>
      </c>
      <c r="H652" t="s">
        <v>48</v>
      </c>
      <c r="I652" t="s">
        <v>42</v>
      </c>
      <c r="K652" t="s">
        <v>43</v>
      </c>
      <c r="M652" t="s">
        <v>65</v>
      </c>
      <c r="N652" t="b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V652" t="b">
        <v>0</v>
      </c>
      <c r="W652" t="b">
        <v>0</v>
      </c>
      <c r="X652" t="b">
        <v>0</v>
      </c>
      <c r="Y652" t="b">
        <v>1</v>
      </c>
      <c r="Z652" t="b">
        <v>0</v>
      </c>
      <c r="AA652" t="b">
        <v>0</v>
      </c>
      <c r="AB652" t="b">
        <v>0</v>
      </c>
      <c r="AC652" t="b">
        <v>1</v>
      </c>
      <c r="AE652" t="s">
        <v>1913</v>
      </c>
    </row>
    <row r="653" spans="1:31" x14ac:dyDescent="0.3">
      <c r="A653">
        <v>-73.970340138569995</v>
      </c>
      <c r="B653">
        <v>40.779523878429998</v>
      </c>
      <c r="C653" t="s">
        <v>1914</v>
      </c>
      <c r="D653" t="s">
        <v>143</v>
      </c>
      <c r="E653" t="s">
        <v>33</v>
      </c>
      <c r="F653">
        <v>10132018</v>
      </c>
      <c r="G653">
        <v>1</v>
      </c>
      <c r="H653" t="s">
        <v>48</v>
      </c>
      <c r="I653" t="s">
        <v>42</v>
      </c>
      <c r="K653" t="s">
        <v>43</v>
      </c>
      <c r="M653" t="s">
        <v>65</v>
      </c>
      <c r="N653" t="b">
        <v>0</v>
      </c>
      <c r="O653" t="s">
        <v>1915</v>
      </c>
      <c r="P653" t="b">
        <v>0</v>
      </c>
      <c r="Q653" t="b">
        <v>0</v>
      </c>
      <c r="R653" t="b">
        <v>0</v>
      </c>
      <c r="S653" t="b">
        <v>0</v>
      </c>
      <c r="T653" t="b">
        <v>1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1</v>
      </c>
      <c r="AE653" t="s">
        <v>1916</v>
      </c>
    </row>
    <row r="654" spans="1:31" x14ac:dyDescent="0.3">
      <c r="A654">
        <v>-73.976769659149994</v>
      </c>
      <c r="B654">
        <v>40.774190801049997</v>
      </c>
      <c r="C654" t="s">
        <v>1917</v>
      </c>
      <c r="D654" t="s">
        <v>855</v>
      </c>
      <c r="E654" t="s">
        <v>38</v>
      </c>
      <c r="F654">
        <v>10132018</v>
      </c>
      <c r="G654">
        <v>4</v>
      </c>
      <c r="H654" t="s">
        <v>105</v>
      </c>
      <c r="I654" t="s">
        <v>42</v>
      </c>
      <c r="J654" t="s">
        <v>53</v>
      </c>
      <c r="K654" t="s">
        <v>54</v>
      </c>
      <c r="M654" t="s">
        <v>65</v>
      </c>
      <c r="N654" t="b">
        <v>0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E654" t="s">
        <v>1918</v>
      </c>
    </row>
    <row r="655" spans="1:31" x14ac:dyDescent="0.3">
      <c r="A655">
        <v>-73.972878380210005</v>
      </c>
      <c r="B655">
        <v>40.773167104919999</v>
      </c>
      <c r="C655" t="s">
        <v>1919</v>
      </c>
      <c r="D655" t="s">
        <v>1920</v>
      </c>
      <c r="E655" t="s">
        <v>33</v>
      </c>
      <c r="F655">
        <v>10142018</v>
      </c>
      <c r="G655">
        <v>2</v>
      </c>
      <c r="H655" t="s">
        <v>105</v>
      </c>
      <c r="I655" t="s">
        <v>42</v>
      </c>
      <c r="J655" t="s">
        <v>1921</v>
      </c>
      <c r="K655" t="s">
        <v>1922</v>
      </c>
      <c r="M655" t="s">
        <v>65</v>
      </c>
      <c r="N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1</v>
      </c>
      <c r="V655" t="b">
        <v>0</v>
      </c>
      <c r="W655" t="b">
        <v>0</v>
      </c>
      <c r="X655" t="b">
        <v>0</v>
      </c>
      <c r="Y655" t="b">
        <v>0</v>
      </c>
      <c r="Z655" t="b">
        <v>1</v>
      </c>
      <c r="AA655" t="b">
        <v>0</v>
      </c>
      <c r="AB655" t="b">
        <v>1</v>
      </c>
      <c r="AC655" t="b">
        <v>0</v>
      </c>
      <c r="AE655" t="s">
        <v>1923</v>
      </c>
    </row>
    <row r="656" spans="1:31" x14ac:dyDescent="0.3">
      <c r="A656">
        <v>-73.955372671449993</v>
      </c>
      <c r="B656">
        <v>40.798757854110001</v>
      </c>
      <c r="C656" t="s">
        <v>1924</v>
      </c>
      <c r="D656" t="s">
        <v>338</v>
      </c>
      <c r="E656" t="s">
        <v>38</v>
      </c>
      <c r="F656">
        <v>10142018</v>
      </c>
      <c r="G656">
        <v>2</v>
      </c>
      <c r="H656" t="s">
        <v>48</v>
      </c>
      <c r="I656" t="s">
        <v>42</v>
      </c>
      <c r="K656" t="s">
        <v>43</v>
      </c>
      <c r="M656" t="s">
        <v>44</v>
      </c>
      <c r="N656">
        <v>20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s">
        <v>685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1</v>
      </c>
      <c r="AC656" t="b">
        <v>0</v>
      </c>
      <c r="AE656" t="s">
        <v>1925</v>
      </c>
    </row>
    <row r="657" spans="1:31" x14ac:dyDescent="0.3">
      <c r="A657">
        <v>-73.967900884970007</v>
      </c>
      <c r="B657">
        <v>40.7759013923</v>
      </c>
      <c r="C657" t="s">
        <v>1926</v>
      </c>
      <c r="D657" t="s">
        <v>668</v>
      </c>
      <c r="E657" t="s">
        <v>38</v>
      </c>
      <c r="F657">
        <v>10122018</v>
      </c>
      <c r="G657">
        <v>2</v>
      </c>
      <c r="I657" t="s">
        <v>42</v>
      </c>
      <c r="J657" t="s">
        <v>53</v>
      </c>
      <c r="K657" t="s">
        <v>54</v>
      </c>
      <c r="M657" t="s">
        <v>44</v>
      </c>
      <c r="N657">
        <v>15</v>
      </c>
      <c r="P657" t="b">
        <v>0</v>
      </c>
      <c r="Q657" t="b">
        <v>0</v>
      </c>
      <c r="R657" t="b">
        <v>1</v>
      </c>
      <c r="S657" t="b">
        <v>0</v>
      </c>
      <c r="T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1</v>
      </c>
      <c r="AC657" t="b">
        <v>0</v>
      </c>
      <c r="AE657" t="s">
        <v>1927</v>
      </c>
    </row>
    <row r="658" spans="1:31" x14ac:dyDescent="0.3">
      <c r="A658">
        <v>-73.970457584889999</v>
      </c>
      <c r="B658">
        <v>40.769349932609998</v>
      </c>
      <c r="C658" t="s">
        <v>1928</v>
      </c>
      <c r="D658" t="s">
        <v>92</v>
      </c>
      <c r="E658" t="s">
        <v>33</v>
      </c>
      <c r="F658">
        <v>10062018</v>
      </c>
      <c r="G658">
        <v>9</v>
      </c>
      <c r="H658" t="s">
        <v>48</v>
      </c>
      <c r="I658" t="s">
        <v>176</v>
      </c>
      <c r="K658" t="s">
        <v>177</v>
      </c>
      <c r="M658" t="s">
        <v>65</v>
      </c>
      <c r="N658" t="b">
        <v>0</v>
      </c>
      <c r="O658" t="s">
        <v>1929</v>
      </c>
      <c r="P658" t="b">
        <v>0</v>
      </c>
      <c r="Q658" t="b">
        <v>0</v>
      </c>
      <c r="R658" t="b">
        <v>0</v>
      </c>
      <c r="S658" t="b">
        <v>1</v>
      </c>
      <c r="T658" t="b">
        <v>1</v>
      </c>
      <c r="V658" t="b">
        <v>0</v>
      </c>
      <c r="W658" t="b">
        <v>0</v>
      </c>
      <c r="X658" t="b">
        <v>0</v>
      </c>
      <c r="Y658" t="b">
        <v>1</v>
      </c>
      <c r="Z658" t="b">
        <v>0</v>
      </c>
      <c r="AA658" t="b">
        <v>1</v>
      </c>
      <c r="AB658" t="b">
        <v>0</v>
      </c>
      <c r="AC658" t="b">
        <v>1</v>
      </c>
      <c r="AE658" t="s">
        <v>1930</v>
      </c>
    </row>
    <row r="659" spans="1:31" x14ac:dyDescent="0.3">
      <c r="A659">
        <v>-73.957268697939995</v>
      </c>
      <c r="B659">
        <v>40.796268457330001</v>
      </c>
      <c r="C659" t="s">
        <v>1931</v>
      </c>
      <c r="D659" t="s">
        <v>835</v>
      </c>
      <c r="E659" t="s">
        <v>38</v>
      </c>
      <c r="F659">
        <v>10172018</v>
      </c>
      <c r="G659">
        <v>3</v>
      </c>
      <c r="H659" t="s">
        <v>48</v>
      </c>
      <c r="I659" t="s">
        <v>42</v>
      </c>
      <c r="J659" t="s">
        <v>59</v>
      </c>
      <c r="K659" t="s">
        <v>79</v>
      </c>
      <c r="M659" t="s">
        <v>65</v>
      </c>
      <c r="N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1</v>
      </c>
      <c r="U659" t="s">
        <v>340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E659" t="s">
        <v>1932</v>
      </c>
    </row>
    <row r="660" spans="1:31" x14ac:dyDescent="0.3">
      <c r="A660">
        <v>-73.96382989976</v>
      </c>
      <c r="B660">
        <v>40.782596633239997</v>
      </c>
      <c r="C660" t="s">
        <v>1933</v>
      </c>
      <c r="D660" t="s">
        <v>82</v>
      </c>
      <c r="E660" t="s">
        <v>38</v>
      </c>
      <c r="F660">
        <v>10072018</v>
      </c>
      <c r="G660">
        <v>3</v>
      </c>
      <c r="H660" t="s">
        <v>48</v>
      </c>
      <c r="I660" t="s">
        <v>53</v>
      </c>
      <c r="J660" t="s">
        <v>115</v>
      </c>
      <c r="K660" t="s">
        <v>116</v>
      </c>
      <c r="L660" t="s">
        <v>1934</v>
      </c>
      <c r="M660" t="s">
        <v>65</v>
      </c>
      <c r="N660" t="b">
        <v>0</v>
      </c>
      <c r="P660" t="b">
        <v>0</v>
      </c>
      <c r="Q660" t="b">
        <v>0</v>
      </c>
      <c r="R660" t="b">
        <v>0</v>
      </c>
      <c r="S660" t="b">
        <v>1</v>
      </c>
      <c r="T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1</v>
      </c>
      <c r="AC660" t="b">
        <v>0</v>
      </c>
      <c r="AE660" t="s">
        <v>1935</v>
      </c>
    </row>
    <row r="661" spans="1:31" x14ac:dyDescent="0.3">
      <c r="A661">
        <v>-73.970075907400002</v>
      </c>
      <c r="B661">
        <v>40.768056087170002</v>
      </c>
      <c r="C661" t="s">
        <v>1936</v>
      </c>
      <c r="D661" t="s">
        <v>704</v>
      </c>
      <c r="E661" t="s">
        <v>38</v>
      </c>
      <c r="F661">
        <v>10102018</v>
      </c>
      <c r="G661">
        <v>1</v>
      </c>
      <c r="H661" t="s">
        <v>48</v>
      </c>
      <c r="I661" t="s">
        <v>42</v>
      </c>
      <c r="K661" t="s">
        <v>43</v>
      </c>
      <c r="M661" t="s">
        <v>65</v>
      </c>
      <c r="N661" t="b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1</v>
      </c>
      <c r="AC661" t="b">
        <v>0</v>
      </c>
      <c r="AE661" t="s">
        <v>1937</v>
      </c>
    </row>
    <row r="662" spans="1:31" x14ac:dyDescent="0.3">
      <c r="A662">
        <v>-73.972185479000004</v>
      </c>
      <c r="B662">
        <v>40.77610863524</v>
      </c>
      <c r="C662" t="s">
        <v>1938</v>
      </c>
      <c r="D662" t="s">
        <v>761</v>
      </c>
      <c r="E662" t="s">
        <v>38</v>
      </c>
      <c r="F662">
        <v>10132018</v>
      </c>
      <c r="G662">
        <v>1</v>
      </c>
      <c r="H662" t="s">
        <v>48</v>
      </c>
      <c r="I662" t="s">
        <v>42</v>
      </c>
      <c r="K662" t="s">
        <v>43</v>
      </c>
      <c r="M662" t="s">
        <v>65</v>
      </c>
      <c r="N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1</v>
      </c>
      <c r="U662" t="s">
        <v>511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1</v>
      </c>
      <c r="AC662" t="b">
        <v>0</v>
      </c>
      <c r="AE662" t="s">
        <v>1939</v>
      </c>
    </row>
    <row r="663" spans="1:31" x14ac:dyDescent="0.3">
      <c r="A663">
        <v>-73.97664405898</v>
      </c>
      <c r="B663">
        <v>40.768239028259998</v>
      </c>
      <c r="C663" t="s">
        <v>1940</v>
      </c>
      <c r="D663" t="s">
        <v>215</v>
      </c>
      <c r="E663" t="s">
        <v>38</v>
      </c>
      <c r="F663">
        <v>10062018</v>
      </c>
      <c r="G663">
        <v>2</v>
      </c>
      <c r="H663" t="s">
        <v>48</v>
      </c>
      <c r="I663" t="s">
        <v>42</v>
      </c>
      <c r="K663" t="s">
        <v>43</v>
      </c>
      <c r="M663" t="s">
        <v>65</v>
      </c>
      <c r="N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1</v>
      </c>
      <c r="V663" t="b">
        <v>0</v>
      </c>
      <c r="W663" t="b">
        <v>0</v>
      </c>
      <c r="X663" t="b">
        <v>0</v>
      </c>
      <c r="Y663" t="b">
        <v>1</v>
      </c>
      <c r="Z663" t="b">
        <v>0</v>
      </c>
      <c r="AA663" t="b">
        <v>0</v>
      </c>
      <c r="AB663" t="b">
        <v>0</v>
      </c>
      <c r="AC663" t="b">
        <v>1</v>
      </c>
      <c r="AE663" t="s">
        <v>1941</v>
      </c>
    </row>
    <row r="664" spans="1:31" x14ac:dyDescent="0.3">
      <c r="A664">
        <v>-73.972517486859999</v>
      </c>
      <c r="B664">
        <v>40.766424828360002</v>
      </c>
      <c r="C664" t="s">
        <v>1942</v>
      </c>
      <c r="D664" t="s">
        <v>1899</v>
      </c>
      <c r="E664" t="s">
        <v>33</v>
      </c>
      <c r="F664">
        <v>10142018</v>
      </c>
      <c r="G664">
        <v>7</v>
      </c>
      <c r="H664" t="s">
        <v>48</v>
      </c>
      <c r="I664" t="s">
        <v>42</v>
      </c>
      <c r="J664" t="s">
        <v>59</v>
      </c>
      <c r="K664" t="s">
        <v>79</v>
      </c>
      <c r="M664" t="s">
        <v>65</v>
      </c>
      <c r="N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1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1</v>
      </c>
      <c r="AC664" t="b">
        <v>0</v>
      </c>
      <c r="AE664" t="s">
        <v>1943</v>
      </c>
    </row>
    <row r="665" spans="1:31" x14ac:dyDescent="0.3">
      <c r="A665">
        <v>-73.956366125689996</v>
      </c>
      <c r="B665">
        <v>40.796682311449999</v>
      </c>
      <c r="C665" t="s">
        <v>1944</v>
      </c>
      <c r="D665" t="s">
        <v>1945</v>
      </c>
      <c r="E665" t="s">
        <v>38</v>
      </c>
      <c r="F665">
        <v>10082018</v>
      </c>
      <c r="G665">
        <v>3</v>
      </c>
      <c r="H665" t="s">
        <v>48</v>
      </c>
      <c r="I665" t="s">
        <v>42</v>
      </c>
      <c r="K665" t="s">
        <v>43</v>
      </c>
      <c r="M665" t="s">
        <v>44</v>
      </c>
      <c r="N665">
        <v>5</v>
      </c>
      <c r="P665" t="b">
        <v>0</v>
      </c>
      <c r="Q665" t="b">
        <v>0</v>
      </c>
      <c r="R665" t="b">
        <v>1</v>
      </c>
      <c r="S665" t="b">
        <v>0</v>
      </c>
      <c r="T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E665" t="s">
        <v>1946</v>
      </c>
    </row>
    <row r="666" spans="1:31" x14ac:dyDescent="0.3">
      <c r="A666">
        <v>-73.96870277827</v>
      </c>
      <c r="B666">
        <v>40.770516261620003</v>
      </c>
      <c r="C666" t="s">
        <v>1947</v>
      </c>
      <c r="D666" t="s">
        <v>1780</v>
      </c>
      <c r="E666" t="s">
        <v>38</v>
      </c>
      <c r="F666">
        <v>10142018</v>
      </c>
      <c r="G666">
        <v>9</v>
      </c>
      <c r="H666" t="s">
        <v>48</v>
      </c>
      <c r="I666" t="s">
        <v>42</v>
      </c>
      <c r="K666" t="s">
        <v>43</v>
      </c>
      <c r="M666" t="s">
        <v>44</v>
      </c>
      <c r="N666">
        <v>5</v>
      </c>
      <c r="P666" t="b">
        <v>0</v>
      </c>
      <c r="Q666" t="b">
        <v>0</v>
      </c>
      <c r="R666" t="b">
        <v>1</v>
      </c>
      <c r="S666" t="b">
        <v>0</v>
      </c>
      <c r="T666" t="b">
        <v>1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E666" t="s">
        <v>1948</v>
      </c>
    </row>
    <row r="667" spans="1:31" x14ac:dyDescent="0.3">
      <c r="A667">
        <v>-73.962453873300007</v>
      </c>
      <c r="B667">
        <v>40.788382985150001</v>
      </c>
      <c r="C667" t="s">
        <v>1949</v>
      </c>
      <c r="D667" t="s">
        <v>1049</v>
      </c>
      <c r="E667" t="s">
        <v>38</v>
      </c>
      <c r="F667">
        <v>10122018</v>
      </c>
      <c r="G667">
        <v>4</v>
      </c>
      <c r="H667" t="s">
        <v>48</v>
      </c>
      <c r="I667" t="s">
        <v>53</v>
      </c>
      <c r="J667" t="s">
        <v>59</v>
      </c>
      <c r="K667" t="s">
        <v>60</v>
      </c>
      <c r="M667" t="s">
        <v>44</v>
      </c>
      <c r="N667">
        <v>10</v>
      </c>
      <c r="P667" t="b">
        <v>0</v>
      </c>
      <c r="Q667" t="b">
        <v>0</v>
      </c>
      <c r="R667" t="b">
        <v>1</v>
      </c>
      <c r="S667" t="b">
        <v>0</v>
      </c>
      <c r="T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1</v>
      </c>
      <c r="AE667" t="s">
        <v>1950</v>
      </c>
    </row>
    <row r="668" spans="1:31" x14ac:dyDescent="0.3">
      <c r="A668">
        <v>-73.970690374049994</v>
      </c>
      <c r="B668">
        <v>40.772687376070003</v>
      </c>
      <c r="C668" t="s">
        <v>1951</v>
      </c>
      <c r="D668" t="s">
        <v>600</v>
      </c>
      <c r="E668" t="s">
        <v>38</v>
      </c>
      <c r="F668">
        <v>10062018</v>
      </c>
      <c r="G668">
        <v>7</v>
      </c>
      <c r="H668" t="s">
        <v>48</v>
      </c>
      <c r="I668" t="s">
        <v>42</v>
      </c>
      <c r="K668" t="s">
        <v>43</v>
      </c>
      <c r="M668" t="s">
        <v>65</v>
      </c>
      <c r="N668" t="b">
        <v>0</v>
      </c>
      <c r="P668" t="b">
        <v>0</v>
      </c>
      <c r="Q668" t="b">
        <v>0</v>
      </c>
      <c r="R668" t="b">
        <v>0</v>
      </c>
      <c r="S668" t="b">
        <v>1</v>
      </c>
      <c r="T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1</v>
      </c>
      <c r="AA668" t="b">
        <v>0</v>
      </c>
      <c r="AB668" t="b">
        <v>1</v>
      </c>
      <c r="AC668" t="b">
        <v>0</v>
      </c>
      <c r="AE668" t="s">
        <v>1952</v>
      </c>
    </row>
    <row r="669" spans="1:31" x14ac:dyDescent="0.3">
      <c r="A669">
        <v>-73.980207925990001</v>
      </c>
      <c r="B669">
        <v>40.767872347100003</v>
      </c>
      <c r="C669" t="s">
        <v>1953</v>
      </c>
      <c r="D669" t="s">
        <v>851</v>
      </c>
      <c r="E669" t="s">
        <v>38</v>
      </c>
      <c r="F669">
        <v>10122018</v>
      </c>
      <c r="G669">
        <v>10</v>
      </c>
      <c r="H669" t="s">
        <v>105</v>
      </c>
      <c r="I669" t="s">
        <v>42</v>
      </c>
      <c r="J669" t="s">
        <v>96</v>
      </c>
      <c r="K669" t="s">
        <v>97</v>
      </c>
      <c r="M669" t="s">
        <v>65</v>
      </c>
      <c r="N669" t="b">
        <v>0</v>
      </c>
      <c r="P669" t="b">
        <v>0</v>
      </c>
      <c r="Q669" t="b">
        <v>0</v>
      </c>
      <c r="R669" t="b">
        <v>0</v>
      </c>
      <c r="S669" t="b">
        <v>1</v>
      </c>
      <c r="T669" t="b">
        <v>1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1</v>
      </c>
      <c r="AB669" t="b">
        <v>0</v>
      </c>
      <c r="AC669" t="b">
        <v>0</v>
      </c>
      <c r="AE669" t="s">
        <v>1954</v>
      </c>
    </row>
    <row r="670" spans="1:31" x14ac:dyDescent="0.3">
      <c r="A670">
        <v>-73.960239869090003</v>
      </c>
      <c r="B670">
        <v>40.791015767609998</v>
      </c>
      <c r="C670" t="s">
        <v>1955</v>
      </c>
      <c r="D670" t="s">
        <v>294</v>
      </c>
      <c r="E670" t="s">
        <v>33</v>
      </c>
      <c r="F670">
        <v>10062018</v>
      </c>
      <c r="G670">
        <v>4</v>
      </c>
      <c r="H670" t="s">
        <v>48</v>
      </c>
      <c r="I670" t="s">
        <v>42</v>
      </c>
      <c r="J670" t="s">
        <v>96</v>
      </c>
      <c r="K670" t="s">
        <v>97</v>
      </c>
      <c r="M670" t="s">
        <v>44</v>
      </c>
      <c r="N670">
        <v>40</v>
      </c>
      <c r="P670" t="b">
        <v>0</v>
      </c>
      <c r="Q670" t="b">
        <v>0</v>
      </c>
      <c r="R670" t="b">
        <v>0</v>
      </c>
      <c r="S670" t="b">
        <v>1</v>
      </c>
      <c r="T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1</v>
      </c>
      <c r="AA670" t="b">
        <v>0</v>
      </c>
      <c r="AB670" t="b">
        <v>1</v>
      </c>
      <c r="AC670" t="b">
        <v>0</v>
      </c>
      <c r="AE670" t="s">
        <v>1956</v>
      </c>
    </row>
    <row r="671" spans="1:31" x14ac:dyDescent="0.3">
      <c r="A671">
        <v>-73.9709244007</v>
      </c>
      <c r="B671">
        <v>40.76769426397</v>
      </c>
      <c r="C671" t="s">
        <v>1957</v>
      </c>
      <c r="D671" t="s">
        <v>704</v>
      </c>
      <c r="E671" t="s">
        <v>38</v>
      </c>
      <c r="F671">
        <v>10102018</v>
      </c>
      <c r="G671">
        <v>2</v>
      </c>
      <c r="H671" t="s">
        <v>48</v>
      </c>
      <c r="I671" t="s">
        <v>42</v>
      </c>
      <c r="K671" t="s">
        <v>43</v>
      </c>
      <c r="M671" t="s">
        <v>65</v>
      </c>
      <c r="N671" t="b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1</v>
      </c>
      <c r="AE671" t="s">
        <v>1958</v>
      </c>
    </row>
    <row r="672" spans="1:31" x14ac:dyDescent="0.3">
      <c r="A672">
        <v>-73.958870810350007</v>
      </c>
      <c r="B672">
        <v>40.790579407880003</v>
      </c>
      <c r="C672" t="s">
        <v>1959</v>
      </c>
      <c r="D672" t="s">
        <v>124</v>
      </c>
      <c r="E672" t="s">
        <v>33</v>
      </c>
      <c r="F672">
        <v>10082018</v>
      </c>
      <c r="G672">
        <v>5</v>
      </c>
      <c r="H672" t="s">
        <v>48</v>
      </c>
      <c r="I672" t="s">
        <v>42</v>
      </c>
      <c r="K672" t="s">
        <v>43</v>
      </c>
      <c r="M672" t="s">
        <v>65</v>
      </c>
      <c r="N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1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1</v>
      </c>
      <c r="AC672" t="b">
        <v>0</v>
      </c>
      <c r="AE672" t="s">
        <v>1960</v>
      </c>
    </row>
    <row r="673" spans="1:31" x14ac:dyDescent="0.3">
      <c r="A673">
        <v>-73.958417813530005</v>
      </c>
      <c r="B673">
        <v>40.792730121449999</v>
      </c>
      <c r="C673" t="s">
        <v>1961</v>
      </c>
      <c r="D673" t="s">
        <v>1962</v>
      </c>
      <c r="E673" t="s">
        <v>33</v>
      </c>
      <c r="F673">
        <v>10062018</v>
      </c>
      <c r="G673">
        <v>1</v>
      </c>
      <c r="H673" t="s">
        <v>48</v>
      </c>
      <c r="I673" t="s">
        <v>42</v>
      </c>
      <c r="J673" t="s">
        <v>148</v>
      </c>
      <c r="K673" t="s">
        <v>149</v>
      </c>
      <c r="M673" t="s">
        <v>44</v>
      </c>
      <c r="N673">
        <v>20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s">
        <v>1963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1</v>
      </c>
      <c r="AC673" t="b">
        <v>0</v>
      </c>
      <c r="AE673" t="s">
        <v>1964</v>
      </c>
    </row>
    <row r="674" spans="1:31" x14ac:dyDescent="0.3">
      <c r="A674">
        <v>-73.977981196779993</v>
      </c>
      <c r="B674">
        <v>40.767517879750002</v>
      </c>
      <c r="C674" t="s">
        <v>1965</v>
      </c>
      <c r="D674" t="s">
        <v>756</v>
      </c>
      <c r="E674" t="s">
        <v>38</v>
      </c>
      <c r="F674">
        <v>10072018</v>
      </c>
      <c r="G674">
        <v>1</v>
      </c>
      <c r="H674" t="s">
        <v>48</v>
      </c>
      <c r="I674" t="s">
        <v>42</v>
      </c>
      <c r="J674" t="s">
        <v>96</v>
      </c>
      <c r="K674" t="s">
        <v>97</v>
      </c>
      <c r="M674" t="s">
        <v>65</v>
      </c>
      <c r="N674" t="b">
        <v>0</v>
      </c>
      <c r="P674" t="b">
        <v>1</v>
      </c>
      <c r="Q674" t="b">
        <v>0</v>
      </c>
      <c r="R674" t="b">
        <v>1</v>
      </c>
      <c r="S674" t="b">
        <v>0</v>
      </c>
      <c r="T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E674" t="s">
        <v>1966</v>
      </c>
    </row>
    <row r="675" spans="1:31" x14ac:dyDescent="0.3">
      <c r="A675">
        <v>-73.975983065099996</v>
      </c>
      <c r="B675">
        <v>40.768303473910002</v>
      </c>
      <c r="C675" t="s">
        <v>1967</v>
      </c>
      <c r="D675" t="s">
        <v>215</v>
      </c>
      <c r="E675" t="s">
        <v>38</v>
      </c>
      <c r="F675">
        <v>10062018</v>
      </c>
      <c r="G675">
        <v>1</v>
      </c>
      <c r="H675" t="s">
        <v>48</v>
      </c>
      <c r="I675" t="s">
        <v>42</v>
      </c>
      <c r="K675" t="s">
        <v>43</v>
      </c>
      <c r="M675" t="s">
        <v>65</v>
      </c>
      <c r="N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1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1</v>
      </c>
      <c r="AE675" t="s">
        <v>1968</v>
      </c>
    </row>
    <row r="676" spans="1:31" x14ac:dyDescent="0.3">
      <c r="A676">
        <v>-73.971020743850005</v>
      </c>
      <c r="B676">
        <v>40.768218714440003</v>
      </c>
      <c r="C676" t="s">
        <v>1969</v>
      </c>
      <c r="D676" t="s">
        <v>704</v>
      </c>
      <c r="E676" t="s">
        <v>38</v>
      </c>
      <c r="F676">
        <v>10102018</v>
      </c>
      <c r="G676">
        <v>5</v>
      </c>
      <c r="H676" t="s">
        <v>48</v>
      </c>
      <c r="I676" t="s">
        <v>42</v>
      </c>
      <c r="K676" t="s">
        <v>43</v>
      </c>
      <c r="M676" t="s">
        <v>65</v>
      </c>
      <c r="N676" t="b">
        <v>0</v>
      </c>
      <c r="P676" t="b">
        <v>0</v>
      </c>
      <c r="Q676" t="b">
        <v>0</v>
      </c>
      <c r="R676" t="b">
        <v>0</v>
      </c>
      <c r="S676" t="b">
        <v>1</v>
      </c>
      <c r="T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1</v>
      </c>
      <c r="AA676" t="b">
        <v>0</v>
      </c>
      <c r="AB676" t="b">
        <v>1</v>
      </c>
      <c r="AC676" t="b">
        <v>0</v>
      </c>
      <c r="AE676" t="s">
        <v>1970</v>
      </c>
    </row>
    <row r="677" spans="1:31" x14ac:dyDescent="0.3">
      <c r="A677">
        <v>-73.979915596609999</v>
      </c>
      <c r="B677">
        <v>40.769803431500002</v>
      </c>
      <c r="C677" t="s">
        <v>1971</v>
      </c>
      <c r="D677" t="s">
        <v>239</v>
      </c>
      <c r="E677" t="s">
        <v>33</v>
      </c>
      <c r="F677">
        <v>10172018</v>
      </c>
      <c r="G677">
        <v>8</v>
      </c>
      <c r="H677" t="s">
        <v>48</v>
      </c>
      <c r="I677" t="s">
        <v>53</v>
      </c>
      <c r="J677" t="s">
        <v>176</v>
      </c>
      <c r="K677" t="s">
        <v>1142</v>
      </c>
      <c r="M677" t="s">
        <v>65</v>
      </c>
      <c r="N677" t="b">
        <v>0</v>
      </c>
      <c r="P677" t="b">
        <v>0</v>
      </c>
      <c r="Q677" t="b">
        <v>0</v>
      </c>
      <c r="R677" t="b">
        <v>0</v>
      </c>
      <c r="S677" t="b">
        <v>1</v>
      </c>
      <c r="T677" t="b">
        <v>1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1</v>
      </c>
      <c r="AB677" t="b">
        <v>0</v>
      </c>
      <c r="AC677" t="b">
        <v>0</v>
      </c>
      <c r="AE677" t="s">
        <v>1972</v>
      </c>
    </row>
    <row r="678" spans="1:31" x14ac:dyDescent="0.3">
      <c r="A678">
        <v>-73.977447585359997</v>
      </c>
      <c r="B678">
        <v>40.769716782800003</v>
      </c>
      <c r="C678" t="s">
        <v>1973</v>
      </c>
      <c r="D678" t="s">
        <v>1581</v>
      </c>
      <c r="E678" t="s">
        <v>33</v>
      </c>
      <c r="F678">
        <v>10102018</v>
      </c>
      <c r="G678">
        <v>11</v>
      </c>
      <c r="H678" t="s">
        <v>48</v>
      </c>
      <c r="I678" t="s">
        <v>42</v>
      </c>
      <c r="J678" t="s">
        <v>53</v>
      </c>
      <c r="K678" t="s">
        <v>54</v>
      </c>
      <c r="M678" t="s">
        <v>65</v>
      </c>
      <c r="N678" t="b">
        <v>0</v>
      </c>
      <c r="P678" t="b">
        <v>1</v>
      </c>
      <c r="Q678" t="b">
        <v>0</v>
      </c>
      <c r="R678" t="b">
        <v>0</v>
      </c>
      <c r="S678" t="b">
        <v>1</v>
      </c>
      <c r="T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E678" t="s">
        <v>1974</v>
      </c>
    </row>
    <row r="679" spans="1:31" x14ac:dyDescent="0.3">
      <c r="A679">
        <v>-73.95501848907</v>
      </c>
      <c r="B679">
        <v>40.797123533369998</v>
      </c>
      <c r="C679" t="s">
        <v>1975</v>
      </c>
      <c r="D679" t="s">
        <v>627</v>
      </c>
      <c r="E679" t="s">
        <v>33</v>
      </c>
      <c r="F679">
        <v>10172018</v>
      </c>
      <c r="G679">
        <v>2</v>
      </c>
      <c r="H679" t="s">
        <v>48</v>
      </c>
      <c r="I679" t="s">
        <v>42</v>
      </c>
      <c r="J679" t="s">
        <v>96</v>
      </c>
      <c r="K679" t="s">
        <v>97</v>
      </c>
      <c r="M679" t="s">
        <v>65</v>
      </c>
      <c r="N679" t="b">
        <v>0</v>
      </c>
      <c r="P679" t="b">
        <v>0</v>
      </c>
      <c r="Q679" t="b">
        <v>0</v>
      </c>
      <c r="R679" t="b">
        <v>0</v>
      </c>
      <c r="S679" t="b">
        <v>1</v>
      </c>
      <c r="T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1</v>
      </c>
      <c r="AC679" t="b">
        <v>0</v>
      </c>
      <c r="AE679" t="s">
        <v>1976</v>
      </c>
    </row>
    <row r="680" spans="1:31" x14ac:dyDescent="0.3">
      <c r="A680">
        <v>-73.956401142109996</v>
      </c>
      <c r="B680">
        <v>40.795809784939998</v>
      </c>
      <c r="C680" t="s">
        <v>1977</v>
      </c>
      <c r="D680" t="s">
        <v>520</v>
      </c>
      <c r="E680" t="s">
        <v>38</v>
      </c>
      <c r="F680">
        <v>10102018</v>
      </c>
      <c r="G680">
        <v>2</v>
      </c>
      <c r="H680" t="s">
        <v>48</v>
      </c>
      <c r="I680" t="s">
        <v>42</v>
      </c>
      <c r="J680" t="s">
        <v>53</v>
      </c>
      <c r="K680" t="s">
        <v>54</v>
      </c>
      <c r="M680" t="s">
        <v>65</v>
      </c>
      <c r="N680" t="b">
        <v>0</v>
      </c>
      <c r="P680" t="b">
        <v>0</v>
      </c>
      <c r="Q680" t="b">
        <v>0</v>
      </c>
      <c r="R680" t="b">
        <v>1</v>
      </c>
      <c r="S680" t="b">
        <v>0</v>
      </c>
      <c r="T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s">
        <v>1978</v>
      </c>
      <c r="AE680" t="s">
        <v>1979</v>
      </c>
    </row>
    <row r="681" spans="1:31" x14ac:dyDescent="0.3">
      <c r="A681">
        <v>-73.955288089269999</v>
      </c>
      <c r="B681">
        <v>40.788904050329997</v>
      </c>
      <c r="C681" t="s">
        <v>1980</v>
      </c>
      <c r="D681" t="s">
        <v>873</v>
      </c>
      <c r="E681" t="s">
        <v>38</v>
      </c>
      <c r="F681">
        <v>10132018</v>
      </c>
      <c r="G681">
        <v>4</v>
      </c>
      <c r="H681" t="s">
        <v>48</v>
      </c>
      <c r="I681" t="s">
        <v>42</v>
      </c>
      <c r="J681" t="s">
        <v>53</v>
      </c>
      <c r="K681" t="s">
        <v>54</v>
      </c>
      <c r="M681" t="s">
        <v>65</v>
      </c>
      <c r="N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1</v>
      </c>
      <c r="V681" t="b">
        <v>0</v>
      </c>
      <c r="W681" t="b">
        <v>0</v>
      </c>
      <c r="X681" t="b">
        <v>0</v>
      </c>
      <c r="Y681" t="b">
        <v>1</v>
      </c>
      <c r="Z681" t="b">
        <v>0</v>
      </c>
      <c r="AA681" t="b">
        <v>0</v>
      </c>
      <c r="AB681" t="b">
        <v>1</v>
      </c>
      <c r="AC681" t="b">
        <v>0</v>
      </c>
      <c r="AE681" t="s">
        <v>1981</v>
      </c>
    </row>
    <row r="682" spans="1:31" x14ac:dyDescent="0.3">
      <c r="A682">
        <v>-73.965182838359993</v>
      </c>
      <c r="B682">
        <v>40.780282094390003</v>
      </c>
      <c r="C682" t="s">
        <v>1982</v>
      </c>
      <c r="D682" t="s">
        <v>1032</v>
      </c>
      <c r="E682" t="s">
        <v>33</v>
      </c>
      <c r="F682">
        <v>10172018</v>
      </c>
      <c r="G682">
        <v>6</v>
      </c>
      <c r="H682" t="s">
        <v>48</v>
      </c>
      <c r="I682" t="s">
        <v>42</v>
      </c>
      <c r="J682" t="s">
        <v>53</v>
      </c>
      <c r="K682" t="s">
        <v>54</v>
      </c>
      <c r="M682" t="s">
        <v>65</v>
      </c>
      <c r="N682" t="b">
        <v>0</v>
      </c>
      <c r="P682" t="b">
        <v>1</v>
      </c>
      <c r="Q682" t="b">
        <v>1</v>
      </c>
      <c r="R682" t="b">
        <v>1</v>
      </c>
      <c r="S682" t="b">
        <v>0</v>
      </c>
      <c r="T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1</v>
      </c>
      <c r="AA682" t="b">
        <v>1</v>
      </c>
      <c r="AB682" t="b">
        <v>0</v>
      </c>
      <c r="AC682" t="b">
        <v>0</v>
      </c>
      <c r="AE682" t="s">
        <v>1983</v>
      </c>
    </row>
    <row r="683" spans="1:31" x14ac:dyDescent="0.3">
      <c r="A683">
        <v>-73.970768362160001</v>
      </c>
      <c r="B683">
        <v>40.775981556609999</v>
      </c>
      <c r="C683" t="s">
        <v>1984</v>
      </c>
      <c r="D683" t="s">
        <v>52</v>
      </c>
      <c r="E683" t="s">
        <v>38</v>
      </c>
      <c r="F683">
        <v>10172018</v>
      </c>
      <c r="G683">
        <v>11</v>
      </c>
      <c r="H683" t="s">
        <v>48</v>
      </c>
      <c r="I683" t="s">
        <v>42</v>
      </c>
      <c r="J683" t="s">
        <v>53</v>
      </c>
      <c r="K683" t="s">
        <v>54</v>
      </c>
      <c r="M683" t="s">
        <v>44</v>
      </c>
      <c r="O683" t="s">
        <v>1985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1</v>
      </c>
      <c r="AE683" t="s">
        <v>1986</v>
      </c>
    </row>
    <row r="684" spans="1:31" x14ac:dyDescent="0.3">
      <c r="A684">
        <v>-73.969105732610004</v>
      </c>
      <c r="B684">
        <v>40.77659735097</v>
      </c>
      <c r="C684" t="s">
        <v>1987</v>
      </c>
      <c r="D684" t="s">
        <v>225</v>
      </c>
      <c r="E684" t="s">
        <v>33</v>
      </c>
      <c r="F684">
        <v>10122018</v>
      </c>
      <c r="G684">
        <v>7</v>
      </c>
      <c r="H684" t="s">
        <v>48</v>
      </c>
      <c r="I684" t="s">
        <v>53</v>
      </c>
      <c r="J684" t="s">
        <v>115</v>
      </c>
      <c r="K684" t="s">
        <v>116</v>
      </c>
      <c r="M684" t="s">
        <v>65</v>
      </c>
      <c r="N684" t="b">
        <v>0</v>
      </c>
      <c r="P684" t="b">
        <v>1</v>
      </c>
      <c r="Q684" t="b">
        <v>1</v>
      </c>
      <c r="R684" t="b">
        <v>0</v>
      </c>
      <c r="S684" t="b">
        <v>1</v>
      </c>
      <c r="T684" t="b">
        <v>1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1</v>
      </c>
      <c r="AC684" t="b">
        <v>0</v>
      </c>
      <c r="AE684" t="s">
        <v>1988</v>
      </c>
    </row>
    <row r="685" spans="1:31" x14ac:dyDescent="0.3">
      <c r="A685">
        <v>-73.965818181299994</v>
      </c>
      <c r="B685">
        <v>40.779816063760002</v>
      </c>
      <c r="C685" t="s">
        <v>1989</v>
      </c>
      <c r="D685" t="s">
        <v>1032</v>
      </c>
      <c r="E685" t="s">
        <v>38</v>
      </c>
      <c r="F685">
        <v>10072018</v>
      </c>
      <c r="G685">
        <v>1</v>
      </c>
      <c r="H685" t="s">
        <v>48</v>
      </c>
      <c r="I685" t="s">
        <v>53</v>
      </c>
      <c r="J685" t="s">
        <v>42</v>
      </c>
      <c r="K685" t="s">
        <v>89</v>
      </c>
      <c r="M685" t="s">
        <v>65</v>
      </c>
      <c r="N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1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1</v>
      </c>
      <c r="AC685" t="b">
        <v>0</v>
      </c>
      <c r="AD685" t="s">
        <v>1990</v>
      </c>
      <c r="AE685" t="s">
        <v>1991</v>
      </c>
    </row>
    <row r="686" spans="1:31" x14ac:dyDescent="0.3">
      <c r="A686">
        <v>-73.975374453930002</v>
      </c>
      <c r="B686">
        <v>40.767116221099997</v>
      </c>
      <c r="C686" t="s">
        <v>1992</v>
      </c>
      <c r="D686" t="s">
        <v>471</v>
      </c>
      <c r="E686" t="s">
        <v>33</v>
      </c>
      <c r="F686">
        <v>10142018</v>
      </c>
      <c r="G686">
        <v>12</v>
      </c>
      <c r="H686" t="s">
        <v>48</v>
      </c>
      <c r="I686" t="s">
        <v>42</v>
      </c>
      <c r="K686" t="s">
        <v>43</v>
      </c>
      <c r="M686" t="s">
        <v>65</v>
      </c>
      <c r="N686" t="b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1</v>
      </c>
      <c r="AE686" t="s">
        <v>1993</v>
      </c>
    </row>
    <row r="687" spans="1:31" x14ac:dyDescent="0.3">
      <c r="A687">
        <v>-73.969574567199999</v>
      </c>
      <c r="B687">
        <v>40.779183512209997</v>
      </c>
      <c r="C687" t="s">
        <v>1994</v>
      </c>
      <c r="D687" t="s">
        <v>1995</v>
      </c>
      <c r="E687" t="s">
        <v>38</v>
      </c>
      <c r="F687">
        <v>10082018</v>
      </c>
      <c r="G687">
        <v>6</v>
      </c>
      <c r="K687" t="s">
        <v>34</v>
      </c>
      <c r="M687" t="s">
        <v>44</v>
      </c>
      <c r="O687" t="s">
        <v>1996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V687" t="b">
        <v>1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E687" t="s">
        <v>1997</v>
      </c>
    </row>
    <row r="688" spans="1:31" x14ac:dyDescent="0.3">
      <c r="A688">
        <v>-73.958078560060002</v>
      </c>
      <c r="B688">
        <v>40.795798131090002</v>
      </c>
      <c r="C688" t="s">
        <v>1998</v>
      </c>
      <c r="D688" t="s">
        <v>925</v>
      </c>
      <c r="E688" t="s">
        <v>33</v>
      </c>
      <c r="F688">
        <v>10132018</v>
      </c>
      <c r="G688">
        <v>1</v>
      </c>
      <c r="H688" t="s">
        <v>48</v>
      </c>
      <c r="I688" t="s">
        <v>42</v>
      </c>
      <c r="J688" t="s">
        <v>96</v>
      </c>
      <c r="K688" t="s">
        <v>97</v>
      </c>
      <c r="M688" t="s">
        <v>65</v>
      </c>
      <c r="N688" t="b">
        <v>0</v>
      </c>
      <c r="P688" t="b">
        <v>0</v>
      </c>
      <c r="Q688" t="b">
        <v>0</v>
      </c>
      <c r="R688" t="b">
        <v>0</v>
      </c>
      <c r="S688" t="b">
        <v>1</v>
      </c>
      <c r="T688" t="b">
        <v>1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1</v>
      </c>
      <c r="AC688" t="b">
        <v>0</v>
      </c>
      <c r="AE688" t="s">
        <v>1999</v>
      </c>
    </row>
    <row r="689" spans="1:31" x14ac:dyDescent="0.3">
      <c r="A689">
        <v>-73.970595381460001</v>
      </c>
      <c r="B689">
        <v>40.776291214250001</v>
      </c>
      <c r="C689" t="s">
        <v>2000</v>
      </c>
      <c r="D689" t="s">
        <v>52</v>
      </c>
      <c r="E689" t="s">
        <v>33</v>
      </c>
      <c r="F689">
        <v>10082018</v>
      </c>
      <c r="G689">
        <v>5</v>
      </c>
      <c r="H689" t="s">
        <v>48</v>
      </c>
      <c r="I689" t="s">
        <v>42</v>
      </c>
      <c r="J689" t="s">
        <v>59</v>
      </c>
      <c r="K689" t="s">
        <v>79</v>
      </c>
      <c r="M689" t="s">
        <v>65</v>
      </c>
      <c r="N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1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1</v>
      </c>
      <c r="AC689" t="b">
        <v>0</v>
      </c>
      <c r="AE689" t="s">
        <v>2001</v>
      </c>
    </row>
    <row r="690" spans="1:31" x14ac:dyDescent="0.3">
      <c r="A690">
        <v>-73.976794914110002</v>
      </c>
      <c r="B690">
        <v>40.77445458359</v>
      </c>
      <c r="C690" t="s">
        <v>2002</v>
      </c>
      <c r="D690" t="s">
        <v>855</v>
      </c>
      <c r="E690" t="s">
        <v>33</v>
      </c>
      <c r="F690">
        <v>10102018</v>
      </c>
      <c r="G690">
        <v>1</v>
      </c>
      <c r="H690" t="s">
        <v>48</v>
      </c>
      <c r="K690" t="s">
        <v>34</v>
      </c>
      <c r="M690" t="s">
        <v>65</v>
      </c>
      <c r="N690" t="b">
        <v>0</v>
      </c>
      <c r="O690" t="s">
        <v>2003</v>
      </c>
      <c r="P690" t="b">
        <v>0</v>
      </c>
      <c r="Q690" t="b">
        <v>0</v>
      </c>
      <c r="R690" t="b">
        <v>1</v>
      </c>
      <c r="S690" t="b">
        <v>0</v>
      </c>
      <c r="T690" t="b">
        <v>0</v>
      </c>
      <c r="U690" t="s">
        <v>2004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1</v>
      </c>
      <c r="AC690" t="b">
        <v>0</v>
      </c>
      <c r="AE690" t="s">
        <v>2005</v>
      </c>
    </row>
    <row r="691" spans="1:31" x14ac:dyDescent="0.3">
      <c r="A691">
        <v>-73.969596498350001</v>
      </c>
      <c r="B691">
        <v>40.78023021928</v>
      </c>
      <c r="C691" t="s">
        <v>2006</v>
      </c>
      <c r="D691" t="s">
        <v>622</v>
      </c>
      <c r="E691" t="s">
        <v>33</v>
      </c>
      <c r="F691">
        <v>10182018</v>
      </c>
      <c r="G691">
        <v>8</v>
      </c>
      <c r="H691" t="s">
        <v>105</v>
      </c>
      <c r="I691" t="s">
        <v>176</v>
      </c>
      <c r="K691" t="s">
        <v>177</v>
      </c>
      <c r="M691" t="s">
        <v>65</v>
      </c>
      <c r="N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1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E691" t="s">
        <v>2007</v>
      </c>
    </row>
    <row r="692" spans="1:31" x14ac:dyDescent="0.3">
      <c r="A692">
        <v>-73.959452931100003</v>
      </c>
      <c r="B692">
        <v>40.784049260659998</v>
      </c>
      <c r="C692" t="s">
        <v>2008</v>
      </c>
      <c r="D692" t="s">
        <v>844</v>
      </c>
      <c r="E692" t="s">
        <v>33</v>
      </c>
      <c r="F692">
        <v>10102018</v>
      </c>
      <c r="G692">
        <v>4</v>
      </c>
      <c r="H692" t="s">
        <v>48</v>
      </c>
      <c r="I692" t="s">
        <v>42</v>
      </c>
      <c r="J692" t="s">
        <v>53</v>
      </c>
      <c r="K692" t="s">
        <v>54</v>
      </c>
      <c r="M692" t="s">
        <v>65</v>
      </c>
      <c r="N692" t="b">
        <v>0</v>
      </c>
      <c r="P692" t="b">
        <v>0</v>
      </c>
      <c r="Q692" t="b">
        <v>0</v>
      </c>
      <c r="R692" t="b">
        <v>0</v>
      </c>
      <c r="S692" t="b">
        <v>1</v>
      </c>
      <c r="T692" t="b">
        <v>1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1</v>
      </c>
      <c r="AB692" t="b">
        <v>0</v>
      </c>
      <c r="AC692" t="b">
        <v>0</v>
      </c>
      <c r="AE692" t="s">
        <v>2009</v>
      </c>
    </row>
    <row r="693" spans="1:31" x14ac:dyDescent="0.3">
      <c r="A693">
        <v>-73.969353372179995</v>
      </c>
      <c r="B693">
        <v>40.78382474224</v>
      </c>
      <c r="C693" t="s">
        <v>2010</v>
      </c>
      <c r="D693" t="s">
        <v>2011</v>
      </c>
      <c r="E693" t="s">
        <v>38</v>
      </c>
      <c r="F693">
        <v>10192018</v>
      </c>
      <c r="G693">
        <v>6</v>
      </c>
      <c r="H693" t="s">
        <v>105</v>
      </c>
      <c r="I693" t="s">
        <v>42</v>
      </c>
      <c r="K693" t="s">
        <v>43</v>
      </c>
      <c r="M693" t="s">
        <v>65</v>
      </c>
      <c r="N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1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1</v>
      </c>
      <c r="AC693" t="b">
        <v>0</v>
      </c>
      <c r="AE693" t="s">
        <v>2012</v>
      </c>
    </row>
    <row r="694" spans="1:31" x14ac:dyDescent="0.3">
      <c r="A694">
        <v>-73.969803273470006</v>
      </c>
      <c r="B694">
        <v>40.778234391239998</v>
      </c>
      <c r="C694" t="s">
        <v>2013</v>
      </c>
      <c r="D694" t="s">
        <v>709</v>
      </c>
      <c r="E694" t="s">
        <v>38</v>
      </c>
      <c r="F694">
        <v>10072018</v>
      </c>
      <c r="G694">
        <v>2</v>
      </c>
      <c r="H694" t="s">
        <v>48</v>
      </c>
      <c r="I694" t="s">
        <v>42</v>
      </c>
      <c r="J694" t="s">
        <v>59</v>
      </c>
      <c r="K694" t="s">
        <v>79</v>
      </c>
      <c r="M694" t="s">
        <v>65</v>
      </c>
      <c r="N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1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1</v>
      </c>
      <c r="AC694" t="b">
        <v>0</v>
      </c>
      <c r="AE694" t="s">
        <v>2014</v>
      </c>
    </row>
    <row r="695" spans="1:31" x14ac:dyDescent="0.3">
      <c r="A695">
        <v>-73.968508063990001</v>
      </c>
      <c r="B695">
        <v>40.77453097942</v>
      </c>
      <c r="C695" t="s">
        <v>2015</v>
      </c>
      <c r="D695" t="s">
        <v>2016</v>
      </c>
      <c r="E695" t="s">
        <v>33</v>
      </c>
      <c r="F695">
        <v>10082018</v>
      </c>
      <c r="G695">
        <v>3</v>
      </c>
      <c r="H695" t="s">
        <v>105</v>
      </c>
      <c r="I695" t="s">
        <v>53</v>
      </c>
      <c r="J695" t="s">
        <v>42</v>
      </c>
      <c r="K695" t="s">
        <v>89</v>
      </c>
      <c r="M695" t="s">
        <v>44</v>
      </c>
      <c r="N695">
        <v>20</v>
      </c>
      <c r="O695" t="s">
        <v>2017</v>
      </c>
      <c r="P695" t="b">
        <v>0</v>
      </c>
      <c r="Q695" t="b">
        <v>0</v>
      </c>
      <c r="R695" t="b">
        <v>1</v>
      </c>
      <c r="S695" t="b">
        <v>0</v>
      </c>
      <c r="T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1</v>
      </c>
      <c r="AC695" t="b">
        <v>0</v>
      </c>
      <c r="AE695" t="s">
        <v>2018</v>
      </c>
    </row>
    <row r="696" spans="1:31" x14ac:dyDescent="0.3">
      <c r="A696">
        <v>-73.965609819410005</v>
      </c>
      <c r="B696">
        <v>40.775764307899998</v>
      </c>
      <c r="C696" t="s">
        <v>2019</v>
      </c>
      <c r="D696" t="s">
        <v>408</v>
      </c>
      <c r="E696" t="s">
        <v>38</v>
      </c>
      <c r="F696">
        <v>10082018</v>
      </c>
      <c r="G696">
        <v>5</v>
      </c>
      <c r="H696" t="s">
        <v>48</v>
      </c>
      <c r="I696" t="s">
        <v>42</v>
      </c>
      <c r="K696" t="s">
        <v>43</v>
      </c>
      <c r="M696" t="s">
        <v>44</v>
      </c>
      <c r="N696">
        <v>5</v>
      </c>
      <c r="P696" t="b">
        <v>0</v>
      </c>
      <c r="Q696" t="b">
        <v>0</v>
      </c>
      <c r="R696" t="b">
        <v>1</v>
      </c>
      <c r="S696" t="b">
        <v>0</v>
      </c>
      <c r="T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1</v>
      </c>
      <c r="AE696" t="s">
        <v>2020</v>
      </c>
    </row>
    <row r="697" spans="1:31" x14ac:dyDescent="0.3">
      <c r="A697">
        <v>-73.970465600400004</v>
      </c>
      <c r="B697">
        <v>40.770112577319999</v>
      </c>
      <c r="C697" t="s">
        <v>2021</v>
      </c>
      <c r="D697" t="s">
        <v>92</v>
      </c>
      <c r="E697" t="s">
        <v>33</v>
      </c>
      <c r="F697">
        <v>10062018</v>
      </c>
      <c r="G697">
        <v>5</v>
      </c>
      <c r="H697" t="s">
        <v>48</v>
      </c>
      <c r="I697" t="s">
        <v>42</v>
      </c>
      <c r="J697" t="s">
        <v>53</v>
      </c>
      <c r="K697" t="s">
        <v>54</v>
      </c>
      <c r="M697" t="s">
        <v>65</v>
      </c>
      <c r="N697" t="b">
        <v>0</v>
      </c>
      <c r="O697" t="s">
        <v>2022</v>
      </c>
      <c r="P697" t="b">
        <v>1</v>
      </c>
      <c r="Q697" t="b">
        <v>0</v>
      </c>
      <c r="R697" t="b">
        <v>0</v>
      </c>
      <c r="S697" t="b">
        <v>1</v>
      </c>
      <c r="T697" t="b">
        <v>1</v>
      </c>
      <c r="V697" t="b">
        <v>0</v>
      </c>
      <c r="W697" t="b">
        <v>0</v>
      </c>
      <c r="X697" t="b">
        <v>0</v>
      </c>
      <c r="Y697" t="b">
        <v>0</v>
      </c>
      <c r="Z697" t="b">
        <v>1</v>
      </c>
      <c r="AA697" t="b">
        <v>0</v>
      </c>
      <c r="AB697" t="b">
        <v>0</v>
      </c>
      <c r="AC697" t="b">
        <v>1</v>
      </c>
      <c r="AE697" t="s">
        <v>2023</v>
      </c>
    </row>
    <row r="698" spans="1:31" x14ac:dyDescent="0.3">
      <c r="A698">
        <v>-73.958553766839998</v>
      </c>
      <c r="B698">
        <v>40.790390578699999</v>
      </c>
      <c r="C698" t="s">
        <v>2024</v>
      </c>
      <c r="D698" t="s">
        <v>124</v>
      </c>
      <c r="E698" t="s">
        <v>38</v>
      </c>
      <c r="F698">
        <v>10122018</v>
      </c>
      <c r="G698">
        <v>3</v>
      </c>
      <c r="H698" t="s">
        <v>48</v>
      </c>
      <c r="I698" t="s">
        <v>42</v>
      </c>
      <c r="J698" t="s">
        <v>53</v>
      </c>
      <c r="K698" t="s">
        <v>54</v>
      </c>
      <c r="M698" t="s">
        <v>44</v>
      </c>
      <c r="N698">
        <v>20</v>
      </c>
      <c r="P698" t="b">
        <v>0</v>
      </c>
      <c r="Q698" t="b">
        <v>0</v>
      </c>
      <c r="R698" t="b">
        <v>1</v>
      </c>
      <c r="S698" t="b">
        <v>0</v>
      </c>
      <c r="T698" t="b">
        <v>0</v>
      </c>
      <c r="U698" t="s">
        <v>2025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E698" t="s">
        <v>2026</v>
      </c>
    </row>
    <row r="699" spans="1:31" x14ac:dyDescent="0.3">
      <c r="A699">
        <v>-73.950469354419994</v>
      </c>
      <c r="B699">
        <v>40.797225435999998</v>
      </c>
      <c r="C699" t="s">
        <v>2027</v>
      </c>
      <c r="D699" t="s">
        <v>677</v>
      </c>
      <c r="E699" t="s">
        <v>38</v>
      </c>
      <c r="F699">
        <v>10192018</v>
      </c>
      <c r="G699">
        <v>1</v>
      </c>
      <c r="H699" t="s">
        <v>48</v>
      </c>
      <c r="I699" t="s">
        <v>53</v>
      </c>
      <c r="J699" t="s">
        <v>59</v>
      </c>
      <c r="K699" t="s">
        <v>60</v>
      </c>
      <c r="M699" t="s">
        <v>65</v>
      </c>
      <c r="N699" t="b">
        <v>0</v>
      </c>
      <c r="P699" t="b">
        <v>0</v>
      </c>
      <c r="Q699" t="b">
        <v>0</v>
      </c>
      <c r="R699" t="b">
        <v>0</v>
      </c>
      <c r="S699" t="b">
        <v>1</v>
      </c>
      <c r="T699" t="b">
        <v>1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E699" t="s">
        <v>2028</v>
      </c>
    </row>
    <row r="700" spans="1:31" x14ac:dyDescent="0.3">
      <c r="A700">
        <v>-73.969126175590006</v>
      </c>
      <c r="B700">
        <v>40.770292942860003</v>
      </c>
      <c r="C700" t="s">
        <v>2029</v>
      </c>
      <c r="D700" t="s">
        <v>1326</v>
      </c>
      <c r="E700" t="s">
        <v>38</v>
      </c>
      <c r="F700">
        <v>10062018</v>
      </c>
      <c r="G700">
        <v>12</v>
      </c>
      <c r="H700" t="s">
        <v>48</v>
      </c>
      <c r="I700" t="s">
        <v>42</v>
      </c>
      <c r="K700" t="s">
        <v>43</v>
      </c>
      <c r="M700" t="s">
        <v>44</v>
      </c>
      <c r="N700">
        <v>50</v>
      </c>
      <c r="O700" t="s">
        <v>190</v>
      </c>
      <c r="P700" t="b">
        <v>0</v>
      </c>
      <c r="Q700" t="b">
        <v>0</v>
      </c>
      <c r="R700" t="b">
        <v>1</v>
      </c>
      <c r="S700" t="b">
        <v>0</v>
      </c>
      <c r="T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1</v>
      </c>
      <c r="AC700" t="b">
        <v>0</v>
      </c>
      <c r="AE700" t="s">
        <v>2030</v>
      </c>
    </row>
    <row r="701" spans="1:31" x14ac:dyDescent="0.3">
      <c r="A701">
        <v>-73.952923020789996</v>
      </c>
      <c r="B701">
        <v>40.796066344259998</v>
      </c>
      <c r="C701" t="s">
        <v>2031</v>
      </c>
      <c r="D701" t="s">
        <v>1292</v>
      </c>
      <c r="E701" t="s">
        <v>33</v>
      </c>
      <c r="F701">
        <v>10132018</v>
      </c>
      <c r="G701">
        <v>6</v>
      </c>
      <c r="H701" t="s">
        <v>105</v>
      </c>
      <c r="I701" t="s">
        <v>42</v>
      </c>
      <c r="K701" t="s">
        <v>43</v>
      </c>
      <c r="M701" t="s">
        <v>65</v>
      </c>
      <c r="N701" t="b">
        <v>0</v>
      </c>
      <c r="O701" t="s">
        <v>2032</v>
      </c>
      <c r="P701" t="b">
        <v>0</v>
      </c>
      <c r="Q701" t="b">
        <v>0</v>
      </c>
      <c r="R701" t="b">
        <v>0</v>
      </c>
      <c r="S701" t="b">
        <v>1</v>
      </c>
      <c r="T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E701" t="s">
        <v>2033</v>
      </c>
    </row>
    <row r="702" spans="1:31" x14ac:dyDescent="0.3">
      <c r="A702">
        <v>-73.963858549250006</v>
      </c>
      <c r="B702">
        <v>40.78089996109</v>
      </c>
      <c r="C702" t="s">
        <v>2034</v>
      </c>
      <c r="D702" t="s">
        <v>343</v>
      </c>
      <c r="E702" t="s">
        <v>38</v>
      </c>
      <c r="F702">
        <v>10142018</v>
      </c>
      <c r="G702">
        <v>3</v>
      </c>
      <c r="H702" t="s">
        <v>48</v>
      </c>
      <c r="I702" t="s">
        <v>42</v>
      </c>
      <c r="J702" t="s">
        <v>59</v>
      </c>
      <c r="K702" t="s">
        <v>79</v>
      </c>
      <c r="M702" t="s">
        <v>44</v>
      </c>
      <c r="N702">
        <v>7</v>
      </c>
      <c r="P702" t="b">
        <v>0</v>
      </c>
      <c r="Q702" t="b">
        <v>0</v>
      </c>
      <c r="R702" t="b">
        <v>0</v>
      </c>
      <c r="S702" t="b">
        <v>0</v>
      </c>
      <c r="T702" t="b">
        <v>1</v>
      </c>
      <c r="V702" t="b">
        <v>0</v>
      </c>
      <c r="W702" t="b">
        <v>0</v>
      </c>
      <c r="X702" t="b">
        <v>0</v>
      </c>
      <c r="Y702" t="b">
        <v>0</v>
      </c>
      <c r="Z702" t="b">
        <v>1</v>
      </c>
      <c r="AA702" t="b">
        <v>0</v>
      </c>
      <c r="AB702" t="b">
        <v>1</v>
      </c>
      <c r="AC702" t="b">
        <v>0</v>
      </c>
      <c r="AE702" t="s">
        <v>2035</v>
      </c>
    </row>
    <row r="703" spans="1:31" x14ac:dyDescent="0.3">
      <c r="A703">
        <v>-73.957630447369993</v>
      </c>
      <c r="B703">
        <v>40.795981062229998</v>
      </c>
      <c r="C703" t="s">
        <v>2036</v>
      </c>
      <c r="D703" t="s">
        <v>835</v>
      </c>
      <c r="E703" t="s">
        <v>38</v>
      </c>
      <c r="F703">
        <v>10172018</v>
      </c>
      <c r="G703">
        <v>5</v>
      </c>
      <c r="H703" t="s">
        <v>48</v>
      </c>
      <c r="I703" t="s">
        <v>42</v>
      </c>
      <c r="J703" t="s">
        <v>1921</v>
      </c>
      <c r="K703" t="s">
        <v>1922</v>
      </c>
      <c r="L703" t="s">
        <v>2037</v>
      </c>
      <c r="M703" t="s">
        <v>65</v>
      </c>
      <c r="N703" t="b">
        <v>0</v>
      </c>
      <c r="P703" t="b">
        <v>1</v>
      </c>
      <c r="Q703" t="b">
        <v>0</v>
      </c>
      <c r="R703" t="b">
        <v>0</v>
      </c>
      <c r="S703" t="b">
        <v>1</v>
      </c>
      <c r="T703" t="b">
        <v>0</v>
      </c>
      <c r="U703" t="s">
        <v>2038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1</v>
      </c>
      <c r="AE703" t="s">
        <v>2039</v>
      </c>
    </row>
    <row r="704" spans="1:31" x14ac:dyDescent="0.3">
      <c r="A704">
        <v>-73.979356556439996</v>
      </c>
      <c r="B704">
        <v>40.767925939039998</v>
      </c>
      <c r="C704" t="s">
        <v>2040</v>
      </c>
      <c r="D704" t="s">
        <v>1232</v>
      </c>
      <c r="E704" t="s">
        <v>38</v>
      </c>
      <c r="F704">
        <v>10102018</v>
      </c>
      <c r="G704">
        <v>9</v>
      </c>
      <c r="H704" t="s">
        <v>48</v>
      </c>
      <c r="I704" t="s">
        <v>42</v>
      </c>
      <c r="J704" t="s">
        <v>59</v>
      </c>
      <c r="K704" t="s">
        <v>79</v>
      </c>
      <c r="M704" t="s">
        <v>65</v>
      </c>
      <c r="N704" t="b">
        <v>0</v>
      </c>
      <c r="P704" t="b">
        <v>0</v>
      </c>
      <c r="Q704" t="b">
        <v>0</v>
      </c>
      <c r="R704" t="b">
        <v>0</v>
      </c>
      <c r="S704" t="b">
        <v>1</v>
      </c>
      <c r="T704" t="b">
        <v>1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s">
        <v>2041</v>
      </c>
      <c r="AE704" t="s">
        <v>2042</v>
      </c>
    </row>
    <row r="705" spans="1:31" x14ac:dyDescent="0.3">
      <c r="A705">
        <v>-73.977922828760001</v>
      </c>
      <c r="B705">
        <v>40.768101968389999</v>
      </c>
      <c r="C705" t="s">
        <v>2043</v>
      </c>
      <c r="D705" t="s">
        <v>502</v>
      </c>
      <c r="E705" t="s">
        <v>33</v>
      </c>
      <c r="F705">
        <v>10102018</v>
      </c>
      <c r="G705">
        <v>1</v>
      </c>
      <c r="H705" t="s">
        <v>48</v>
      </c>
      <c r="I705" t="s">
        <v>42</v>
      </c>
      <c r="J705" t="s">
        <v>53</v>
      </c>
      <c r="K705" t="s">
        <v>54</v>
      </c>
      <c r="M705" t="s">
        <v>65</v>
      </c>
      <c r="N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1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E705" t="s">
        <v>2044</v>
      </c>
    </row>
    <row r="706" spans="1:31" x14ac:dyDescent="0.3">
      <c r="A706">
        <v>-73.957013257089997</v>
      </c>
      <c r="B706">
        <v>40.793201415909998</v>
      </c>
      <c r="C706" t="s">
        <v>2045</v>
      </c>
      <c r="D706" t="s">
        <v>2046</v>
      </c>
      <c r="E706" t="s">
        <v>33</v>
      </c>
      <c r="F706">
        <v>10122018</v>
      </c>
      <c r="G706">
        <v>1</v>
      </c>
      <c r="H706" t="s">
        <v>105</v>
      </c>
      <c r="I706" t="s">
        <v>42</v>
      </c>
      <c r="J706" t="s">
        <v>148</v>
      </c>
      <c r="K706" t="s">
        <v>149</v>
      </c>
      <c r="M706" t="s">
        <v>65</v>
      </c>
      <c r="N706" t="b">
        <v>0</v>
      </c>
      <c r="P706" t="b">
        <v>1</v>
      </c>
      <c r="Q706" t="b">
        <v>0</v>
      </c>
      <c r="R706" t="b">
        <v>0</v>
      </c>
      <c r="S706" t="b">
        <v>1</v>
      </c>
      <c r="T706" t="b">
        <v>1</v>
      </c>
      <c r="V706" t="b">
        <v>0</v>
      </c>
      <c r="W706" t="b">
        <v>0</v>
      </c>
      <c r="X706" t="b">
        <v>0</v>
      </c>
      <c r="Y706" t="b">
        <v>1</v>
      </c>
      <c r="Z706" t="b">
        <v>0</v>
      </c>
      <c r="AA706" t="b">
        <v>0</v>
      </c>
      <c r="AB706" t="b">
        <v>1</v>
      </c>
      <c r="AC706" t="b">
        <v>1</v>
      </c>
      <c r="AE706" t="s">
        <v>2047</v>
      </c>
    </row>
    <row r="707" spans="1:31" x14ac:dyDescent="0.3">
      <c r="A707">
        <v>-73.961547503800006</v>
      </c>
      <c r="B707">
        <v>40.793156066869997</v>
      </c>
      <c r="C707" t="s">
        <v>2048</v>
      </c>
      <c r="D707" t="s">
        <v>928</v>
      </c>
      <c r="E707" t="s">
        <v>38</v>
      </c>
      <c r="F707">
        <v>10102018</v>
      </c>
      <c r="G707">
        <v>6</v>
      </c>
      <c r="H707" t="s">
        <v>48</v>
      </c>
      <c r="I707" t="s">
        <v>42</v>
      </c>
      <c r="K707" t="s">
        <v>43</v>
      </c>
      <c r="M707" t="s">
        <v>65</v>
      </c>
      <c r="N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1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1</v>
      </c>
      <c r="AC707" t="b">
        <v>0</v>
      </c>
      <c r="AE707" t="s">
        <v>2049</v>
      </c>
    </row>
    <row r="708" spans="1:31" x14ac:dyDescent="0.3">
      <c r="A708">
        <v>-73.959281949200005</v>
      </c>
      <c r="B708">
        <v>40.79410620086</v>
      </c>
      <c r="C708" t="s">
        <v>2050</v>
      </c>
      <c r="D708" t="s">
        <v>195</v>
      </c>
      <c r="E708" t="s">
        <v>38</v>
      </c>
      <c r="F708">
        <v>10072018</v>
      </c>
      <c r="G708">
        <v>6</v>
      </c>
      <c r="H708" t="s">
        <v>48</v>
      </c>
      <c r="K708" t="s">
        <v>34</v>
      </c>
      <c r="M708" t="s">
        <v>44</v>
      </c>
      <c r="N708">
        <v>30</v>
      </c>
      <c r="P708" t="b">
        <v>0</v>
      </c>
      <c r="Q708" t="b">
        <v>0</v>
      </c>
      <c r="R708" t="b">
        <v>1</v>
      </c>
      <c r="S708" t="b">
        <v>0</v>
      </c>
      <c r="T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E708" t="s">
        <v>2051</v>
      </c>
    </row>
    <row r="709" spans="1:31" x14ac:dyDescent="0.3">
      <c r="A709">
        <v>-73.951938788169997</v>
      </c>
      <c r="B709">
        <v>40.79362736369</v>
      </c>
      <c r="C709" t="s">
        <v>2052</v>
      </c>
      <c r="D709" t="s">
        <v>2053</v>
      </c>
      <c r="E709" t="s">
        <v>33</v>
      </c>
      <c r="F709">
        <v>10142018</v>
      </c>
      <c r="G709">
        <v>4</v>
      </c>
      <c r="H709" t="s">
        <v>48</v>
      </c>
      <c r="I709" t="s">
        <v>42</v>
      </c>
      <c r="K709" t="s">
        <v>43</v>
      </c>
      <c r="M709" t="s">
        <v>65</v>
      </c>
      <c r="N709" t="b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E709" t="s">
        <v>2054</v>
      </c>
    </row>
    <row r="710" spans="1:31" x14ac:dyDescent="0.3">
      <c r="A710">
        <v>-73.969556989699996</v>
      </c>
      <c r="B710">
        <v>40.771206214720003</v>
      </c>
      <c r="C710" t="s">
        <v>2055</v>
      </c>
      <c r="D710" t="s">
        <v>2056</v>
      </c>
      <c r="E710" t="s">
        <v>33</v>
      </c>
      <c r="F710">
        <v>10182018</v>
      </c>
      <c r="G710">
        <v>1</v>
      </c>
      <c r="H710" t="s">
        <v>48</v>
      </c>
      <c r="I710" t="s">
        <v>42</v>
      </c>
      <c r="J710" t="s">
        <v>59</v>
      </c>
      <c r="K710" t="s">
        <v>79</v>
      </c>
      <c r="M710" t="s">
        <v>65</v>
      </c>
      <c r="N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1</v>
      </c>
      <c r="AC710" t="b">
        <v>0</v>
      </c>
      <c r="AE710" t="s">
        <v>2057</v>
      </c>
    </row>
    <row r="711" spans="1:31" x14ac:dyDescent="0.3">
      <c r="A711">
        <v>-73.976798092509995</v>
      </c>
      <c r="B711">
        <v>40.774362775679997</v>
      </c>
      <c r="C711" t="s">
        <v>2058</v>
      </c>
      <c r="D711" t="s">
        <v>855</v>
      </c>
      <c r="E711" t="s">
        <v>33</v>
      </c>
      <c r="F711">
        <v>10102018</v>
      </c>
      <c r="G711">
        <v>2</v>
      </c>
      <c r="H711" t="s">
        <v>48</v>
      </c>
      <c r="K711" t="s">
        <v>34</v>
      </c>
      <c r="M711" t="s">
        <v>65</v>
      </c>
      <c r="N711" t="b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1</v>
      </c>
      <c r="AC711" t="b">
        <v>0</v>
      </c>
      <c r="AE711" t="s">
        <v>2059</v>
      </c>
    </row>
    <row r="712" spans="1:31" x14ac:dyDescent="0.3">
      <c r="A712">
        <v>-73.973616988670003</v>
      </c>
      <c r="B712">
        <v>40.77149421963</v>
      </c>
      <c r="C712" t="s">
        <v>2060</v>
      </c>
      <c r="D712" t="s">
        <v>139</v>
      </c>
      <c r="E712" t="s">
        <v>38</v>
      </c>
      <c r="F712">
        <v>10062018</v>
      </c>
      <c r="G712">
        <v>6</v>
      </c>
      <c r="H712" t="s">
        <v>48</v>
      </c>
      <c r="I712" t="s">
        <v>42</v>
      </c>
      <c r="J712" t="s">
        <v>53</v>
      </c>
      <c r="K712" t="s">
        <v>54</v>
      </c>
      <c r="M712" t="s">
        <v>65</v>
      </c>
      <c r="N712" t="b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1</v>
      </c>
      <c r="AB712" t="b">
        <v>0</v>
      </c>
      <c r="AC712" t="b">
        <v>0</v>
      </c>
      <c r="AE712" t="s">
        <v>2061</v>
      </c>
    </row>
    <row r="713" spans="1:31" x14ac:dyDescent="0.3">
      <c r="A713">
        <v>-73.956200809769996</v>
      </c>
      <c r="B713">
        <v>40.79818144627</v>
      </c>
      <c r="C713" t="s">
        <v>2062</v>
      </c>
      <c r="D713" t="s">
        <v>1245</v>
      </c>
      <c r="E713" t="s">
        <v>38</v>
      </c>
      <c r="F713">
        <v>10172018</v>
      </c>
      <c r="G713">
        <v>6</v>
      </c>
      <c r="H713" t="s">
        <v>48</v>
      </c>
      <c r="I713" t="s">
        <v>42</v>
      </c>
      <c r="J713" t="s">
        <v>53</v>
      </c>
      <c r="K713" t="s">
        <v>54</v>
      </c>
      <c r="M713" t="s">
        <v>65</v>
      </c>
      <c r="N713" t="b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1</v>
      </c>
      <c r="AE713" t="s">
        <v>2063</v>
      </c>
    </row>
    <row r="714" spans="1:31" x14ac:dyDescent="0.3">
      <c r="A714">
        <v>-73.96915857562</v>
      </c>
      <c r="B714">
        <v>40.776340465700002</v>
      </c>
      <c r="C714" t="s">
        <v>2064</v>
      </c>
      <c r="D714" t="s">
        <v>225</v>
      </c>
      <c r="E714" t="s">
        <v>38</v>
      </c>
      <c r="F714">
        <v>10072018</v>
      </c>
      <c r="G714">
        <v>3</v>
      </c>
      <c r="H714" t="s">
        <v>48</v>
      </c>
      <c r="I714" t="s">
        <v>42</v>
      </c>
      <c r="J714" t="s">
        <v>96</v>
      </c>
      <c r="K714" t="s">
        <v>97</v>
      </c>
      <c r="M714" t="s">
        <v>65</v>
      </c>
      <c r="N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1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1</v>
      </c>
      <c r="AC714" t="b">
        <v>0</v>
      </c>
      <c r="AE714" t="s">
        <v>2065</v>
      </c>
    </row>
    <row r="715" spans="1:31" x14ac:dyDescent="0.3">
      <c r="A715">
        <v>-73.977202657269999</v>
      </c>
      <c r="B715">
        <v>40.769159877299998</v>
      </c>
      <c r="C715" t="s">
        <v>2066</v>
      </c>
      <c r="D715" t="s">
        <v>534</v>
      </c>
      <c r="E715" t="s">
        <v>33</v>
      </c>
      <c r="F715">
        <v>10082018</v>
      </c>
      <c r="G715">
        <v>14</v>
      </c>
      <c r="H715" t="s">
        <v>48</v>
      </c>
      <c r="I715" t="s">
        <v>53</v>
      </c>
      <c r="J715" t="s">
        <v>115</v>
      </c>
      <c r="K715" t="s">
        <v>116</v>
      </c>
      <c r="M715" t="s">
        <v>65</v>
      </c>
      <c r="N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1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1</v>
      </c>
      <c r="AC715" t="b">
        <v>0</v>
      </c>
      <c r="AE715" t="s">
        <v>2067</v>
      </c>
    </row>
    <row r="716" spans="1:31" x14ac:dyDescent="0.3">
      <c r="A716">
        <v>-73.974542798409999</v>
      </c>
      <c r="B716">
        <v>40.769184821480003</v>
      </c>
      <c r="C716" t="s">
        <v>2068</v>
      </c>
      <c r="D716" t="s">
        <v>245</v>
      </c>
      <c r="E716" t="s">
        <v>38</v>
      </c>
      <c r="F716">
        <v>10082018</v>
      </c>
      <c r="G716">
        <v>3</v>
      </c>
      <c r="H716" t="s">
        <v>48</v>
      </c>
      <c r="I716" t="s">
        <v>42</v>
      </c>
      <c r="J716" t="s">
        <v>53</v>
      </c>
      <c r="K716" t="s">
        <v>54</v>
      </c>
      <c r="M716" t="s">
        <v>65</v>
      </c>
      <c r="N716" t="b">
        <v>0</v>
      </c>
      <c r="P716" t="b">
        <v>1</v>
      </c>
      <c r="Q716" t="b">
        <v>0</v>
      </c>
      <c r="R716" t="b">
        <v>0</v>
      </c>
      <c r="S716" t="b">
        <v>0</v>
      </c>
      <c r="T716" t="b">
        <v>1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E716" t="s">
        <v>2069</v>
      </c>
    </row>
    <row r="717" spans="1:31" x14ac:dyDescent="0.3">
      <c r="A717">
        <v>-73.957474957179997</v>
      </c>
      <c r="B717">
        <v>40.798189889070002</v>
      </c>
      <c r="C717" t="s">
        <v>2070</v>
      </c>
      <c r="D717" t="s">
        <v>1245</v>
      </c>
      <c r="E717" t="s">
        <v>33</v>
      </c>
      <c r="F717">
        <v>10062018</v>
      </c>
      <c r="G717">
        <v>8</v>
      </c>
      <c r="H717" t="s">
        <v>48</v>
      </c>
      <c r="I717" t="s">
        <v>42</v>
      </c>
      <c r="K717" t="s">
        <v>43</v>
      </c>
      <c r="M717" t="s">
        <v>65</v>
      </c>
      <c r="N717" t="b">
        <v>0</v>
      </c>
      <c r="O717" t="s">
        <v>2071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1</v>
      </c>
      <c r="AE717" t="s">
        <v>2072</v>
      </c>
    </row>
    <row r="718" spans="1:31" x14ac:dyDescent="0.3">
      <c r="A718">
        <v>-73.966169446349994</v>
      </c>
      <c r="B718">
        <v>40.775753058360003</v>
      </c>
      <c r="C718" t="s">
        <v>2073</v>
      </c>
      <c r="D718" t="s">
        <v>663</v>
      </c>
      <c r="E718" t="s">
        <v>33</v>
      </c>
      <c r="F718">
        <v>10082018</v>
      </c>
      <c r="G718">
        <v>7</v>
      </c>
      <c r="H718" t="s">
        <v>48</v>
      </c>
      <c r="I718" t="s">
        <v>42</v>
      </c>
      <c r="J718" t="s">
        <v>53</v>
      </c>
      <c r="K718" t="s">
        <v>54</v>
      </c>
      <c r="M718" t="s">
        <v>65</v>
      </c>
      <c r="N718" t="b">
        <v>0</v>
      </c>
      <c r="O718" t="s">
        <v>2074</v>
      </c>
      <c r="P718" t="b">
        <v>0</v>
      </c>
      <c r="Q718" t="b">
        <v>0</v>
      </c>
      <c r="R718" t="b">
        <v>0</v>
      </c>
      <c r="S718" t="b">
        <v>1</v>
      </c>
      <c r="T718" t="b">
        <v>1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1</v>
      </c>
      <c r="AC718" t="b">
        <v>0</v>
      </c>
      <c r="AE718" t="s">
        <v>2075</v>
      </c>
    </row>
    <row r="719" spans="1:31" x14ac:dyDescent="0.3">
      <c r="A719">
        <v>-73.962688123470002</v>
      </c>
      <c r="B719">
        <v>40.790520834550001</v>
      </c>
      <c r="C719" t="s">
        <v>2076</v>
      </c>
      <c r="D719" t="s">
        <v>2077</v>
      </c>
      <c r="E719" t="s">
        <v>38</v>
      </c>
      <c r="F719">
        <v>10142018</v>
      </c>
      <c r="G719">
        <v>1</v>
      </c>
      <c r="H719" t="s">
        <v>48</v>
      </c>
      <c r="I719" t="s">
        <v>42</v>
      </c>
      <c r="J719" t="s">
        <v>53</v>
      </c>
      <c r="K719" t="s">
        <v>54</v>
      </c>
      <c r="M719" t="s">
        <v>65</v>
      </c>
      <c r="N719" t="b">
        <v>0</v>
      </c>
      <c r="P719" t="b">
        <v>0</v>
      </c>
      <c r="Q719" t="b">
        <v>0</v>
      </c>
      <c r="R719" t="b">
        <v>0</v>
      </c>
      <c r="S719" t="b">
        <v>1</v>
      </c>
      <c r="T719" t="b">
        <v>1</v>
      </c>
      <c r="V719" t="b">
        <v>0</v>
      </c>
      <c r="W719" t="b">
        <v>0</v>
      </c>
      <c r="X719" t="b">
        <v>0</v>
      </c>
      <c r="Y719" t="b">
        <v>0</v>
      </c>
      <c r="Z719" t="b">
        <v>1</v>
      </c>
      <c r="AA719" t="b">
        <v>0</v>
      </c>
      <c r="AB719" t="b">
        <v>1</v>
      </c>
      <c r="AC719" t="b">
        <v>0</v>
      </c>
      <c r="AE719" t="s">
        <v>2078</v>
      </c>
    </row>
    <row r="720" spans="1:31" x14ac:dyDescent="0.3">
      <c r="A720">
        <v>-73.96698143463</v>
      </c>
      <c r="B720">
        <v>40.780390919950001</v>
      </c>
      <c r="C720" t="s">
        <v>2079</v>
      </c>
      <c r="D720" t="s">
        <v>2080</v>
      </c>
      <c r="E720" t="s">
        <v>33</v>
      </c>
      <c r="F720">
        <v>10182018</v>
      </c>
      <c r="G720">
        <v>1</v>
      </c>
      <c r="H720" t="s">
        <v>48</v>
      </c>
      <c r="I720" t="s">
        <v>42</v>
      </c>
      <c r="J720" t="s">
        <v>53</v>
      </c>
      <c r="K720" t="s">
        <v>54</v>
      </c>
      <c r="M720" t="s">
        <v>65</v>
      </c>
      <c r="N720" t="b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1</v>
      </c>
      <c r="AA720" t="b">
        <v>0</v>
      </c>
      <c r="AB720" t="b">
        <v>0</v>
      </c>
      <c r="AC720" t="b">
        <v>1</v>
      </c>
      <c r="AE720" t="s">
        <v>2081</v>
      </c>
    </row>
    <row r="721" spans="1:31" x14ac:dyDescent="0.3">
      <c r="A721">
        <v>-73.971826203449993</v>
      </c>
      <c r="B721">
        <v>40.76667717974</v>
      </c>
      <c r="C721" t="s">
        <v>2082</v>
      </c>
      <c r="D721" t="s">
        <v>1240</v>
      </c>
      <c r="E721" t="s">
        <v>33</v>
      </c>
      <c r="F721">
        <v>10072018</v>
      </c>
      <c r="G721">
        <v>2</v>
      </c>
      <c r="H721" t="s">
        <v>48</v>
      </c>
      <c r="I721" t="s">
        <v>176</v>
      </c>
      <c r="K721" t="s">
        <v>177</v>
      </c>
      <c r="M721" t="s">
        <v>65</v>
      </c>
      <c r="N721" t="b">
        <v>0</v>
      </c>
      <c r="P721" t="b">
        <v>0</v>
      </c>
      <c r="Q721" t="b">
        <v>1</v>
      </c>
      <c r="R721" t="b">
        <v>0</v>
      </c>
      <c r="S721" t="b">
        <v>0</v>
      </c>
      <c r="T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E721" t="s">
        <v>2083</v>
      </c>
    </row>
    <row r="722" spans="1:31" x14ac:dyDescent="0.3">
      <c r="A722">
        <v>-73.974595371030006</v>
      </c>
      <c r="B722">
        <v>40.772828402519998</v>
      </c>
      <c r="C722" t="s">
        <v>2084</v>
      </c>
      <c r="D722" t="s">
        <v>2085</v>
      </c>
      <c r="E722" t="s">
        <v>38</v>
      </c>
      <c r="F722">
        <v>10072018</v>
      </c>
      <c r="G722">
        <v>7</v>
      </c>
      <c r="H722" t="s">
        <v>48</v>
      </c>
      <c r="I722" t="s">
        <v>42</v>
      </c>
      <c r="J722" t="s">
        <v>53</v>
      </c>
      <c r="K722" t="s">
        <v>54</v>
      </c>
      <c r="M722" t="s">
        <v>65</v>
      </c>
      <c r="N722" t="b">
        <v>0</v>
      </c>
      <c r="P722" t="b">
        <v>0</v>
      </c>
      <c r="Q722" t="b">
        <v>0</v>
      </c>
      <c r="R722" t="b">
        <v>0</v>
      </c>
      <c r="S722" t="b">
        <v>1</v>
      </c>
      <c r="T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E722" t="s">
        <v>2086</v>
      </c>
    </row>
    <row r="723" spans="1:31" x14ac:dyDescent="0.3">
      <c r="A723">
        <v>-73.965439748479994</v>
      </c>
      <c r="B723">
        <v>40.779886352289999</v>
      </c>
      <c r="C723" t="s">
        <v>2087</v>
      </c>
      <c r="D723" t="s">
        <v>1032</v>
      </c>
      <c r="E723" t="s">
        <v>33</v>
      </c>
      <c r="F723">
        <v>10172018</v>
      </c>
      <c r="G723">
        <v>3</v>
      </c>
      <c r="H723" t="s">
        <v>48</v>
      </c>
      <c r="I723" t="s">
        <v>53</v>
      </c>
      <c r="J723" t="s">
        <v>42</v>
      </c>
      <c r="K723" t="s">
        <v>89</v>
      </c>
      <c r="M723" t="s">
        <v>65</v>
      </c>
      <c r="N723" t="b">
        <v>0</v>
      </c>
      <c r="P723" t="b">
        <v>0</v>
      </c>
      <c r="Q723" t="b">
        <v>0</v>
      </c>
      <c r="R723" t="b">
        <v>0</v>
      </c>
      <c r="S723" t="b">
        <v>1</v>
      </c>
      <c r="T723" t="b">
        <v>1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1</v>
      </c>
      <c r="AB723" t="b">
        <v>0</v>
      </c>
      <c r="AC723" t="b">
        <v>0</v>
      </c>
      <c r="AE723" t="s">
        <v>2088</v>
      </c>
    </row>
    <row r="724" spans="1:31" x14ac:dyDescent="0.3">
      <c r="A724">
        <v>-73.953295276310001</v>
      </c>
      <c r="B724">
        <v>40.792007446260001</v>
      </c>
      <c r="C724" t="s">
        <v>2089</v>
      </c>
      <c r="D724" t="s">
        <v>85</v>
      </c>
      <c r="E724" t="s">
        <v>38</v>
      </c>
      <c r="F724">
        <v>10172018</v>
      </c>
      <c r="G724">
        <v>8</v>
      </c>
      <c r="H724" t="s">
        <v>48</v>
      </c>
      <c r="I724" t="s">
        <v>42</v>
      </c>
      <c r="K724" t="s">
        <v>43</v>
      </c>
      <c r="M724" t="s">
        <v>65</v>
      </c>
      <c r="N724" t="b">
        <v>0</v>
      </c>
      <c r="P724" t="b">
        <v>0</v>
      </c>
      <c r="Q724" t="b">
        <v>1</v>
      </c>
      <c r="R724" t="b">
        <v>0</v>
      </c>
      <c r="S724" t="b">
        <v>0</v>
      </c>
      <c r="T724" t="b">
        <v>0</v>
      </c>
      <c r="U724" t="s">
        <v>2090</v>
      </c>
      <c r="V724" t="b">
        <v>0</v>
      </c>
      <c r="W724" t="b">
        <v>0</v>
      </c>
      <c r="X724" t="b">
        <v>0</v>
      </c>
      <c r="Y724" t="b">
        <v>0</v>
      </c>
      <c r="Z724" t="b">
        <v>1</v>
      </c>
      <c r="AA724" t="b">
        <v>0</v>
      </c>
      <c r="AB724" t="b">
        <v>0</v>
      </c>
      <c r="AC724" t="b">
        <v>1</v>
      </c>
      <c r="AD724" t="s">
        <v>770</v>
      </c>
      <c r="AE724" t="s">
        <v>2091</v>
      </c>
    </row>
    <row r="725" spans="1:31" x14ac:dyDescent="0.3">
      <c r="A725">
        <v>-73.968962779099996</v>
      </c>
      <c r="B725">
        <v>40.77606200436</v>
      </c>
      <c r="C725" t="s">
        <v>2092</v>
      </c>
      <c r="D725" t="s">
        <v>225</v>
      </c>
      <c r="E725" t="s">
        <v>38</v>
      </c>
      <c r="F725">
        <v>10072018</v>
      </c>
      <c r="G725">
        <v>6</v>
      </c>
      <c r="H725" t="s">
        <v>105</v>
      </c>
      <c r="I725" t="s">
        <v>42</v>
      </c>
      <c r="J725" t="s">
        <v>96</v>
      </c>
      <c r="K725" t="s">
        <v>97</v>
      </c>
      <c r="M725" t="s">
        <v>65</v>
      </c>
      <c r="N725" t="b">
        <v>0</v>
      </c>
      <c r="P725" t="b">
        <v>0</v>
      </c>
      <c r="Q725" t="b">
        <v>1</v>
      </c>
      <c r="R725" t="b">
        <v>0</v>
      </c>
      <c r="S725" t="b">
        <v>0</v>
      </c>
      <c r="T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1</v>
      </c>
      <c r="AC725" t="b">
        <v>0</v>
      </c>
      <c r="AE725" t="s">
        <v>2093</v>
      </c>
    </row>
    <row r="726" spans="1:31" x14ac:dyDescent="0.3">
      <c r="A726">
        <v>-73.973305698329995</v>
      </c>
      <c r="B726">
        <v>40.778382331129997</v>
      </c>
      <c r="C726" t="s">
        <v>2094</v>
      </c>
      <c r="D726" t="s">
        <v>785</v>
      </c>
      <c r="E726" t="s">
        <v>33</v>
      </c>
      <c r="F726">
        <v>10142018</v>
      </c>
      <c r="G726">
        <v>6</v>
      </c>
      <c r="H726" t="s">
        <v>48</v>
      </c>
      <c r="I726" t="s">
        <v>42</v>
      </c>
      <c r="J726" t="s">
        <v>96</v>
      </c>
      <c r="K726" t="s">
        <v>97</v>
      </c>
      <c r="M726" t="s">
        <v>44</v>
      </c>
      <c r="N726">
        <v>9</v>
      </c>
      <c r="P726" t="b">
        <v>0</v>
      </c>
      <c r="Q726" t="b">
        <v>0</v>
      </c>
      <c r="R726" t="b">
        <v>1</v>
      </c>
      <c r="S726" t="b">
        <v>0</v>
      </c>
      <c r="T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1</v>
      </c>
      <c r="AE726" t="s">
        <v>2095</v>
      </c>
    </row>
    <row r="727" spans="1:31" x14ac:dyDescent="0.3">
      <c r="A727">
        <v>-73.96345632229</v>
      </c>
      <c r="B727">
        <v>40.780992836419998</v>
      </c>
      <c r="C727" t="s">
        <v>2096</v>
      </c>
      <c r="D727" t="s">
        <v>343</v>
      </c>
      <c r="E727" t="s">
        <v>33</v>
      </c>
      <c r="F727">
        <v>10072018</v>
      </c>
      <c r="G727">
        <v>4</v>
      </c>
      <c r="I727" t="s">
        <v>42</v>
      </c>
      <c r="J727" t="s">
        <v>53</v>
      </c>
      <c r="K727" t="s">
        <v>54</v>
      </c>
      <c r="M727" t="s">
        <v>65</v>
      </c>
      <c r="N727" t="b">
        <v>0</v>
      </c>
      <c r="P727" t="b">
        <v>0</v>
      </c>
      <c r="Q727" t="b">
        <v>0</v>
      </c>
      <c r="R727" t="b">
        <v>0</v>
      </c>
      <c r="S727" t="b">
        <v>1</v>
      </c>
      <c r="T727" t="b">
        <v>0</v>
      </c>
      <c r="V727" t="b">
        <v>0</v>
      </c>
      <c r="W727" t="b">
        <v>0</v>
      </c>
      <c r="X727" t="b">
        <v>0</v>
      </c>
      <c r="Y727" t="b">
        <v>1</v>
      </c>
      <c r="Z727" t="b">
        <v>0</v>
      </c>
      <c r="AA727" t="b">
        <v>0</v>
      </c>
      <c r="AB727" t="b">
        <v>0</v>
      </c>
      <c r="AC727" t="b">
        <v>1</v>
      </c>
      <c r="AE727" t="s">
        <v>2097</v>
      </c>
    </row>
    <row r="728" spans="1:31" x14ac:dyDescent="0.3">
      <c r="A728">
        <v>-73.960291310559995</v>
      </c>
      <c r="B728">
        <v>40.791063581000003</v>
      </c>
      <c r="C728" t="s">
        <v>2098</v>
      </c>
      <c r="D728" t="s">
        <v>294</v>
      </c>
      <c r="E728" t="s">
        <v>33</v>
      </c>
      <c r="F728">
        <v>10062018</v>
      </c>
      <c r="G728">
        <v>3</v>
      </c>
      <c r="H728" t="s">
        <v>48</v>
      </c>
      <c r="I728" t="s">
        <v>42</v>
      </c>
      <c r="J728" t="s">
        <v>96</v>
      </c>
      <c r="K728" t="s">
        <v>97</v>
      </c>
      <c r="M728" t="s">
        <v>44</v>
      </c>
      <c r="N728">
        <v>40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1</v>
      </c>
      <c r="AA728" t="b">
        <v>0</v>
      </c>
      <c r="AB728" t="b">
        <v>1</v>
      </c>
      <c r="AC728" t="b">
        <v>0</v>
      </c>
      <c r="AE728" t="s">
        <v>2099</v>
      </c>
    </row>
    <row r="729" spans="1:31" x14ac:dyDescent="0.3">
      <c r="A729">
        <v>-73.977604457840002</v>
      </c>
      <c r="B729">
        <v>40.769760730800002</v>
      </c>
      <c r="C729" t="s">
        <v>2100</v>
      </c>
      <c r="D729" t="s">
        <v>1581</v>
      </c>
      <c r="E729" t="s">
        <v>33</v>
      </c>
      <c r="F729">
        <v>10102018</v>
      </c>
      <c r="G729">
        <v>15</v>
      </c>
      <c r="H729" t="s">
        <v>105</v>
      </c>
      <c r="I729" t="s">
        <v>42</v>
      </c>
      <c r="J729" t="s">
        <v>53</v>
      </c>
      <c r="K729" t="s">
        <v>54</v>
      </c>
      <c r="M729" t="s">
        <v>44</v>
      </c>
      <c r="O729" t="s">
        <v>2101</v>
      </c>
      <c r="P729" t="b">
        <v>0</v>
      </c>
      <c r="Q729" t="b">
        <v>1</v>
      </c>
      <c r="R729" t="b">
        <v>0</v>
      </c>
      <c r="S729" t="b">
        <v>0</v>
      </c>
      <c r="T729" t="b">
        <v>0</v>
      </c>
      <c r="U729" t="s">
        <v>2102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1</v>
      </c>
      <c r="AC729" t="b">
        <v>0</v>
      </c>
      <c r="AE729" t="s">
        <v>2103</v>
      </c>
    </row>
    <row r="730" spans="1:31" x14ac:dyDescent="0.3">
      <c r="A730">
        <v>-73.960728080159996</v>
      </c>
      <c r="B730">
        <v>40.790150670620001</v>
      </c>
      <c r="C730" t="s">
        <v>2104</v>
      </c>
      <c r="D730" t="s">
        <v>612</v>
      </c>
      <c r="E730" t="s">
        <v>33</v>
      </c>
      <c r="F730">
        <v>10062018</v>
      </c>
      <c r="G730">
        <v>1</v>
      </c>
      <c r="H730" t="s">
        <v>48</v>
      </c>
      <c r="I730" t="s">
        <v>42</v>
      </c>
      <c r="K730" t="s">
        <v>43</v>
      </c>
      <c r="M730" t="s">
        <v>65</v>
      </c>
      <c r="N730" t="b">
        <v>0</v>
      </c>
      <c r="P730" t="b">
        <v>0</v>
      </c>
      <c r="Q730" t="b">
        <v>0</v>
      </c>
      <c r="R730" t="b">
        <v>0</v>
      </c>
      <c r="S730" t="b">
        <v>1</v>
      </c>
      <c r="T730" t="b">
        <v>1</v>
      </c>
      <c r="V730" t="b">
        <v>0</v>
      </c>
      <c r="W730" t="b">
        <v>0</v>
      </c>
      <c r="X730" t="b">
        <v>0</v>
      </c>
      <c r="Y730" t="b">
        <v>1</v>
      </c>
      <c r="Z730" t="b">
        <v>0</v>
      </c>
      <c r="AA730" t="b">
        <v>0</v>
      </c>
      <c r="AB730" t="b">
        <v>0</v>
      </c>
      <c r="AC730" t="b">
        <v>1</v>
      </c>
      <c r="AE730" t="s">
        <v>2105</v>
      </c>
    </row>
    <row r="731" spans="1:31" x14ac:dyDescent="0.3">
      <c r="A731">
        <v>-73.973354580250003</v>
      </c>
      <c r="B731">
        <v>40.767505602539998</v>
      </c>
      <c r="C731" t="s">
        <v>2106</v>
      </c>
      <c r="D731" t="s">
        <v>642</v>
      </c>
      <c r="E731" t="s">
        <v>38</v>
      </c>
      <c r="F731">
        <v>10062018</v>
      </c>
      <c r="G731">
        <v>4</v>
      </c>
      <c r="H731" t="s">
        <v>48</v>
      </c>
      <c r="I731" t="s">
        <v>176</v>
      </c>
      <c r="K731" t="s">
        <v>177</v>
      </c>
      <c r="M731" t="s">
        <v>65</v>
      </c>
      <c r="N731" t="b">
        <v>0</v>
      </c>
      <c r="P731" t="b">
        <v>0</v>
      </c>
      <c r="Q731" t="b">
        <v>0</v>
      </c>
      <c r="R731" t="b">
        <v>0</v>
      </c>
      <c r="S731" t="b">
        <v>1</v>
      </c>
      <c r="T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1</v>
      </c>
      <c r="AC731" t="b">
        <v>0</v>
      </c>
      <c r="AE731" t="s">
        <v>2107</v>
      </c>
    </row>
    <row r="732" spans="1:31" x14ac:dyDescent="0.3">
      <c r="A732">
        <v>-73.969504136669997</v>
      </c>
      <c r="B732">
        <v>40.779787880950003</v>
      </c>
      <c r="C732" t="s">
        <v>2108</v>
      </c>
      <c r="D732" t="s">
        <v>1995</v>
      </c>
      <c r="E732" t="s">
        <v>38</v>
      </c>
      <c r="F732">
        <v>10082018</v>
      </c>
      <c r="G732">
        <v>2</v>
      </c>
      <c r="H732" t="s">
        <v>48</v>
      </c>
      <c r="I732" t="s">
        <v>42</v>
      </c>
      <c r="J732" t="s">
        <v>59</v>
      </c>
      <c r="K732" t="s">
        <v>79</v>
      </c>
      <c r="M732" t="s">
        <v>65</v>
      </c>
      <c r="N732" t="b">
        <v>0</v>
      </c>
      <c r="P732" t="b">
        <v>0</v>
      </c>
      <c r="Q732" t="b">
        <v>1</v>
      </c>
      <c r="R732" t="b">
        <v>0</v>
      </c>
      <c r="S732" t="b">
        <v>0</v>
      </c>
      <c r="T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1</v>
      </c>
      <c r="AE732" t="s">
        <v>2109</v>
      </c>
    </row>
    <row r="733" spans="1:31" x14ac:dyDescent="0.3">
      <c r="A733">
        <v>-73.97643975503</v>
      </c>
      <c r="B733">
        <v>40.773700455709999</v>
      </c>
      <c r="C733" t="s">
        <v>2110</v>
      </c>
      <c r="D733" t="s">
        <v>235</v>
      </c>
      <c r="E733" t="s">
        <v>38</v>
      </c>
      <c r="F733">
        <v>10072018</v>
      </c>
      <c r="G733">
        <v>1</v>
      </c>
      <c r="H733" t="s">
        <v>48</v>
      </c>
      <c r="I733" t="s">
        <v>42</v>
      </c>
      <c r="J733" t="s">
        <v>53</v>
      </c>
      <c r="K733" t="s">
        <v>54</v>
      </c>
      <c r="M733" t="s">
        <v>44</v>
      </c>
      <c r="N733">
        <v>10</v>
      </c>
      <c r="P733" t="b">
        <v>0</v>
      </c>
      <c r="Q733" t="b">
        <v>0</v>
      </c>
      <c r="R733" t="b">
        <v>1</v>
      </c>
      <c r="S733" t="b">
        <v>0</v>
      </c>
      <c r="T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1</v>
      </c>
      <c r="AA733" t="b">
        <v>0</v>
      </c>
      <c r="AB733" t="b">
        <v>1</v>
      </c>
      <c r="AC733" t="b">
        <v>0</v>
      </c>
      <c r="AE733" t="s">
        <v>2111</v>
      </c>
    </row>
    <row r="734" spans="1:31" x14ac:dyDescent="0.3">
      <c r="A734">
        <v>-73.971492118840004</v>
      </c>
      <c r="B734">
        <v>40.776758371870002</v>
      </c>
      <c r="C734" t="s">
        <v>2112</v>
      </c>
      <c r="D734" t="s">
        <v>729</v>
      </c>
      <c r="E734" t="s">
        <v>38</v>
      </c>
      <c r="F734">
        <v>10142018</v>
      </c>
      <c r="G734">
        <v>11</v>
      </c>
      <c r="H734" t="s">
        <v>48</v>
      </c>
      <c r="I734" t="s">
        <v>42</v>
      </c>
      <c r="J734" t="s">
        <v>96</v>
      </c>
      <c r="K734" t="s">
        <v>97</v>
      </c>
      <c r="M734" t="s">
        <v>65</v>
      </c>
      <c r="N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1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1</v>
      </c>
      <c r="AC734" t="b">
        <v>0</v>
      </c>
      <c r="AE734" t="s">
        <v>2113</v>
      </c>
    </row>
    <row r="735" spans="1:31" x14ac:dyDescent="0.3">
      <c r="A735">
        <v>-73.971379936570003</v>
      </c>
      <c r="B735">
        <v>40.772143494120002</v>
      </c>
      <c r="C735" t="s">
        <v>2114</v>
      </c>
      <c r="D735" t="s">
        <v>517</v>
      </c>
      <c r="E735" t="s">
        <v>33</v>
      </c>
      <c r="F735">
        <v>10142018</v>
      </c>
      <c r="G735">
        <v>5</v>
      </c>
      <c r="H735" t="s">
        <v>48</v>
      </c>
      <c r="I735" t="s">
        <v>42</v>
      </c>
      <c r="J735" t="s">
        <v>53</v>
      </c>
      <c r="K735" t="s">
        <v>54</v>
      </c>
      <c r="M735" t="s">
        <v>65</v>
      </c>
      <c r="N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1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1</v>
      </c>
      <c r="AC735" t="b">
        <v>0</v>
      </c>
      <c r="AE735" t="s">
        <v>2115</v>
      </c>
    </row>
    <row r="736" spans="1:31" x14ac:dyDescent="0.3">
      <c r="A736">
        <v>-73.966011006040006</v>
      </c>
      <c r="B736">
        <v>40.780999009859997</v>
      </c>
      <c r="C736" t="s">
        <v>2116</v>
      </c>
      <c r="D736" t="s">
        <v>564</v>
      </c>
      <c r="E736" t="s">
        <v>38</v>
      </c>
      <c r="F736">
        <v>10142018</v>
      </c>
      <c r="G736">
        <v>1</v>
      </c>
      <c r="H736" t="s">
        <v>48</v>
      </c>
      <c r="I736" t="s">
        <v>42</v>
      </c>
      <c r="J736" t="s">
        <v>59</v>
      </c>
      <c r="K736" t="s">
        <v>79</v>
      </c>
      <c r="M736" t="s">
        <v>65</v>
      </c>
      <c r="N736" t="b">
        <v>0</v>
      </c>
      <c r="P736" t="b">
        <v>0</v>
      </c>
      <c r="Q736" t="b">
        <v>0</v>
      </c>
      <c r="R736" t="b">
        <v>0</v>
      </c>
      <c r="S736" t="b">
        <v>1</v>
      </c>
      <c r="T736" t="b">
        <v>1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1</v>
      </c>
      <c r="AC736" t="b">
        <v>0</v>
      </c>
      <c r="AE736" t="s">
        <v>2117</v>
      </c>
    </row>
    <row r="737" spans="1:31" x14ac:dyDescent="0.3">
      <c r="A737">
        <v>-73.97111769995</v>
      </c>
      <c r="B737">
        <v>40.772427854729997</v>
      </c>
      <c r="C737" t="s">
        <v>2118</v>
      </c>
      <c r="D737" t="s">
        <v>314</v>
      </c>
      <c r="E737" t="s">
        <v>33</v>
      </c>
      <c r="F737">
        <v>10192018</v>
      </c>
      <c r="G737">
        <v>6</v>
      </c>
      <c r="H737" t="s">
        <v>48</v>
      </c>
      <c r="I737" t="s">
        <v>42</v>
      </c>
      <c r="J737" t="s">
        <v>59</v>
      </c>
      <c r="K737" t="s">
        <v>79</v>
      </c>
      <c r="M737" t="s">
        <v>44</v>
      </c>
      <c r="N737">
        <v>10</v>
      </c>
      <c r="O737" t="s">
        <v>2119</v>
      </c>
      <c r="P737" t="b">
        <v>0</v>
      </c>
      <c r="Q737" t="b">
        <v>0</v>
      </c>
      <c r="R737" t="b">
        <v>1</v>
      </c>
      <c r="S737" t="b">
        <v>0</v>
      </c>
      <c r="T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1</v>
      </c>
      <c r="AC737" t="b">
        <v>0</v>
      </c>
      <c r="AE737" t="s">
        <v>2120</v>
      </c>
    </row>
    <row r="738" spans="1:31" x14ac:dyDescent="0.3">
      <c r="A738">
        <v>-73.972571258870005</v>
      </c>
      <c r="B738">
        <v>40.766910183290001</v>
      </c>
      <c r="C738" t="s">
        <v>2121</v>
      </c>
      <c r="D738" t="s">
        <v>2122</v>
      </c>
      <c r="E738" t="s">
        <v>38</v>
      </c>
      <c r="F738">
        <v>10062018</v>
      </c>
      <c r="G738">
        <v>2</v>
      </c>
      <c r="H738" t="s">
        <v>48</v>
      </c>
      <c r="I738" t="s">
        <v>42</v>
      </c>
      <c r="J738" t="s">
        <v>53</v>
      </c>
      <c r="K738" t="s">
        <v>54</v>
      </c>
      <c r="M738" t="s">
        <v>65</v>
      </c>
      <c r="N738" t="b">
        <v>0</v>
      </c>
      <c r="P738" t="b">
        <v>0</v>
      </c>
      <c r="Q738" t="b">
        <v>0</v>
      </c>
      <c r="R738" t="b">
        <v>1</v>
      </c>
      <c r="S738" t="b">
        <v>0</v>
      </c>
      <c r="T738" t="b">
        <v>0</v>
      </c>
      <c r="U738" t="s">
        <v>2123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1</v>
      </c>
      <c r="AB738" t="b">
        <v>0</v>
      </c>
      <c r="AC738" t="b">
        <v>1</v>
      </c>
      <c r="AD738" t="s">
        <v>2124</v>
      </c>
      <c r="AE738" t="s">
        <v>2125</v>
      </c>
    </row>
    <row r="739" spans="1:31" x14ac:dyDescent="0.3">
      <c r="A739">
        <v>-73.962059744909993</v>
      </c>
      <c r="B739">
        <v>40.792246587679998</v>
      </c>
      <c r="C739" t="s">
        <v>2126</v>
      </c>
      <c r="D739" t="s">
        <v>928</v>
      </c>
      <c r="E739" t="s">
        <v>33</v>
      </c>
      <c r="F739">
        <v>10102018</v>
      </c>
      <c r="G739">
        <v>10</v>
      </c>
      <c r="H739" t="s">
        <v>48</v>
      </c>
      <c r="I739" t="s">
        <v>42</v>
      </c>
      <c r="K739" t="s">
        <v>43</v>
      </c>
      <c r="M739" t="s">
        <v>65</v>
      </c>
      <c r="N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1</v>
      </c>
      <c r="V739" t="b">
        <v>1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E739" t="s">
        <v>2127</v>
      </c>
    </row>
    <row r="740" spans="1:31" x14ac:dyDescent="0.3">
      <c r="A740">
        <v>-73.958347785059999</v>
      </c>
      <c r="B740">
        <v>40.791407363280001</v>
      </c>
      <c r="C740" t="s">
        <v>2128</v>
      </c>
      <c r="D740" t="s">
        <v>68</v>
      </c>
      <c r="E740" t="s">
        <v>33</v>
      </c>
      <c r="F740">
        <v>10122018</v>
      </c>
      <c r="G740">
        <v>6</v>
      </c>
      <c r="H740" t="s">
        <v>48</v>
      </c>
      <c r="I740" t="s">
        <v>42</v>
      </c>
      <c r="J740" t="s">
        <v>96</v>
      </c>
      <c r="K740" t="s">
        <v>97</v>
      </c>
      <c r="M740" t="s">
        <v>65</v>
      </c>
      <c r="N740" t="b">
        <v>0</v>
      </c>
      <c r="P740" t="b">
        <v>0</v>
      </c>
      <c r="Q740" t="b">
        <v>1</v>
      </c>
      <c r="R740" t="b">
        <v>0</v>
      </c>
      <c r="S740" t="b">
        <v>1</v>
      </c>
      <c r="T740" t="b">
        <v>1</v>
      </c>
      <c r="V740" t="b">
        <v>1</v>
      </c>
      <c r="W740" t="b">
        <v>0</v>
      </c>
      <c r="X740" t="b">
        <v>0</v>
      </c>
      <c r="Y740" t="b">
        <v>0</v>
      </c>
      <c r="Z740" t="b">
        <v>1</v>
      </c>
      <c r="AA740" t="b">
        <v>0</v>
      </c>
      <c r="AB740" t="b">
        <v>0</v>
      </c>
      <c r="AC740" t="b">
        <v>0</v>
      </c>
      <c r="AE740" t="s">
        <v>2129</v>
      </c>
    </row>
    <row r="741" spans="1:31" x14ac:dyDescent="0.3">
      <c r="A741">
        <v>-73.979021425339994</v>
      </c>
      <c r="B741">
        <v>40.768679116980003</v>
      </c>
      <c r="C741" t="s">
        <v>2130</v>
      </c>
      <c r="D741" t="s">
        <v>455</v>
      </c>
      <c r="E741" t="s">
        <v>33</v>
      </c>
      <c r="F741">
        <v>10072018</v>
      </c>
      <c r="G741">
        <v>10</v>
      </c>
      <c r="H741" t="s">
        <v>48</v>
      </c>
      <c r="I741" t="s">
        <v>42</v>
      </c>
      <c r="J741" t="s">
        <v>59</v>
      </c>
      <c r="K741" t="s">
        <v>79</v>
      </c>
      <c r="M741" t="s">
        <v>65</v>
      </c>
      <c r="N741" t="b">
        <v>0</v>
      </c>
      <c r="P741" t="b">
        <v>0</v>
      </c>
      <c r="Q741" t="b">
        <v>0</v>
      </c>
      <c r="R741" t="b">
        <v>0</v>
      </c>
      <c r="S741" t="b">
        <v>1</v>
      </c>
      <c r="T741" t="b">
        <v>0</v>
      </c>
      <c r="U741" t="s">
        <v>2131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1</v>
      </c>
      <c r="AC741" t="b">
        <v>0</v>
      </c>
      <c r="AE741" t="s">
        <v>2132</v>
      </c>
    </row>
    <row r="742" spans="1:31" x14ac:dyDescent="0.3">
      <c r="A742">
        <v>-73.976701696340001</v>
      </c>
      <c r="B742">
        <v>40.767401278450002</v>
      </c>
      <c r="C742" t="s">
        <v>2133</v>
      </c>
      <c r="D742" t="s">
        <v>879</v>
      </c>
      <c r="E742" t="s">
        <v>33</v>
      </c>
      <c r="F742">
        <v>10142018</v>
      </c>
      <c r="G742">
        <v>2</v>
      </c>
      <c r="H742" t="s">
        <v>48</v>
      </c>
      <c r="I742" t="s">
        <v>42</v>
      </c>
      <c r="J742" t="s">
        <v>59</v>
      </c>
      <c r="K742" t="s">
        <v>79</v>
      </c>
      <c r="M742" t="s">
        <v>65</v>
      </c>
      <c r="N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1</v>
      </c>
      <c r="AC742" t="b">
        <v>0</v>
      </c>
      <c r="AE742" t="s">
        <v>2134</v>
      </c>
    </row>
    <row r="743" spans="1:31" x14ac:dyDescent="0.3">
      <c r="A743">
        <v>-73.956503570560002</v>
      </c>
      <c r="B743">
        <v>40.793738270509998</v>
      </c>
      <c r="C743" t="s">
        <v>2135</v>
      </c>
      <c r="D743" t="s">
        <v>693</v>
      </c>
      <c r="E743" t="s">
        <v>38</v>
      </c>
      <c r="F743">
        <v>10172018</v>
      </c>
      <c r="G743">
        <v>4</v>
      </c>
      <c r="H743" t="s">
        <v>105</v>
      </c>
      <c r="I743" t="s">
        <v>42</v>
      </c>
      <c r="J743" t="s">
        <v>59</v>
      </c>
      <c r="K743" t="s">
        <v>79</v>
      </c>
      <c r="L743" t="s">
        <v>2136</v>
      </c>
      <c r="M743" t="s">
        <v>65</v>
      </c>
      <c r="N743" t="b">
        <v>0</v>
      </c>
      <c r="P743" t="b">
        <v>1</v>
      </c>
      <c r="Q743" t="b">
        <v>0</v>
      </c>
      <c r="R743" t="b">
        <v>0</v>
      </c>
      <c r="S743" t="b">
        <v>1</v>
      </c>
      <c r="T743" t="b">
        <v>1</v>
      </c>
      <c r="V743" t="b">
        <v>1</v>
      </c>
      <c r="W743" t="b">
        <v>0</v>
      </c>
      <c r="X743" t="b">
        <v>0</v>
      </c>
      <c r="Y743" t="b">
        <v>0</v>
      </c>
      <c r="Z743" t="b">
        <v>0</v>
      </c>
      <c r="AA743" t="b">
        <v>1</v>
      </c>
      <c r="AB743" t="b">
        <v>0</v>
      </c>
      <c r="AC743" t="b">
        <v>1</v>
      </c>
      <c r="AD743" t="s">
        <v>2137</v>
      </c>
      <c r="AE743" t="s">
        <v>2138</v>
      </c>
    </row>
    <row r="744" spans="1:31" x14ac:dyDescent="0.3">
      <c r="A744">
        <v>-73.974568765379999</v>
      </c>
      <c r="B744">
        <v>40.777639692699999</v>
      </c>
      <c r="C744" t="s">
        <v>2139</v>
      </c>
      <c r="D744" t="s">
        <v>585</v>
      </c>
      <c r="E744" t="s">
        <v>33</v>
      </c>
      <c r="F744">
        <v>10142018</v>
      </c>
      <c r="G744">
        <v>2</v>
      </c>
      <c r="H744" t="s">
        <v>48</v>
      </c>
      <c r="I744" t="s">
        <v>42</v>
      </c>
      <c r="K744" t="s">
        <v>43</v>
      </c>
      <c r="M744" t="s">
        <v>44</v>
      </c>
      <c r="N744">
        <v>45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E744" t="s">
        <v>2140</v>
      </c>
    </row>
    <row r="745" spans="1:31" x14ac:dyDescent="0.3">
      <c r="A745">
        <v>-73.967164052089998</v>
      </c>
      <c r="B745">
        <v>40.777223683380001</v>
      </c>
      <c r="C745" t="s">
        <v>2141</v>
      </c>
      <c r="D745" t="s">
        <v>281</v>
      </c>
      <c r="E745" t="s">
        <v>38</v>
      </c>
      <c r="F745">
        <v>10102018</v>
      </c>
      <c r="G745">
        <v>2</v>
      </c>
      <c r="H745" t="s">
        <v>48</v>
      </c>
      <c r="I745" t="s">
        <v>53</v>
      </c>
      <c r="J745" t="s">
        <v>42</v>
      </c>
      <c r="K745" t="s">
        <v>89</v>
      </c>
      <c r="M745" t="s">
        <v>65</v>
      </c>
      <c r="N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1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1</v>
      </c>
      <c r="AC745" t="b">
        <v>0</v>
      </c>
      <c r="AE745" t="s">
        <v>2142</v>
      </c>
    </row>
    <row r="746" spans="1:31" x14ac:dyDescent="0.3">
      <c r="A746">
        <v>-73.959140769100003</v>
      </c>
      <c r="B746">
        <v>40.796084690310003</v>
      </c>
      <c r="C746" t="s">
        <v>2143</v>
      </c>
      <c r="D746" t="s">
        <v>969</v>
      </c>
      <c r="E746" t="s">
        <v>38</v>
      </c>
      <c r="F746">
        <v>10182018</v>
      </c>
      <c r="G746">
        <v>1</v>
      </c>
      <c r="H746" t="s">
        <v>48</v>
      </c>
      <c r="I746" t="s">
        <v>176</v>
      </c>
      <c r="K746" t="s">
        <v>177</v>
      </c>
      <c r="M746" t="s">
        <v>65</v>
      </c>
      <c r="N746" t="b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1</v>
      </c>
      <c r="AA746" t="b">
        <v>0</v>
      </c>
      <c r="AB746" t="b">
        <v>1</v>
      </c>
      <c r="AC746" t="b">
        <v>0</v>
      </c>
      <c r="AE746" t="s">
        <v>2144</v>
      </c>
    </row>
    <row r="747" spans="1:31" x14ac:dyDescent="0.3">
      <c r="A747">
        <v>-73.977142262529995</v>
      </c>
      <c r="B747">
        <v>40.772361415779997</v>
      </c>
      <c r="C747" t="s">
        <v>2145</v>
      </c>
      <c r="D747" t="s">
        <v>439</v>
      </c>
      <c r="E747" t="s">
        <v>38</v>
      </c>
      <c r="F747">
        <v>10082018</v>
      </c>
      <c r="G747">
        <v>2</v>
      </c>
      <c r="H747" t="s">
        <v>48</v>
      </c>
      <c r="I747" t="s">
        <v>42</v>
      </c>
      <c r="K747" t="s">
        <v>43</v>
      </c>
      <c r="M747" t="s">
        <v>44</v>
      </c>
      <c r="N747">
        <v>5</v>
      </c>
      <c r="P747" t="b">
        <v>0</v>
      </c>
      <c r="Q747" t="b">
        <v>1</v>
      </c>
      <c r="R747" t="b">
        <v>0</v>
      </c>
      <c r="S747" t="b">
        <v>0</v>
      </c>
      <c r="T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1</v>
      </c>
      <c r="AC747" t="b">
        <v>0</v>
      </c>
      <c r="AE747" t="s">
        <v>2146</v>
      </c>
    </row>
    <row r="748" spans="1:31" x14ac:dyDescent="0.3">
      <c r="A748">
        <v>-73.975660384609995</v>
      </c>
      <c r="B748">
        <v>40.767253131940002</v>
      </c>
      <c r="C748" t="s">
        <v>2147</v>
      </c>
      <c r="D748" t="s">
        <v>1701</v>
      </c>
      <c r="E748" t="s">
        <v>33</v>
      </c>
      <c r="F748">
        <v>10132018</v>
      </c>
      <c r="G748">
        <v>3</v>
      </c>
      <c r="H748" t="s">
        <v>48</v>
      </c>
      <c r="I748" t="s">
        <v>53</v>
      </c>
      <c r="J748" t="s">
        <v>42</v>
      </c>
      <c r="K748" t="s">
        <v>89</v>
      </c>
      <c r="M748" t="s">
        <v>65</v>
      </c>
      <c r="N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1</v>
      </c>
      <c r="V748" t="b">
        <v>0</v>
      </c>
      <c r="W748" t="b">
        <v>0</v>
      </c>
      <c r="X748" t="b">
        <v>0</v>
      </c>
      <c r="Y748" t="b">
        <v>0</v>
      </c>
      <c r="Z748" t="b">
        <v>1</v>
      </c>
      <c r="AA748" t="b">
        <v>0</v>
      </c>
      <c r="AB748" t="b">
        <v>1</v>
      </c>
      <c r="AC748" t="b">
        <v>0</v>
      </c>
      <c r="AE748" t="s">
        <v>2148</v>
      </c>
    </row>
    <row r="749" spans="1:31" x14ac:dyDescent="0.3">
      <c r="A749">
        <v>-73.968630458150002</v>
      </c>
      <c r="B749">
        <v>40.777363133709997</v>
      </c>
      <c r="C749" t="s">
        <v>2149</v>
      </c>
      <c r="D749" t="s">
        <v>130</v>
      </c>
      <c r="E749" t="s">
        <v>33</v>
      </c>
      <c r="F749">
        <v>10082018</v>
      </c>
      <c r="G749">
        <v>1</v>
      </c>
      <c r="H749" t="s">
        <v>48</v>
      </c>
      <c r="I749" t="s">
        <v>42</v>
      </c>
      <c r="K749" t="s">
        <v>43</v>
      </c>
      <c r="M749" t="s">
        <v>44</v>
      </c>
      <c r="N749">
        <v>4</v>
      </c>
      <c r="O749" t="s">
        <v>2150</v>
      </c>
      <c r="P749" t="b">
        <v>1</v>
      </c>
      <c r="Q749" t="b">
        <v>0</v>
      </c>
      <c r="R749" t="b">
        <v>0</v>
      </c>
      <c r="S749" t="b">
        <v>1</v>
      </c>
      <c r="T749" t="b">
        <v>1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1</v>
      </c>
      <c r="AC749" t="b">
        <v>0</v>
      </c>
      <c r="AE749" t="s">
        <v>2151</v>
      </c>
    </row>
    <row r="750" spans="1:31" x14ac:dyDescent="0.3">
      <c r="A750">
        <v>-73.969967207419998</v>
      </c>
      <c r="B750">
        <v>40.77743893457</v>
      </c>
      <c r="C750" t="s">
        <v>2152</v>
      </c>
      <c r="D750" t="s">
        <v>544</v>
      </c>
      <c r="E750" t="s">
        <v>38</v>
      </c>
      <c r="F750">
        <v>10072018</v>
      </c>
      <c r="G750">
        <v>7</v>
      </c>
      <c r="H750" t="s">
        <v>48</v>
      </c>
      <c r="I750" t="s">
        <v>42</v>
      </c>
      <c r="J750" t="s">
        <v>59</v>
      </c>
      <c r="K750" t="s">
        <v>79</v>
      </c>
      <c r="M750" t="s">
        <v>65</v>
      </c>
      <c r="N750" t="b">
        <v>0</v>
      </c>
      <c r="P750" t="b">
        <v>0</v>
      </c>
      <c r="Q750" t="b">
        <v>1</v>
      </c>
      <c r="R750" t="b">
        <v>0</v>
      </c>
      <c r="S750" t="b">
        <v>0</v>
      </c>
      <c r="T750" t="b">
        <v>1</v>
      </c>
      <c r="U750" t="s">
        <v>374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1</v>
      </c>
      <c r="AC750" t="b">
        <v>0</v>
      </c>
      <c r="AE750" t="s">
        <v>2153</v>
      </c>
    </row>
    <row r="751" spans="1:31" x14ac:dyDescent="0.3">
      <c r="A751">
        <v>-73.968347994379997</v>
      </c>
      <c r="B751">
        <v>40.781582729829999</v>
      </c>
      <c r="C751" t="s">
        <v>2154</v>
      </c>
      <c r="D751" t="s">
        <v>1035</v>
      </c>
      <c r="E751" t="s">
        <v>33</v>
      </c>
      <c r="F751">
        <v>10182018</v>
      </c>
      <c r="G751">
        <v>1</v>
      </c>
      <c r="H751" t="s">
        <v>105</v>
      </c>
      <c r="I751" t="s">
        <v>42</v>
      </c>
      <c r="K751" t="s">
        <v>43</v>
      </c>
      <c r="M751" t="s">
        <v>65</v>
      </c>
      <c r="N751" t="b">
        <v>0</v>
      </c>
      <c r="P751" t="b">
        <v>1</v>
      </c>
      <c r="Q751" t="b">
        <v>1</v>
      </c>
      <c r="R751" t="b">
        <v>0</v>
      </c>
      <c r="S751" t="b">
        <v>0</v>
      </c>
      <c r="T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E751" t="s">
        <v>2155</v>
      </c>
    </row>
    <row r="752" spans="1:31" x14ac:dyDescent="0.3">
      <c r="A752">
        <v>-73.976861769069998</v>
      </c>
      <c r="B752">
        <v>40.774187706070002</v>
      </c>
      <c r="C752" t="s">
        <v>2156</v>
      </c>
      <c r="D752" t="s">
        <v>855</v>
      </c>
      <c r="E752" t="s">
        <v>33</v>
      </c>
      <c r="F752">
        <v>10102018</v>
      </c>
      <c r="G752">
        <v>3</v>
      </c>
      <c r="I752" t="s">
        <v>42</v>
      </c>
      <c r="J752" t="s">
        <v>59</v>
      </c>
      <c r="K752" t="s">
        <v>79</v>
      </c>
      <c r="M752" t="s">
        <v>65</v>
      </c>
      <c r="N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s">
        <v>2157</v>
      </c>
      <c r="AE752" t="s">
        <v>2158</v>
      </c>
    </row>
    <row r="753" spans="1:31" x14ac:dyDescent="0.3">
      <c r="A753">
        <v>-73.972937867420001</v>
      </c>
      <c r="B753">
        <v>40.767240759460002</v>
      </c>
      <c r="C753" t="s">
        <v>2159</v>
      </c>
      <c r="D753" t="s">
        <v>2122</v>
      </c>
      <c r="E753" t="s">
        <v>38</v>
      </c>
      <c r="F753">
        <v>10062018</v>
      </c>
      <c r="G753">
        <v>4</v>
      </c>
      <c r="H753" t="s">
        <v>48</v>
      </c>
      <c r="I753" t="s">
        <v>42</v>
      </c>
      <c r="K753" t="s">
        <v>43</v>
      </c>
      <c r="M753" t="s">
        <v>65</v>
      </c>
      <c r="N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1</v>
      </c>
      <c r="U753" t="s">
        <v>2160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1</v>
      </c>
      <c r="AC753" t="b">
        <v>0</v>
      </c>
      <c r="AE753" t="s">
        <v>2161</v>
      </c>
    </row>
    <row r="754" spans="1:31" x14ac:dyDescent="0.3">
      <c r="A754">
        <v>-73.956320308909994</v>
      </c>
      <c r="B754">
        <v>40.79062753577</v>
      </c>
      <c r="C754" t="s">
        <v>2162</v>
      </c>
      <c r="D754" t="s">
        <v>523</v>
      </c>
      <c r="E754" t="s">
        <v>33</v>
      </c>
      <c r="F754">
        <v>10062018</v>
      </c>
      <c r="G754">
        <v>1</v>
      </c>
      <c r="H754" t="s">
        <v>105</v>
      </c>
      <c r="I754" t="s">
        <v>42</v>
      </c>
      <c r="K754" t="s">
        <v>43</v>
      </c>
      <c r="M754" t="s">
        <v>44</v>
      </c>
      <c r="N754">
        <v>2</v>
      </c>
      <c r="P754" t="b">
        <v>0</v>
      </c>
      <c r="Q754" t="b">
        <v>0</v>
      </c>
      <c r="R754" t="b">
        <v>1</v>
      </c>
      <c r="S754" t="b">
        <v>0</v>
      </c>
      <c r="T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1</v>
      </c>
      <c r="AC754" t="b">
        <v>0</v>
      </c>
      <c r="AE754" t="s">
        <v>2163</v>
      </c>
    </row>
    <row r="755" spans="1:31" x14ac:dyDescent="0.3">
      <c r="A755">
        <v>-73.957994184740002</v>
      </c>
      <c r="B755">
        <v>40.799121671329999</v>
      </c>
      <c r="C755" t="s">
        <v>2164</v>
      </c>
      <c r="D755" t="s">
        <v>367</v>
      </c>
      <c r="E755" t="s">
        <v>33</v>
      </c>
      <c r="F755">
        <v>10142018</v>
      </c>
      <c r="G755">
        <v>2</v>
      </c>
      <c r="H755" t="s">
        <v>48</v>
      </c>
      <c r="I755" t="s">
        <v>176</v>
      </c>
      <c r="K755" t="s">
        <v>177</v>
      </c>
      <c r="M755" t="s">
        <v>44</v>
      </c>
      <c r="N755">
        <v>28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E755" t="s">
        <v>2165</v>
      </c>
    </row>
    <row r="756" spans="1:31" x14ac:dyDescent="0.3">
      <c r="A756">
        <v>-73.977307915419999</v>
      </c>
      <c r="B756">
        <v>40.769650668890002</v>
      </c>
      <c r="C756" t="s">
        <v>2166</v>
      </c>
      <c r="D756" t="s">
        <v>1581</v>
      </c>
      <c r="E756" t="s">
        <v>38</v>
      </c>
      <c r="F756">
        <v>10062018</v>
      </c>
      <c r="G756">
        <v>2</v>
      </c>
      <c r="H756" t="s">
        <v>105</v>
      </c>
      <c r="I756" t="s">
        <v>42</v>
      </c>
      <c r="J756" t="s">
        <v>59</v>
      </c>
      <c r="K756" t="s">
        <v>79</v>
      </c>
      <c r="M756" t="s">
        <v>65</v>
      </c>
      <c r="N756" t="b">
        <v>0</v>
      </c>
      <c r="P756" t="b">
        <v>1</v>
      </c>
      <c r="Q756" t="b">
        <v>0</v>
      </c>
      <c r="R756" t="b">
        <v>0</v>
      </c>
      <c r="S756" t="b">
        <v>1</v>
      </c>
      <c r="T756" t="b">
        <v>1</v>
      </c>
      <c r="V756" t="b">
        <v>0</v>
      </c>
      <c r="W756" t="b">
        <v>0</v>
      </c>
      <c r="X756" t="b">
        <v>0</v>
      </c>
      <c r="Y756" t="b">
        <v>0</v>
      </c>
      <c r="Z756" t="b">
        <v>1</v>
      </c>
      <c r="AA756" t="b">
        <v>0</v>
      </c>
      <c r="AB756" t="b">
        <v>1</v>
      </c>
      <c r="AC756" t="b">
        <v>0</v>
      </c>
      <c r="AE756" t="s">
        <v>2167</v>
      </c>
    </row>
    <row r="757" spans="1:31" x14ac:dyDescent="0.3">
      <c r="A757">
        <v>-73.978318527859997</v>
      </c>
      <c r="B757">
        <v>40.772486167549999</v>
      </c>
      <c r="C757" t="s">
        <v>2168</v>
      </c>
      <c r="D757" t="s">
        <v>493</v>
      </c>
      <c r="E757" t="s">
        <v>38</v>
      </c>
      <c r="F757">
        <v>10062018</v>
      </c>
      <c r="G757">
        <v>3</v>
      </c>
      <c r="H757" t="s">
        <v>48</v>
      </c>
      <c r="I757" t="s">
        <v>42</v>
      </c>
      <c r="K757" t="s">
        <v>43</v>
      </c>
      <c r="L757" t="s">
        <v>2169</v>
      </c>
      <c r="M757" t="s">
        <v>44</v>
      </c>
      <c r="N757">
        <v>20</v>
      </c>
      <c r="O757" t="s">
        <v>2170</v>
      </c>
      <c r="P757" t="b">
        <v>1</v>
      </c>
      <c r="Q757" t="b">
        <v>0</v>
      </c>
      <c r="R757" t="b">
        <v>1</v>
      </c>
      <c r="S757" t="b">
        <v>0</v>
      </c>
      <c r="T757" t="b">
        <v>0</v>
      </c>
      <c r="U757" t="s">
        <v>685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1</v>
      </c>
      <c r="AC757" t="b">
        <v>0</v>
      </c>
      <c r="AE757" t="s">
        <v>2171</v>
      </c>
    </row>
    <row r="758" spans="1:31" x14ac:dyDescent="0.3">
      <c r="A758">
        <v>-73.970362161650002</v>
      </c>
      <c r="B758">
        <v>40.775032271480001</v>
      </c>
      <c r="C758" t="s">
        <v>2172</v>
      </c>
      <c r="D758" t="s">
        <v>726</v>
      </c>
      <c r="E758" t="s">
        <v>38</v>
      </c>
      <c r="F758">
        <v>10172018</v>
      </c>
      <c r="G758">
        <v>8</v>
      </c>
      <c r="H758" t="s">
        <v>48</v>
      </c>
      <c r="I758" t="s">
        <v>42</v>
      </c>
      <c r="J758" t="s">
        <v>53</v>
      </c>
      <c r="K758" t="s">
        <v>54</v>
      </c>
      <c r="M758" t="s">
        <v>44</v>
      </c>
      <c r="N758">
        <v>1</v>
      </c>
      <c r="P758" t="b">
        <v>0</v>
      </c>
      <c r="Q758" t="b">
        <v>0</v>
      </c>
      <c r="R758" t="b">
        <v>0</v>
      </c>
      <c r="S758" t="b">
        <v>1</v>
      </c>
      <c r="T758" t="b">
        <v>0</v>
      </c>
      <c r="U758" t="s">
        <v>1288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1</v>
      </c>
      <c r="AC758" t="b">
        <v>0</v>
      </c>
      <c r="AE758" t="s">
        <v>2173</v>
      </c>
    </row>
    <row r="759" spans="1:31" x14ac:dyDescent="0.3">
      <c r="A759">
        <v>-73.969951118119994</v>
      </c>
      <c r="B759">
        <v>40.776275659299998</v>
      </c>
      <c r="C759" t="s">
        <v>2174</v>
      </c>
      <c r="D759" t="s">
        <v>100</v>
      </c>
      <c r="E759" t="s">
        <v>38</v>
      </c>
      <c r="F759">
        <v>10082018</v>
      </c>
      <c r="G759">
        <v>17</v>
      </c>
      <c r="H759" t="s">
        <v>48</v>
      </c>
      <c r="I759" t="s">
        <v>42</v>
      </c>
      <c r="K759" t="s">
        <v>43</v>
      </c>
      <c r="M759" t="s">
        <v>65</v>
      </c>
      <c r="N759" t="b">
        <v>0</v>
      </c>
      <c r="P759" t="b">
        <v>0</v>
      </c>
      <c r="Q759" t="b">
        <v>0</v>
      </c>
      <c r="R759" t="b">
        <v>0</v>
      </c>
      <c r="S759" t="b">
        <v>1</v>
      </c>
      <c r="T759" t="b">
        <v>1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1</v>
      </c>
      <c r="AC759" t="b">
        <v>0</v>
      </c>
      <c r="AE759" t="s">
        <v>2175</v>
      </c>
    </row>
    <row r="760" spans="1:31" x14ac:dyDescent="0.3">
      <c r="A760">
        <v>-73.971823415960003</v>
      </c>
      <c r="B760">
        <v>40.78108425037</v>
      </c>
      <c r="C760" t="s">
        <v>2176</v>
      </c>
      <c r="D760" t="s">
        <v>163</v>
      </c>
      <c r="E760" t="s">
        <v>38</v>
      </c>
      <c r="F760">
        <v>10122018</v>
      </c>
      <c r="G760">
        <v>2</v>
      </c>
      <c r="H760" t="s">
        <v>48</v>
      </c>
      <c r="I760" t="s">
        <v>42</v>
      </c>
      <c r="J760" t="s">
        <v>53</v>
      </c>
      <c r="K760" t="s">
        <v>54</v>
      </c>
      <c r="M760" t="s">
        <v>44</v>
      </c>
      <c r="N760">
        <v>4</v>
      </c>
      <c r="P760" t="b">
        <v>0</v>
      </c>
      <c r="Q760" t="b">
        <v>0</v>
      </c>
      <c r="R760" t="b">
        <v>1</v>
      </c>
      <c r="S760" t="b">
        <v>1</v>
      </c>
      <c r="T760" t="b">
        <v>1</v>
      </c>
      <c r="U760" t="s">
        <v>511</v>
      </c>
      <c r="V760" t="b">
        <v>0</v>
      </c>
      <c r="W760" t="b">
        <v>0</v>
      </c>
      <c r="X760" t="b">
        <v>0</v>
      </c>
      <c r="Y760" t="b">
        <v>1</v>
      </c>
      <c r="Z760" t="b">
        <v>0</v>
      </c>
      <c r="AA760" t="b">
        <v>0</v>
      </c>
      <c r="AB760" t="b">
        <v>0</v>
      </c>
      <c r="AC760" t="b">
        <v>1</v>
      </c>
      <c r="AE760" t="s">
        <v>2177</v>
      </c>
    </row>
    <row r="761" spans="1:31" x14ac:dyDescent="0.3">
      <c r="A761">
        <v>-73.975062146110005</v>
      </c>
      <c r="B761">
        <v>40.772341717350002</v>
      </c>
      <c r="C761" t="s">
        <v>2178</v>
      </c>
      <c r="D761" t="s">
        <v>793</v>
      </c>
      <c r="E761" t="s">
        <v>33</v>
      </c>
      <c r="F761">
        <v>10132018</v>
      </c>
      <c r="G761">
        <v>7</v>
      </c>
      <c r="I761" t="s">
        <v>42</v>
      </c>
      <c r="J761" t="s">
        <v>59</v>
      </c>
      <c r="K761" t="s">
        <v>79</v>
      </c>
      <c r="M761" t="s">
        <v>65</v>
      </c>
      <c r="N761" t="b">
        <v>0</v>
      </c>
      <c r="P761" t="b">
        <v>0</v>
      </c>
      <c r="Q761" t="b">
        <v>0</v>
      </c>
      <c r="R761" t="b">
        <v>0</v>
      </c>
      <c r="S761" t="b">
        <v>1</v>
      </c>
      <c r="T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1</v>
      </c>
      <c r="AC761" t="b">
        <v>0</v>
      </c>
      <c r="AE761" t="s">
        <v>2179</v>
      </c>
    </row>
    <row r="762" spans="1:31" x14ac:dyDescent="0.3">
      <c r="A762">
        <v>-73.967929134800002</v>
      </c>
      <c r="B762">
        <v>40.784697309670001</v>
      </c>
      <c r="C762" t="s">
        <v>2180</v>
      </c>
      <c r="D762" t="s">
        <v>2181</v>
      </c>
      <c r="E762" t="s">
        <v>33</v>
      </c>
      <c r="F762">
        <v>10122018</v>
      </c>
      <c r="G762">
        <v>2</v>
      </c>
      <c r="H762" t="s">
        <v>48</v>
      </c>
      <c r="I762" t="s">
        <v>42</v>
      </c>
      <c r="J762" t="s">
        <v>59</v>
      </c>
      <c r="K762" t="s">
        <v>79</v>
      </c>
      <c r="M762" t="s">
        <v>65</v>
      </c>
      <c r="N762" t="b">
        <v>0</v>
      </c>
      <c r="P762" t="b">
        <v>0</v>
      </c>
      <c r="Q762" t="b">
        <v>1</v>
      </c>
      <c r="R762" t="b">
        <v>0</v>
      </c>
      <c r="S762" t="b">
        <v>0</v>
      </c>
      <c r="T762" t="b">
        <v>1</v>
      </c>
      <c r="U762" t="s">
        <v>2182</v>
      </c>
      <c r="V762" t="b">
        <v>0</v>
      </c>
      <c r="W762" t="b">
        <v>0</v>
      </c>
      <c r="X762" t="b">
        <v>0</v>
      </c>
      <c r="Y762" t="b">
        <v>0</v>
      </c>
      <c r="Z762" t="b">
        <v>1</v>
      </c>
      <c r="AA762" t="b">
        <v>0</v>
      </c>
      <c r="AB762" t="b">
        <v>0</v>
      </c>
      <c r="AC762" t="b">
        <v>1</v>
      </c>
      <c r="AE762" t="s">
        <v>2183</v>
      </c>
    </row>
    <row r="763" spans="1:31" x14ac:dyDescent="0.3">
      <c r="A763">
        <v>-73.976745543069995</v>
      </c>
      <c r="B763">
        <v>40.771786623780002</v>
      </c>
      <c r="C763" t="s">
        <v>2184</v>
      </c>
      <c r="D763" t="s">
        <v>796</v>
      </c>
      <c r="E763" t="s">
        <v>33</v>
      </c>
      <c r="F763">
        <v>10172018</v>
      </c>
      <c r="G763">
        <v>6</v>
      </c>
      <c r="H763" t="s">
        <v>48</v>
      </c>
      <c r="I763" t="s">
        <v>42</v>
      </c>
      <c r="J763" t="s">
        <v>53</v>
      </c>
      <c r="K763" t="s">
        <v>54</v>
      </c>
      <c r="M763" t="s">
        <v>65</v>
      </c>
      <c r="N763" t="b">
        <v>0</v>
      </c>
      <c r="P763" t="b">
        <v>1</v>
      </c>
      <c r="Q763" t="b">
        <v>1</v>
      </c>
      <c r="R763" t="b">
        <v>0</v>
      </c>
      <c r="S763" t="b">
        <v>0</v>
      </c>
      <c r="T763" t="b">
        <v>1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E763" t="s">
        <v>2185</v>
      </c>
    </row>
    <row r="764" spans="1:31" x14ac:dyDescent="0.3">
      <c r="A764">
        <v>-73.974660878630004</v>
      </c>
      <c r="B764">
        <v>40.777609207829997</v>
      </c>
      <c r="C764" t="s">
        <v>2186</v>
      </c>
      <c r="D764" t="s">
        <v>585</v>
      </c>
      <c r="E764" t="s">
        <v>38</v>
      </c>
      <c r="F764">
        <v>10172018</v>
      </c>
      <c r="G764">
        <v>1</v>
      </c>
      <c r="H764" t="s">
        <v>48</v>
      </c>
      <c r="I764" t="s">
        <v>42</v>
      </c>
      <c r="K764" t="s">
        <v>43</v>
      </c>
      <c r="M764" t="s">
        <v>44</v>
      </c>
      <c r="N764">
        <v>5</v>
      </c>
      <c r="P764" t="b">
        <v>0</v>
      </c>
      <c r="Q764" t="b">
        <v>0</v>
      </c>
      <c r="R764" t="b">
        <v>1</v>
      </c>
      <c r="S764" t="b">
        <v>0</v>
      </c>
      <c r="T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1</v>
      </c>
      <c r="AC764" t="b">
        <v>0</v>
      </c>
      <c r="AE764" t="s">
        <v>2187</v>
      </c>
    </row>
    <row r="765" spans="1:31" x14ac:dyDescent="0.3">
      <c r="A765">
        <v>-73.967977800189999</v>
      </c>
      <c r="B765">
        <v>40.784762947330002</v>
      </c>
      <c r="C765" t="s">
        <v>2188</v>
      </c>
      <c r="D765" t="s">
        <v>2181</v>
      </c>
      <c r="E765" t="s">
        <v>33</v>
      </c>
      <c r="F765">
        <v>10122018</v>
      </c>
      <c r="G765">
        <v>5</v>
      </c>
      <c r="H765" t="s">
        <v>48</v>
      </c>
      <c r="I765" t="s">
        <v>42</v>
      </c>
      <c r="J765" t="s">
        <v>53</v>
      </c>
      <c r="K765" t="s">
        <v>54</v>
      </c>
      <c r="M765" t="s">
        <v>44</v>
      </c>
      <c r="N765">
        <v>5</v>
      </c>
      <c r="O765" t="s">
        <v>2189</v>
      </c>
      <c r="P765" t="b">
        <v>0</v>
      </c>
      <c r="Q765" t="b">
        <v>1</v>
      </c>
      <c r="R765" t="b">
        <v>1</v>
      </c>
      <c r="S765" t="b">
        <v>0</v>
      </c>
      <c r="T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1</v>
      </c>
      <c r="AC765" t="b">
        <v>0</v>
      </c>
      <c r="AE765" t="s">
        <v>2190</v>
      </c>
    </row>
    <row r="766" spans="1:31" x14ac:dyDescent="0.3">
      <c r="A766">
        <v>-73.968446315440005</v>
      </c>
      <c r="B766">
        <v>40.783481331940003</v>
      </c>
      <c r="C766" t="s">
        <v>2191</v>
      </c>
      <c r="D766" t="s">
        <v>37</v>
      </c>
      <c r="E766" t="s">
        <v>38</v>
      </c>
      <c r="F766">
        <v>10192018</v>
      </c>
      <c r="G766">
        <v>2</v>
      </c>
      <c r="H766" t="s">
        <v>48</v>
      </c>
      <c r="I766" t="s">
        <v>42</v>
      </c>
      <c r="K766" t="s">
        <v>43</v>
      </c>
      <c r="M766" t="s">
        <v>65</v>
      </c>
      <c r="N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1</v>
      </c>
      <c r="AC766" t="b">
        <v>0</v>
      </c>
      <c r="AE766" t="s">
        <v>2192</v>
      </c>
    </row>
    <row r="767" spans="1:31" x14ac:dyDescent="0.3">
      <c r="A767">
        <v>-73.965573463360002</v>
      </c>
      <c r="B767">
        <v>40.780536692219997</v>
      </c>
      <c r="C767" t="s">
        <v>2193</v>
      </c>
      <c r="D767" t="s">
        <v>564</v>
      </c>
      <c r="E767" t="s">
        <v>38</v>
      </c>
      <c r="F767">
        <v>10142018</v>
      </c>
      <c r="G767">
        <v>2</v>
      </c>
      <c r="H767" t="s">
        <v>48</v>
      </c>
      <c r="I767" t="s">
        <v>42</v>
      </c>
      <c r="J767" t="s">
        <v>53</v>
      </c>
      <c r="K767" t="s">
        <v>54</v>
      </c>
      <c r="M767" t="s">
        <v>44</v>
      </c>
      <c r="N767">
        <v>30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  <c r="U767" t="s">
        <v>2194</v>
      </c>
      <c r="V767" t="b">
        <v>1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E767" t="s">
        <v>2195</v>
      </c>
    </row>
    <row r="768" spans="1:31" x14ac:dyDescent="0.3">
      <c r="A768">
        <v>-73.972939492839998</v>
      </c>
      <c r="B768">
        <v>40.774325671649997</v>
      </c>
      <c r="C768" t="s">
        <v>2196</v>
      </c>
      <c r="D768" t="s">
        <v>74</v>
      </c>
      <c r="E768" t="s">
        <v>38</v>
      </c>
      <c r="F768">
        <v>10102018</v>
      </c>
      <c r="G768">
        <v>1</v>
      </c>
      <c r="H768" t="s">
        <v>48</v>
      </c>
      <c r="I768" t="s">
        <v>42</v>
      </c>
      <c r="J768" t="s">
        <v>96</v>
      </c>
      <c r="K768" t="s">
        <v>97</v>
      </c>
      <c r="M768" t="s">
        <v>65</v>
      </c>
      <c r="N768" t="b">
        <v>0</v>
      </c>
      <c r="P768" t="b">
        <v>0</v>
      </c>
      <c r="Q768" t="b">
        <v>0</v>
      </c>
      <c r="R768" t="b">
        <v>1</v>
      </c>
      <c r="S768" t="b">
        <v>1</v>
      </c>
      <c r="T768" t="b">
        <v>1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1</v>
      </c>
      <c r="AE768" t="s">
        <v>2197</v>
      </c>
    </row>
    <row r="769" spans="1:31" x14ac:dyDescent="0.3">
      <c r="A769">
        <v>-73.976521916280007</v>
      </c>
      <c r="B769">
        <v>40.77378472446</v>
      </c>
      <c r="C769" t="s">
        <v>2198</v>
      </c>
      <c r="D769" t="s">
        <v>790</v>
      </c>
      <c r="E769" t="s">
        <v>38</v>
      </c>
      <c r="F769">
        <v>10102018</v>
      </c>
      <c r="G769">
        <v>1</v>
      </c>
      <c r="H769" t="s">
        <v>48</v>
      </c>
      <c r="I769" t="s">
        <v>42</v>
      </c>
      <c r="J769" t="s">
        <v>53</v>
      </c>
      <c r="K769" t="s">
        <v>54</v>
      </c>
      <c r="M769" t="s">
        <v>65</v>
      </c>
      <c r="N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1</v>
      </c>
      <c r="V769" t="b">
        <v>1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1</v>
      </c>
      <c r="AE769" t="s">
        <v>2199</v>
      </c>
    </row>
    <row r="770" spans="1:31" x14ac:dyDescent="0.3">
      <c r="A770">
        <v>-73.959778276199998</v>
      </c>
      <c r="B770">
        <v>40.792077337679999</v>
      </c>
      <c r="C770" t="s">
        <v>2200</v>
      </c>
      <c r="D770" t="s">
        <v>1202</v>
      </c>
      <c r="E770" t="s">
        <v>38</v>
      </c>
      <c r="F770">
        <v>10172018</v>
      </c>
      <c r="G770">
        <v>7</v>
      </c>
      <c r="H770" t="s">
        <v>48</v>
      </c>
      <c r="I770" t="s">
        <v>176</v>
      </c>
      <c r="K770" t="s">
        <v>177</v>
      </c>
      <c r="M770" t="s">
        <v>65</v>
      </c>
      <c r="N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1</v>
      </c>
      <c r="V770" t="b">
        <v>0</v>
      </c>
      <c r="W770" t="b">
        <v>1</v>
      </c>
      <c r="X770" t="b">
        <v>0</v>
      </c>
      <c r="Y770" t="b">
        <v>1</v>
      </c>
      <c r="Z770" t="b">
        <v>0</v>
      </c>
      <c r="AA770" t="b">
        <v>0</v>
      </c>
      <c r="AB770" t="b">
        <v>1</v>
      </c>
      <c r="AC770" t="b">
        <v>0</v>
      </c>
      <c r="AE770" t="s">
        <v>2201</v>
      </c>
    </row>
    <row r="771" spans="1:31" x14ac:dyDescent="0.3">
      <c r="A771">
        <v>-73.964862681</v>
      </c>
      <c r="B771">
        <v>40.780450611280003</v>
      </c>
      <c r="C771" t="s">
        <v>2202</v>
      </c>
      <c r="D771" t="s">
        <v>2203</v>
      </c>
      <c r="E771" t="s">
        <v>38</v>
      </c>
      <c r="F771">
        <v>10182018</v>
      </c>
      <c r="G771">
        <v>2</v>
      </c>
      <c r="H771" t="s">
        <v>48</v>
      </c>
      <c r="I771" t="s">
        <v>42</v>
      </c>
      <c r="K771" t="s">
        <v>43</v>
      </c>
      <c r="M771" t="s">
        <v>44</v>
      </c>
      <c r="N771">
        <v>5</v>
      </c>
      <c r="O771" t="s">
        <v>2204</v>
      </c>
      <c r="P771" t="b">
        <v>1</v>
      </c>
      <c r="Q771" t="b">
        <v>0</v>
      </c>
      <c r="R771" t="b">
        <v>1</v>
      </c>
      <c r="S771" t="b">
        <v>0</v>
      </c>
      <c r="T771" t="b">
        <v>0</v>
      </c>
      <c r="V771" t="b">
        <v>1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E771" t="s">
        <v>2205</v>
      </c>
    </row>
    <row r="772" spans="1:31" x14ac:dyDescent="0.3">
      <c r="A772">
        <v>-73.958418846110007</v>
      </c>
      <c r="B772">
        <v>40.791324104849998</v>
      </c>
      <c r="C772" t="s">
        <v>2206</v>
      </c>
      <c r="D772" t="s">
        <v>1211</v>
      </c>
      <c r="E772" t="s">
        <v>33</v>
      </c>
      <c r="F772">
        <v>10122018</v>
      </c>
      <c r="G772">
        <v>7</v>
      </c>
      <c r="H772" t="s">
        <v>48</v>
      </c>
      <c r="I772" t="s">
        <v>42</v>
      </c>
      <c r="J772" t="s">
        <v>59</v>
      </c>
      <c r="K772" t="s">
        <v>79</v>
      </c>
      <c r="M772" t="s">
        <v>65</v>
      </c>
      <c r="N772" t="b">
        <v>0</v>
      </c>
      <c r="P772" t="b">
        <v>1</v>
      </c>
      <c r="Q772" t="b">
        <v>1</v>
      </c>
      <c r="R772" t="b">
        <v>0</v>
      </c>
      <c r="S772" t="b">
        <v>0</v>
      </c>
      <c r="T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E772" t="s">
        <v>2207</v>
      </c>
    </row>
    <row r="773" spans="1:31" x14ac:dyDescent="0.3">
      <c r="A773">
        <v>-73.956618914540002</v>
      </c>
      <c r="B773">
        <v>40.788341796970002</v>
      </c>
      <c r="C773" t="s">
        <v>2208</v>
      </c>
      <c r="D773" t="s">
        <v>180</v>
      </c>
      <c r="E773" t="s">
        <v>33</v>
      </c>
      <c r="F773">
        <v>10082018</v>
      </c>
      <c r="G773">
        <v>1</v>
      </c>
      <c r="H773" t="s">
        <v>48</v>
      </c>
      <c r="I773" t="s">
        <v>42</v>
      </c>
      <c r="J773" t="s">
        <v>59</v>
      </c>
      <c r="K773" t="s">
        <v>79</v>
      </c>
      <c r="M773" t="s">
        <v>44</v>
      </c>
      <c r="N773">
        <v>15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1</v>
      </c>
      <c r="AC773" t="b">
        <v>0</v>
      </c>
      <c r="AE773" t="s">
        <v>2209</v>
      </c>
    </row>
    <row r="774" spans="1:31" x14ac:dyDescent="0.3">
      <c r="A774">
        <v>-73.967360365589997</v>
      </c>
      <c r="B774">
        <v>40.787697417780002</v>
      </c>
      <c r="C774" t="s">
        <v>2210</v>
      </c>
      <c r="D774" t="s">
        <v>478</v>
      </c>
      <c r="E774" t="s">
        <v>33</v>
      </c>
      <c r="F774">
        <v>10062018</v>
      </c>
      <c r="G774">
        <v>3</v>
      </c>
      <c r="H774" t="s">
        <v>48</v>
      </c>
      <c r="I774" t="s">
        <v>42</v>
      </c>
      <c r="K774" t="s">
        <v>43</v>
      </c>
      <c r="M774" t="s">
        <v>65</v>
      </c>
      <c r="N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1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1</v>
      </c>
      <c r="AE774" t="s">
        <v>2211</v>
      </c>
    </row>
    <row r="775" spans="1:31" x14ac:dyDescent="0.3">
      <c r="A775">
        <v>-73.959575779269997</v>
      </c>
      <c r="B775">
        <v>40.789924264379998</v>
      </c>
      <c r="C775" t="s">
        <v>2212</v>
      </c>
      <c r="D775" t="s">
        <v>1407</v>
      </c>
      <c r="E775" t="s">
        <v>33</v>
      </c>
      <c r="F775">
        <v>10062018</v>
      </c>
      <c r="G775">
        <v>1</v>
      </c>
      <c r="H775" t="s">
        <v>48</v>
      </c>
      <c r="I775" t="s">
        <v>42</v>
      </c>
      <c r="J775" t="s">
        <v>53</v>
      </c>
      <c r="K775" t="s">
        <v>54</v>
      </c>
      <c r="M775" t="s">
        <v>65</v>
      </c>
      <c r="N775" t="b">
        <v>0</v>
      </c>
      <c r="O775" t="s">
        <v>1408</v>
      </c>
      <c r="P775" t="b">
        <v>0</v>
      </c>
      <c r="Q775" t="b">
        <v>0</v>
      </c>
      <c r="R775" t="b">
        <v>0</v>
      </c>
      <c r="S775" t="b">
        <v>0</v>
      </c>
      <c r="T775" t="b">
        <v>1</v>
      </c>
      <c r="V775" t="b">
        <v>0</v>
      </c>
      <c r="W775" t="b">
        <v>1</v>
      </c>
      <c r="X775" t="b">
        <v>0</v>
      </c>
      <c r="Y775" t="b">
        <v>0</v>
      </c>
      <c r="Z775" t="b">
        <v>0</v>
      </c>
      <c r="AA775" t="b">
        <v>0</v>
      </c>
      <c r="AB775" t="b">
        <v>1</v>
      </c>
      <c r="AC775" t="b">
        <v>0</v>
      </c>
      <c r="AE775" t="s">
        <v>2213</v>
      </c>
    </row>
    <row r="776" spans="1:31" x14ac:dyDescent="0.3">
      <c r="A776">
        <v>-73.968681679539998</v>
      </c>
      <c r="B776">
        <v>40.77577042267</v>
      </c>
      <c r="C776" t="s">
        <v>2214</v>
      </c>
      <c r="D776" t="s">
        <v>225</v>
      </c>
      <c r="E776" t="s">
        <v>33</v>
      </c>
      <c r="F776">
        <v>10122018</v>
      </c>
      <c r="G776">
        <v>2</v>
      </c>
      <c r="H776" t="s">
        <v>48</v>
      </c>
      <c r="I776" t="s">
        <v>42</v>
      </c>
      <c r="J776" t="s">
        <v>96</v>
      </c>
      <c r="K776" t="s">
        <v>97</v>
      </c>
      <c r="M776" t="s">
        <v>44</v>
      </c>
      <c r="N776">
        <v>3</v>
      </c>
      <c r="P776" t="b">
        <v>0</v>
      </c>
      <c r="Q776" t="b">
        <v>0</v>
      </c>
      <c r="R776" t="b">
        <v>1</v>
      </c>
      <c r="S776" t="b">
        <v>1</v>
      </c>
      <c r="T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1</v>
      </c>
      <c r="AC776" t="b">
        <v>0</v>
      </c>
      <c r="AE776" t="s">
        <v>2215</v>
      </c>
    </row>
    <row r="777" spans="1:31" x14ac:dyDescent="0.3">
      <c r="A777">
        <v>-73.96542102635</v>
      </c>
      <c r="B777">
        <v>40.778252969260002</v>
      </c>
      <c r="C777" t="s">
        <v>2216</v>
      </c>
      <c r="D777" t="s">
        <v>2217</v>
      </c>
      <c r="E777" t="s">
        <v>38</v>
      </c>
      <c r="F777">
        <v>10182018</v>
      </c>
      <c r="G777">
        <v>1</v>
      </c>
      <c r="H777" t="s">
        <v>105</v>
      </c>
      <c r="I777" t="s">
        <v>42</v>
      </c>
      <c r="K777" t="s">
        <v>43</v>
      </c>
      <c r="M777" t="s">
        <v>65</v>
      </c>
      <c r="N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1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1</v>
      </c>
      <c r="AE777" t="s">
        <v>2218</v>
      </c>
    </row>
    <row r="778" spans="1:31" x14ac:dyDescent="0.3">
      <c r="A778">
        <v>-73.967705487030003</v>
      </c>
      <c r="B778">
        <v>40.778992870170001</v>
      </c>
      <c r="C778" t="s">
        <v>2219</v>
      </c>
      <c r="D778" t="s">
        <v>200</v>
      </c>
      <c r="E778" t="s">
        <v>38</v>
      </c>
      <c r="F778">
        <v>10172018</v>
      </c>
      <c r="G778">
        <v>3</v>
      </c>
      <c r="H778" t="s">
        <v>48</v>
      </c>
      <c r="I778" t="s">
        <v>42</v>
      </c>
      <c r="K778" t="s">
        <v>43</v>
      </c>
      <c r="M778" t="s">
        <v>44</v>
      </c>
      <c r="N778">
        <v>9</v>
      </c>
      <c r="O778" t="s">
        <v>2220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E778" t="s">
        <v>2221</v>
      </c>
    </row>
    <row r="779" spans="1:31" x14ac:dyDescent="0.3">
      <c r="A779">
        <v>-73.974530553999998</v>
      </c>
      <c r="B779">
        <v>40.774204323399999</v>
      </c>
      <c r="C779" t="s">
        <v>2222</v>
      </c>
      <c r="D779" t="s">
        <v>839</v>
      </c>
      <c r="E779" t="s">
        <v>33</v>
      </c>
      <c r="F779">
        <v>10132018</v>
      </c>
      <c r="G779">
        <v>2</v>
      </c>
      <c r="H779" t="s">
        <v>48</v>
      </c>
      <c r="I779" t="s">
        <v>42</v>
      </c>
      <c r="J779" t="s">
        <v>53</v>
      </c>
      <c r="K779" t="s">
        <v>54</v>
      </c>
      <c r="M779" t="s">
        <v>65</v>
      </c>
      <c r="N779" t="b">
        <v>0</v>
      </c>
      <c r="P779" t="b">
        <v>0</v>
      </c>
      <c r="Q779" t="b">
        <v>0</v>
      </c>
      <c r="R779" t="b">
        <v>0</v>
      </c>
      <c r="S779" t="b">
        <v>1</v>
      </c>
      <c r="T779" t="b">
        <v>1</v>
      </c>
      <c r="V779" t="b">
        <v>0</v>
      </c>
      <c r="W779" t="b">
        <v>0</v>
      </c>
      <c r="X779" t="b">
        <v>0</v>
      </c>
      <c r="Y779" t="b">
        <v>0</v>
      </c>
      <c r="Z779" t="b">
        <v>1</v>
      </c>
      <c r="AA779" t="b">
        <v>0</v>
      </c>
      <c r="AB779" t="b">
        <v>1</v>
      </c>
      <c r="AC779" t="b">
        <v>1</v>
      </c>
      <c r="AE779" t="s">
        <v>2223</v>
      </c>
    </row>
    <row r="780" spans="1:31" x14ac:dyDescent="0.3">
      <c r="A780">
        <v>-73.967547206419994</v>
      </c>
      <c r="B780">
        <v>40.783594716739998</v>
      </c>
      <c r="C780" t="s">
        <v>2224</v>
      </c>
      <c r="D780" t="s">
        <v>689</v>
      </c>
      <c r="E780" t="s">
        <v>33</v>
      </c>
      <c r="F780">
        <v>10062018</v>
      </c>
      <c r="G780">
        <v>6</v>
      </c>
      <c r="H780" t="s">
        <v>105</v>
      </c>
      <c r="I780" t="s">
        <v>53</v>
      </c>
      <c r="J780" t="s">
        <v>42</v>
      </c>
      <c r="K780" t="s">
        <v>89</v>
      </c>
      <c r="M780" t="s">
        <v>44</v>
      </c>
      <c r="N780">
        <v>10</v>
      </c>
      <c r="O780" t="s">
        <v>2101</v>
      </c>
      <c r="P780" t="b">
        <v>0</v>
      </c>
      <c r="Q780" t="b">
        <v>0</v>
      </c>
      <c r="R780" t="b">
        <v>0</v>
      </c>
      <c r="S780" t="b">
        <v>1</v>
      </c>
      <c r="T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E780" t="s">
        <v>2225</v>
      </c>
    </row>
    <row r="781" spans="1:31" x14ac:dyDescent="0.3">
      <c r="A781">
        <v>-73.955516031109994</v>
      </c>
      <c r="B781">
        <v>40.792318815629997</v>
      </c>
      <c r="C781" t="s">
        <v>2226</v>
      </c>
      <c r="D781" t="s">
        <v>2227</v>
      </c>
      <c r="E781" t="s">
        <v>38</v>
      </c>
      <c r="F781">
        <v>10072018</v>
      </c>
      <c r="G781">
        <v>1</v>
      </c>
      <c r="H781" t="s">
        <v>48</v>
      </c>
      <c r="I781" t="s">
        <v>42</v>
      </c>
      <c r="J781" t="s">
        <v>59</v>
      </c>
      <c r="K781" t="s">
        <v>79</v>
      </c>
      <c r="M781" t="s">
        <v>44</v>
      </c>
      <c r="N781">
        <v>15</v>
      </c>
      <c r="P781" t="b">
        <v>0</v>
      </c>
      <c r="Q781" t="b">
        <v>0</v>
      </c>
      <c r="R781" t="b">
        <v>1</v>
      </c>
      <c r="S781" t="b">
        <v>0</v>
      </c>
      <c r="T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1</v>
      </c>
      <c r="AC781" t="b">
        <v>0</v>
      </c>
      <c r="AE781" t="s">
        <v>2228</v>
      </c>
    </row>
    <row r="782" spans="1:31" x14ac:dyDescent="0.3">
      <c r="A782">
        <v>-73.971055911380006</v>
      </c>
      <c r="B782">
        <v>40.77942799142</v>
      </c>
      <c r="C782" t="s">
        <v>2229</v>
      </c>
      <c r="D782" t="s">
        <v>95</v>
      </c>
      <c r="E782" t="s">
        <v>33</v>
      </c>
      <c r="F782">
        <v>10182018</v>
      </c>
      <c r="G782">
        <v>1</v>
      </c>
      <c r="H782" t="s">
        <v>48</v>
      </c>
      <c r="I782" t="s">
        <v>42</v>
      </c>
      <c r="J782" t="s">
        <v>96</v>
      </c>
      <c r="K782" t="s">
        <v>97</v>
      </c>
      <c r="M782" t="s">
        <v>44</v>
      </c>
      <c r="N782">
        <v>3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s">
        <v>2230</v>
      </c>
      <c r="AE782" t="s">
        <v>2231</v>
      </c>
    </row>
    <row r="783" spans="1:31" x14ac:dyDescent="0.3">
      <c r="A783">
        <v>-73.967765428980002</v>
      </c>
      <c r="B783">
        <v>40.78678552945</v>
      </c>
      <c r="C783" t="s">
        <v>2232</v>
      </c>
      <c r="D783" t="s">
        <v>127</v>
      </c>
      <c r="E783" t="s">
        <v>38</v>
      </c>
      <c r="F783">
        <v>10132018</v>
      </c>
      <c r="G783">
        <v>3</v>
      </c>
      <c r="I783" t="s">
        <v>42</v>
      </c>
      <c r="K783" t="s">
        <v>43</v>
      </c>
      <c r="M783" t="s">
        <v>44</v>
      </c>
      <c r="N783">
        <v>15</v>
      </c>
      <c r="O783" t="s">
        <v>1730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s">
        <v>2233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1</v>
      </c>
      <c r="AC783" t="b">
        <v>0</v>
      </c>
      <c r="AE783" t="s">
        <v>2234</v>
      </c>
    </row>
    <row r="784" spans="1:31" x14ac:dyDescent="0.3">
      <c r="A784">
        <v>-73.969478405659999</v>
      </c>
      <c r="B784">
        <v>40.778773529139997</v>
      </c>
      <c r="C784" t="s">
        <v>2235</v>
      </c>
      <c r="D784" t="s">
        <v>709</v>
      </c>
      <c r="E784" t="s">
        <v>33</v>
      </c>
      <c r="F784">
        <v>10102018</v>
      </c>
      <c r="G784">
        <v>1</v>
      </c>
      <c r="H784" t="s">
        <v>48</v>
      </c>
      <c r="I784" t="s">
        <v>42</v>
      </c>
      <c r="K784" t="s">
        <v>43</v>
      </c>
      <c r="M784" t="s">
        <v>65</v>
      </c>
      <c r="N784" t="b">
        <v>0</v>
      </c>
      <c r="P784" t="b">
        <v>1</v>
      </c>
      <c r="Q784" t="b">
        <v>0</v>
      </c>
      <c r="R784" t="b">
        <v>0</v>
      </c>
      <c r="S784" t="b">
        <v>1</v>
      </c>
      <c r="T784" t="b">
        <v>1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1</v>
      </c>
      <c r="AC784" t="b">
        <v>0</v>
      </c>
      <c r="AE784" t="s">
        <v>2236</v>
      </c>
    </row>
    <row r="785" spans="1:31" x14ac:dyDescent="0.3">
      <c r="A785">
        <v>-73.964965809930007</v>
      </c>
      <c r="B785">
        <v>40.782326236910002</v>
      </c>
      <c r="C785" t="s">
        <v>2237</v>
      </c>
      <c r="D785" t="s">
        <v>82</v>
      </c>
      <c r="E785" t="s">
        <v>33</v>
      </c>
      <c r="F785">
        <v>10142018</v>
      </c>
      <c r="G785">
        <v>3</v>
      </c>
      <c r="H785" t="s">
        <v>105</v>
      </c>
      <c r="I785" t="s">
        <v>42</v>
      </c>
      <c r="J785" t="s">
        <v>53</v>
      </c>
      <c r="K785" t="s">
        <v>54</v>
      </c>
      <c r="M785" t="s">
        <v>65</v>
      </c>
      <c r="N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1</v>
      </c>
      <c r="V785" t="b">
        <v>0</v>
      </c>
      <c r="W785" t="b">
        <v>0</v>
      </c>
      <c r="X785" t="b">
        <v>0</v>
      </c>
      <c r="Y785" t="b">
        <v>1</v>
      </c>
      <c r="Z785" t="b">
        <v>0</v>
      </c>
      <c r="AA785" t="b">
        <v>0</v>
      </c>
      <c r="AB785" t="b">
        <v>1</v>
      </c>
      <c r="AC785" t="b">
        <v>0</v>
      </c>
      <c r="AE785" t="s">
        <v>2238</v>
      </c>
    </row>
    <row r="786" spans="1:31" x14ac:dyDescent="0.3">
      <c r="A786">
        <v>-73.961941743270003</v>
      </c>
      <c r="B786">
        <v>40.793036593990003</v>
      </c>
      <c r="C786" t="s">
        <v>2239</v>
      </c>
      <c r="D786" t="s">
        <v>928</v>
      </c>
      <c r="E786" t="s">
        <v>33</v>
      </c>
      <c r="F786">
        <v>10102018</v>
      </c>
      <c r="G786">
        <v>12</v>
      </c>
      <c r="H786" t="s">
        <v>48</v>
      </c>
      <c r="I786" t="s">
        <v>42</v>
      </c>
      <c r="K786" t="s">
        <v>43</v>
      </c>
      <c r="M786" t="s">
        <v>65</v>
      </c>
      <c r="N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1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1</v>
      </c>
      <c r="AE786" t="s">
        <v>2240</v>
      </c>
    </row>
    <row r="787" spans="1:31" x14ac:dyDescent="0.3">
      <c r="A787">
        <v>-73.953296595240005</v>
      </c>
      <c r="B787">
        <v>40.792764459449998</v>
      </c>
      <c r="C787" t="s">
        <v>2241</v>
      </c>
      <c r="D787" t="s">
        <v>85</v>
      </c>
      <c r="E787" t="s">
        <v>38</v>
      </c>
      <c r="F787">
        <v>10172018</v>
      </c>
      <c r="G787">
        <v>3</v>
      </c>
      <c r="H787" t="s">
        <v>48</v>
      </c>
      <c r="I787" t="s">
        <v>42</v>
      </c>
      <c r="J787" t="s">
        <v>53</v>
      </c>
      <c r="K787" t="s">
        <v>54</v>
      </c>
      <c r="L787" t="s">
        <v>242</v>
      </c>
      <c r="M787" t="s">
        <v>65</v>
      </c>
      <c r="N787" t="b">
        <v>0</v>
      </c>
      <c r="P787" t="b">
        <v>1</v>
      </c>
      <c r="Q787" t="b">
        <v>0</v>
      </c>
      <c r="R787" t="b">
        <v>0</v>
      </c>
      <c r="S787" t="b">
        <v>1</v>
      </c>
      <c r="T787" t="b">
        <v>1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1</v>
      </c>
      <c r="AC787" t="b">
        <v>0</v>
      </c>
      <c r="AE787" t="s">
        <v>2242</v>
      </c>
    </row>
    <row r="788" spans="1:31" x14ac:dyDescent="0.3">
      <c r="A788">
        <v>-73.972515753440007</v>
      </c>
      <c r="B788">
        <v>40.76583767292</v>
      </c>
      <c r="C788" t="s">
        <v>2243</v>
      </c>
      <c r="D788" t="s">
        <v>2244</v>
      </c>
      <c r="E788" t="s">
        <v>33</v>
      </c>
      <c r="F788">
        <v>10062018</v>
      </c>
      <c r="G788">
        <v>2</v>
      </c>
      <c r="H788" t="s">
        <v>48</v>
      </c>
      <c r="I788" t="s">
        <v>42</v>
      </c>
      <c r="J788" t="s">
        <v>96</v>
      </c>
      <c r="K788" t="s">
        <v>97</v>
      </c>
      <c r="M788" t="s">
        <v>65</v>
      </c>
      <c r="N788" t="b">
        <v>0</v>
      </c>
      <c r="P788" t="b">
        <v>1</v>
      </c>
      <c r="Q788" t="b">
        <v>0</v>
      </c>
      <c r="R788" t="b">
        <v>0</v>
      </c>
      <c r="S788" t="b">
        <v>1</v>
      </c>
      <c r="T788" t="b">
        <v>1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1</v>
      </c>
      <c r="AC788" t="b">
        <v>0</v>
      </c>
      <c r="AE788" t="s">
        <v>2245</v>
      </c>
    </row>
    <row r="789" spans="1:31" x14ac:dyDescent="0.3">
      <c r="A789">
        <v>-73.968747670309995</v>
      </c>
      <c r="B789">
        <v>40.774285669610002</v>
      </c>
      <c r="C789" t="s">
        <v>2246</v>
      </c>
      <c r="D789" t="s">
        <v>988</v>
      </c>
      <c r="E789" t="s">
        <v>38</v>
      </c>
      <c r="F789">
        <v>10122018</v>
      </c>
      <c r="G789">
        <v>1</v>
      </c>
      <c r="H789" t="s">
        <v>48</v>
      </c>
      <c r="I789" t="s">
        <v>53</v>
      </c>
      <c r="J789" t="s">
        <v>42</v>
      </c>
      <c r="K789" t="s">
        <v>89</v>
      </c>
      <c r="M789" t="s">
        <v>44</v>
      </c>
      <c r="N789">
        <v>2</v>
      </c>
      <c r="P789" t="b">
        <v>0</v>
      </c>
      <c r="Q789" t="b">
        <v>0</v>
      </c>
      <c r="R789" t="b">
        <v>1</v>
      </c>
      <c r="S789" t="b">
        <v>0</v>
      </c>
      <c r="T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1</v>
      </c>
      <c r="AC789" t="b">
        <v>0</v>
      </c>
      <c r="AE789" t="s">
        <v>2247</v>
      </c>
    </row>
    <row r="790" spans="1:31" x14ac:dyDescent="0.3">
      <c r="A790">
        <v>-73.96750231387</v>
      </c>
      <c r="B790">
        <v>40.7872554701</v>
      </c>
      <c r="C790" t="s">
        <v>2248</v>
      </c>
      <c r="D790" t="s">
        <v>127</v>
      </c>
      <c r="E790" t="s">
        <v>33</v>
      </c>
      <c r="F790">
        <v>10072018</v>
      </c>
      <c r="G790">
        <v>1</v>
      </c>
      <c r="H790" t="s">
        <v>48</v>
      </c>
      <c r="I790" t="s">
        <v>53</v>
      </c>
      <c r="J790" t="s">
        <v>42</v>
      </c>
      <c r="K790" t="s">
        <v>89</v>
      </c>
      <c r="M790" t="s">
        <v>44</v>
      </c>
      <c r="N790">
        <v>40</v>
      </c>
      <c r="O790" t="s">
        <v>190</v>
      </c>
      <c r="P790" t="b">
        <v>0</v>
      </c>
      <c r="Q790" t="b">
        <v>0</v>
      </c>
      <c r="R790" t="b">
        <v>1</v>
      </c>
      <c r="S790" t="b">
        <v>0</v>
      </c>
      <c r="T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E790" t="s">
        <v>2249</v>
      </c>
    </row>
    <row r="791" spans="1:31" x14ac:dyDescent="0.3">
      <c r="A791">
        <v>-73.974504051750003</v>
      </c>
      <c r="B791">
        <v>40.77333038538</v>
      </c>
      <c r="C791" t="s">
        <v>2250</v>
      </c>
      <c r="D791" t="s">
        <v>1401</v>
      </c>
      <c r="E791" t="s">
        <v>33</v>
      </c>
      <c r="F791">
        <v>10062018</v>
      </c>
      <c r="G791">
        <v>6</v>
      </c>
      <c r="H791" t="s">
        <v>48</v>
      </c>
      <c r="I791" t="s">
        <v>42</v>
      </c>
      <c r="J791" t="s">
        <v>96</v>
      </c>
      <c r="K791" t="s">
        <v>97</v>
      </c>
      <c r="M791" t="s">
        <v>65</v>
      </c>
      <c r="N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1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1</v>
      </c>
      <c r="AC791" t="b">
        <v>0</v>
      </c>
      <c r="AE791" t="s">
        <v>2251</v>
      </c>
    </row>
    <row r="792" spans="1:31" x14ac:dyDescent="0.3">
      <c r="A792">
        <v>-73.977263591110002</v>
      </c>
      <c r="B792">
        <v>40.770942887250001</v>
      </c>
      <c r="C792" t="s">
        <v>2252</v>
      </c>
      <c r="D792" t="s">
        <v>796</v>
      </c>
      <c r="E792" t="s">
        <v>33</v>
      </c>
      <c r="F792">
        <v>10172018</v>
      </c>
      <c r="G792">
        <v>3</v>
      </c>
      <c r="H792" t="s">
        <v>48</v>
      </c>
      <c r="I792" t="s">
        <v>42</v>
      </c>
      <c r="J792" t="s">
        <v>53</v>
      </c>
      <c r="K792" t="s">
        <v>54</v>
      </c>
      <c r="M792" t="s">
        <v>65</v>
      </c>
      <c r="N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1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1</v>
      </c>
      <c r="AE792" t="s">
        <v>2253</v>
      </c>
    </row>
    <row r="793" spans="1:31" x14ac:dyDescent="0.3">
      <c r="A793">
        <v>-73.973011568800004</v>
      </c>
      <c r="B793">
        <v>40.774101827430002</v>
      </c>
      <c r="C793" t="s">
        <v>2254</v>
      </c>
      <c r="D793" t="s">
        <v>2255</v>
      </c>
      <c r="E793" t="s">
        <v>38</v>
      </c>
      <c r="F793">
        <v>10082018</v>
      </c>
      <c r="G793">
        <v>5</v>
      </c>
      <c r="H793" t="s">
        <v>105</v>
      </c>
      <c r="I793" t="s">
        <v>42</v>
      </c>
      <c r="J793" t="s">
        <v>59</v>
      </c>
      <c r="K793" t="s">
        <v>79</v>
      </c>
      <c r="M793" t="s">
        <v>44</v>
      </c>
      <c r="N793">
        <v>25</v>
      </c>
      <c r="P793" t="b">
        <v>0</v>
      </c>
      <c r="Q793" t="b">
        <v>0</v>
      </c>
      <c r="R793" t="b">
        <v>1</v>
      </c>
      <c r="S793" t="b">
        <v>1</v>
      </c>
      <c r="T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E793" t="s">
        <v>2256</v>
      </c>
    </row>
    <row r="794" spans="1:31" x14ac:dyDescent="0.3">
      <c r="A794">
        <v>-73.973011165049996</v>
      </c>
      <c r="B794">
        <v>40.778215773619998</v>
      </c>
      <c r="C794" t="s">
        <v>2257</v>
      </c>
      <c r="D794" t="s">
        <v>1759</v>
      </c>
      <c r="E794" t="s">
        <v>33</v>
      </c>
      <c r="F794">
        <v>10142018</v>
      </c>
      <c r="G794">
        <v>5</v>
      </c>
      <c r="H794" t="s">
        <v>48</v>
      </c>
      <c r="I794" t="s">
        <v>42</v>
      </c>
      <c r="K794" t="s">
        <v>43</v>
      </c>
      <c r="M794" t="s">
        <v>65</v>
      </c>
      <c r="N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1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1</v>
      </c>
      <c r="AE794" t="s">
        <v>2258</v>
      </c>
    </row>
    <row r="795" spans="1:31" x14ac:dyDescent="0.3">
      <c r="A795">
        <v>-73.97900105651</v>
      </c>
      <c r="B795">
        <v>40.768573236949997</v>
      </c>
      <c r="C795" t="s">
        <v>2259</v>
      </c>
      <c r="D795" t="s">
        <v>1232</v>
      </c>
      <c r="E795" t="s">
        <v>33</v>
      </c>
      <c r="F795">
        <v>10132018</v>
      </c>
      <c r="G795">
        <v>9</v>
      </c>
      <c r="H795" t="s">
        <v>48</v>
      </c>
      <c r="K795" t="s">
        <v>34</v>
      </c>
      <c r="M795" t="s">
        <v>65</v>
      </c>
      <c r="N795" t="b">
        <v>0</v>
      </c>
      <c r="P795" t="b">
        <v>0</v>
      </c>
      <c r="Q795" t="b">
        <v>0</v>
      </c>
      <c r="R795" t="b">
        <v>1</v>
      </c>
      <c r="S795" t="b">
        <v>0</v>
      </c>
      <c r="T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E795" t="s">
        <v>2260</v>
      </c>
    </row>
    <row r="796" spans="1:31" x14ac:dyDescent="0.3">
      <c r="A796">
        <v>-73.95825235033</v>
      </c>
      <c r="B796">
        <v>40.799689749949998</v>
      </c>
      <c r="C796" t="s">
        <v>2261</v>
      </c>
      <c r="D796" t="s">
        <v>468</v>
      </c>
      <c r="E796" t="s">
        <v>33</v>
      </c>
      <c r="F796">
        <v>10072018</v>
      </c>
      <c r="G796">
        <v>5</v>
      </c>
      <c r="H796" t="s">
        <v>48</v>
      </c>
      <c r="I796" t="s">
        <v>42</v>
      </c>
      <c r="J796" t="s">
        <v>96</v>
      </c>
      <c r="K796" t="s">
        <v>97</v>
      </c>
      <c r="M796" t="s">
        <v>65</v>
      </c>
      <c r="N796" t="b">
        <v>0</v>
      </c>
      <c r="P796" t="b">
        <v>1</v>
      </c>
      <c r="Q796" t="b">
        <v>0</v>
      </c>
      <c r="R796" t="b">
        <v>1</v>
      </c>
      <c r="S796" t="b">
        <v>0</v>
      </c>
      <c r="T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1</v>
      </c>
      <c r="AE796" t="s">
        <v>2262</v>
      </c>
    </row>
    <row r="797" spans="1:31" x14ac:dyDescent="0.3">
      <c r="A797">
        <v>-73.970664177070006</v>
      </c>
      <c r="B797">
        <v>40.775922921380001</v>
      </c>
      <c r="C797" t="s">
        <v>2263</v>
      </c>
      <c r="D797" t="s">
        <v>52</v>
      </c>
      <c r="E797" t="s">
        <v>38</v>
      </c>
      <c r="F797">
        <v>10172018</v>
      </c>
      <c r="G797">
        <v>12</v>
      </c>
      <c r="H797" t="s">
        <v>48</v>
      </c>
      <c r="I797" t="s">
        <v>42</v>
      </c>
      <c r="J797" t="s">
        <v>53</v>
      </c>
      <c r="K797" t="s">
        <v>54</v>
      </c>
      <c r="M797" t="s">
        <v>65</v>
      </c>
      <c r="N797" t="b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1</v>
      </c>
      <c r="AC797" t="b">
        <v>0</v>
      </c>
      <c r="AE797" t="s">
        <v>2264</v>
      </c>
    </row>
    <row r="798" spans="1:31" x14ac:dyDescent="0.3">
      <c r="A798">
        <v>-73.969345754450003</v>
      </c>
      <c r="B798">
        <v>40.777042965029999</v>
      </c>
      <c r="C798" t="s">
        <v>2265</v>
      </c>
      <c r="D798" t="s">
        <v>130</v>
      </c>
      <c r="E798" t="s">
        <v>38</v>
      </c>
      <c r="F798">
        <v>10132018</v>
      </c>
      <c r="G798">
        <v>2</v>
      </c>
      <c r="H798" t="s">
        <v>48</v>
      </c>
      <c r="I798" t="s">
        <v>42</v>
      </c>
      <c r="J798" t="s">
        <v>53</v>
      </c>
      <c r="K798" t="s">
        <v>54</v>
      </c>
      <c r="M798" t="s">
        <v>44</v>
      </c>
      <c r="N798">
        <v>20</v>
      </c>
      <c r="P798" t="b">
        <v>1</v>
      </c>
      <c r="Q798" t="b">
        <v>0</v>
      </c>
      <c r="R798" t="b">
        <v>1</v>
      </c>
      <c r="S798" t="b">
        <v>0</v>
      </c>
      <c r="T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1</v>
      </c>
      <c r="AB798" t="b">
        <v>0</v>
      </c>
      <c r="AC798" t="b">
        <v>0</v>
      </c>
      <c r="AE798" t="s">
        <v>2266</v>
      </c>
    </row>
    <row r="799" spans="1:31" x14ac:dyDescent="0.3">
      <c r="A799">
        <v>-73.980854228629994</v>
      </c>
      <c r="B799">
        <v>40.767870215839999</v>
      </c>
      <c r="C799" t="s">
        <v>2267</v>
      </c>
      <c r="D799" t="s">
        <v>851</v>
      </c>
      <c r="E799" t="s">
        <v>38</v>
      </c>
      <c r="F799">
        <v>10122018</v>
      </c>
      <c r="G799">
        <v>17</v>
      </c>
      <c r="H799" t="s">
        <v>48</v>
      </c>
      <c r="I799" t="s">
        <v>42</v>
      </c>
      <c r="J799" t="s">
        <v>96</v>
      </c>
      <c r="K799" t="s">
        <v>97</v>
      </c>
      <c r="M799" t="s">
        <v>65</v>
      </c>
      <c r="N799" t="b">
        <v>0</v>
      </c>
      <c r="P799" t="b">
        <v>0</v>
      </c>
      <c r="Q799" t="b">
        <v>0</v>
      </c>
      <c r="R799" t="b">
        <v>1</v>
      </c>
      <c r="S799" t="b">
        <v>1</v>
      </c>
      <c r="T799" t="b">
        <v>1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1</v>
      </c>
      <c r="AC799" t="b">
        <v>0</v>
      </c>
      <c r="AE799" t="s">
        <v>2268</v>
      </c>
    </row>
    <row r="800" spans="1:31" x14ac:dyDescent="0.3">
      <c r="A800">
        <v>-73.952941315649994</v>
      </c>
      <c r="B800">
        <v>40.792096344660003</v>
      </c>
      <c r="C800" t="s">
        <v>2269</v>
      </c>
      <c r="D800" t="s">
        <v>85</v>
      </c>
      <c r="E800" t="s">
        <v>33</v>
      </c>
      <c r="F800">
        <v>10072018</v>
      </c>
      <c r="G800">
        <v>6</v>
      </c>
      <c r="H800" t="s">
        <v>48</v>
      </c>
      <c r="I800" t="s">
        <v>53</v>
      </c>
      <c r="J800" t="s">
        <v>115</v>
      </c>
      <c r="K800" t="s">
        <v>116</v>
      </c>
      <c r="M800" t="s">
        <v>65</v>
      </c>
      <c r="N800" t="b">
        <v>0</v>
      </c>
      <c r="P800" t="b">
        <v>0</v>
      </c>
      <c r="Q800" t="b">
        <v>0</v>
      </c>
      <c r="R800" t="b">
        <v>0</v>
      </c>
      <c r="S800" t="b">
        <v>1</v>
      </c>
      <c r="T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1</v>
      </c>
      <c r="AC800" t="b">
        <v>0</v>
      </c>
      <c r="AE800" t="s">
        <v>2270</v>
      </c>
    </row>
    <row r="801" spans="1:31" x14ac:dyDescent="0.3">
      <c r="A801">
        <v>-73.968214403930006</v>
      </c>
      <c r="B801">
        <v>40.777307067540001</v>
      </c>
      <c r="C801" t="s">
        <v>2271</v>
      </c>
      <c r="D801" t="s">
        <v>232</v>
      </c>
      <c r="E801" t="s">
        <v>38</v>
      </c>
      <c r="F801">
        <v>10072018</v>
      </c>
      <c r="G801">
        <v>8</v>
      </c>
      <c r="H801" t="s">
        <v>48</v>
      </c>
      <c r="I801" t="s">
        <v>53</v>
      </c>
      <c r="J801" t="s">
        <v>59</v>
      </c>
      <c r="K801" t="s">
        <v>60</v>
      </c>
      <c r="M801" t="s">
        <v>65</v>
      </c>
      <c r="N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1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1</v>
      </c>
      <c r="AC801" t="b">
        <v>0</v>
      </c>
      <c r="AE801" t="s">
        <v>2272</v>
      </c>
    </row>
    <row r="802" spans="1:31" x14ac:dyDescent="0.3">
      <c r="A802">
        <v>-73.974334230349996</v>
      </c>
      <c r="B802">
        <v>40.77277429483</v>
      </c>
      <c r="C802" t="s">
        <v>2273</v>
      </c>
      <c r="D802" t="s">
        <v>2085</v>
      </c>
      <c r="E802" t="s">
        <v>38</v>
      </c>
      <c r="F802">
        <v>10072018</v>
      </c>
      <c r="G802">
        <v>8</v>
      </c>
      <c r="H802" t="s">
        <v>48</v>
      </c>
      <c r="I802" t="s">
        <v>42</v>
      </c>
      <c r="K802" t="s">
        <v>43</v>
      </c>
      <c r="M802" t="s">
        <v>44</v>
      </c>
      <c r="N802">
        <v>15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s">
        <v>2274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E802" t="s">
        <v>2275</v>
      </c>
    </row>
    <row r="803" spans="1:31" x14ac:dyDescent="0.3">
      <c r="A803">
        <v>-73.958494212549994</v>
      </c>
      <c r="B803">
        <v>40.79950086361</v>
      </c>
      <c r="C803" t="s">
        <v>2276</v>
      </c>
      <c r="D803" t="s">
        <v>468</v>
      </c>
      <c r="E803" t="s">
        <v>38</v>
      </c>
      <c r="F803">
        <v>10132018</v>
      </c>
      <c r="G803">
        <v>1</v>
      </c>
      <c r="H803" t="s">
        <v>48</v>
      </c>
      <c r="I803" t="s">
        <v>42</v>
      </c>
      <c r="J803" t="s">
        <v>53</v>
      </c>
      <c r="K803" t="s">
        <v>54</v>
      </c>
      <c r="M803" t="s">
        <v>65</v>
      </c>
      <c r="N803" t="b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s">
        <v>2277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1</v>
      </c>
      <c r="AC803" t="b">
        <v>0</v>
      </c>
      <c r="AE803" t="s">
        <v>2278</v>
      </c>
    </row>
    <row r="804" spans="1:31" x14ac:dyDescent="0.3">
      <c r="A804">
        <v>-73.969798372560007</v>
      </c>
      <c r="B804">
        <v>40.770067702219997</v>
      </c>
      <c r="C804" t="s">
        <v>2279</v>
      </c>
      <c r="D804" t="s">
        <v>1326</v>
      </c>
      <c r="E804" t="s">
        <v>33</v>
      </c>
      <c r="F804">
        <v>10132018</v>
      </c>
      <c r="G804">
        <v>9</v>
      </c>
      <c r="H804" t="s">
        <v>48</v>
      </c>
      <c r="I804" t="s">
        <v>42</v>
      </c>
      <c r="J804" t="s">
        <v>96</v>
      </c>
      <c r="K804" t="s">
        <v>97</v>
      </c>
      <c r="M804" t="s">
        <v>65</v>
      </c>
      <c r="N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1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1</v>
      </c>
      <c r="AC804" t="b">
        <v>0</v>
      </c>
      <c r="AE804" t="s">
        <v>2280</v>
      </c>
    </row>
    <row r="805" spans="1:31" x14ac:dyDescent="0.3">
      <c r="A805">
        <v>-73.969719661989998</v>
      </c>
      <c r="B805">
        <v>40.78140685076</v>
      </c>
      <c r="C805" t="s">
        <v>2281</v>
      </c>
      <c r="D805" t="s">
        <v>411</v>
      </c>
      <c r="E805" t="s">
        <v>38</v>
      </c>
      <c r="F805">
        <v>10192018</v>
      </c>
      <c r="G805">
        <v>1</v>
      </c>
      <c r="H805" t="s">
        <v>105</v>
      </c>
      <c r="I805" t="s">
        <v>42</v>
      </c>
      <c r="J805" t="s">
        <v>96</v>
      </c>
      <c r="K805" t="s">
        <v>97</v>
      </c>
      <c r="L805" t="s">
        <v>2282</v>
      </c>
      <c r="M805" t="s">
        <v>65</v>
      </c>
      <c r="N805" t="b">
        <v>0</v>
      </c>
      <c r="P805" t="b">
        <v>1</v>
      </c>
      <c r="Q805" t="b">
        <v>0</v>
      </c>
      <c r="R805" t="b">
        <v>0</v>
      </c>
      <c r="S805" t="b">
        <v>1</v>
      </c>
      <c r="T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1</v>
      </c>
      <c r="AC805" t="b">
        <v>1</v>
      </c>
      <c r="AD805" t="s">
        <v>636</v>
      </c>
      <c r="AE805" t="s">
        <v>2283</v>
      </c>
    </row>
    <row r="806" spans="1:31" x14ac:dyDescent="0.3">
      <c r="A806">
        <v>-73.97068515462</v>
      </c>
      <c r="B806">
        <v>40.778077701599997</v>
      </c>
      <c r="C806" t="s">
        <v>2284</v>
      </c>
      <c r="D806" t="s">
        <v>544</v>
      </c>
      <c r="E806" t="s">
        <v>33</v>
      </c>
      <c r="F806">
        <v>10172018</v>
      </c>
      <c r="G806">
        <v>4</v>
      </c>
      <c r="H806" t="s">
        <v>48</v>
      </c>
      <c r="I806" t="s">
        <v>53</v>
      </c>
      <c r="K806" t="s">
        <v>155</v>
      </c>
      <c r="M806" t="s">
        <v>44</v>
      </c>
      <c r="N806">
        <v>2</v>
      </c>
      <c r="O806" t="s">
        <v>748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1</v>
      </c>
      <c r="AC806" t="b">
        <v>0</v>
      </c>
      <c r="AE806" t="s">
        <v>2285</v>
      </c>
    </row>
    <row r="807" spans="1:31" x14ac:dyDescent="0.3">
      <c r="A807">
        <v>-73.970475755549998</v>
      </c>
      <c r="B807">
        <v>40.776334806210002</v>
      </c>
      <c r="C807" t="s">
        <v>2286</v>
      </c>
      <c r="D807" t="s">
        <v>52</v>
      </c>
      <c r="E807" t="s">
        <v>38</v>
      </c>
      <c r="F807">
        <v>10172018</v>
      </c>
      <c r="G807">
        <v>2</v>
      </c>
      <c r="H807" t="s">
        <v>48</v>
      </c>
      <c r="I807" t="s">
        <v>42</v>
      </c>
      <c r="K807" t="s">
        <v>43</v>
      </c>
      <c r="M807" t="s">
        <v>65</v>
      </c>
      <c r="N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1</v>
      </c>
      <c r="U807" t="s">
        <v>2287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1</v>
      </c>
      <c r="AB807" t="b">
        <v>0</v>
      </c>
      <c r="AC807" t="b">
        <v>0</v>
      </c>
      <c r="AE807" t="s">
        <v>2288</v>
      </c>
    </row>
    <row r="808" spans="1:31" x14ac:dyDescent="0.3">
      <c r="A808">
        <v>-73.977725902239996</v>
      </c>
      <c r="B808">
        <v>40.768205990790001</v>
      </c>
      <c r="C808" t="s">
        <v>2289</v>
      </c>
      <c r="D808" t="s">
        <v>502</v>
      </c>
      <c r="E808" t="s">
        <v>33</v>
      </c>
      <c r="F808">
        <v>10102018</v>
      </c>
      <c r="G808">
        <v>10</v>
      </c>
      <c r="H808" t="s">
        <v>48</v>
      </c>
      <c r="I808" t="s">
        <v>42</v>
      </c>
      <c r="J808" t="s">
        <v>59</v>
      </c>
      <c r="K808" t="s">
        <v>79</v>
      </c>
      <c r="M808" t="s">
        <v>65</v>
      </c>
      <c r="N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1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1</v>
      </c>
      <c r="AE808" t="s">
        <v>2290</v>
      </c>
    </row>
    <row r="809" spans="1:31" x14ac:dyDescent="0.3">
      <c r="A809">
        <v>-73.97168818387</v>
      </c>
      <c r="B809">
        <v>40.778553537089998</v>
      </c>
      <c r="C809" t="s">
        <v>2291</v>
      </c>
      <c r="D809" t="s">
        <v>1626</v>
      </c>
      <c r="E809" t="s">
        <v>33</v>
      </c>
      <c r="F809">
        <v>10172018</v>
      </c>
      <c r="G809">
        <v>2</v>
      </c>
      <c r="H809" t="s">
        <v>48</v>
      </c>
      <c r="I809" t="s">
        <v>42</v>
      </c>
      <c r="J809" t="s">
        <v>53</v>
      </c>
      <c r="K809" t="s">
        <v>54</v>
      </c>
      <c r="M809" t="s">
        <v>44</v>
      </c>
      <c r="N809">
        <v>0</v>
      </c>
      <c r="P809" t="b">
        <v>0</v>
      </c>
      <c r="Q809" t="b">
        <v>0</v>
      </c>
      <c r="R809" t="b">
        <v>1</v>
      </c>
      <c r="S809" t="b">
        <v>0</v>
      </c>
      <c r="T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1</v>
      </c>
      <c r="AE809" t="s">
        <v>2292</v>
      </c>
    </row>
    <row r="810" spans="1:31" x14ac:dyDescent="0.3">
      <c r="A810">
        <v>-73.963325063650004</v>
      </c>
      <c r="B810">
        <v>40.792215508269997</v>
      </c>
      <c r="C810" t="s">
        <v>2293</v>
      </c>
      <c r="D810" t="s">
        <v>104</v>
      </c>
      <c r="E810" t="s">
        <v>33</v>
      </c>
      <c r="F810">
        <v>10132018</v>
      </c>
      <c r="G810">
        <v>9</v>
      </c>
      <c r="H810" t="s">
        <v>48</v>
      </c>
      <c r="I810" t="s">
        <v>42</v>
      </c>
      <c r="J810" t="s">
        <v>59</v>
      </c>
      <c r="K810" t="s">
        <v>79</v>
      </c>
      <c r="M810" t="s">
        <v>65</v>
      </c>
      <c r="N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1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1</v>
      </c>
      <c r="AC810" t="b">
        <v>0</v>
      </c>
      <c r="AE810" t="s">
        <v>2294</v>
      </c>
    </row>
    <row r="811" spans="1:31" x14ac:dyDescent="0.3">
      <c r="A811">
        <v>-73.967418114680001</v>
      </c>
      <c r="B811">
        <v>40.776459536010002</v>
      </c>
      <c r="C811" t="s">
        <v>2295</v>
      </c>
      <c r="D811" t="s">
        <v>311</v>
      </c>
      <c r="E811" t="s">
        <v>38</v>
      </c>
      <c r="F811">
        <v>10082018</v>
      </c>
      <c r="G811">
        <v>5</v>
      </c>
      <c r="H811" t="s">
        <v>48</v>
      </c>
      <c r="I811" t="s">
        <v>42</v>
      </c>
      <c r="J811" t="s">
        <v>53</v>
      </c>
      <c r="K811" t="s">
        <v>54</v>
      </c>
      <c r="M811" t="s">
        <v>65</v>
      </c>
      <c r="N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1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1</v>
      </c>
      <c r="AC811" t="b">
        <v>0</v>
      </c>
      <c r="AE811" t="s">
        <v>2296</v>
      </c>
    </row>
    <row r="812" spans="1:31" x14ac:dyDescent="0.3">
      <c r="A812">
        <v>-73.977169527200004</v>
      </c>
      <c r="B812">
        <v>40.772427727630003</v>
      </c>
      <c r="C812" t="s">
        <v>2297</v>
      </c>
      <c r="D812" t="s">
        <v>439</v>
      </c>
      <c r="E812" t="s">
        <v>38</v>
      </c>
      <c r="F812">
        <v>10082018</v>
      </c>
      <c r="G812">
        <v>3</v>
      </c>
      <c r="H812" t="s">
        <v>48</v>
      </c>
      <c r="I812" t="s">
        <v>42</v>
      </c>
      <c r="K812" t="s">
        <v>43</v>
      </c>
      <c r="M812" t="s">
        <v>44</v>
      </c>
      <c r="N812">
        <v>5</v>
      </c>
      <c r="P812" t="b">
        <v>0</v>
      </c>
      <c r="Q812" t="b">
        <v>1</v>
      </c>
      <c r="R812" t="b">
        <v>0</v>
      </c>
      <c r="S812" t="b">
        <v>0</v>
      </c>
      <c r="T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1</v>
      </c>
      <c r="AC812" t="b">
        <v>0</v>
      </c>
      <c r="AE812" t="s">
        <v>2298</v>
      </c>
    </row>
    <row r="813" spans="1:31" x14ac:dyDescent="0.3">
      <c r="A813">
        <v>-73.969967516050005</v>
      </c>
      <c r="B813">
        <v>40.777301264279998</v>
      </c>
      <c r="C813" t="s">
        <v>2299</v>
      </c>
      <c r="D813" t="s">
        <v>130</v>
      </c>
      <c r="E813" t="s">
        <v>33</v>
      </c>
      <c r="F813">
        <v>10082018</v>
      </c>
      <c r="G813">
        <v>7</v>
      </c>
      <c r="H813" t="s">
        <v>48</v>
      </c>
      <c r="I813" t="s">
        <v>42</v>
      </c>
      <c r="K813" t="s">
        <v>43</v>
      </c>
      <c r="M813" t="s">
        <v>65</v>
      </c>
      <c r="N813" t="b">
        <v>0</v>
      </c>
      <c r="P813" t="b">
        <v>0</v>
      </c>
      <c r="Q813" t="b">
        <v>0</v>
      </c>
      <c r="R813" t="b">
        <v>0</v>
      </c>
      <c r="S813" t="b">
        <v>1</v>
      </c>
      <c r="T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1</v>
      </c>
      <c r="AC813" t="b">
        <v>0</v>
      </c>
      <c r="AE813" t="s">
        <v>2300</v>
      </c>
    </row>
    <row r="814" spans="1:31" x14ac:dyDescent="0.3">
      <c r="A814">
        <v>-73.97589597983</v>
      </c>
      <c r="B814">
        <v>40.769412567170001</v>
      </c>
      <c r="C814" t="s">
        <v>2301</v>
      </c>
      <c r="D814" t="s">
        <v>534</v>
      </c>
      <c r="E814" t="s">
        <v>33</v>
      </c>
      <c r="F814">
        <v>10082018</v>
      </c>
      <c r="G814">
        <v>1</v>
      </c>
      <c r="H814" t="s">
        <v>48</v>
      </c>
      <c r="I814" t="s">
        <v>53</v>
      </c>
      <c r="J814" t="s">
        <v>115</v>
      </c>
      <c r="K814" t="s">
        <v>116</v>
      </c>
      <c r="M814" t="s">
        <v>65</v>
      </c>
      <c r="N814" t="b">
        <v>0</v>
      </c>
      <c r="P814" t="b">
        <v>0</v>
      </c>
      <c r="Q814" t="b">
        <v>0</v>
      </c>
      <c r="R814" t="b">
        <v>0</v>
      </c>
      <c r="S814" t="b">
        <v>1</v>
      </c>
      <c r="T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1</v>
      </c>
      <c r="AE814" t="s">
        <v>2302</v>
      </c>
    </row>
    <row r="815" spans="1:31" x14ac:dyDescent="0.3">
      <c r="A815">
        <v>-73.960760848269999</v>
      </c>
      <c r="B815">
        <v>40.795468764820001</v>
      </c>
      <c r="C815" t="s">
        <v>2303</v>
      </c>
      <c r="D815" t="s">
        <v>372</v>
      </c>
      <c r="E815" t="s">
        <v>33</v>
      </c>
      <c r="F815">
        <v>10132018</v>
      </c>
      <c r="G815">
        <v>6</v>
      </c>
      <c r="I815" t="s">
        <v>42</v>
      </c>
      <c r="J815" t="s">
        <v>53</v>
      </c>
      <c r="K815" t="s">
        <v>54</v>
      </c>
      <c r="M815" t="s">
        <v>65</v>
      </c>
      <c r="N815" t="b">
        <v>0</v>
      </c>
      <c r="O815" t="s">
        <v>2304</v>
      </c>
      <c r="P815" t="b">
        <v>0</v>
      </c>
      <c r="Q815" t="b">
        <v>0</v>
      </c>
      <c r="R815" t="b">
        <v>0</v>
      </c>
      <c r="S815" t="b">
        <v>1</v>
      </c>
      <c r="T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1</v>
      </c>
      <c r="AC815" t="b">
        <v>0</v>
      </c>
      <c r="AE815" t="s">
        <v>2305</v>
      </c>
    </row>
    <row r="816" spans="1:31" x14ac:dyDescent="0.3">
      <c r="A816">
        <v>-73.975328378369994</v>
      </c>
      <c r="B816">
        <v>40.773304391060002</v>
      </c>
      <c r="C816" t="s">
        <v>2306</v>
      </c>
      <c r="D816" t="s">
        <v>793</v>
      </c>
      <c r="E816" t="s">
        <v>33</v>
      </c>
      <c r="F816">
        <v>10132018</v>
      </c>
      <c r="G816">
        <v>2</v>
      </c>
      <c r="H816" t="s">
        <v>48</v>
      </c>
      <c r="I816" t="s">
        <v>42</v>
      </c>
      <c r="J816" t="s">
        <v>53</v>
      </c>
      <c r="K816" t="s">
        <v>54</v>
      </c>
      <c r="M816" t="s">
        <v>65</v>
      </c>
      <c r="N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1</v>
      </c>
      <c r="V816" t="b">
        <v>0</v>
      </c>
      <c r="W816" t="b">
        <v>0</v>
      </c>
      <c r="X816" t="b">
        <v>0</v>
      </c>
      <c r="Y816" t="b">
        <v>1</v>
      </c>
      <c r="Z816" t="b">
        <v>0</v>
      </c>
      <c r="AA816" t="b">
        <v>0</v>
      </c>
      <c r="AB816" t="b">
        <v>1</v>
      </c>
      <c r="AC816" t="b">
        <v>0</v>
      </c>
      <c r="AE816" t="s">
        <v>2307</v>
      </c>
    </row>
    <row r="817" spans="1:31" x14ac:dyDescent="0.3">
      <c r="A817">
        <v>-73.978530050990003</v>
      </c>
      <c r="B817">
        <v>40.772112774839997</v>
      </c>
      <c r="C817" t="s">
        <v>2308</v>
      </c>
      <c r="D817" t="s">
        <v>870</v>
      </c>
      <c r="E817" t="s">
        <v>38</v>
      </c>
      <c r="F817">
        <v>10062018</v>
      </c>
      <c r="G817">
        <v>7</v>
      </c>
      <c r="H817" t="s">
        <v>48</v>
      </c>
      <c r="I817" t="s">
        <v>42</v>
      </c>
      <c r="J817" t="s">
        <v>96</v>
      </c>
      <c r="K817" t="s">
        <v>97</v>
      </c>
      <c r="M817" t="s">
        <v>65</v>
      </c>
      <c r="N817" t="b">
        <v>0</v>
      </c>
      <c r="P817" t="b">
        <v>0</v>
      </c>
      <c r="Q817" t="b">
        <v>0</v>
      </c>
      <c r="R817" t="b">
        <v>0</v>
      </c>
      <c r="S817" t="b">
        <v>1</v>
      </c>
      <c r="T817" t="b">
        <v>1</v>
      </c>
      <c r="V817" t="b">
        <v>0</v>
      </c>
      <c r="W817" t="b">
        <v>0</v>
      </c>
      <c r="X817" t="b">
        <v>0</v>
      </c>
      <c r="Y817" t="b">
        <v>0</v>
      </c>
      <c r="Z817" t="b">
        <v>1</v>
      </c>
      <c r="AA817" t="b">
        <v>0</v>
      </c>
      <c r="AB817" t="b">
        <v>1</v>
      </c>
      <c r="AC817" t="b">
        <v>0</v>
      </c>
      <c r="AE817" t="s">
        <v>2309</v>
      </c>
    </row>
    <row r="818" spans="1:31" x14ac:dyDescent="0.3">
      <c r="A818">
        <v>-73.954002244540007</v>
      </c>
      <c r="B818">
        <v>40.797940985499999</v>
      </c>
      <c r="C818" t="s">
        <v>2310</v>
      </c>
      <c r="D818" t="s">
        <v>1515</v>
      </c>
      <c r="E818" t="s">
        <v>38</v>
      </c>
      <c r="F818">
        <v>10072018</v>
      </c>
      <c r="G818">
        <v>1</v>
      </c>
      <c r="H818" t="s">
        <v>48</v>
      </c>
      <c r="I818" t="s">
        <v>42</v>
      </c>
      <c r="J818" t="s">
        <v>59</v>
      </c>
      <c r="K818" t="s">
        <v>79</v>
      </c>
      <c r="L818" t="s">
        <v>2311</v>
      </c>
      <c r="M818" t="s">
        <v>65</v>
      </c>
      <c r="N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1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1</v>
      </c>
      <c r="AC818" t="b">
        <v>0</v>
      </c>
      <c r="AE818" t="s">
        <v>2312</v>
      </c>
    </row>
    <row r="819" spans="1:31" x14ac:dyDescent="0.3">
      <c r="A819">
        <v>-73.960875742409996</v>
      </c>
      <c r="B819">
        <v>40.790668650470003</v>
      </c>
      <c r="C819" t="s">
        <v>2313</v>
      </c>
      <c r="D819" t="s">
        <v>612</v>
      </c>
      <c r="E819" t="s">
        <v>38</v>
      </c>
      <c r="F819">
        <v>10142018</v>
      </c>
      <c r="G819">
        <v>6</v>
      </c>
      <c r="H819" t="s">
        <v>48</v>
      </c>
      <c r="I819" t="s">
        <v>42</v>
      </c>
      <c r="J819" t="s">
        <v>53</v>
      </c>
      <c r="K819" t="s">
        <v>54</v>
      </c>
      <c r="M819" t="s">
        <v>65</v>
      </c>
      <c r="N819" t="b">
        <v>0</v>
      </c>
      <c r="P819" t="b">
        <v>0</v>
      </c>
      <c r="Q819" t="b">
        <v>0</v>
      </c>
      <c r="R819" t="b">
        <v>0</v>
      </c>
      <c r="S819" t="b">
        <v>1</v>
      </c>
      <c r="T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1</v>
      </c>
      <c r="AC819" t="b">
        <v>0</v>
      </c>
      <c r="AE819" t="s">
        <v>2314</v>
      </c>
    </row>
    <row r="820" spans="1:31" x14ac:dyDescent="0.3">
      <c r="A820">
        <v>-73.960362012220003</v>
      </c>
      <c r="B820">
        <v>40.795596575589997</v>
      </c>
      <c r="C820" t="s">
        <v>2315</v>
      </c>
      <c r="D820" t="s">
        <v>1404</v>
      </c>
      <c r="E820" t="s">
        <v>38</v>
      </c>
      <c r="F820">
        <v>10132018</v>
      </c>
      <c r="G820">
        <v>2</v>
      </c>
      <c r="I820" t="s">
        <v>42</v>
      </c>
      <c r="K820" t="s">
        <v>43</v>
      </c>
      <c r="M820" t="s">
        <v>65</v>
      </c>
      <c r="N820" t="b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s">
        <v>2316</v>
      </c>
      <c r="AE820" t="s">
        <v>2317</v>
      </c>
    </row>
    <row r="821" spans="1:31" x14ac:dyDescent="0.3">
      <c r="A821">
        <v>-73.980190213309996</v>
      </c>
      <c r="B821">
        <v>40.769557595069998</v>
      </c>
      <c r="C821" t="s">
        <v>2318</v>
      </c>
      <c r="D821" t="s">
        <v>239</v>
      </c>
      <c r="E821" t="s">
        <v>38</v>
      </c>
      <c r="F821">
        <v>10122018</v>
      </c>
      <c r="G821">
        <v>3</v>
      </c>
      <c r="H821" t="s">
        <v>105</v>
      </c>
      <c r="I821" t="s">
        <v>42</v>
      </c>
      <c r="J821" t="s">
        <v>1921</v>
      </c>
      <c r="K821" t="s">
        <v>1922</v>
      </c>
      <c r="L821" t="s">
        <v>2319</v>
      </c>
      <c r="M821" t="s">
        <v>44</v>
      </c>
      <c r="N821">
        <v>1</v>
      </c>
      <c r="P821" t="b">
        <v>0</v>
      </c>
      <c r="Q821" t="b">
        <v>0</v>
      </c>
      <c r="R821" t="b">
        <v>1</v>
      </c>
      <c r="S821" t="b">
        <v>0</v>
      </c>
      <c r="T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1</v>
      </c>
      <c r="AA821" t="b">
        <v>0</v>
      </c>
      <c r="AB821" t="b">
        <v>0</v>
      </c>
      <c r="AC821" t="b">
        <v>1</v>
      </c>
      <c r="AE821" t="s">
        <v>2320</v>
      </c>
    </row>
    <row r="822" spans="1:31" x14ac:dyDescent="0.3">
      <c r="A822">
        <v>-73.959077668150002</v>
      </c>
      <c r="B822">
        <v>40.79260458233</v>
      </c>
      <c r="C822" t="s">
        <v>2321</v>
      </c>
      <c r="D822" t="s">
        <v>1170</v>
      </c>
      <c r="E822" t="s">
        <v>38</v>
      </c>
      <c r="F822">
        <v>10082018</v>
      </c>
      <c r="G822">
        <v>2</v>
      </c>
      <c r="H822" t="s">
        <v>48</v>
      </c>
      <c r="I822" t="s">
        <v>176</v>
      </c>
      <c r="K822" t="s">
        <v>177</v>
      </c>
      <c r="M822" t="s">
        <v>65</v>
      </c>
      <c r="N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1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1</v>
      </c>
      <c r="AC822" t="b">
        <v>0</v>
      </c>
      <c r="AE822" t="s">
        <v>2322</v>
      </c>
    </row>
    <row r="823" spans="1:31" x14ac:dyDescent="0.3">
      <c r="A823">
        <v>-73.957655909899998</v>
      </c>
      <c r="B823">
        <v>40.799259862649997</v>
      </c>
      <c r="C823" t="s">
        <v>2323</v>
      </c>
      <c r="D823" t="s">
        <v>367</v>
      </c>
      <c r="E823" t="s">
        <v>38</v>
      </c>
      <c r="F823">
        <v>10102018</v>
      </c>
      <c r="G823">
        <v>9</v>
      </c>
      <c r="H823" t="s">
        <v>48</v>
      </c>
      <c r="I823" t="s">
        <v>42</v>
      </c>
      <c r="K823" t="s">
        <v>43</v>
      </c>
      <c r="M823" t="s">
        <v>44</v>
      </c>
      <c r="N823">
        <v>3</v>
      </c>
      <c r="P823" t="b">
        <v>0</v>
      </c>
      <c r="Q823" t="b">
        <v>1</v>
      </c>
      <c r="R823" t="b">
        <v>0</v>
      </c>
      <c r="S823" t="b">
        <v>0</v>
      </c>
      <c r="T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1</v>
      </c>
      <c r="AC823" t="b">
        <v>0</v>
      </c>
      <c r="AE823" t="s">
        <v>2324</v>
      </c>
    </row>
    <row r="824" spans="1:31" x14ac:dyDescent="0.3">
      <c r="A824">
        <v>-73.954595058340004</v>
      </c>
      <c r="B824">
        <v>40.795656793429998</v>
      </c>
      <c r="C824" t="s">
        <v>2325</v>
      </c>
      <c r="D824" t="s">
        <v>1063</v>
      </c>
      <c r="E824" t="s">
        <v>38</v>
      </c>
      <c r="F824">
        <v>10142018</v>
      </c>
      <c r="G824">
        <v>4</v>
      </c>
      <c r="H824" t="s">
        <v>105</v>
      </c>
      <c r="I824" t="s">
        <v>42</v>
      </c>
      <c r="J824" t="s">
        <v>53</v>
      </c>
      <c r="K824" t="s">
        <v>54</v>
      </c>
      <c r="M824" t="s">
        <v>65</v>
      </c>
      <c r="N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1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1</v>
      </c>
      <c r="AC824" t="b">
        <v>0</v>
      </c>
      <c r="AE824" t="s">
        <v>2326</v>
      </c>
    </row>
    <row r="825" spans="1:31" x14ac:dyDescent="0.3">
      <c r="A825">
        <v>-73.960634468129996</v>
      </c>
      <c r="B825">
        <v>40.79583377806</v>
      </c>
      <c r="C825" t="s">
        <v>2327</v>
      </c>
      <c r="D825" t="s">
        <v>969</v>
      </c>
      <c r="E825" t="s">
        <v>33</v>
      </c>
      <c r="F825">
        <v>10132018</v>
      </c>
      <c r="G825">
        <v>4</v>
      </c>
      <c r="H825" t="s">
        <v>48</v>
      </c>
      <c r="I825" t="s">
        <v>42</v>
      </c>
      <c r="K825" t="s">
        <v>43</v>
      </c>
      <c r="M825" t="s">
        <v>65</v>
      </c>
      <c r="N825" t="b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1</v>
      </c>
      <c r="AE825" t="s">
        <v>2328</v>
      </c>
    </row>
    <row r="826" spans="1:31" x14ac:dyDescent="0.3">
      <c r="A826">
        <v>-73.958010517489996</v>
      </c>
      <c r="B826">
        <v>40.797446832269998</v>
      </c>
      <c r="C826" t="s">
        <v>2329</v>
      </c>
      <c r="D826" t="s">
        <v>218</v>
      </c>
      <c r="E826" t="s">
        <v>33</v>
      </c>
      <c r="F826">
        <v>10062018</v>
      </c>
      <c r="G826">
        <v>3</v>
      </c>
      <c r="H826" t="s">
        <v>48</v>
      </c>
      <c r="I826" t="s">
        <v>42</v>
      </c>
      <c r="K826" t="s">
        <v>43</v>
      </c>
      <c r="M826" t="s">
        <v>65</v>
      </c>
      <c r="N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1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1</v>
      </c>
      <c r="AE826" t="s">
        <v>2330</v>
      </c>
    </row>
    <row r="827" spans="1:31" x14ac:dyDescent="0.3">
      <c r="A827">
        <v>-73.955726353350002</v>
      </c>
      <c r="B827">
        <v>40.793950579140002</v>
      </c>
      <c r="C827" t="s">
        <v>2331</v>
      </c>
      <c r="D827" t="s">
        <v>32</v>
      </c>
      <c r="E827" t="s">
        <v>33</v>
      </c>
      <c r="F827">
        <v>10142018</v>
      </c>
      <c r="G827">
        <v>2</v>
      </c>
      <c r="H827" t="s">
        <v>105</v>
      </c>
      <c r="I827" t="s">
        <v>42</v>
      </c>
      <c r="J827" t="s">
        <v>96</v>
      </c>
      <c r="K827" t="s">
        <v>97</v>
      </c>
      <c r="M827" t="s">
        <v>65</v>
      </c>
      <c r="N827" t="b">
        <v>0</v>
      </c>
      <c r="O827" t="s">
        <v>2332</v>
      </c>
      <c r="P827" t="b">
        <v>0</v>
      </c>
      <c r="Q827" t="b">
        <v>0</v>
      </c>
      <c r="R827" t="b">
        <v>0</v>
      </c>
      <c r="S827" t="b">
        <v>1</v>
      </c>
      <c r="T827" t="b">
        <v>1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1</v>
      </c>
      <c r="AC827" t="b">
        <v>0</v>
      </c>
      <c r="AE827" t="s">
        <v>2333</v>
      </c>
    </row>
    <row r="828" spans="1:31" x14ac:dyDescent="0.3">
      <c r="A828">
        <v>-73.970024735090007</v>
      </c>
      <c r="B828">
        <v>40.78369290445</v>
      </c>
      <c r="C828" t="s">
        <v>2334</v>
      </c>
      <c r="D828" t="s">
        <v>2011</v>
      </c>
      <c r="E828" t="s">
        <v>38</v>
      </c>
      <c r="F828">
        <v>10192018</v>
      </c>
      <c r="G828">
        <v>8</v>
      </c>
      <c r="H828" t="s">
        <v>48</v>
      </c>
      <c r="I828" t="s">
        <v>42</v>
      </c>
      <c r="J828" t="s">
        <v>53</v>
      </c>
      <c r="K828" t="s">
        <v>54</v>
      </c>
      <c r="M828" t="s">
        <v>65</v>
      </c>
      <c r="N828" t="b">
        <v>0</v>
      </c>
      <c r="P828" t="b">
        <v>0</v>
      </c>
      <c r="Q828" t="b">
        <v>0</v>
      </c>
      <c r="R828" t="b">
        <v>0</v>
      </c>
      <c r="S828" t="b">
        <v>1</v>
      </c>
      <c r="T828" t="b">
        <v>1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1</v>
      </c>
      <c r="AC828" t="b">
        <v>0</v>
      </c>
      <c r="AE828" t="s">
        <v>2335</v>
      </c>
    </row>
    <row r="829" spans="1:31" x14ac:dyDescent="0.3">
      <c r="A829">
        <v>-73.954510104190007</v>
      </c>
      <c r="B829">
        <v>40.790382361680003</v>
      </c>
      <c r="C829" t="s">
        <v>2336</v>
      </c>
      <c r="D829" t="s">
        <v>1025</v>
      </c>
      <c r="E829" t="s">
        <v>33</v>
      </c>
      <c r="F829">
        <v>10102018</v>
      </c>
      <c r="G829">
        <v>3</v>
      </c>
      <c r="H829" t="s">
        <v>48</v>
      </c>
      <c r="I829" t="s">
        <v>42</v>
      </c>
      <c r="K829" t="s">
        <v>43</v>
      </c>
      <c r="M829" t="s">
        <v>65</v>
      </c>
      <c r="N829" t="b">
        <v>0</v>
      </c>
      <c r="O829" t="s">
        <v>2337</v>
      </c>
      <c r="P829" t="b">
        <v>1</v>
      </c>
      <c r="Q829" t="b">
        <v>0</v>
      </c>
      <c r="R829" t="b">
        <v>0</v>
      </c>
      <c r="S829" t="b">
        <v>0</v>
      </c>
      <c r="T829" t="b">
        <v>1</v>
      </c>
      <c r="U829" t="s">
        <v>2338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E829" t="s">
        <v>2339</v>
      </c>
    </row>
    <row r="830" spans="1:31" x14ac:dyDescent="0.3">
      <c r="A830">
        <v>-73.971180112260001</v>
      </c>
      <c r="B830">
        <v>40.778688894219997</v>
      </c>
      <c r="C830" t="s">
        <v>2340</v>
      </c>
      <c r="D830" t="s">
        <v>95</v>
      </c>
      <c r="E830" t="s">
        <v>38</v>
      </c>
      <c r="F830">
        <v>10142018</v>
      </c>
      <c r="G830">
        <v>2</v>
      </c>
      <c r="H830" t="s">
        <v>48</v>
      </c>
      <c r="I830" t="s">
        <v>42</v>
      </c>
      <c r="J830" t="s">
        <v>148</v>
      </c>
      <c r="K830" t="s">
        <v>149</v>
      </c>
      <c r="M830" t="s">
        <v>65</v>
      </c>
      <c r="N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1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1</v>
      </c>
      <c r="AB830" t="b">
        <v>0</v>
      </c>
      <c r="AC830" t="b">
        <v>0</v>
      </c>
      <c r="AE830" t="s">
        <v>2341</v>
      </c>
    </row>
    <row r="831" spans="1:31" x14ac:dyDescent="0.3">
      <c r="A831">
        <v>-73.959564596250004</v>
      </c>
      <c r="B831">
        <v>40.789959935010003</v>
      </c>
      <c r="C831" t="s">
        <v>2342</v>
      </c>
      <c r="D831" t="s">
        <v>1407</v>
      </c>
      <c r="E831" t="s">
        <v>33</v>
      </c>
      <c r="F831">
        <v>10062018</v>
      </c>
      <c r="G831">
        <v>3</v>
      </c>
      <c r="H831" t="s">
        <v>48</v>
      </c>
      <c r="I831" t="s">
        <v>42</v>
      </c>
      <c r="J831" t="s">
        <v>53</v>
      </c>
      <c r="K831" t="s">
        <v>54</v>
      </c>
      <c r="M831" t="s">
        <v>65</v>
      </c>
      <c r="N831" t="b">
        <v>0</v>
      </c>
      <c r="O831" t="s">
        <v>1408</v>
      </c>
      <c r="P831" t="b">
        <v>0</v>
      </c>
      <c r="Q831" t="b">
        <v>0</v>
      </c>
      <c r="R831" t="b">
        <v>0</v>
      </c>
      <c r="S831" t="b">
        <v>1</v>
      </c>
      <c r="T831" t="b">
        <v>1</v>
      </c>
      <c r="U831" t="s">
        <v>511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1</v>
      </c>
      <c r="AC831" t="b">
        <v>0</v>
      </c>
      <c r="AE831" t="s">
        <v>2343</v>
      </c>
    </row>
    <row r="832" spans="1:31" x14ac:dyDescent="0.3">
      <c r="A832">
        <v>-73.958771267939994</v>
      </c>
      <c r="B832">
        <v>40.794450250140002</v>
      </c>
      <c r="C832" t="s">
        <v>2344</v>
      </c>
      <c r="D832" t="s">
        <v>1451</v>
      </c>
      <c r="E832" t="s">
        <v>33</v>
      </c>
      <c r="F832">
        <v>10072018</v>
      </c>
      <c r="G832">
        <v>2</v>
      </c>
      <c r="H832" t="s">
        <v>48</v>
      </c>
      <c r="I832" t="s">
        <v>42</v>
      </c>
      <c r="J832" t="s">
        <v>53</v>
      </c>
      <c r="K832" t="s">
        <v>54</v>
      </c>
      <c r="M832" t="s">
        <v>65</v>
      </c>
      <c r="N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1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1</v>
      </c>
      <c r="AB832" t="b">
        <v>1</v>
      </c>
      <c r="AC832" t="b">
        <v>0</v>
      </c>
      <c r="AE832" t="s">
        <v>2345</v>
      </c>
    </row>
    <row r="833" spans="1:31" x14ac:dyDescent="0.3">
      <c r="A833">
        <v>-73.967620602249994</v>
      </c>
      <c r="B833">
        <v>40.784594234979998</v>
      </c>
      <c r="C833" t="s">
        <v>2346</v>
      </c>
      <c r="D833" t="s">
        <v>2181</v>
      </c>
      <c r="E833" t="s">
        <v>33</v>
      </c>
      <c r="F833">
        <v>10122018</v>
      </c>
      <c r="G833">
        <v>1</v>
      </c>
      <c r="H833" t="s">
        <v>48</v>
      </c>
      <c r="I833" t="s">
        <v>42</v>
      </c>
      <c r="J833" t="s">
        <v>53</v>
      </c>
      <c r="K833" t="s">
        <v>54</v>
      </c>
      <c r="M833" t="s">
        <v>65</v>
      </c>
      <c r="N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1</v>
      </c>
      <c r="V833" t="b">
        <v>0</v>
      </c>
      <c r="W833" t="b">
        <v>0</v>
      </c>
      <c r="X833" t="b">
        <v>0</v>
      </c>
      <c r="Y833" t="b">
        <v>0</v>
      </c>
      <c r="Z833" t="b">
        <v>1</v>
      </c>
      <c r="AA833" t="b">
        <v>0</v>
      </c>
      <c r="AB833" t="b">
        <v>1</v>
      </c>
      <c r="AC833" t="b">
        <v>0</v>
      </c>
      <c r="AE833" t="s">
        <v>2347</v>
      </c>
    </row>
    <row r="834" spans="1:31" x14ac:dyDescent="0.3">
      <c r="A834">
        <v>-73.974184641400001</v>
      </c>
      <c r="B834">
        <v>40.77625181642</v>
      </c>
      <c r="C834" t="s">
        <v>2348</v>
      </c>
      <c r="D834" t="s">
        <v>160</v>
      </c>
      <c r="E834" t="s">
        <v>33</v>
      </c>
      <c r="F834">
        <v>10182018</v>
      </c>
      <c r="G834">
        <v>1</v>
      </c>
      <c r="H834" t="s">
        <v>48</v>
      </c>
      <c r="I834" t="s">
        <v>42</v>
      </c>
      <c r="K834" t="s">
        <v>43</v>
      </c>
      <c r="M834" t="s">
        <v>65</v>
      </c>
      <c r="N834" t="b">
        <v>0</v>
      </c>
      <c r="O834" t="s">
        <v>2349</v>
      </c>
      <c r="P834" t="b">
        <v>0</v>
      </c>
      <c r="Q834" t="b">
        <v>0</v>
      </c>
      <c r="R834" t="b">
        <v>1</v>
      </c>
      <c r="S834" t="b">
        <v>0</v>
      </c>
      <c r="T834" t="b">
        <v>1</v>
      </c>
      <c r="U834" t="s">
        <v>2350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1</v>
      </c>
      <c r="AE834" t="s">
        <v>2351</v>
      </c>
    </row>
    <row r="835" spans="1:31" x14ac:dyDescent="0.3">
      <c r="A835">
        <v>-73.970391412690006</v>
      </c>
      <c r="B835">
        <v>40.77224579752</v>
      </c>
      <c r="C835" t="s">
        <v>2352</v>
      </c>
      <c r="D835" t="s">
        <v>600</v>
      </c>
      <c r="E835" t="s">
        <v>33</v>
      </c>
      <c r="F835">
        <v>10172018</v>
      </c>
      <c r="G835">
        <v>1</v>
      </c>
      <c r="H835" t="s">
        <v>48</v>
      </c>
      <c r="I835" t="s">
        <v>42</v>
      </c>
      <c r="K835" t="s">
        <v>43</v>
      </c>
      <c r="M835" t="s">
        <v>65</v>
      </c>
      <c r="N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s">
        <v>1660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1</v>
      </c>
      <c r="AC835" t="b">
        <v>0</v>
      </c>
      <c r="AE835" t="s">
        <v>2353</v>
      </c>
    </row>
    <row r="836" spans="1:31" x14ac:dyDescent="0.3">
      <c r="A836">
        <v>-73.970790056650003</v>
      </c>
      <c r="B836">
        <v>40.777167055009997</v>
      </c>
      <c r="C836" t="s">
        <v>2354</v>
      </c>
      <c r="D836" t="s">
        <v>729</v>
      </c>
      <c r="E836" t="s">
        <v>38</v>
      </c>
      <c r="F836">
        <v>10142018</v>
      </c>
      <c r="G836">
        <v>9</v>
      </c>
      <c r="H836" t="s">
        <v>48</v>
      </c>
      <c r="I836" t="s">
        <v>42</v>
      </c>
      <c r="J836" t="s">
        <v>96</v>
      </c>
      <c r="K836" t="s">
        <v>97</v>
      </c>
      <c r="M836" t="s">
        <v>44</v>
      </c>
      <c r="N836">
        <v>30</v>
      </c>
      <c r="P836" t="b">
        <v>0</v>
      </c>
      <c r="Q836" t="b">
        <v>0</v>
      </c>
      <c r="R836" t="b">
        <v>1</v>
      </c>
      <c r="S836" t="b">
        <v>0</v>
      </c>
      <c r="T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1</v>
      </c>
      <c r="AC836" t="b">
        <v>0</v>
      </c>
      <c r="AE836" t="s">
        <v>2355</v>
      </c>
    </row>
    <row r="837" spans="1:31" x14ac:dyDescent="0.3">
      <c r="A837">
        <v>-73.975086415440003</v>
      </c>
      <c r="B837">
        <v>40.767199013130003</v>
      </c>
      <c r="C837" t="s">
        <v>2356</v>
      </c>
      <c r="D837" t="s">
        <v>1701</v>
      </c>
      <c r="E837" t="s">
        <v>38</v>
      </c>
      <c r="F837">
        <v>10062018</v>
      </c>
      <c r="G837">
        <v>1</v>
      </c>
      <c r="H837" t="s">
        <v>48</v>
      </c>
      <c r="I837" t="s">
        <v>42</v>
      </c>
      <c r="K837" t="s">
        <v>43</v>
      </c>
      <c r="M837" t="s">
        <v>65</v>
      </c>
      <c r="N837" t="b">
        <v>0</v>
      </c>
      <c r="O837" t="s">
        <v>2357</v>
      </c>
      <c r="P837" t="b">
        <v>0</v>
      </c>
      <c r="Q837" t="b">
        <v>0</v>
      </c>
      <c r="R837" t="b">
        <v>0</v>
      </c>
      <c r="S837" t="b">
        <v>0</v>
      </c>
      <c r="T837" t="b">
        <v>1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1</v>
      </c>
      <c r="AC837" t="b">
        <v>0</v>
      </c>
      <c r="AE837" t="s">
        <v>2358</v>
      </c>
    </row>
    <row r="838" spans="1:31" x14ac:dyDescent="0.3">
      <c r="A838">
        <v>-73.955717233680005</v>
      </c>
      <c r="B838">
        <v>40.792112565769997</v>
      </c>
      <c r="C838" t="s">
        <v>2359</v>
      </c>
      <c r="D838" t="s">
        <v>2227</v>
      </c>
      <c r="E838" t="s">
        <v>33</v>
      </c>
      <c r="F838">
        <v>10062018</v>
      </c>
      <c r="G838">
        <v>1</v>
      </c>
      <c r="H838" t="s">
        <v>48</v>
      </c>
      <c r="I838" t="s">
        <v>176</v>
      </c>
      <c r="J838" t="s">
        <v>53</v>
      </c>
      <c r="K838" t="s">
        <v>705</v>
      </c>
      <c r="M838" t="s">
        <v>65</v>
      </c>
      <c r="N838" t="b">
        <v>0</v>
      </c>
      <c r="P838" t="b">
        <v>1</v>
      </c>
      <c r="Q838" t="b">
        <v>0</v>
      </c>
      <c r="R838" t="b">
        <v>1</v>
      </c>
      <c r="S838" t="b">
        <v>0</v>
      </c>
      <c r="T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1</v>
      </c>
      <c r="AA838" t="b">
        <v>0</v>
      </c>
      <c r="AB838" t="b">
        <v>0</v>
      </c>
      <c r="AC838" t="b">
        <v>1</v>
      </c>
      <c r="AE838" t="s">
        <v>2360</v>
      </c>
    </row>
    <row r="839" spans="1:31" x14ac:dyDescent="0.3">
      <c r="A839">
        <v>-73.969103109469998</v>
      </c>
      <c r="B839">
        <v>40.770669383520001</v>
      </c>
      <c r="C839" t="s">
        <v>2361</v>
      </c>
      <c r="D839" t="s">
        <v>1780</v>
      </c>
      <c r="E839" t="s">
        <v>38</v>
      </c>
      <c r="F839">
        <v>10142018</v>
      </c>
      <c r="G839">
        <v>2</v>
      </c>
      <c r="H839" t="s">
        <v>48</v>
      </c>
      <c r="I839" t="s">
        <v>42</v>
      </c>
      <c r="K839" t="s">
        <v>43</v>
      </c>
      <c r="L839" t="s">
        <v>2362</v>
      </c>
      <c r="M839" t="s">
        <v>44</v>
      </c>
      <c r="N839">
        <v>35</v>
      </c>
      <c r="P839" t="b">
        <v>0</v>
      </c>
      <c r="Q839" t="b">
        <v>0</v>
      </c>
      <c r="R839" t="b">
        <v>1</v>
      </c>
      <c r="S839" t="b">
        <v>0</v>
      </c>
      <c r="T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E839" t="s">
        <v>2363</v>
      </c>
    </row>
    <row r="840" spans="1:31" x14ac:dyDescent="0.3">
      <c r="A840">
        <v>-73.961560280559993</v>
      </c>
      <c r="B840">
        <v>40.79456621856</v>
      </c>
      <c r="C840" t="s">
        <v>2364</v>
      </c>
      <c r="D840" t="s">
        <v>286</v>
      </c>
      <c r="E840" t="s">
        <v>33</v>
      </c>
      <c r="F840">
        <v>10132018</v>
      </c>
      <c r="G840">
        <v>8</v>
      </c>
      <c r="H840" t="s">
        <v>48</v>
      </c>
      <c r="I840" t="s">
        <v>42</v>
      </c>
      <c r="J840" t="s">
        <v>59</v>
      </c>
      <c r="K840" t="s">
        <v>79</v>
      </c>
      <c r="M840" t="s">
        <v>65</v>
      </c>
      <c r="N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1</v>
      </c>
      <c r="V840" t="b">
        <v>0</v>
      </c>
      <c r="W840" t="b">
        <v>0</v>
      </c>
      <c r="X840" t="b">
        <v>0</v>
      </c>
      <c r="Y840" t="b">
        <v>0</v>
      </c>
      <c r="Z840" t="b">
        <v>1</v>
      </c>
      <c r="AA840" t="b">
        <v>0</v>
      </c>
      <c r="AB840" t="b">
        <v>0</v>
      </c>
      <c r="AC840" t="b">
        <v>1</v>
      </c>
      <c r="AE840" t="s">
        <v>2365</v>
      </c>
    </row>
    <row r="841" spans="1:31" x14ac:dyDescent="0.3">
      <c r="A841">
        <v>-73.959808479459994</v>
      </c>
      <c r="B841">
        <v>40.797616543449998</v>
      </c>
      <c r="C841" t="s">
        <v>2366</v>
      </c>
      <c r="D841" t="s">
        <v>582</v>
      </c>
      <c r="E841" t="s">
        <v>33</v>
      </c>
      <c r="F841">
        <v>10142018</v>
      </c>
      <c r="G841">
        <v>1</v>
      </c>
      <c r="H841" t="s">
        <v>48</v>
      </c>
      <c r="I841" t="s">
        <v>42</v>
      </c>
      <c r="J841" t="s">
        <v>59</v>
      </c>
      <c r="K841" t="s">
        <v>79</v>
      </c>
      <c r="M841" t="s">
        <v>65</v>
      </c>
      <c r="N841" t="b">
        <v>0</v>
      </c>
      <c r="P841" t="b">
        <v>0</v>
      </c>
      <c r="Q841" t="b">
        <v>1</v>
      </c>
      <c r="R841" t="b">
        <v>0</v>
      </c>
      <c r="S841" t="b">
        <v>0</v>
      </c>
      <c r="T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1</v>
      </c>
      <c r="AC841" t="b">
        <v>0</v>
      </c>
      <c r="AE841" t="s">
        <v>2367</v>
      </c>
    </row>
    <row r="842" spans="1:31" x14ac:dyDescent="0.3">
      <c r="A842">
        <v>-73.974693385259997</v>
      </c>
      <c r="B842">
        <v>40.773313866930003</v>
      </c>
      <c r="C842" t="s">
        <v>2368</v>
      </c>
      <c r="D842" t="s">
        <v>1401</v>
      </c>
      <c r="E842" t="s">
        <v>33</v>
      </c>
      <c r="F842">
        <v>10062018</v>
      </c>
      <c r="G842">
        <v>5</v>
      </c>
      <c r="H842" t="s">
        <v>48</v>
      </c>
      <c r="I842" t="s">
        <v>42</v>
      </c>
      <c r="J842" t="s">
        <v>59</v>
      </c>
      <c r="K842" t="s">
        <v>79</v>
      </c>
      <c r="M842" t="s">
        <v>65</v>
      </c>
      <c r="N842" t="b">
        <v>0</v>
      </c>
      <c r="P842" t="b">
        <v>0</v>
      </c>
      <c r="Q842" t="b">
        <v>0</v>
      </c>
      <c r="R842" t="b">
        <v>0</v>
      </c>
      <c r="S842" t="b">
        <v>1</v>
      </c>
      <c r="T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1</v>
      </c>
      <c r="AD842" t="s">
        <v>2369</v>
      </c>
      <c r="AE842" t="s">
        <v>2370</v>
      </c>
    </row>
    <row r="843" spans="1:31" x14ac:dyDescent="0.3">
      <c r="A843">
        <v>-73.964514701170003</v>
      </c>
      <c r="B843">
        <v>40.777256683380003</v>
      </c>
      <c r="C843" t="s">
        <v>2371</v>
      </c>
      <c r="D843" t="s">
        <v>2372</v>
      </c>
      <c r="E843" t="s">
        <v>38</v>
      </c>
      <c r="F843">
        <v>10142018</v>
      </c>
      <c r="G843">
        <v>4</v>
      </c>
      <c r="H843" t="s">
        <v>48</v>
      </c>
      <c r="I843" t="s">
        <v>42</v>
      </c>
      <c r="J843" t="s">
        <v>96</v>
      </c>
      <c r="K843" t="s">
        <v>97</v>
      </c>
      <c r="M843" t="s">
        <v>65</v>
      </c>
      <c r="N843" t="b">
        <v>0</v>
      </c>
      <c r="P843" t="b">
        <v>0</v>
      </c>
      <c r="Q843" t="b">
        <v>0</v>
      </c>
      <c r="R843" t="b">
        <v>0</v>
      </c>
      <c r="S843" t="b">
        <v>1</v>
      </c>
      <c r="T843" t="b">
        <v>1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1</v>
      </c>
      <c r="AB843" t="b">
        <v>1</v>
      </c>
      <c r="AC843" t="b">
        <v>0</v>
      </c>
      <c r="AE843" t="s">
        <v>2373</v>
      </c>
    </row>
    <row r="844" spans="1:31" x14ac:dyDescent="0.3">
      <c r="A844">
        <v>-73.971408964739993</v>
      </c>
      <c r="B844">
        <v>40.776791658790003</v>
      </c>
      <c r="C844" t="s">
        <v>2374</v>
      </c>
      <c r="D844" t="s">
        <v>729</v>
      </c>
      <c r="E844" t="s">
        <v>38</v>
      </c>
      <c r="F844">
        <v>10142018</v>
      </c>
      <c r="G844">
        <v>12</v>
      </c>
      <c r="H844" t="s">
        <v>48</v>
      </c>
      <c r="I844" t="s">
        <v>42</v>
      </c>
      <c r="J844" t="s">
        <v>96</v>
      </c>
      <c r="K844" t="s">
        <v>97</v>
      </c>
      <c r="M844" t="s">
        <v>65</v>
      </c>
      <c r="N844" t="b">
        <v>0</v>
      </c>
      <c r="P844" t="b">
        <v>0</v>
      </c>
      <c r="Q844" t="b">
        <v>0</v>
      </c>
      <c r="R844" t="b">
        <v>0</v>
      </c>
      <c r="S844" t="b">
        <v>1</v>
      </c>
      <c r="T844" t="b">
        <v>1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1</v>
      </c>
      <c r="AB844" t="b">
        <v>0</v>
      </c>
      <c r="AC844" t="b">
        <v>0</v>
      </c>
      <c r="AE844" t="s">
        <v>2375</v>
      </c>
    </row>
    <row r="845" spans="1:31" x14ac:dyDescent="0.3">
      <c r="A845">
        <v>-73.964237994269993</v>
      </c>
      <c r="B845">
        <v>40.777479252070002</v>
      </c>
      <c r="C845" t="s">
        <v>2376</v>
      </c>
      <c r="D845" t="s">
        <v>2372</v>
      </c>
      <c r="E845" t="s">
        <v>33</v>
      </c>
      <c r="F845">
        <v>10172018</v>
      </c>
      <c r="G845">
        <v>1</v>
      </c>
      <c r="H845" t="s">
        <v>105</v>
      </c>
      <c r="I845" t="s">
        <v>53</v>
      </c>
      <c r="J845" t="s">
        <v>59</v>
      </c>
      <c r="K845" t="s">
        <v>60</v>
      </c>
      <c r="M845" t="s">
        <v>44</v>
      </c>
      <c r="N845">
        <v>15</v>
      </c>
      <c r="P845" t="b">
        <v>0</v>
      </c>
      <c r="Q845" t="b">
        <v>0</v>
      </c>
      <c r="R845" t="b">
        <v>1</v>
      </c>
      <c r="S845" t="b">
        <v>0</v>
      </c>
      <c r="T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s">
        <v>2377</v>
      </c>
      <c r="AE845" t="s">
        <v>2378</v>
      </c>
    </row>
    <row r="846" spans="1:31" x14ac:dyDescent="0.3">
      <c r="A846">
        <v>-73.956869086029997</v>
      </c>
      <c r="B846">
        <v>40.798885877110003</v>
      </c>
      <c r="C846" t="s">
        <v>2379</v>
      </c>
      <c r="D846" t="s">
        <v>1130</v>
      </c>
      <c r="E846" t="s">
        <v>38</v>
      </c>
      <c r="F846">
        <v>10172018</v>
      </c>
      <c r="G846">
        <v>5</v>
      </c>
      <c r="H846" t="s">
        <v>48</v>
      </c>
      <c r="I846" t="s">
        <v>42</v>
      </c>
      <c r="K846" t="s">
        <v>43</v>
      </c>
      <c r="M846" t="s">
        <v>65</v>
      </c>
      <c r="N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1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1</v>
      </c>
      <c r="AC846" t="b">
        <v>0</v>
      </c>
      <c r="AE846" t="s">
        <v>2380</v>
      </c>
    </row>
    <row r="847" spans="1:31" x14ac:dyDescent="0.3">
      <c r="A847">
        <v>-73.958285020619996</v>
      </c>
      <c r="B847">
        <v>40.797897585560001</v>
      </c>
      <c r="C847" t="s">
        <v>2381</v>
      </c>
      <c r="D847" t="s">
        <v>802</v>
      </c>
      <c r="E847" t="s">
        <v>33</v>
      </c>
      <c r="F847">
        <v>10142018</v>
      </c>
      <c r="G847">
        <v>1</v>
      </c>
      <c r="H847" t="s">
        <v>48</v>
      </c>
      <c r="I847" t="s">
        <v>42</v>
      </c>
      <c r="J847" t="s">
        <v>59</v>
      </c>
      <c r="K847" t="s">
        <v>79</v>
      </c>
      <c r="L847" t="s">
        <v>2382</v>
      </c>
      <c r="M847" t="s">
        <v>65</v>
      </c>
      <c r="N847" t="b">
        <v>0</v>
      </c>
      <c r="P847" t="b">
        <v>0</v>
      </c>
      <c r="Q847" t="b">
        <v>0</v>
      </c>
      <c r="R847" t="b">
        <v>0</v>
      </c>
      <c r="S847" t="b">
        <v>1</v>
      </c>
      <c r="T847" t="b">
        <v>1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1</v>
      </c>
      <c r="AC847" t="b">
        <v>0</v>
      </c>
      <c r="AE847" t="s">
        <v>2383</v>
      </c>
    </row>
    <row r="848" spans="1:31" x14ac:dyDescent="0.3">
      <c r="A848">
        <v>-73.958264395409998</v>
      </c>
      <c r="B848">
        <v>40.800046006130003</v>
      </c>
      <c r="C848" t="s">
        <v>2384</v>
      </c>
      <c r="D848" t="s">
        <v>2385</v>
      </c>
      <c r="E848" t="s">
        <v>38</v>
      </c>
      <c r="F848">
        <v>10192018</v>
      </c>
      <c r="G848">
        <v>1</v>
      </c>
      <c r="H848" t="s">
        <v>105</v>
      </c>
      <c r="I848" t="s">
        <v>42</v>
      </c>
      <c r="J848" t="s">
        <v>59</v>
      </c>
      <c r="K848" t="s">
        <v>79</v>
      </c>
      <c r="M848" t="s">
        <v>65</v>
      </c>
      <c r="N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1</v>
      </c>
      <c r="V848" t="b">
        <v>0</v>
      </c>
      <c r="W848" t="b">
        <v>0</v>
      </c>
      <c r="X848" t="b">
        <v>0</v>
      </c>
      <c r="Y848" t="b">
        <v>0</v>
      </c>
      <c r="Z848" t="b">
        <v>1</v>
      </c>
      <c r="AA848" t="b">
        <v>0</v>
      </c>
      <c r="AB848" t="b">
        <v>1</v>
      </c>
      <c r="AC848" t="b">
        <v>0</v>
      </c>
      <c r="AE848" t="s">
        <v>2386</v>
      </c>
    </row>
    <row r="849" spans="1:31" x14ac:dyDescent="0.3">
      <c r="A849">
        <v>-73.977133541640001</v>
      </c>
      <c r="B849">
        <v>40.766843148520003</v>
      </c>
      <c r="C849" t="s">
        <v>2387</v>
      </c>
      <c r="D849" t="s">
        <v>879</v>
      </c>
      <c r="E849" t="s">
        <v>38</v>
      </c>
      <c r="F849">
        <v>10102018</v>
      </c>
      <c r="G849">
        <v>1</v>
      </c>
      <c r="H849" t="s">
        <v>48</v>
      </c>
      <c r="I849" t="s">
        <v>42</v>
      </c>
      <c r="J849" t="s">
        <v>53</v>
      </c>
      <c r="K849" t="s">
        <v>54</v>
      </c>
      <c r="M849" t="s">
        <v>65</v>
      </c>
      <c r="N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1</v>
      </c>
      <c r="V849" t="b">
        <v>0</v>
      </c>
      <c r="W849" t="b">
        <v>0</v>
      </c>
      <c r="X849" t="b">
        <v>0</v>
      </c>
      <c r="Y849" t="b">
        <v>0</v>
      </c>
      <c r="Z849" t="b">
        <v>1</v>
      </c>
      <c r="AA849" t="b">
        <v>0</v>
      </c>
      <c r="AB849" t="b">
        <v>1</v>
      </c>
      <c r="AC849" t="b">
        <v>0</v>
      </c>
      <c r="AE849" t="s">
        <v>2388</v>
      </c>
    </row>
    <row r="850" spans="1:31" x14ac:dyDescent="0.3">
      <c r="A850">
        <v>-73.96921902954</v>
      </c>
      <c r="B850">
        <v>40.776336630919999</v>
      </c>
      <c r="C850" t="s">
        <v>2389</v>
      </c>
      <c r="D850" t="s">
        <v>225</v>
      </c>
      <c r="E850" t="s">
        <v>38</v>
      </c>
      <c r="F850">
        <v>10072018</v>
      </c>
      <c r="G850">
        <v>2</v>
      </c>
      <c r="H850" t="s">
        <v>48</v>
      </c>
      <c r="I850" t="s">
        <v>42</v>
      </c>
      <c r="J850" t="s">
        <v>96</v>
      </c>
      <c r="K850" t="s">
        <v>97</v>
      </c>
      <c r="M850" t="s">
        <v>65</v>
      </c>
      <c r="N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1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1</v>
      </c>
      <c r="AC850" t="b">
        <v>0</v>
      </c>
      <c r="AE850" t="s">
        <v>2390</v>
      </c>
    </row>
    <row r="851" spans="1:31" x14ac:dyDescent="0.3">
      <c r="A851">
        <v>-73.973616591739997</v>
      </c>
      <c r="B851">
        <v>40.772454390150003</v>
      </c>
      <c r="C851" t="s">
        <v>2391</v>
      </c>
      <c r="D851" t="s">
        <v>2085</v>
      </c>
      <c r="E851" t="s">
        <v>38</v>
      </c>
      <c r="F851">
        <v>10072018</v>
      </c>
      <c r="G851">
        <v>4</v>
      </c>
      <c r="H851" t="s">
        <v>48</v>
      </c>
      <c r="I851" t="s">
        <v>42</v>
      </c>
      <c r="K851" t="s">
        <v>43</v>
      </c>
      <c r="M851" t="s">
        <v>44</v>
      </c>
      <c r="N851">
        <v>3</v>
      </c>
      <c r="P851" t="b">
        <v>0</v>
      </c>
      <c r="Q851" t="b">
        <v>1</v>
      </c>
      <c r="R851" t="b">
        <v>0</v>
      </c>
      <c r="S851" t="b">
        <v>0</v>
      </c>
      <c r="T851" t="b">
        <v>0</v>
      </c>
      <c r="U851" t="s">
        <v>2392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E851" t="s">
        <v>2393</v>
      </c>
    </row>
    <row r="852" spans="1:31" x14ac:dyDescent="0.3">
      <c r="A852">
        <v>-73.964228887299996</v>
      </c>
      <c r="B852">
        <v>40.782043998360002</v>
      </c>
      <c r="C852" t="s">
        <v>2394</v>
      </c>
      <c r="D852" t="s">
        <v>82</v>
      </c>
      <c r="E852" t="s">
        <v>38</v>
      </c>
      <c r="F852">
        <v>10072018</v>
      </c>
      <c r="G852">
        <v>6</v>
      </c>
      <c r="H852" t="s">
        <v>48</v>
      </c>
      <c r="I852" t="s">
        <v>53</v>
      </c>
      <c r="K852" t="s">
        <v>155</v>
      </c>
      <c r="M852" t="s">
        <v>65</v>
      </c>
      <c r="N852" t="b">
        <v>0</v>
      </c>
      <c r="P852" t="b">
        <v>0</v>
      </c>
      <c r="Q852" t="b">
        <v>0</v>
      </c>
      <c r="R852" t="b">
        <v>1</v>
      </c>
      <c r="S852" t="b">
        <v>1</v>
      </c>
      <c r="T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1</v>
      </c>
      <c r="AB852" t="b">
        <v>0</v>
      </c>
      <c r="AC852" t="b">
        <v>0</v>
      </c>
      <c r="AE852" t="s">
        <v>2395</v>
      </c>
    </row>
    <row r="853" spans="1:31" x14ac:dyDescent="0.3">
      <c r="A853">
        <v>-73.952846277939997</v>
      </c>
      <c r="B853">
        <v>40.792384304370003</v>
      </c>
      <c r="C853" t="s">
        <v>2396</v>
      </c>
      <c r="D853" t="s">
        <v>85</v>
      </c>
      <c r="E853" t="s">
        <v>38</v>
      </c>
      <c r="F853">
        <v>10172018</v>
      </c>
      <c r="G853">
        <v>4</v>
      </c>
      <c r="H853" t="s">
        <v>48</v>
      </c>
      <c r="I853" t="s">
        <v>42</v>
      </c>
      <c r="J853" t="s">
        <v>53</v>
      </c>
      <c r="K853" t="s">
        <v>54</v>
      </c>
      <c r="M853" t="s">
        <v>65</v>
      </c>
      <c r="N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1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1</v>
      </c>
      <c r="AC853" t="b">
        <v>0</v>
      </c>
      <c r="AE853" t="s">
        <v>2397</v>
      </c>
    </row>
    <row r="854" spans="1:31" x14ac:dyDescent="0.3">
      <c r="A854">
        <v>-73.96097046509</v>
      </c>
      <c r="B854">
        <v>40.793878685469998</v>
      </c>
      <c r="C854" t="s">
        <v>2398</v>
      </c>
      <c r="D854" t="s">
        <v>2399</v>
      </c>
      <c r="E854" t="s">
        <v>38</v>
      </c>
      <c r="F854">
        <v>10132018</v>
      </c>
      <c r="G854">
        <v>3</v>
      </c>
      <c r="H854" t="s">
        <v>48</v>
      </c>
      <c r="I854" t="s">
        <v>53</v>
      </c>
      <c r="J854" t="s">
        <v>42</v>
      </c>
      <c r="K854" t="s">
        <v>89</v>
      </c>
      <c r="M854" t="s">
        <v>44</v>
      </c>
      <c r="N854">
        <v>15</v>
      </c>
      <c r="P854" t="b">
        <v>1</v>
      </c>
      <c r="Q854" t="b">
        <v>0</v>
      </c>
      <c r="R854" t="b">
        <v>1</v>
      </c>
      <c r="S854" t="b">
        <v>0</v>
      </c>
      <c r="T854" t="b">
        <v>0</v>
      </c>
      <c r="U854" t="s">
        <v>2131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1</v>
      </c>
      <c r="AB854" t="b">
        <v>0</v>
      </c>
      <c r="AC854" t="b">
        <v>1</v>
      </c>
      <c r="AE854" t="s">
        <v>2400</v>
      </c>
    </row>
    <row r="855" spans="1:31" x14ac:dyDescent="0.3">
      <c r="A855">
        <v>-73.953450962790001</v>
      </c>
      <c r="B855">
        <v>40.792108422470001</v>
      </c>
      <c r="C855" t="s">
        <v>2401</v>
      </c>
      <c r="D855" t="s">
        <v>85</v>
      </c>
      <c r="E855" t="s">
        <v>38</v>
      </c>
      <c r="F855">
        <v>10172018</v>
      </c>
      <c r="G855">
        <v>7</v>
      </c>
      <c r="H855" t="s">
        <v>48</v>
      </c>
      <c r="I855" t="s">
        <v>42</v>
      </c>
      <c r="J855" t="s">
        <v>53</v>
      </c>
      <c r="K855" t="s">
        <v>54</v>
      </c>
      <c r="M855" t="s">
        <v>65</v>
      </c>
      <c r="N855" t="b">
        <v>0</v>
      </c>
      <c r="P855" t="b">
        <v>0</v>
      </c>
      <c r="Q855" t="b">
        <v>1</v>
      </c>
      <c r="R855" t="b">
        <v>0</v>
      </c>
      <c r="S855" t="b">
        <v>0</v>
      </c>
      <c r="T855" t="b">
        <v>1</v>
      </c>
      <c r="U855" t="s">
        <v>2402</v>
      </c>
      <c r="V855" t="b">
        <v>1</v>
      </c>
      <c r="W855" t="b">
        <v>0</v>
      </c>
      <c r="X855" t="b">
        <v>0</v>
      </c>
      <c r="Y855" t="b">
        <v>0</v>
      </c>
      <c r="Z855" t="b">
        <v>1</v>
      </c>
      <c r="AA855" t="b">
        <v>0</v>
      </c>
      <c r="AB855" t="b">
        <v>1</v>
      </c>
      <c r="AC855" t="b">
        <v>0</v>
      </c>
      <c r="AE855" t="s">
        <v>2403</v>
      </c>
    </row>
    <row r="856" spans="1:31" x14ac:dyDescent="0.3">
      <c r="A856">
        <v>-73.957711302609994</v>
      </c>
      <c r="B856">
        <v>40.790433245350002</v>
      </c>
      <c r="C856" t="s">
        <v>2404</v>
      </c>
      <c r="D856" t="s">
        <v>530</v>
      </c>
      <c r="E856" t="s">
        <v>33</v>
      </c>
      <c r="F856">
        <v>10132018</v>
      </c>
      <c r="G856">
        <v>2</v>
      </c>
      <c r="H856" t="s">
        <v>105</v>
      </c>
      <c r="I856" t="s">
        <v>176</v>
      </c>
      <c r="K856" t="s">
        <v>177</v>
      </c>
      <c r="M856" t="s">
        <v>65</v>
      </c>
      <c r="N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1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1</v>
      </c>
      <c r="AC856" t="b">
        <v>0</v>
      </c>
      <c r="AE856" t="s">
        <v>2405</v>
      </c>
    </row>
    <row r="857" spans="1:31" x14ac:dyDescent="0.3">
      <c r="A857">
        <v>-73.980824765999998</v>
      </c>
      <c r="B857">
        <v>40.76894088313</v>
      </c>
      <c r="C857" t="s">
        <v>2406</v>
      </c>
      <c r="D857" t="s">
        <v>1906</v>
      </c>
      <c r="E857" t="s">
        <v>33</v>
      </c>
      <c r="F857">
        <v>10192018</v>
      </c>
      <c r="G857">
        <v>1</v>
      </c>
      <c r="H857" t="s">
        <v>48</v>
      </c>
      <c r="I857" t="s">
        <v>42</v>
      </c>
      <c r="J857" t="s">
        <v>59</v>
      </c>
      <c r="K857" t="s">
        <v>79</v>
      </c>
      <c r="M857" t="s">
        <v>65</v>
      </c>
      <c r="N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s">
        <v>2407</v>
      </c>
      <c r="V857" t="b">
        <v>0</v>
      </c>
      <c r="W857" t="b">
        <v>0</v>
      </c>
      <c r="X857" t="b">
        <v>0</v>
      </c>
      <c r="Y857" t="b">
        <v>1</v>
      </c>
      <c r="Z857" t="b">
        <v>0</v>
      </c>
      <c r="AA857" t="b">
        <v>0</v>
      </c>
      <c r="AB857" t="b">
        <v>0</v>
      </c>
      <c r="AC857" t="b">
        <v>1</v>
      </c>
      <c r="AE857" t="s">
        <v>2408</v>
      </c>
    </row>
    <row r="858" spans="1:31" x14ac:dyDescent="0.3">
      <c r="A858">
        <v>-73.959166716279995</v>
      </c>
      <c r="B858">
        <v>40.793760212160002</v>
      </c>
      <c r="C858" t="s">
        <v>2409</v>
      </c>
      <c r="D858" t="s">
        <v>505</v>
      </c>
      <c r="E858" t="s">
        <v>33</v>
      </c>
      <c r="F858">
        <v>10132018</v>
      </c>
      <c r="G858">
        <v>7</v>
      </c>
      <c r="H858" t="s">
        <v>105</v>
      </c>
      <c r="I858" t="s">
        <v>42</v>
      </c>
      <c r="J858" t="s">
        <v>59</v>
      </c>
      <c r="K858" t="s">
        <v>79</v>
      </c>
      <c r="M858" t="s">
        <v>44</v>
      </c>
      <c r="N858">
        <v>12</v>
      </c>
      <c r="O858" t="s">
        <v>190</v>
      </c>
      <c r="P858" t="b">
        <v>0</v>
      </c>
      <c r="Q858" t="b">
        <v>0</v>
      </c>
      <c r="R858" t="b">
        <v>1</v>
      </c>
      <c r="S858" t="b">
        <v>0</v>
      </c>
      <c r="T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1</v>
      </c>
      <c r="AA858" t="b">
        <v>0</v>
      </c>
      <c r="AB858" t="b">
        <v>1</v>
      </c>
      <c r="AC858" t="b">
        <v>0</v>
      </c>
      <c r="AE858" t="s">
        <v>2410</v>
      </c>
    </row>
    <row r="859" spans="1:31" x14ac:dyDescent="0.3">
      <c r="A859">
        <v>-73.971424354739995</v>
      </c>
      <c r="B859">
        <v>40.771397398239998</v>
      </c>
      <c r="C859" t="s">
        <v>2411</v>
      </c>
      <c r="D859" t="s">
        <v>1578</v>
      </c>
      <c r="E859" t="s">
        <v>33</v>
      </c>
      <c r="F859">
        <v>10172018</v>
      </c>
      <c r="G859">
        <v>2</v>
      </c>
      <c r="H859" t="s">
        <v>48</v>
      </c>
      <c r="I859" t="s">
        <v>42</v>
      </c>
      <c r="K859" t="s">
        <v>43</v>
      </c>
      <c r="M859" t="s">
        <v>65</v>
      </c>
      <c r="N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1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1</v>
      </c>
      <c r="AC859" t="b">
        <v>0</v>
      </c>
      <c r="AE859" t="s">
        <v>2412</v>
      </c>
    </row>
    <row r="860" spans="1:31" x14ac:dyDescent="0.3">
      <c r="A860">
        <v>-73.96293834203</v>
      </c>
      <c r="B860">
        <v>40.78893837255</v>
      </c>
      <c r="C860" t="s">
        <v>2413</v>
      </c>
      <c r="D860" t="s">
        <v>172</v>
      </c>
      <c r="E860" t="s">
        <v>38</v>
      </c>
      <c r="F860">
        <v>10072018</v>
      </c>
      <c r="G860">
        <v>2</v>
      </c>
      <c r="H860" t="s">
        <v>48</v>
      </c>
      <c r="I860" t="s">
        <v>176</v>
      </c>
      <c r="J860" t="s">
        <v>42</v>
      </c>
      <c r="K860" t="s">
        <v>1233</v>
      </c>
      <c r="M860" t="s">
        <v>44</v>
      </c>
      <c r="N860">
        <v>10</v>
      </c>
      <c r="P860" t="b">
        <v>1</v>
      </c>
      <c r="Q860" t="b">
        <v>0</v>
      </c>
      <c r="R860" t="b">
        <v>1</v>
      </c>
      <c r="S860" t="b">
        <v>0</v>
      </c>
      <c r="T860" t="b">
        <v>0</v>
      </c>
      <c r="V860" t="b">
        <v>0</v>
      </c>
      <c r="W860" t="b">
        <v>1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1</v>
      </c>
      <c r="AE860" t="s">
        <v>2414</v>
      </c>
    </row>
    <row r="861" spans="1:31" x14ac:dyDescent="0.3">
      <c r="A861">
        <v>-73.960096458590002</v>
      </c>
      <c r="B861">
        <v>40.79523395244</v>
      </c>
      <c r="C861" t="s">
        <v>2415</v>
      </c>
      <c r="D861" t="s">
        <v>1404</v>
      </c>
      <c r="E861" t="s">
        <v>33</v>
      </c>
      <c r="F861">
        <v>10132018</v>
      </c>
      <c r="G861">
        <v>2</v>
      </c>
      <c r="H861" t="s">
        <v>48</v>
      </c>
      <c r="I861" t="s">
        <v>42</v>
      </c>
      <c r="J861" t="s">
        <v>59</v>
      </c>
      <c r="K861" t="s">
        <v>79</v>
      </c>
      <c r="M861" t="s">
        <v>65</v>
      </c>
      <c r="N861" t="b">
        <v>0</v>
      </c>
      <c r="P861" t="b">
        <v>1</v>
      </c>
      <c r="Q861" t="b">
        <v>0</v>
      </c>
      <c r="R861" t="b">
        <v>1</v>
      </c>
      <c r="S861" t="b">
        <v>0</v>
      </c>
      <c r="T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1</v>
      </c>
      <c r="AA861" t="b">
        <v>1</v>
      </c>
      <c r="AB861" t="b">
        <v>0</v>
      </c>
      <c r="AC861" t="b">
        <v>1</v>
      </c>
      <c r="AE861" t="s">
        <v>2416</v>
      </c>
    </row>
    <row r="862" spans="1:31" x14ac:dyDescent="0.3">
      <c r="A862">
        <v>-73.9713519158</v>
      </c>
      <c r="B862">
        <v>40.779847014300003</v>
      </c>
      <c r="C862" t="s">
        <v>2417</v>
      </c>
      <c r="D862" t="s">
        <v>2418</v>
      </c>
      <c r="E862" t="s">
        <v>38</v>
      </c>
      <c r="F862">
        <v>10102018</v>
      </c>
      <c r="G862">
        <v>1</v>
      </c>
      <c r="H862" t="s">
        <v>48</v>
      </c>
      <c r="I862" t="s">
        <v>42</v>
      </c>
      <c r="J862" t="s">
        <v>53</v>
      </c>
      <c r="K862" t="s">
        <v>54</v>
      </c>
      <c r="M862" t="s">
        <v>65</v>
      </c>
      <c r="N862" t="b">
        <v>0</v>
      </c>
      <c r="P862" t="b">
        <v>0</v>
      </c>
      <c r="Q862" t="b">
        <v>0</v>
      </c>
      <c r="R862" t="b">
        <v>0</v>
      </c>
      <c r="S862" t="b">
        <v>1</v>
      </c>
      <c r="T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1</v>
      </c>
      <c r="AA862" t="b">
        <v>0</v>
      </c>
      <c r="AB862" t="b">
        <v>1</v>
      </c>
      <c r="AC862" t="b">
        <v>0</v>
      </c>
      <c r="AE862" t="s">
        <v>2419</v>
      </c>
    </row>
    <row r="863" spans="1:31" x14ac:dyDescent="0.3">
      <c r="A863">
        <v>-73.953287300490004</v>
      </c>
      <c r="B863">
        <v>40.793520326790002</v>
      </c>
      <c r="C863" t="s">
        <v>2420</v>
      </c>
      <c r="D863" t="s">
        <v>863</v>
      </c>
      <c r="E863" t="s">
        <v>33</v>
      </c>
      <c r="F863">
        <v>10062018</v>
      </c>
      <c r="G863">
        <v>4</v>
      </c>
      <c r="K863" t="s">
        <v>34</v>
      </c>
      <c r="M863" t="s">
        <v>44</v>
      </c>
      <c r="N863">
        <v>43</v>
      </c>
      <c r="O863" t="s">
        <v>190</v>
      </c>
      <c r="P863" t="b">
        <v>0</v>
      </c>
      <c r="Q863" t="b">
        <v>0</v>
      </c>
      <c r="R863" t="b">
        <v>1</v>
      </c>
      <c r="S863" t="b">
        <v>0</v>
      </c>
      <c r="T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E863" t="s">
        <v>2421</v>
      </c>
    </row>
    <row r="864" spans="1:31" x14ac:dyDescent="0.3">
      <c r="A864">
        <v>-73.962612041740002</v>
      </c>
      <c r="B864">
        <v>40.790512635859997</v>
      </c>
      <c r="C864" t="s">
        <v>2422</v>
      </c>
      <c r="D864" t="s">
        <v>2077</v>
      </c>
      <c r="E864" t="s">
        <v>38</v>
      </c>
      <c r="F864">
        <v>10142018</v>
      </c>
      <c r="G864">
        <v>2</v>
      </c>
      <c r="H864" t="s">
        <v>48</v>
      </c>
      <c r="I864" t="s">
        <v>42</v>
      </c>
      <c r="J864" t="s">
        <v>53</v>
      </c>
      <c r="K864" t="s">
        <v>54</v>
      </c>
      <c r="M864" t="s">
        <v>65</v>
      </c>
      <c r="N864" t="b">
        <v>0</v>
      </c>
      <c r="O864" t="s">
        <v>2423</v>
      </c>
      <c r="P864" t="b">
        <v>1</v>
      </c>
      <c r="Q864" t="b">
        <v>0</v>
      </c>
      <c r="R864" t="b">
        <v>0</v>
      </c>
      <c r="S864" t="b">
        <v>0</v>
      </c>
      <c r="T864" t="b">
        <v>1</v>
      </c>
      <c r="V864" t="b">
        <v>0</v>
      </c>
      <c r="W864" t="b">
        <v>0</v>
      </c>
      <c r="X864" t="b">
        <v>0</v>
      </c>
      <c r="Y864" t="b">
        <v>0</v>
      </c>
      <c r="Z864" t="b">
        <v>1</v>
      </c>
      <c r="AA864" t="b">
        <v>0</v>
      </c>
      <c r="AB864" t="b">
        <v>1</v>
      </c>
      <c r="AC864" t="b">
        <v>0</v>
      </c>
      <c r="AE864" t="s">
        <v>2424</v>
      </c>
    </row>
    <row r="865" spans="1:31" x14ac:dyDescent="0.3">
      <c r="A865">
        <v>-73.976401603070002</v>
      </c>
      <c r="B865">
        <v>40.768989434429997</v>
      </c>
      <c r="C865" t="s">
        <v>2425</v>
      </c>
      <c r="D865" t="s">
        <v>534</v>
      </c>
      <c r="E865" t="s">
        <v>33</v>
      </c>
      <c r="F865">
        <v>10082018</v>
      </c>
      <c r="G865">
        <v>5</v>
      </c>
      <c r="H865" t="s">
        <v>48</v>
      </c>
      <c r="I865" t="s">
        <v>53</v>
      </c>
      <c r="J865" t="s">
        <v>115</v>
      </c>
      <c r="K865" t="s">
        <v>116</v>
      </c>
      <c r="M865" t="s">
        <v>65</v>
      </c>
      <c r="N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1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1</v>
      </c>
      <c r="AC865" t="b">
        <v>0</v>
      </c>
      <c r="AE865" t="s">
        <v>2426</v>
      </c>
    </row>
    <row r="866" spans="1:31" x14ac:dyDescent="0.3">
      <c r="A866">
        <v>-73.969485639019993</v>
      </c>
      <c r="B866">
        <v>40.780519159070003</v>
      </c>
      <c r="C866" t="s">
        <v>2427</v>
      </c>
      <c r="D866" t="s">
        <v>622</v>
      </c>
      <c r="E866" t="s">
        <v>33</v>
      </c>
      <c r="F866">
        <v>10182018</v>
      </c>
      <c r="G866">
        <v>5</v>
      </c>
      <c r="H866" t="s">
        <v>48</v>
      </c>
      <c r="I866" t="s">
        <v>42</v>
      </c>
      <c r="J866" t="s">
        <v>96</v>
      </c>
      <c r="K866" t="s">
        <v>97</v>
      </c>
      <c r="M866" t="s">
        <v>65</v>
      </c>
      <c r="N866" t="b">
        <v>0</v>
      </c>
      <c r="P866" t="b">
        <v>0</v>
      </c>
      <c r="Q866" t="b">
        <v>0</v>
      </c>
      <c r="R866" t="b">
        <v>0</v>
      </c>
      <c r="S866" t="b">
        <v>1</v>
      </c>
      <c r="T866" t="b">
        <v>1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1</v>
      </c>
      <c r="AC866" t="b">
        <v>0</v>
      </c>
      <c r="AE866" t="s">
        <v>2428</v>
      </c>
    </row>
    <row r="867" spans="1:31" x14ac:dyDescent="0.3">
      <c r="A867">
        <v>-73.974162194689995</v>
      </c>
      <c r="B867">
        <v>40.775248147200003</v>
      </c>
      <c r="C867" t="s">
        <v>2429</v>
      </c>
      <c r="D867" t="s">
        <v>2430</v>
      </c>
      <c r="E867" t="s">
        <v>33</v>
      </c>
      <c r="F867">
        <v>10182018</v>
      </c>
      <c r="G867">
        <v>1</v>
      </c>
      <c r="H867" t="s">
        <v>48</v>
      </c>
      <c r="I867" t="s">
        <v>42</v>
      </c>
      <c r="J867" t="s">
        <v>59</v>
      </c>
      <c r="K867" t="s">
        <v>79</v>
      </c>
      <c r="M867" t="s">
        <v>44</v>
      </c>
      <c r="N867">
        <v>10</v>
      </c>
      <c r="P867" t="b">
        <v>0</v>
      </c>
      <c r="Q867" t="b">
        <v>0</v>
      </c>
      <c r="R867" t="b">
        <v>1</v>
      </c>
      <c r="S867" t="b">
        <v>0</v>
      </c>
      <c r="T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1</v>
      </c>
      <c r="AE867" t="s">
        <v>2431</v>
      </c>
    </row>
    <row r="868" spans="1:31" x14ac:dyDescent="0.3">
      <c r="A868">
        <v>-73.979209120009997</v>
      </c>
      <c r="B868">
        <v>40.768584547529997</v>
      </c>
      <c r="C868" t="s">
        <v>2432</v>
      </c>
      <c r="D868" t="s">
        <v>204</v>
      </c>
      <c r="E868" t="s">
        <v>33</v>
      </c>
      <c r="F868">
        <v>10132018</v>
      </c>
      <c r="G868">
        <v>6</v>
      </c>
      <c r="H868" t="s">
        <v>48</v>
      </c>
      <c r="I868" t="s">
        <v>42</v>
      </c>
      <c r="K868" t="s">
        <v>43</v>
      </c>
      <c r="M868" t="s">
        <v>65</v>
      </c>
      <c r="N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1</v>
      </c>
      <c r="AB868" t="b">
        <v>0</v>
      </c>
      <c r="AC868" t="b">
        <v>0</v>
      </c>
      <c r="AD868" t="s">
        <v>2433</v>
      </c>
      <c r="AE868" t="s">
        <v>2434</v>
      </c>
    </row>
    <row r="869" spans="1:31" x14ac:dyDescent="0.3">
      <c r="A869">
        <v>-73.97622577013</v>
      </c>
      <c r="B869">
        <v>40.774403275829997</v>
      </c>
      <c r="C869" t="s">
        <v>2435</v>
      </c>
      <c r="D869" t="s">
        <v>855</v>
      </c>
      <c r="E869" t="s">
        <v>38</v>
      </c>
      <c r="F869">
        <v>10132018</v>
      </c>
      <c r="G869">
        <v>8</v>
      </c>
      <c r="H869" t="s">
        <v>48</v>
      </c>
      <c r="K869" t="s">
        <v>34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1</v>
      </c>
      <c r="AE869" t="s">
        <v>2436</v>
      </c>
    </row>
    <row r="870" spans="1:31" x14ac:dyDescent="0.3">
      <c r="A870">
        <v>-73.973848177169998</v>
      </c>
      <c r="B870">
        <v>40.77065406989</v>
      </c>
      <c r="C870" t="s">
        <v>2437</v>
      </c>
      <c r="D870" t="s">
        <v>139</v>
      </c>
      <c r="E870" t="s">
        <v>33</v>
      </c>
      <c r="F870">
        <v>10132018</v>
      </c>
      <c r="G870">
        <v>4</v>
      </c>
      <c r="H870" t="s">
        <v>48</v>
      </c>
      <c r="I870" t="s">
        <v>42</v>
      </c>
      <c r="J870" t="s">
        <v>53</v>
      </c>
      <c r="K870" t="s">
        <v>54</v>
      </c>
      <c r="M870" t="s">
        <v>65</v>
      </c>
      <c r="N870" t="b">
        <v>0</v>
      </c>
      <c r="P870" t="b">
        <v>1</v>
      </c>
      <c r="Q870" t="b">
        <v>0</v>
      </c>
      <c r="R870" t="b">
        <v>0</v>
      </c>
      <c r="S870" t="b">
        <v>1</v>
      </c>
      <c r="T870" t="b">
        <v>1</v>
      </c>
      <c r="V870" t="b">
        <v>0</v>
      </c>
      <c r="W870" t="b">
        <v>0</v>
      </c>
      <c r="X870" t="b">
        <v>0</v>
      </c>
      <c r="Y870" t="b">
        <v>0</v>
      </c>
      <c r="Z870" t="b">
        <v>1</v>
      </c>
      <c r="AA870" t="b">
        <v>0</v>
      </c>
      <c r="AB870" t="b">
        <v>0</v>
      </c>
      <c r="AC870" t="b">
        <v>0</v>
      </c>
      <c r="AE870" t="s">
        <v>2438</v>
      </c>
    </row>
    <row r="871" spans="1:31" x14ac:dyDescent="0.3">
      <c r="A871">
        <v>-73.962948337450001</v>
      </c>
      <c r="B871">
        <v>40.79368099053</v>
      </c>
      <c r="C871" t="s">
        <v>2439</v>
      </c>
      <c r="D871" t="s">
        <v>2440</v>
      </c>
      <c r="E871" t="s">
        <v>33</v>
      </c>
      <c r="F871">
        <v>10182018</v>
      </c>
      <c r="G871">
        <v>3</v>
      </c>
      <c r="H871" t="s">
        <v>48</v>
      </c>
      <c r="I871" t="s">
        <v>42</v>
      </c>
      <c r="K871" t="s">
        <v>43</v>
      </c>
      <c r="M871" t="s">
        <v>44</v>
      </c>
      <c r="N871">
        <v>6</v>
      </c>
      <c r="P871" t="b">
        <v>1</v>
      </c>
      <c r="Q871" t="b">
        <v>0</v>
      </c>
      <c r="R871" t="b">
        <v>1</v>
      </c>
      <c r="S871" t="b">
        <v>0</v>
      </c>
      <c r="T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1</v>
      </c>
      <c r="AE871" t="s">
        <v>2441</v>
      </c>
    </row>
    <row r="872" spans="1:31" x14ac:dyDescent="0.3">
      <c r="A872">
        <v>-73.971872040370002</v>
      </c>
      <c r="B872">
        <v>40.770233505630003</v>
      </c>
      <c r="C872" t="s">
        <v>2442</v>
      </c>
      <c r="D872" t="s">
        <v>402</v>
      </c>
      <c r="E872" t="s">
        <v>33</v>
      </c>
      <c r="F872">
        <v>10182018</v>
      </c>
      <c r="G872">
        <v>4</v>
      </c>
      <c r="H872" t="s">
        <v>48</v>
      </c>
      <c r="I872" t="s">
        <v>42</v>
      </c>
      <c r="J872" t="s">
        <v>96</v>
      </c>
      <c r="K872" t="s">
        <v>97</v>
      </c>
      <c r="M872" t="s">
        <v>65</v>
      </c>
      <c r="N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1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E872" t="s">
        <v>2443</v>
      </c>
    </row>
    <row r="873" spans="1:31" x14ac:dyDescent="0.3">
      <c r="A873">
        <v>-73.958373878329994</v>
      </c>
      <c r="B873">
        <v>40.797930277550002</v>
      </c>
      <c r="C873" t="s">
        <v>2444</v>
      </c>
      <c r="D873" t="s">
        <v>802</v>
      </c>
      <c r="E873" t="s">
        <v>33</v>
      </c>
      <c r="F873">
        <v>10142018</v>
      </c>
      <c r="G873">
        <v>2</v>
      </c>
      <c r="H873" t="s">
        <v>105</v>
      </c>
      <c r="I873" t="s">
        <v>42</v>
      </c>
      <c r="J873" t="s">
        <v>53</v>
      </c>
      <c r="K873" t="s">
        <v>54</v>
      </c>
      <c r="M873" t="s">
        <v>65</v>
      </c>
      <c r="N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1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1</v>
      </c>
      <c r="AC873" t="b">
        <v>0</v>
      </c>
      <c r="AE873" t="s">
        <v>2445</v>
      </c>
    </row>
    <row r="874" spans="1:31" x14ac:dyDescent="0.3">
      <c r="A874">
        <v>-73.955152442240006</v>
      </c>
      <c r="B874">
        <v>40.791053559680002</v>
      </c>
      <c r="C874" t="s">
        <v>2446</v>
      </c>
      <c r="D874" t="s">
        <v>1352</v>
      </c>
      <c r="E874" t="s">
        <v>33</v>
      </c>
      <c r="F874">
        <v>10062018</v>
      </c>
      <c r="G874">
        <v>1</v>
      </c>
      <c r="H874" t="s">
        <v>48</v>
      </c>
      <c r="I874" t="s">
        <v>176</v>
      </c>
      <c r="K874" t="s">
        <v>177</v>
      </c>
      <c r="M874" t="s">
        <v>65</v>
      </c>
      <c r="N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1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E874" t="s">
        <v>2447</v>
      </c>
    </row>
    <row r="875" spans="1:31" x14ac:dyDescent="0.3">
      <c r="A875">
        <v>-73.977094856299999</v>
      </c>
      <c r="B875">
        <v>40.772406345919997</v>
      </c>
      <c r="C875" t="s">
        <v>2448</v>
      </c>
      <c r="D875" t="s">
        <v>439</v>
      </c>
      <c r="E875" t="s">
        <v>38</v>
      </c>
      <c r="F875">
        <v>10082018</v>
      </c>
      <c r="G875">
        <v>4</v>
      </c>
      <c r="H875" t="s">
        <v>48</v>
      </c>
      <c r="I875" t="s">
        <v>42</v>
      </c>
      <c r="K875" t="s">
        <v>43</v>
      </c>
      <c r="M875" t="s">
        <v>65</v>
      </c>
      <c r="N875" t="b">
        <v>0</v>
      </c>
      <c r="P875" t="b">
        <v>0</v>
      </c>
      <c r="Q875" t="b">
        <v>1</v>
      </c>
      <c r="R875" t="b">
        <v>0</v>
      </c>
      <c r="S875" t="b">
        <v>0</v>
      </c>
      <c r="T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1</v>
      </c>
      <c r="AC875" t="b">
        <v>0</v>
      </c>
      <c r="AE875" t="s">
        <v>2449</v>
      </c>
    </row>
    <row r="876" spans="1:31" x14ac:dyDescent="0.3">
      <c r="A876">
        <v>-73.959195779400005</v>
      </c>
      <c r="B876">
        <v>40.794956887349997</v>
      </c>
      <c r="C876" t="s">
        <v>2450</v>
      </c>
      <c r="D876" t="s">
        <v>1262</v>
      </c>
      <c r="E876" t="s">
        <v>33</v>
      </c>
      <c r="F876">
        <v>10132018</v>
      </c>
      <c r="G876">
        <v>1</v>
      </c>
      <c r="H876" t="s">
        <v>48</v>
      </c>
      <c r="I876" t="s">
        <v>42</v>
      </c>
      <c r="K876" t="s">
        <v>43</v>
      </c>
      <c r="M876" t="s">
        <v>65</v>
      </c>
      <c r="N876" t="b">
        <v>0</v>
      </c>
      <c r="O876" t="s">
        <v>2451</v>
      </c>
      <c r="P876" t="b">
        <v>0</v>
      </c>
      <c r="Q876" t="b">
        <v>1</v>
      </c>
      <c r="R876" t="b">
        <v>0</v>
      </c>
      <c r="S876" t="b">
        <v>1</v>
      </c>
      <c r="T876" t="b">
        <v>1</v>
      </c>
      <c r="V876" t="b">
        <v>0</v>
      </c>
      <c r="W876" t="b">
        <v>0</v>
      </c>
      <c r="X876" t="b">
        <v>0</v>
      </c>
      <c r="Y876" t="b">
        <v>0</v>
      </c>
      <c r="Z876" t="b">
        <v>1</v>
      </c>
      <c r="AA876" t="b">
        <v>0</v>
      </c>
      <c r="AB876" t="b">
        <v>1</v>
      </c>
      <c r="AC876" t="b">
        <v>0</v>
      </c>
      <c r="AE876" t="s">
        <v>2452</v>
      </c>
    </row>
    <row r="877" spans="1:31" x14ac:dyDescent="0.3">
      <c r="A877">
        <v>-73.970086185910006</v>
      </c>
      <c r="B877">
        <v>40.777063934060003</v>
      </c>
      <c r="C877" t="s">
        <v>2453</v>
      </c>
      <c r="D877" t="s">
        <v>100</v>
      </c>
      <c r="E877" t="s">
        <v>33</v>
      </c>
      <c r="F877">
        <v>10172018</v>
      </c>
      <c r="G877">
        <v>4</v>
      </c>
      <c r="H877" t="s">
        <v>48</v>
      </c>
      <c r="I877" t="s">
        <v>42</v>
      </c>
      <c r="J877" t="s">
        <v>53</v>
      </c>
      <c r="K877" t="s">
        <v>54</v>
      </c>
      <c r="M877" t="s">
        <v>65</v>
      </c>
      <c r="N877" t="b">
        <v>0</v>
      </c>
      <c r="P877" t="b">
        <v>0</v>
      </c>
      <c r="Q877" t="b">
        <v>0</v>
      </c>
      <c r="R877" t="b">
        <v>0</v>
      </c>
      <c r="S877" t="b">
        <v>1</v>
      </c>
      <c r="T877" t="b">
        <v>1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E877" t="s">
        <v>2454</v>
      </c>
    </row>
    <row r="878" spans="1:31" x14ac:dyDescent="0.3">
      <c r="A878">
        <v>-73.976831175100003</v>
      </c>
      <c r="B878">
        <v>40.766717807260001</v>
      </c>
      <c r="C878" t="s">
        <v>2455</v>
      </c>
      <c r="D878" t="s">
        <v>879</v>
      </c>
      <c r="E878" t="s">
        <v>38</v>
      </c>
      <c r="F878">
        <v>10102018</v>
      </c>
      <c r="G878">
        <v>3</v>
      </c>
      <c r="H878" t="s">
        <v>48</v>
      </c>
      <c r="I878" t="s">
        <v>53</v>
      </c>
      <c r="K878" t="s">
        <v>155</v>
      </c>
      <c r="M878" t="s">
        <v>44</v>
      </c>
      <c r="N878">
        <v>4</v>
      </c>
      <c r="P878" t="b">
        <v>0</v>
      </c>
      <c r="Q878" t="b">
        <v>0</v>
      </c>
      <c r="R878" t="b">
        <v>1</v>
      </c>
      <c r="S878" t="b">
        <v>0</v>
      </c>
      <c r="T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1</v>
      </c>
      <c r="AC878" t="b">
        <v>0</v>
      </c>
      <c r="AE878" t="s">
        <v>2456</v>
      </c>
    </row>
    <row r="879" spans="1:31" x14ac:dyDescent="0.3">
      <c r="A879">
        <v>-73.967278957350004</v>
      </c>
      <c r="B879">
        <v>40.787477872030003</v>
      </c>
      <c r="C879" t="s">
        <v>2457</v>
      </c>
      <c r="D879" t="s">
        <v>478</v>
      </c>
      <c r="E879" t="s">
        <v>33</v>
      </c>
      <c r="F879">
        <v>10062018</v>
      </c>
      <c r="G879">
        <v>2</v>
      </c>
      <c r="H879" t="s">
        <v>105</v>
      </c>
      <c r="I879" t="s">
        <v>42</v>
      </c>
      <c r="K879" t="s">
        <v>43</v>
      </c>
      <c r="L879" t="s">
        <v>2458</v>
      </c>
      <c r="M879" t="s">
        <v>65</v>
      </c>
      <c r="N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s">
        <v>2459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E879" t="s">
        <v>2460</v>
      </c>
    </row>
    <row r="880" spans="1:31" x14ac:dyDescent="0.3">
      <c r="A880">
        <v>-73.971054748399993</v>
      </c>
      <c r="B880">
        <v>40.772358982710003</v>
      </c>
      <c r="C880" t="s">
        <v>2461</v>
      </c>
      <c r="D880" t="s">
        <v>517</v>
      </c>
      <c r="E880" t="s">
        <v>33</v>
      </c>
      <c r="F880">
        <v>10142018</v>
      </c>
      <c r="G880">
        <v>3</v>
      </c>
      <c r="H880" t="s">
        <v>48</v>
      </c>
      <c r="I880" t="s">
        <v>42</v>
      </c>
      <c r="J880" t="s">
        <v>53</v>
      </c>
      <c r="K880" t="s">
        <v>54</v>
      </c>
      <c r="M880" t="s">
        <v>65</v>
      </c>
      <c r="N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1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1</v>
      </c>
      <c r="AC880" t="b">
        <v>0</v>
      </c>
      <c r="AE880" t="s">
        <v>2462</v>
      </c>
    </row>
    <row r="881" spans="1:31" x14ac:dyDescent="0.3">
      <c r="A881">
        <v>-73.975721541590005</v>
      </c>
      <c r="B881">
        <v>40.766820597699997</v>
      </c>
      <c r="C881" t="s">
        <v>2463</v>
      </c>
      <c r="D881" t="s">
        <v>471</v>
      </c>
      <c r="E881" t="s">
        <v>33</v>
      </c>
      <c r="F881">
        <v>10142018</v>
      </c>
      <c r="G881">
        <v>3</v>
      </c>
      <c r="H881" t="s">
        <v>48</v>
      </c>
      <c r="I881" t="s">
        <v>42</v>
      </c>
      <c r="J881" t="s">
        <v>53</v>
      </c>
      <c r="K881" t="s">
        <v>54</v>
      </c>
      <c r="M881" t="s">
        <v>65</v>
      </c>
      <c r="N881" t="b">
        <v>0</v>
      </c>
      <c r="P881" t="b">
        <v>0</v>
      </c>
      <c r="Q881" t="b">
        <v>0</v>
      </c>
      <c r="R881" t="b">
        <v>0</v>
      </c>
      <c r="S881" t="b">
        <v>1</v>
      </c>
      <c r="T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1</v>
      </c>
      <c r="AC881" t="b">
        <v>0</v>
      </c>
      <c r="AE881" t="s">
        <v>2464</v>
      </c>
    </row>
    <row r="882" spans="1:31" x14ac:dyDescent="0.3">
      <c r="A882">
        <v>-73.973512088210001</v>
      </c>
      <c r="B882">
        <v>40.771591541520003</v>
      </c>
      <c r="C882" t="s">
        <v>2465</v>
      </c>
      <c r="D882" t="s">
        <v>1206</v>
      </c>
      <c r="E882" t="s">
        <v>33</v>
      </c>
      <c r="F882">
        <v>10082018</v>
      </c>
      <c r="G882">
        <v>7</v>
      </c>
      <c r="H882" t="s">
        <v>48</v>
      </c>
      <c r="I882" t="s">
        <v>42</v>
      </c>
      <c r="J882" t="s">
        <v>59</v>
      </c>
      <c r="K882" t="s">
        <v>79</v>
      </c>
      <c r="M882" t="s">
        <v>65</v>
      </c>
      <c r="N882" t="b">
        <v>0</v>
      </c>
      <c r="O882" t="s">
        <v>1359</v>
      </c>
      <c r="P882" t="b">
        <v>0</v>
      </c>
      <c r="Q882" t="b">
        <v>1</v>
      </c>
      <c r="R882" t="b">
        <v>1</v>
      </c>
      <c r="S882" t="b">
        <v>0</v>
      </c>
      <c r="T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E882" t="s">
        <v>2466</v>
      </c>
    </row>
    <row r="883" spans="1:31" x14ac:dyDescent="0.3">
      <c r="A883">
        <v>-73.956568457800003</v>
      </c>
      <c r="B883">
        <v>40.793600394039998</v>
      </c>
      <c r="C883" t="s">
        <v>2467</v>
      </c>
      <c r="D883" t="s">
        <v>693</v>
      </c>
      <c r="E883" t="s">
        <v>33</v>
      </c>
      <c r="F883">
        <v>10122018</v>
      </c>
      <c r="G883">
        <v>2</v>
      </c>
      <c r="H883" t="s">
        <v>105</v>
      </c>
      <c r="I883" t="s">
        <v>42</v>
      </c>
      <c r="J883" t="s">
        <v>53</v>
      </c>
      <c r="K883" t="s">
        <v>54</v>
      </c>
      <c r="M883" t="s">
        <v>65</v>
      </c>
      <c r="N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1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1</v>
      </c>
      <c r="AC883" t="b">
        <v>0</v>
      </c>
      <c r="AE883" t="s">
        <v>2468</v>
      </c>
    </row>
    <row r="884" spans="1:31" x14ac:dyDescent="0.3">
      <c r="A884">
        <v>-73.973787233560003</v>
      </c>
      <c r="B884">
        <v>40.7726586836</v>
      </c>
      <c r="C884" t="s">
        <v>2469</v>
      </c>
      <c r="D884" t="s">
        <v>2085</v>
      </c>
      <c r="E884" t="s">
        <v>33</v>
      </c>
      <c r="F884">
        <v>10072018</v>
      </c>
      <c r="G884">
        <v>1</v>
      </c>
      <c r="H884" t="s">
        <v>48</v>
      </c>
      <c r="I884" t="s">
        <v>42</v>
      </c>
      <c r="J884" t="s">
        <v>53</v>
      </c>
      <c r="K884" t="s">
        <v>54</v>
      </c>
      <c r="M884" t="s">
        <v>65</v>
      </c>
      <c r="N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1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E884" t="s">
        <v>2470</v>
      </c>
    </row>
    <row r="885" spans="1:31" x14ac:dyDescent="0.3">
      <c r="A885">
        <v>-73.978680588499998</v>
      </c>
      <c r="B885">
        <v>40.769755923189997</v>
      </c>
      <c r="C885" t="s">
        <v>2471</v>
      </c>
      <c r="D885" t="s">
        <v>886</v>
      </c>
      <c r="E885" t="s">
        <v>33</v>
      </c>
      <c r="F885">
        <v>10182018</v>
      </c>
      <c r="G885">
        <v>2</v>
      </c>
      <c r="H885" t="s">
        <v>48</v>
      </c>
      <c r="I885" t="s">
        <v>42</v>
      </c>
      <c r="K885" t="s">
        <v>43</v>
      </c>
      <c r="M885" t="s">
        <v>65</v>
      </c>
      <c r="N885" t="b">
        <v>0</v>
      </c>
      <c r="P885" t="b">
        <v>0</v>
      </c>
      <c r="Q885" t="b">
        <v>0</v>
      </c>
      <c r="R885" t="b">
        <v>0</v>
      </c>
      <c r="S885" t="b">
        <v>1</v>
      </c>
      <c r="T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1</v>
      </c>
      <c r="AB885" t="b">
        <v>0</v>
      </c>
      <c r="AC885" t="b">
        <v>0</v>
      </c>
      <c r="AE885" t="s">
        <v>2472</v>
      </c>
    </row>
    <row r="886" spans="1:31" x14ac:dyDescent="0.3">
      <c r="A886">
        <v>-73.956553378349994</v>
      </c>
      <c r="B886">
        <v>40.797436849130001</v>
      </c>
      <c r="C886" t="s">
        <v>2473</v>
      </c>
      <c r="D886" t="s">
        <v>428</v>
      </c>
      <c r="E886" t="s">
        <v>33</v>
      </c>
      <c r="F886">
        <v>10132018</v>
      </c>
      <c r="G886">
        <v>2</v>
      </c>
      <c r="H886" t="s">
        <v>48</v>
      </c>
      <c r="I886" t="s">
        <v>42</v>
      </c>
      <c r="J886" t="s">
        <v>53</v>
      </c>
      <c r="K886" t="s">
        <v>54</v>
      </c>
      <c r="M886" t="s">
        <v>65</v>
      </c>
      <c r="N886" t="b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E886" t="s">
        <v>2474</v>
      </c>
    </row>
    <row r="887" spans="1:31" x14ac:dyDescent="0.3">
      <c r="A887">
        <v>-73.967893728980002</v>
      </c>
      <c r="B887">
        <v>40.77828083616</v>
      </c>
      <c r="C887" t="s">
        <v>2475</v>
      </c>
      <c r="D887" t="s">
        <v>256</v>
      </c>
      <c r="E887" t="s">
        <v>33</v>
      </c>
      <c r="F887">
        <v>10182018</v>
      </c>
      <c r="G887">
        <v>1</v>
      </c>
      <c r="H887" t="s">
        <v>105</v>
      </c>
      <c r="I887" t="s">
        <v>42</v>
      </c>
      <c r="J887" t="s">
        <v>53</v>
      </c>
      <c r="K887" t="s">
        <v>54</v>
      </c>
      <c r="M887" t="s">
        <v>65</v>
      </c>
      <c r="N887" t="b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1</v>
      </c>
      <c r="AA887" t="b">
        <v>0</v>
      </c>
      <c r="AB887" t="b">
        <v>1</v>
      </c>
      <c r="AC887" t="b">
        <v>0</v>
      </c>
      <c r="AE887" t="s">
        <v>2476</v>
      </c>
    </row>
    <row r="888" spans="1:31" x14ac:dyDescent="0.3">
      <c r="A888">
        <v>-73.975046384500004</v>
      </c>
      <c r="B888">
        <v>40.766687174280001</v>
      </c>
      <c r="C888" t="s">
        <v>2477</v>
      </c>
      <c r="D888" t="s">
        <v>471</v>
      </c>
      <c r="E888" t="s">
        <v>33</v>
      </c>
      <c r="F888">
        <v>10142018</v>
      </c>
      <c r="G888">
        <v>8</v>
      </c>
      <c r="H888" t="s">
        <v>48</v>
      </c>
      <c r="I888" t="s">
        <v>42</v>
      </c>
      <c r="J888" t="s">
        <v>176</v>
      </c>
      <c r="K888" t="s">
        <v>339</v>
      </c>
      <c r="M888" t="s">
        <v>65</v>
      </c>
      <c r="N888" t="b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1</v>
      </c>
      <c r="AC888" t="b">
        <v>0</v>
      </c>
      <c r="AE888" t="s">
        <v>2478</v>
      </c>
    </row>
    <row r="889" spans="1:31" x14ac:dyDescent="0.3">
      <c r="A889">
        <v>-73.969651782659994</v>
      </c>
      <c r="B889">
        <v>40.776965830279998</v>
      </c>
      <c r="C889" t="s">
        <v>2479</v>
      </c>
      <c r="D889" t="s">
        <v>100</v>
      </c>
      <c r="E889" t="s">
        <v>38</v>
      </c>
      <c r="F889">
        <v>10082018</v>
      </c>
      <c r="G889">
        <v>4</v>
      </c>
      <c r="H889" t="s">
        <v>48</v>
      </c>
      <c r="I889" t="s">
        <v>42</v>
      </c>
      <c r="K889" t="s">
        <v>43</v>
      </c>
      <c r="M889" t="s">
        <v>65</v>
      </c>
      <c r="N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1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1</v>
      </c>
      <c r="AC889" t="b">
        <v>0</v>
      </c>
      <c r="AE889" t="s">
        <v>2480</v>
      </c>
    </row>
    <row r="890" spans="1:31" x14ac:dyDescent="0.3">
      <c r="A890">
        <v>-73.963502849700006</v>
      </c>
      <c r="B890">
        <v>40.792820757489999</v>
      </c>
      <c r="C890" t="s">
        <v>2481</v>
      </c>
      <c r="D890" t="s">
        <v>104</v>
      </c>
      <c r="E890" t="s">
        <v>33</v>
      </c>
      <c r="F890">
        <v>10132018</v>
      </c>
      <c r="G890">
        <v>5</v>
      </c>
      <c r="H890" t="s">
        <v>105</v>
      </c>
      <c r="I890" t="s">
        <v>42</v>
      </c>
      <c r="J890" t="s">
        <v>59</v>
      </c>
      <c r="K890" t="s">
        <v>79</v>
      </c>
      <c r="M890" t="s">
        <v>65</v>
      </c>
      <c r="N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1</v>
      </c>
      <c r="V890" t="b">
        <v>0</v>
      </c>
      <c r="W890" t="b">
        <v>0</v>
      </c>
      <c r="X890" t="b">
        <v>0</v>
      </c>
      <c r="Y890" t="b">
        <v>1</v>
      </c>
      <c r="Z890" t="b">
        <v>0</v>
      </c>
      <c r="AA890" t="b">
        <v>0</v>
      </c>
      <c r="AB890" t="b">
        <v>0</v>
      </c>
      <c r="AC890" t="b">
        <v>1</v>
      </c>
      <c r="AE890" t="s">
        <v>2482</v>
      </c>
    </row>
    <row r="891" spans="1:31" x14ac:dyDescent="0.3">
      <c r="A891">
        <v>-73.967417750460001</v>
      </c>
      <c r="B891">
        <v>40.776956973200001</v>
      </c>
      <c r="C891" t="s">
        <v>2483</v>
      </c>
      <c r="D891" t="s">
        <v>311</v>
      </c>
      <c r="E891" t="s">
        <v>33</v>
      </c>
      <c r="F891">
        <v>10192018</v>
      </c>
      <c r="G891">
        <v>3</v>
      </c>
      <c r="H891" t="s">
        <v>105</v>
      </c>
      <c r="I891" t="s">
        <v>42</v>
      </c>
      <c r="K891" t="s">
        <v>43</v>
      </c>
      <c r="M891" t="s">
        <v>65</v>
      </c>
      <c r="N891" t="b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1</v>
      </c>
      <c r="AE891" t="s">
        <v>2484</v>
      </c>
    </row>
    <row r="892" spans="1:31" x14ac:dyDescent="0.3">
      <c r="A892">
        <v>-73.968104261289994</v>
      </c>
      <c r="B892">
        <v>40.772331431870001</v>
      </c>
      <c r="C892" t="s">
        <v>2485</v>
      </c>
      <c r="D892" t="s">
        <v>1270</v>
      </c>
      <c r="E892" t="s">
        <v>33</v>
      </c>
      <c r="F892">
        <v>10122018</v>
      </c>
      <c r="G892">
        <v>4</v>
      </c>
      <c r="H892" t="s">
        <v>48</v>
      </c>
      <c r="I892" t="s">
        <v>42</v>
      </c>
      <c r="K892" t="s">
        <v>43</v>
      </c>
      <c r="M892" t="s">
        <v>44</v>
      </c>
      <c r="N892">
        <v>2</v>
      </c>
      <c r="P892" t="b">
        <v>1</v>
      </c>
      <c r="Q892" t="b">
        <v>0</v>
      </c>
      <c r="R892" t="b">
        <v>1</v>
      </c>
      <c r="S892" t="b">
        <v>0</v>
      </c>
      <c r="T892" t="b">
        <v>1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E892" t="s">
        <v>2486</v>
      </c>
    </row>
    <row r="893" spans="1:31" x14ac:dyDescent="0.3">
      <c r="A893">
        <v>-73.966775567849993</v>
      </c>
      <c r="B893">
        <v>40.776025683610001</v>
      </c>
      <c r="C893" t="s">
        <v>2487</v>
      </c>
      <c r="D893" t="s">
        <v>663</v>
      </c>
      <c r="E893" t="s">
        <v>33</v>
      </c>
      <c r="F893">
        <v>10082018</v>
      </c>
      <c r="G893">
        <v>2</v>
      </c>
      <c r="H893" t="s">
        <v>48</v>
      </c>
      <c r="I893" t="s">
        <v>42</v>
      </c>
      <c r="K893" t="s">
        <v>43</v>
      </c>
      <c r="M893" t="s">
        <v>44</v>
      </c>
      <c r="N893">
        <v>10</v>
      </c>
      <c r="O893" t="s">
        <v>2488</v>
      </c>
      <c r="P893" t="b">
        <v>0</v>
      </c>
      <c r="Q893" t="b">
        <v>1</v>
      </c>
      <c r="R893" t="b">
        <v>1</v>
      </c>
      <c r="S893" t="b">
        <v>0</v>
      </c>
      <c r="T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1</v>
      </c>
      <c r="AE893" t="s">
        <v>2489</v>
      </c>
    </row>
    <row r="894" spans="1:31" x14ac:dyDescent="0.3">
      <c r="A894">
        <v>-73.961335164900007</v>
      </c>
      <c r="B894">
        <v>40.790986685139998</v>
      </c>
      <c r="C894" t="s">
        <v>2490</v>
      </c>
      <c r="D894" t="s">
        <v>612</v>
      </c>
      <c r="E894" t="s">
        <v>38</v>
      </c>
      <c r="F894">
        <v>10142018</v>
      </c>
      <c r="G894">
        <v>3</v>
      </c>
      <c r="I894" t="s">
        <v>42</v>
      </c>
      <c r="J894" t="s">
        <v>59</v>
      </c>
      <c r="K894" t="s">
        <v>79</v>
      </c>
      <c r="M894" t="s">
        <v>65</v>
      </c>
      <c r="N894" t="b">
        <v>0</v>
      </c>
      <c r="O894" t="s">
        <v>1836</v>
      </c>
      <c r="P894" t="b">
        <v>0</v>
      </c>
      <c r="Q894" t="b">
        <v>0</v>
      </c>
      <c r="R894" t="b">
        <v>0</v>
      </c>
      <c r="S894" t="b">
        <v>0</v>
      </c>
      <c r="T894" t="b">
        <v>1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1</v>
      </c>
      <c r="AE894" t="s">
        <v>2491</v>
      </c>
    </row>
    <row r="895" spans="1:31" x14ac:dyDescent="0.3">
      <c r="A895">
        <v>-73.96113683902</v>
      </c>
      <c r="B895">
        <v>40.781561905339998</v>
      </c>
      <c r="C895" t="s">
        <v>2492</v>
      </c>
      <c r="D895" t="s">
        <v>1115</v>
      </c>
      <c r="E895" t="s">
        <v>38</v>
      </c>
      <c r="F895">
        <v>10072018</v>
      </c>
      <c r="G895">
        <v>2</v>
      </c>
      <c r="H895" t="s">
        <v>48</v>
      </c>
      <c r="I895" t="s">
        <v>42</v>
      </c>
      <c r="K895" t="s">
        <v>43</v>
      </c>
      <c r="M895" t="s">
        <v>65</v>
      </c>
      <c r="N895" t="b">
        <v>0</v>
      </c>
      <c r="P895" t="b">
        <v>1</v>
      </c>
      <c r="Q895" t="b">
        <v>0</v>
      </c>
      <c r="R895" t="b">
        <v>0</v>
      </c>
      <c r="S895" t="b">
        <v>0</v>
      </c>
      <c r="T895" t="b">
        <v>1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1</v>
      </c>
      <c r="AC895" t="b">
        <v>0</v>
      </c>
      <c r="AE895" t="s">
        <v>2493</v>
      </c>
    </row>
    <row r="896" spans="1:31" x14ac:dyDescent="0.3">
      <c r="A896">
        <v>-73.979931117329997</v>
      </c>
      <c r="B896">
        <v>40.768557699760002</v>
      </c>
      <c r="C896" t="s">
        <v>2494</v>
      </c>
      <c r="D896" t="s">
        <v>204</v>
      </c>
      <c r="E896" t="s">
        <v>38</v>
      </c>
      <c r="F896">
        <v>10102018</v>
      </c>
      <c r="G896">
        <v>3</v>
      </c>
      <c r="H896" t="s">
        <v>48</v>
      </c>
      <c r="I896" t="s">
        <v>53</v>
      </c>
      <c r="K896" t="s">
        <v>155</v>
      </c>
      <c r="M896" t="s">
        <v>65</v>
      </c>
      <c r="N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1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1</v>
      </c>
      <c r="AC896" t="b">
        <v>0</v>
      </c>
      <c r="AE896" t="s">
        <v>2495</v>
      </c>
    </row>
    <row r="897" spans="1:31" x14ac:dyDescent="0.3">
      <c r="A897">
        <v>-73.967519823090001</v>
      </c>
      <c r="B897">
        <v>40.778631094689999</v>
      </c>
      <c r="C897" t="s">
        <v>2496</v>
      </c>
      <c r="D897" t="s">
        <v>111</v>
      </c>
      <c r="E897" t="s">
        <v>38</v>
      </c>
      <c r="F897">
        <v>10072018</v>
      </c>
      <c r="G897">
        <v>2</v>
      </c>
      <c r="H897" t="s">
        <v>48</v>
      </c>
      <c r="I897" t="s">
        <v>53</v>
      </c>
      <c r="J897" t="s">
        <v>42</v>
      </c>
      <c r="K897" t="s">
        <v>89</v>
      </c>
      <c r="M897" t="s">
        <v>44</v>
      </c>
      <c r="N897">
        <v>4</v>
      </c>
      <c r="P897" t="b">
        <v>0</v>
      </c>
      <c r="Q897" t="b">
        <v>0</v>
      </c>
      <c r="R897" t="b">
        <v>1</v>
      </c>
      <c r="S897" t="b">
        <v>0</v>
      </c>
      <c r="T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1</v>
      </c>
      <c r="AC897" t="b">
        <v>0</v>
      </c>
      <c r="AE897" t="s">
        <v>2497</v>
      </c>
    </row>
    <row r="898" spans="1:31" x14ac:dyDescent="0.3">
      <c r="A898">
        <v>-73.978689865630002</v>
      </c>
      <c r="B898">
        <v>40.772083309709998</v>
      </c>
      <c r="C898" t="s">
        <v>2498</v>
      </c>
      <c r="D898" t="s">
        <v>870</v>
      </c>
      <c r="E898" t="s">
        <v>38</v>
      </c>
      <c r="F898">
        <v>10062018</v>
      </c>
      <c r="G898">
        <v>8</v>
      </c>
      <c r="H898" t="s">
        <v>48</v>
      </c>
      <c r="I898" t="s">
        <v>42</v>
      </c>
      <c r="J898" t="s">
        <v>59</v>
      </c>
      <c r="K898" t="s">
        <v>79</v>
      </c>
      <c r="M898" t="s">
        <v>65</v>
      </c>
      <c r="N898" t="b">
        <v>0</v>
      </c>
      <c r="P898" t="b">
        <v>1</v>
      </c>
      <c r="Q898" t="b">
        <v>0</v>
      </c>
      <c r="R898" t="b">
        <v>0</v>
      </c>
      <c r="S898" t="b">
        <v>1</v>
      </c>
      <c r="T898" t="b">
        <v>1</v>
      </c>
      <c r="V898" t="b">
        <v>0</v>
      </c>
      <c r="W898" t="b">
        <v>0</v>
      </c>
      <c r="X898" t="b">
        <v>0</v>
      </c>
      <c r="Y898" t="b">
        <v>0</v>
      </c>
      <c r="Z898" t="b">
        <v>1</v>
      </c>
      <c r="AA898" t="b">
        <v>0</v>
      </c>
      <c r="AB898" t="b">
        <v>1</v>
      </c>
      <c r="AC898" t="b">
        <v>0</v>
      </c>
      <c r="AE898" t="s">
        <v>2499</v>
      </c>
    </row>
    <row r="899" spans="1:31" x14ac:dyDescent="0.3">
      <c r="A899">
        <v>-73.975505597880002</v>
      </c>
      <c r="B899">
        <v>40.770743868170001</v>
      </c>
      <c r="C899" t="s">
        <v>2500</v>
      </c>
      <c r="D899" t="s">
        <v>722</v>
      </c>
      <c r="E899" t="s">
        <v>38</v>
      </c>
      <c r="F899">
        <v>10082018</v>
      </c>
      <c r="G899">
        <v>2</v>
      </c>
      <c r="H899" t="s">
        <v>105</v>
      </c>
      <c r="I899" t="s">
        <v>42</v>
      </c>
      <c r="K899" t="s">
        <v>43</v>
      </c>
      <c r="M899" t="s">
        <v>44</v>
      </c>
      <c r="N899">
        <v>10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E899" t="s">
        <v>2501</v>
      </c>
    </row>
    <row r="900" spans="1:31" x14ac:dyDescent="0.3">
      <c r="A900">
        <v>-73.973468753809996</v>
      </c>
      <c r="B900">
        <v>40.769430895920003</v>
      </c>
      <c r="C900" t="s">
        <v>2502</v>
      </c>
      <c r="D900" t="s">
        <v>514</v>
      </c>
      <c r="E900" t="s">
        <v>33</v>
      </c>
      <c r="F900">
        <v>10082018</v>
      </c>
      <c r="G900">
        <v>4</v>
      </c>
      <c r="H900" t="s">
        <v>48</v>
      </c>
      <c r="I900" t="s">
        <v>53</v>
      </c>
      <c r="J900" t="s">
        <v>59</v>
      </c>
      <c r="K900" t="s">
        <v>60</v>
      </c>
      <c r="L900" t="s">
        <v>2503</v>
      </c>
      <c r="M900" t="s">
        <v>65</v>
      </c>
      <c r="N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1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E900" t="s">
        <v>2504</v>
      </c>
    </row>
    <row r="901" spans="1:31" x14ac:dyDescent="0.3">
      <c r="A901">
        <v>-73.954282805329996</v>
      </c>
      <c r="B901">
        <v>40.79417973204</v>
      </c>
      <c r="C901" t="s">
        <v>2505</v>
      </c>
      <c r="D901" t="s">
        <v>936</v>
      </c>
      <c r="E901" t="s">
        <v>38</v>
      </c>
      <c r="F901">
        <v>10142018</v>
      </c>
      <c r="G901">
        <v>3</v>
      </c>
      <c r="H901" t="s">
        <v>48</v>
      </c>
      <c r="I901" t="s">
        <v>42</v>
      </c>
      <c r="K901" t="s">
        <v>43</v>
      </c>
      <c r="M901" t="s">
        <v>65</v>
      </c>
      <c r="N901" t="b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1</v>
      </c>
      <c r="AE901" t="s">
        <v>2506</v>
      </c>
    </row>
    <row r="902" spans="1:31" x14ac:dyDescent="0.3">
      <c r="A902">
        <v>-73.97927540373</v>
      </c>
      <c r="B902">
        <v>40.767969070040003</v>
      </c>
      <c r="C902" t="s">
        <v>2507</v>
      </c>
      <c r="D902" t="s">
        <v>1232</v>
      </c>
      <c r="E902" t="s">
        <v>38</v>
      </c>
      <c r="F902">
        <v>10102018</v>
      </c>
      <c r="G902">
        <v>8</v>
      </c>
      <c r="H902" t="s">
        <v>48</v>
      </c>
      <c r="I902" t="s">
        <v>42</v>
      </c>
      <c r="J902" t="s">
        <v>53</v>
      </c>
      <c r="K902" t="s">
        <v>54</v>
      </c>
      <c r="M902" t="s">
        <v>44</v>
      </c>
      <c r="N902">
        <v>3</v>
      </c>
      <c r="O902" t="s">
        <v>2508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E902" t="s">
        <v>2509</v>
      </c>
    </row>
    <row r="903" spans="1:31" x14ac:dyDescent="0.3">
      <c r="A903">
        <v>-73.96265279088</v>
      </c>
      <c r="B903">
        <v>40.791247238019999</v>
      </c>
      <c r="C903" t="s">
        <v>2510</v>
      </c>
      <c r="D903" t="s">
        <v>2511</v>
      </c>
      <c r="E903" t="s">
        <v>38</v>
      </c>
      <c r="F903">
        <v>10172018</v>
      </c>
      <c r="G903">
        <v>3</v>
      </c>
      <c r="H903" t="s">
        <v>48</v>
      </c>
      <c r="I903" t="s">
        <v>42</v>
      </c>
      <c r="K903" t="s">
        <v>43</v>
      </c>
      <c r="M903" t="s">
        <v>65</v>
      </c>
      <c r="N903" t="b">
        <v>0</v>
      </c>
      <c r="P903" t="b">
        <v>0</v>
      </c>
      <c r="Q903" t="b">
        <v>0</v>
      </c>
      <c r="R903" t="b">
        <v>0</v>
      </c>
      <c r="S903" t="b">
        <v>1</v>
      </c>
      <c r="T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1</v>
      </c>
      <c r="AC903" t="b">
        <v>0</v>
      </c>
      <c r="AE903" t="s">
        <v>2512</v>
      </c>
    </row>
    <row r="904" spans="1:31" x14ac:dyDescent="0.3">
      <c r="A904">
        <v>-73.970222813169997</v>
      </c>
      <c r="B904">
        <v>40.774213158800002</v>
      </c>
      <c r="C904" t="s">
        <v>2513</v>
      </c>
      <c r="D904" t="s">
        <v>646</v>
      </c>
      <c r="E904" t="s">
        <v>33</v>
      </c>
      <c r="F904">
        <v>10072018</v>
      </c>
      <c r="G904">
        <v>12</v>
      </c>
      <c r="H904" t="s">
        <v>48</v>
      </c>
      <c r="I904" t="s">
        <v>42</v>
      </c>
      <c r="J904" t="s">
        <v>96</v>
      </c>
      <c r="K904" t="s">
        <v>97</v>
      </c>
      <c r="M904" t="s">
        <v>44</v>
      </c>
      <c r="N904">
        <v>5</v>
      </c>
      <c r="P904" t="b">
        <v>0</v>
      </c>
      <c r="Q904" t="b">
        <v>0</v>
      </c>
      <c r="R904" t="b">
        <v>0</v>
      </c>
      <c r="S904" t="b">
        <v>0</v>
      </c>
      <c r="T904" t="b">
        <v>1</v>
      </c>
      <c r="U904" t="s">
        <v>2514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1</v>
      </c>
      <c r="AC904" t="b">
        <v>0</v>
      </c>
      <c r="AE904" t="s">
        <v>2515</v>
      </c>
    </row>
    <row r="905" spans="1:31" x14ac:dyDescent="0.3">
      <c r="A905">
        <v>-73.969105906999999</v>
      </c>
      <c r="B905">
        <v>40.78204749092</v>
      </c>
      <c r="C905" t="s">
        <v>2516</v>
      </c>
      <c r="D905" t="s">
        <v>78</v>
      </c>
      <c r="E905" t="s">
        <v>33</v>
      </c>
      <c r="F905">
        <v>10132018</v>
      </c>
      <c r="G905">
        <v>8</v>
      </c>
      <c r="H905" t="s">
        <v>48</v>
      </c>
      <c r="I905" t="s">
        <v>42</v>
      </c>
      <c r="J905" t="s">
        <v>59</v>
      </c>
      <c r="K905" t="s">
        <v>79</v>
      </c>
      <c r="L905" t="s">
        <v>2517</v>
      </c>
      <c r="M905" t="s">
        <v>65</v>
      </c>
      <c r="N905" t="b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s">
        <v>2518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1</v>
      </c>
      <c r="AE905" t="s">
        <v>2519</v>
      </c>
    </row>
    <row r="906" spans="1:31" x14ac:dyDescent="0.3">
      <c r="A906">
        <v>-73.971994157739999</v>
      </c>
      <c r="B906">
        <v>40.770371293129998</v>
      </c>
      <c r="C906" t="s">
        <v>2520</v>
      </c>
      <c r="D906" t="s">
        <v>402</v>
      </c>
      <c r="E906" t="s">
        <v>38</v>
      </c>
      <c r="F906">
        <v>10102018</v>
      </c>
      <c r="G906">
        <v>4</v>
      </c>
      <c r="H906" t="s">
        <v>48</v>
      </c>
      <c r="I906" t="s">
        <v>42</v>
      </c>
      <c r="K906" t="s">
        <v>43</v>
      </c>
      <c r="M906" t="s">
        <v>65</v>
      </c>
      <c r="N906" t="b">
        <v>0</v>
      </c>
      <c r="P906" t="b">
        <v>1</v>
      </c>
      <c r="Q906" t="b">
        <v>0</v>
      </c>
      <c r="R906" t="b">
        <v>0</v>
      </c>
      <c r="S906" t="b">
        <v>0</v>
      </c>
      <c r="T906" t="b">
        <v>1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E906" t="s">
        <v>2521</v>
      </c>
    </row>
    <row r="907" spans="1:31" x14ac:dyDescent="0.3">
      <c r="A907">
        <v>-73.95310133596</v>
      </c>
      <c r="B907">
        <v>40.792122355650001</v>
      </c>
      <c r="C907" t="s">
        <v>2522</v>
      </c>
      <c r="D907" t="s">
        <v>85</v>
      </c>
      <c r="E907" t="s">
        <v>33</v>
      </c>
      <c r="F907">
        <v>10072018</v>
      </c>
      <c r="G907">
        <v>4</v>
      </c>
      <c r="H907" t="s">
        <v>48</v>
      </c>
      <c r="I907" t="s">
        <v>42</v>
      </c>
      <c r="K907" t="s">
        <v>43</v>
      </c>
      <c r="M907" t="s">
        <v>65</v>
      </c>
      <c r="N907" t="b">
        <v>0</v>
      </c>
      <c r="P907" t="b">
        <v>0</v>
      </c>
      <c r="Q907" t="b">
        <v>1</v>
      </c>
      <c r="R907" t="b">
        <v>0</v>
      </c>
      <c r="S907" t="b">
        <v>0</v>
      </c>
      <c r="T907" t="b">
        <v>1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E907" t="s">
        <v>2523</v>
      </c>
    </row>
    <row r="908" spans="1:31" x14ac:dyDescent="0.3">
      <c r="A908">
        <v>-73.975721612429993</v>
      </c>
      <c r="B908">
        <v>40.775431023960003</v>
      </c>
      <c r="C908" t="s">
        <v>2524</v>
      </c>
      <c r="D908" t="s">
        <v>1635</v>
      </c>
      <c r="E908" t="s">
        <v>33</v>
      </c>
      <c r="F908">
        <v>10132018</v>
      </c>
      <c r="G908">
        <v>5</v>
      </c>
      <c r="H908" t="s">
        <v>48</v>
      </c>
      <c r="I908" t="s">
        <v>53</v>
      </c>
      <c r="J908" t="s">
        <v>42</v>
      </c>
      <c r="K908" t="s">
        <v>89</v>
      </c>
      <c r="M908" t="s">
        <v>65</v>
      </c>
      <c r="N908" t="b">
        <v>0</v>
      </c>
      <c r="P908" t="b">
        <v>1</v>
      </c>
      <c r="Q908" t="b">
        <v>0</v>
      </c>
      <c r="R908" t="b">
        <v>0</v>
      </c>
      <c r="S908" t="b">
        <v>0</v>
      </c>
      <c r="T908" t="b">
        <v>1</v>
      </c>
      <c r="U908" t="s">
        <v>340</v>
      </c>
      <c r="V908" t="b">
        <v>0</v>
      </c>
      <c r="W908" t="b">
        <v>0</v>
      </c>
      <c r="X908" t="b">
        <v>0</v>
      </c>
      <c r="Y908" t="b">
        <v>0</v>
      </c>
      <c r="Z908" t="b">
        <v>1</v>
      </c>
      <c r="AA908" t="b">
        <v>0</v>
      </c>
      <c r="AB908" t="b">
        <v>0</v>
      </c>
      <c r="AC908" t="b">
        <v>0</v>
      </c>
      <c r="AE908" t="s">
        <v>2525</v>
      </c>
    </row>
    <row r="909" spans="1:31" x14ac:dyDescent="0.3">
      <c r="A909">
        <v>-73.966412082600002</v>
      </c>
      <c r="B909">
        <v>40.788802270970002</v>
      </c>
      <c r="C909" t="s">
        <v>2526</v>
      </c>
      <c r="D909" t="s">
        <v>1071</v>
      </c>
      <c r="E909" t="s">
        <v>38</v>
      </c>
      <c r="F909">
        <v>10082018</v>
      </c>
      <c r="G909">
        <v>1</v>
      </c>
      <c r="H909" t="s">
        <v>48</v>
      </c>
      <c r="I909" t="s">
        <v>42</v>
      </c>
      <c r="K909" t="s">
        <v>43</v>
      </c>
      <c r="M909" t="s">
        <v>44</v>
      </c>
      <c r="N909">
        <v>3</v>
      </c>
      <c r="P909" t="b">
        <v>0</v>
      </c>
      <c r="Q909" t="b">
        <v>1</v>
      </c>
      <c r="R909" t="b">
        <v>0</v>
      </c>
      <c r="S909" t="b">
        <v>0</v>
      </c>
      <c r="T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1</v>
      </c>
      <c r="AE909" t="s">
        <v>2527</v>
      </c>
    </row>
    <row r="910" spans="1:31" x14ac:dyDescent="0.3">
      <c r="A910">
        <v>-73.958060992130001</v>
      </c>
      <c r="B910">
        <v>40.79071588787</v>
      </c>
      <c r="C910" t="s">
        <v>2528</v>
      </c>
      <c r="D910" t="s">
        <v>124</v>
      </c>
      <c r="E910" t="s">
        <v>38</v>
      </c>
      <c r="F910">
        <v>10122018</v>
      </c>
      <c r="G910">
        <v>6</v>
      </c>
      <c r="H910" t="s">
        <v>48</v>
      </c>
      <c r="I910" t="s">
        <v>42</v>
      </c>
      <c r="J910" t="s">
        <v>59</v>
      </c>
      <c r="K910" t="s">
        <v>79</v>
      </c>
      <c r="M910" t="s">
        <v>65</v>
      </c>
      <c r="N910" t="b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E910" t="s">
        <v>2529</v>
      </c>
    </row>
    <row r="911" spans="1:31" x14ac:dyDescent="0.3">
      <c r="A911">
        <v>-73.959412057370002</v>
      </c>
      <c r="B911">
        <v>40.784194575059999</v>
      </c>
      <c r="C911" t="s">
        <v>2530</v>
      </c>
      <c r="D911" t="s">
        <v>844</v>
      </c>
      <c r="E911" t="s">
        <v>33</v>
      </c>
      <c r="F911">
        <v>10102018</v>
      </c>
      <c r="G911">
        <v>5</v>
      </c>
      <c r="H911" t="s">
        <v>48</v>
      </c>
      <c r="I911" t="s">
        <v>42</v>
      </c>
      <c r="J911" t="s">
        <v>96</v>
      </c>
      <c r="K911" t="s">
        <v>97</v>
      </c>
      <c r="M911" t="s">
        <v>44</v>
      </c>
      <c r="N911">
        <v>10</v>
      </c>
      <c r="O911" t="s">
        <v>190</v>
      </c>
      <c r="P911" t="b">
        <v>0</v>
      </c>
      <c r="Q911" t="b">
        <v>0</v>
      </c>
      <c r="R911" t="b">
        <v>1</v>
      </c>
      <c r="S911" t="b">
        <v>0</v>
      </c>
      <c r="T911" t="b">
        <v>1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1</v>
      </c>
      <c r="AC911" t="b">
        <v>0</v>
      </c>
      <c r="AE911" t="s">
        <v>2531</v>
      </c>
    </row>
    <row r="912" spans="1:31" x14ac:dyDescent="0.3">
      <c r="A912">
        <v>-73.966570545620002</v>
      </c>
      <c r="B912">
        <v>40.782355287100003</v>
      </c>
      <c r="C912" t="s">
        <v>2532</v>
      </c>
      <c r="D912" t="s">
        <v>459</v>
      </c>
      <c r="E912" t="s">
        <v>33</v>
      </c>
      <c r="F912">
        <v>10082018</v>
      </c>
      <c r="G912">
        <v>5</v>
      </c>
      <c r="H912" t="s">
        <v>48</v>
      </c>
      <c r="I912" t="s">
        <v>42</v>
      </c>
      <c r="J912" t="s">
        <v>53</v>
      </c>
      <c r="K912" t="s">
        <v>54</v>
      </c>
      <c r="M912" t="s">
        <v>65</v>
      </c>
      <c r="N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1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E912" t="s">
        <v>2533</v>
      </c>
    </row>
    <row r="913" spans="1:31" x14ac:dyDescent="0.3">
      <c r="A913">
        <v>-73.969727799829997</v>
      </c>
      <c r="B913">
        <v>40.770519872199998</v>
      </c>
      <c r="C913" t="s">
        <v>2534</v>
      </c>
      <c r="D913" t="s">
        <v>183</v>
      </c>
      <c r="E913" t="s">
        <v>38</v>
      </c>
      <c r="F913">
        <v>10172018</v>
      </c>
      <c r="G913">
        <v>1</v>
      </c>
      <c r="H913" t="s">
        <v>48</v>
      </c>
      <c r="I913" t="s">
        <v>42</v>
      </c>
      <c r="J913" t="s">
        <v>53</v>
      </c>
      <c r="K913" t="s">
        <v>54</v>
      </c>
      <c r="M913" t="s">
        <v>65</v>
      </c>
      <c r="N913" t="b">
        <v>0</v>
      </c>
      <c r="P913" t="b">
        <v>0</v>
      </c>
      <c r="Q913" t="b">
        <v>1</v>
      </c>
      <c r="R913" t="b">
        <v>0</v>
      </c>
      <c r="S913" t="b">
        <v>1</v>
      </c>
      <c r="T913" t="b">
        <v>1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1</v>
      </c>
      <c r="AC913" t="b">
        <v>0</v>
      </c>
      <c r="AE913" t="s">
        <v>2535</v>
      </c>
    </row>
    <row r="914" spans="1:31" x14ac:dyDescent="0.3">
      <c r="A914">
        <v>-73.958024711869996</v>
      </c>
      <c r="B914">
        <v>40.793872427860002</v>
      </c>
      <c r="C914" t="s">
        <v>2536</v>
      </c>
      <c r="D914" t="s">
        <v>1451</v>
      </c>
      <c r="E914" t="s">
        <v>33</v>
      </c>
      <c r="F914">
        <v>10072018</v>
      </c>
      <c r="G914">
        <v>1</v>
      </c>
      <c r="H914" t="s">
        <v>48</v>
      </c>
      <c r="I914" t="s">
        <v>42</v>
      </c>
      <c r="K914" t="s">
        <v>43</v>
      </c>
      <c r="M914" t="s">
        <v>65</v>
      </c>
      <c r="N914" t="b">
        <v>0</v>
      </c>
      <c r="P914" t="b">
        <v>0</v>
      </c>
      <c r="Q914" t="b">
        <v>0</v>
      </c>
      <c r="R914" t="b">
        <v>0</v>
      </c>
      <c r="S914" t="b">
        <v>1</v>
      </c>
      <c r="T914" t="b">
        <v>1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1</v>
      </c>
      <c r="AC914" t="b">
        <v>0</v>
      </c>
      <c r="AE914" t="s">
        <v>2537</v>
      </c>
    </row>
    <row r="915" spans="1:31" x14ac:dyDescent="0.3">
      <c r="A915">
        <v>-73.951411132909996</v>
      </c>
      <c r="B915">
        <v>40.797508587289997</v>
      </c>
      <c r="C915" t="s">
        <v>2538</v>
      </c>
      <c r="D915" t="s">
        <v>386</v>
      </c>
      <c r="E915" t="s">
        <v>38</v>
      </c>
      <c r="F915">
        <v>10182018</v>
      </c>
      <c r="G915">
        <v>1</v>
      </c>
      <c r="H915" t="s">
        <v>48</v>
      </c>
      <c r="I915" t="s">
        <v>42</v>
      </c>
      <c r="J915" t="s">
        <v>53</v>
      </c>
      <c r="K915" t="s">
        <v>54</v>
      </c>
      <c r="M915" t="s">
        <v>65</v>
      </c>
      <c r="N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1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1</v>
      </c>
      <c r="AB915" t="b">
        <v>0</v>
      </c>
      <c r="AC915" t="b">
        <v>1</v>
      </c>
      <c r="AE915" t="s">
        <v>2539</v>
      </c>
    </row>
    <row r="916" spans="1:31" x14ac:dyDescent="0.3">
      <c r="A916">
        <v>-73.968083372980004</v>
      </c>
      <c r="B916">
        <v>40.774187102509998</v>
      </c>
      <c r="C916" t="s">
        <v>2540</v>
      </c>
      <c r="D916" t="s">
        <v>1389</v>
      </c>
      <c r="E916" t="s">
        <v>33</v>
      </c>
      <c r="F916">
        <v>10072018</v>
      </c>
      <c r="G916">
        <v>8</v>
      </c>
      <c r="K916" t="s">
        <v>34</v>
      </c>
      <c r="M916" t="s">
        <v>44</v>
      </c>
      <c r="N916">
        <v>7</v>
      </c>
      <c r="O916" t="s">
        <v>456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1</v>
      </c>
      <c r="AE916" t="s">
        <v>2541</v>
      </c>
    </row>
    <row r="917" spans="1:31" x14ac:dyDescent="0.3">
      <c r="A917">
        <v>-73.976080174230006</v>
      </c>
      <c r="B917">
        <v>40.767421895470001</v>
      </c>
      <c r="C917" t="s">
        <v>2542</v>
      </c>
      <c r="D917" t="s">
        <v>215</v>
      </c>
      <c r="E917" t="s">
        <v>38</v>
      </c>
      <c r="F917">
        <v>10062018</v>
      </c>
      <c r="G917">
        <v>4</v>
      </c>
      <c r="H917" t="s">
        <v>105</v>
      </c>
      <c r="I917" t="s">
        <v>42</v>
      </c>
      <c r="K917" t="s">
        <v>43</v>
      </c>
      <c r="M917" t="s">
        <v>65</v>
      </c>
      <c r="N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1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1</v>
      </c>
      <c r="AE917" t="s">
        <v>2543</v>
      </c>
    </row>
    <row r="918" spans="1:31" x14ac:dyDescent="0.3">
      <c r="A918">
        <v>-73.977023509000006</v>
      </c>
      <c r="B918">
        <v>40.77413520807</v>
      </c>
      <c r="C918" t="s">
        <v>2544</v>
      </c>
      <c r="D918" t="s">
        <v>855</v>
      </c>
      <c r="E918" t="s">
        <v>38</v>
      </c>
      <c r="F918">
        <v>10132018</v>
      </c>
      <c r="G918">
        <v>2</v>
      </c>
      <c r="H918" t="s">
        <v>48</v>
      </c>
      <c r="I918" t="s">
        <v>42</v>
      </c>
      <c r="J918" t="s">
        <v>53</v>
      </c>
      <c r="K918" t="s">
        <v>54</v>
      </c>
      <c r="M918" t="s">
        <v>65</v>
      </c>
      <c r="N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1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1</v>
      </c>
      <c r="AC918" t="b">
        <v>0</v>
      </c>
      <c r="AE918" t="s">
        <v>2545</v>
      </c>
    </row>
    <row r="919" spans="1:31" x14ac:dyDescent="0.3">
      <c r="A919">
        <v>-73.956188762449997</v>
      </c>
      <c r="B919">
        <v>40.79581874558</v>
      </c>
      <c r="C919" t="s">
        <v>2546</v>
      </c>
      <c r="D919" t="s">
        <v>520</v>
      </c>
      <c r="E919" t="s">
        <v>38</v>
      </c>
      <c r="F919">
        <v>10102018</v>
      </c>
      <c r="G919">
        <v>4</v>
      </c>
      <c r="H919" t="s">
        <v>48</v>
      </c>
      <c r="I919" t="s">
        <v>42</v>
      </c>
      <c r="J919" t="s">
        <v>53</v>
      </c>
      <c r="K919" t="s">
        <v>54</v>
      </c>
      <c r="M919" t="s">
        <v>65</v>
      </c>
      <c r="N919" t="b">
        <v>0</v>
      </c>
      <c r="P919" t="b">
        <v>1</v>
      </c>
      <c r="Q919" t="b">
        <v>0</v>
      </c>
      <c r="R919" t="b">
        <v>1</v>
      </c>
      <c r="S919" t="b">
        <v>0</v>
      </c>
      <c r="T919" t="b">
        <v>0</v>
      </c>
      <c r="V919" t="b">
        <v>0</v>
      </c>
      <c r="W919" t="b">
        <v>0</v>
      </c>
      <c r="X919" t="b">
        <v>0</v>
      </c>
      <c r="Y919" t="b">
        <v>1</v>
      </c>
      <c r="Z919" t="b">
        <v>0</v>
      </c>
      <c r="AA919" t="b">
        <v>0</v>
      </c>
      <c r="AB919" t="b">
        <v>0</v>
      </c>
      <c r="AC919" t="b">
        <v>1</v>
      </c>
      <c r="AD919" t="s">
        <v>395</v>
      </c>
      <c r="AE919" t="s">
        <v>2547</v>
      </c>
    </row>
    <row r="920" spans="1:31" x14ac:dyDescent="0.3">
      <c r="A920">
        <v>-73.967651405669997</v>
      </c>
      <c r="B920">
        <v>40.773085373290002</v>
      </c>
      <c r="C920" t="s">
        <v>2548</v>
      </c>
      <c r="D920" t="s">
        <v>58</v>
      </c>
      <c r="E920" t="s">
        <v>38</v>
      </c>
      <c r="F920">
        <v>10102018</v>
      </c>
      <c r="G920">
        <v>1</v>
      </c>
      <c r="H920" t="s">
        <v>48</v>
      </c>
      <c r="I920" t="s">
        <v>42</v>
      </c>
      <c r="J920" t="s">
        <v>59</v>
      </c>
      <c r="K920" t="s">
        <v>79</v>
      </c>
      <c r="M920" t="s">
        <v>44</v>
      </c>
      <c r="N920">
        <v>20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1</v>
      </c>
      <c r="AB920" t="b">
        <v>0</v>
      </c>
      <c r="AC920" t="b">
        <v>0</v>
      </c>
      <c r="AD920" t="s">
        <v>2549</v>
      </c>
      <c r="AE920" t="s">
        <v>2550</v>
      </c>
    </row>
    <row r="921" spans="1:31" x14ac:dyDescent="0.3">
      <c r="A921">
        <v>-73.968109310000003</v>
      </c>
      <c r="B921">
        <v>40.773175391540001</v>
      </c>
      <c r="C921" t="s">
        <v>2551</v>
      </c>
      <c r="D921" t="s">
        <v>58</v>
      </c>
      <c r="E921" t="s">
        <v>33</v>
      </c>
      <c r="F921">
        <v>10132018</v>
      </c>
      <c r="G921">
        <v>1</v>
      </c>
      <c r="H921" t="s">
        <v>48</v>
      </c>
      <c r="I921" t="s">
        <v>42</v>
      </c>
      <c r="J921" t="s">
        <v>96</v>
      </c>
      <c r="K921" t="s">
        <v>97</v>
      </c>
      <c r="M921" t="s">
        <v>65</v>
      </c>
      <c r="N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s">
        <v>2552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1</v>
      </c>
      <c r="AC921" t="b">
        <v>0</v>
      </c>
      <c r="AE921" t="s">
        <v>2553</v>
      </c>
    </row>
    <row r="922" spans="1:31" x14ac:dyDescent="0.3">
      <c r="A922">
        <v>-73.963727971189996</v>
      </c>
      <c r="B922">
        <v>40.790519850229998</v>
      </c>
      <c r="C922" t="s">
        <v>2554</v>
      </c>
      <c r="D922" t="s">
        <v>908</v>
      </c>
      <c r="E922" t="s">
        <v>38</v>
      </c>
      <c r="F922">
        <v>10072018</v>
      </c>
      <c r="G922">
        <v>9</v>
      </c>
      <c r="H922" t="s">
        <v>48</v>
      </c>
      <c r="I922" t="s">
        <v>42</v>
      </c>
      <c r="K922" t="s">
        <v>43</v>
      </c>
      <c r="M922" t="s">
        <v>44</v>
      </c>
      <c r="N922">
        <v>50</v>
      </c>
      <c r="P922" t="b">
        <v>0</v>
      </c>
      <c r="Q922" t="b">
        <v>0</v>
      </c>
      <c r="R922" t="b">
        <v>1</v>
      </c>
      <c r="S922" t="b">
        <v>0</v>
      </c>
      <c r="T922" t="b">
        <v>0</v>
      </c>
      <c r="U922" t="s">
        <v>2555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E922" t="s">
        <v>2556</v>
      </c>
    </row>
    <row r="923" spans="1:31" x14ac:dyDescent="0.3">
      <c r="A923">
        <v>-73.957123364020006</v>
      </c>
      <c r="B923">
        <v>40.799245898030001</v>
      </c>
      <c r="C923" t="s">
        <v>2557</v>
      </c>
      <c r="D923" t="s">
        <v>367</v>
      </c>
      <c r="E923" t="s">
        <v>33</v>
      </c>
      <c r="F923">
        <v>10142018</v>
      </c>
      <c r="G923">
        <v>4</v>
      </c>
      <c r="H923" t="s">
        <v>48</v>
      </c>
      <c r="I923" t="s">
        <v>42</v>
      </c>
      <c r="J923" t="s">
        <v>53</v>
      </c>
      <c r="K923" t="s">
        <v>54</v>
      </c>
      <c r="M923" t="s">
        <v>44</v>
      </c>
      <c r="N923">
        <v>40</v>
      </c>
      <c r="P923" t="b">
        <v>0</v>
      </c>
      <c r="Q923" t="b">
        <v>0</v>
      </c>
      <c r="R923" t="b">
        <v>1</v>
      </c>
      <c r="S923" t="b">
        <v>0</v>
      </c>
      <c r="T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s">
        <v>2558</v>
      </c>
      <c r="AE923" t="s">
        <v>2559</v>
      </c>
    </row>
    <row r="924" spans="1:31" x14ac:dyDescent="0.3">
      <c r="A924">
        <v>-73.969895907180003</v>
      </c>
      <c r="B924">
        <v>40.77167637993</v>
      </c>
      <c r="C924" t="s">
        <v>2560</v>
      </c>
      <c r="D924" t="s">
        <v>2056</v>
      </c>
      <c r="E924" t="s">
        <v>38</v>
      </c>
      <c r="F924">
        <v>10062018</v>
      </c>
      <c r="G924">
        <v>5</v>
      </c>
      <c r="H924" t="s">
        <v>48</v>
      </c>
      <c r="I924" t="s">
        <v>42</v>
      </c>
      <c r="J924" t="s">
        <v>59</v>
      </c>
      <c r="K924" t="s">
        <v>79</v>
      </c>
      <c r="M924" t="s">
        <v>65</v>
      </c>
      <c r="N924" t="b">
        <v>0</v>
      </c>
      <c r="P924" t="b">
        <v>0</v>
      </c>
      <c r="Q924" t="b">
        <v>0</v>
      </c>
      <c r="R924" t="b">
        <v>0</v>
      </c>
      <c r="S924" t="b">
        <v>1</v>
      </c>
      <c r="T924" t="b">
        <v>1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1</v>
      </c>
      <c r="AC924" t="b">
        <v>0</v>
      </c>
      <c r="AE924" t="s">
        <v>2561</v>
      </c>
    </row>
    <row r="925" spans="1:31" x14ac:dyDescent="0.3">
      <c r="A925">
        <v>-73.970800246140001</v>
      </c>
      <c r="B925">
        <v>40.772668528479997</v>
      </c>
      <c r="C925" t="s">
        <v>2562</v>
      </c>
      <c r="D925" t="s">
        <v>314</v>
      </c>
      <c r="E925" t="s">
        <v>33</v>
      </c>
      <c r="F925">
        <v>10192018</v>
      </c>
      <c r="G925">
        <v>10</v>
      </c>
      <c r="H925" t="s">
        <v>48</v>
      </c>
      <c r="I925" t="s">
        <v>42</v>
      </c>
      <c r="J925" t="s">
        <v>53</v>
      </c>
      <c r="K925" t="s">
        <v>54</v>
      </c>
      <c r="M925" t="s">
        <v>65</v>
      </c>
      <c r="N925" t="b">
        <v>0</v>
      </c>
      <c r="O925" t="s">
        <v>2563</v>
      </c>
      <c r="P925" t="b">
        <v>1</v>
      </c>
      <c r="Q925" t="b">
        <v>0</v>
      </c>
      <c r="R925" t="b">
        <v>0</v>
      </c>
      <c r="S925" t="b">
        <v>1</v>
      </c>
      <c r="T925" t="b">
        <v>1</v>
      </c>
      <c r="V925" t="b">
        <v>0</v>
      </c>
      <c r="W925" t="b">
        <v>0</v>
      </c>
      <c r="X925" t="b">
        <v>0</v>
      </c>
      <c r="Y925" t="b">
        <v>0</v>
      </c>
      <c r="Z925" t="b">
        <v>1</v>
      </c>
      <c r="AA925" t="b">
        <v>0</v>
      </c>
      <c r="AB925" t="b">
        <v>1</v>
      </c>
      <c r="AC925" t="b">
        <v>0</v>
      </c>
      <c r="AE925" t="s">
        <v>2564</v>
      </c>
    </row>
    <row r="926" spans="1:31" x14ac:dyDescent="0.3">
      <c r="A926">
        <v>-73.957892488260001</v>
      </c>
      <c r="B926">
        <v>40.78980629782</v>
      </c>
      <c r="C926" t="s">
        <v>2565</v>
      </c>
      <c r="D926" t="s">
        <v>530</v>
      </c>
      <c r="E926" t="s">
        <v>38</v>
      </c>
      <c r="F926">
        <v>10102018</v>
      </c>
      <c r="G926">
        <v>2</v>
      </c>
      <c r="H926" t="s">
        <v>48</v>
      </c>
      <c r="I926" t="s">
        <v>42</v>
      </c>
      <c r="K926" t="s">
        <v>43</v>
      </c>
      <c r="M926" t="s">
        <v>44</v>
      </c>
      <c r="N926">
        <v>13</v>
      </c>
      <c r="P926" t="b">
        <v>0</v>
      </c>
      <c r="Q926" t="b">
        <v>0</v>
      </c>
      <c r="R926" t="b">
        <v>1</v>
      </c>
      <c r="S926" t="b">
        <v>1</v>
      </c>
      <c r="T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1</v>
      </c>
      <c r="AA926" t="b">
        <v>0</v>
      </c>
      <c r="AB926" t="b">
        <v>0</v>
      </c>
      <c r="AC926" t="b">
        <v>1</v>
      </c>
      <c r="AE926" t="s">
        <v>2566</v>
      </c>
    </row>
    <row r="927" spans="1:31" x14ac:dyDescent="0.3">
      <c r="A927">
        <v>-73.959169554590005</v>
      </c>
      <c r="B927">
        <v>40.793811636080001</v>
      </c>
      <c r="C927" t="s">
        <v>2567</v>
      </c>
      <c r="D927" t="s">
        <v>505</v>
      </c>
      <c r="E927" t="s">
        <v>33</v>
      </c>
      <c r="F927">
        <v>10132018</v>
      </c>
      <c r="G927">
        <v>8</v>
      </c>
      <c r="H927" t="s">
        <v>48</v>
      </c>
      <c r="I927" t="s">
        <v>42</v>
      </c>
      <c r="J927" t="s">
        <v>59</v>
      </c>
      <c r="K927" t="s">
        <v>79</v>
      </c>
      <c r="M927" t="s">
        <v>65</v>
      </c>
      <c r="N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1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1</v>
      </c>
      <c r="AC927" t="b">
        <v>0</v>
      </c>
      <c r="AE927" t="s">
        <v>2568</v>
      </c>
    </row>
    <row r="928" spans="1:31" x14ac:dyDescent="0.3">
      <c r="A928">
        <v>-73.976311642590005</v>
      </c>
      <c r="B928">
        <v>40.768883957649997</v>
      </c>
      <c r="C928" t="s">
        <v>2569</v>
      </c>
      <c r="D928" t="s">
        <v>534</v>
      </c>
      <c r="E928" t="s">
        <v>33</v>
      </c>
      <c r="F928">
        <v>10082018</v>
      </c>
      <c r="G928">
        <v>3</v>
      </c>
      <c r="H928" t="s">
        <v>48</v>
      </c>
      <c r="I928" t="s">
        <v>53</v>
      </c>
      <c r="J928" t="s">
        <v>115</v>
      </c>
      <c r="K928" t="s">
        <v>116</v>
      </c>
      <c r="M928" t="s">
        <v>65</v>
      </c>
      <c r="N928" t="b">
        <v>0</v>
      </c>
      <c r="P928" t="b">
        <v>0</v>
      </c>
      <c r="Q928" t="b">
        <v>0</v>
      </c>
      <c r="R928" t="b">
        <v>0</v>
      </c>
      <c r="S928" t="b">
        <v>1</v>
      </c>
      <c r="T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1</v>
      </c>
      <c r="AD928" t="s">
        <v>2570</v>
      </c>
      <c r="AE928" t="s">
        <v>2571</v>
      </c>
    </row>
    <row r="929" spans="1:31" x14ac:dyDescent="0.3">
      <c r="A929">
        <v>-73.959600693870001</v>
      </c>
      <c r="B929">
        <v>40.783470644049999</v>
      </c>
      <c r="C929" t="s">
        <v>2572</v>
      </c>
      <c r="D929" t="s">
        <v>2573</v>
      </c>
      <c r="E929" t="s">
        <v>33</v>
      </c>
      <c r="F929">
        <v>10072018</v>
      </c>
      <c r="G929">
        <v>7</v>
      </c>
      <c r="H929" t="s">
        <v>48</v>
      </c>
      <c r="I929" t="s">
        <v>42</v>
      </c>
      <c r="K929" t="s">
        <v>43</v>
      </c>
      <c r="M929" t="s">
        <v>44</v>
      </c>
      <c r="O929" t="s">
        <v>2574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E929" t="s">
        <v>2575</v>
      </c>
    </row>
    <row r="930" spans="1:31" x14ac:dyDescent="0.3">
      <c r="A930">
        <v>-73.960988568679994</v>
      </c>
      <c r="B930">
        <v>40.796110864029998</v>
      </c>
      <c r="C930" t="s">
        <v>2576</v>
      </c>
      <c r="D930" t="s">
        <v>2577</v>
      </c>
      <c r="E930" t="s">
        <v>33</v>
      </c>
      <c r="F930">
        <v>10132018</v>
      </c>
      <c r="G930">
        <v>1</v>
      </c>
      <c r="H930" t="s">
        <v>48</v>
      </c>
      <c r="I930" t="s">
        <v>42</v>
      </c>
      <c r="J930" t="s">
        <v>59</v>
      </c>
      <c r="K930" t="s">
        <v>79</v>
      </c>
      <c r="M930" t="s">
        <v>65</v>
      </c>
      <c r="N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1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E930" t="s">
        <v>2578</v>
      </c>
    </row>
    <row r="931" spans="1:31" x14ac:dyDescent="0.3">
      <c r="A931">
        <v>-73.967042958600004</v>
      </c>
      <c r="B931">
        <v>40.778437071939997</v>
      </c>
      <c r="C931" t="s">
        <v>2579</v>
      </c>
      <c r="D931" t="s">
        <v>111</v>
      </c>
      <c r="E931" t="s">
        <v>38</v>
      </c>
      <c r="F931">
        <v>10072018</v>
      </c>
      <c r="G931">
        <v>5</v>
      </c>
      <c r="H931" t="s">
        <v>105</v>
      </c>
      <c r="I931" t="s">
        <v>53</v>
      </c>
      <c r="J931" t="s">
        <v>42</v>
      </c>
      <c r="K931" t="s">
        <v>89</v>
      </c>
      <c r="M931" t="s">
        <v>65</v>
      </c>
      <c r="N931" t="b">
        <v>0</v>
      </c>
      <c r="P931" t="b">
        <v>1</v>
      </c>
      <c r="Q931" t="b">
        <v>0</v>
      </c>
      <c r="R931" t="b">
        <v>0</v>
      </c>
      <c r="S931" t="b">
        <v>1</v>
      </c>
      <c r="T931" t="b">
        <v>0</v>
      </c>
      <c r="V931" t="b">
        <v>0</v>
      </c>
      <c r="W931" t="b">
        <v>0</v>
      </c>
      <c r="X931" t="b">
        <v>0</v>
      </c>
      <c r="Y931" t="b">
        <v>1</v>
      </c>
      <c r="Z931" t="b">
        <v>0</v>
      </c>
      <c r="AA931" t="b">
        <v>0</v>
      </c>
      <c r="AB931" t="b">
        <v>1</v>
      </c>
      <c r="AC931" t="b">
        <v>0</v>
      </c>
      <c r="AE931" t="s">
        <v>2580</v>
      </c>
    </row>
    <row r="932" spans="1:31" x14ac:dyDescent="0.3">
      <c r="A932">
        <v>-73.97386112577</v>
      </c>
      <c r="B932">
        <v>40.773724677959997</v>
      </c>
      <c r="C932" t="s">
        <v>2581</v>
      </c>
      <c r="D932" t="s">
        <v>2255</v>
      </c>
      <c r="E932" t="s">
        <v>38</v>
      </c>
      <c r="F932">
        <v>10082018</v>
      </c>
      <c r="G932">
        <v>1</v>
      </c>
      <c r="H932" t="s">
        <v>48</v>
      </c>
      <c r="I932" t="s">
        <v>42</v>
      </c>
      <c r="J932" t="s">
        <v>59</v>
      </c>
      <c r="K932" t="s">
        <v>79</v>
      </c>
      <c r="M932" t="s">
        <v>65</v>
      </c>
      <c r="N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1</v>
      </c>
      <c r="V932" t="b">
        <v>1</v>
      </c>
      <c r="W932" t="b">
        <v>0</v>
      </c>
      <c r="X932" t="b">
        <v>0</v>
      </c>
      <c r="Y932" t="b">
        <v>0</v>
      </c>
      <c r="Z932" t="b">
        <v>1</v>
      </c>
      <c r="AA932" t="b">
        <v>0</v>
      </c>
      <c r="AB932" t="b">
        <v>0</v>
      </c>
      <c r="AC932" t="b">
        <v>1</v>
      </c>
      <c r="AE932" t="s">
        <v>2582</v>
      </c>
    </row>
    <row r="933" spans="1:31" x14ac:dyDescent="0.3">
      <c r="A933">
        <v>-73.962203008580005</v>
      </c>
      <c r="B933">
        <v>40.791772322870003</v>
      </c>
      <c r="C933" t="s">
        <v>2583</v>
      </c>
      <c r="D933" t="s">
        <v>773</v>
      </c>
      <c r="E933" t="s">
        <v>38</v>
      </c>
      <c r="F933">
        <v>10172018</v>
      </c>
      <c r="G933">
        <v>1</v>
      </c>
      <c r="H933" t="s">
        <v>48</v>
      </c>
      <c r="I933" t="s">
        <v>42</v>
      </c>
      <c r="J933" t="s">
        <v>53</v>
      </c>
      <c r="K933" t="s">
        <v>54</v>
      </c>
      <c r="M933" t="s">
        <v>44</v>
      </c>
      <c r="N933">
        <v>10</v>
      </c>
      <c r="O933" t="s">
        <v>2584</v>
      </c>
      <c r="P933" t="b">
        <v>1</v>
      </c>
      <c r="Q933" t="b">
        <v>0</v>
      </c>
      <c r="R933" t="b">
        <v>0</v>
      </c>
      <c r="S933" t="b">
        <v>0</v>
      </c>
      <c r="T933" t="b">
        <v>1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1</v>
      </c>
      <c r="AE933" t="s">
        <v>2585</v>
      </c>
    </row>
    <row r="934" spans="1:31" x14ac:dyDescent="0.3">
      <c r="A934">
        <v>-73.978594841390006</v>
      </c>
      <c r="B934">
        <v>40.771890802679998</v>
      </c>
      <c r="C934" t="s">
        <v>2586</v>
      </c>
      <c r="D934" t="s">
        <v>870</v>
      </c>
      <c r="E934" t="s">
        <v>33</v>
      </c>
      <c r="F934">
        <v>10122018</v>
      </c>
      <c r="G934">
        <v>1</v>
      </c>
      <c r="H934" t="s">
        <v>48</v>
      </c>
      <c r="I934" t="s">
        <v>53</v>
      </c>
      <c r="J934" t="s">
        <v>59</v>
      </c>
      <c r="K934" t="s">
        <v>60</v>
      </c>
      <c r="M934" t="s">
        <v>65</v>
      </c>
      <c r="N934" t="b">
        <v>0</v>
      </c>
      <c r="P934" t="b">
        <v>0</v>
      </c>
      <c r="Q934" t="b">
        <v>0</v>
      </c>
      <c r="R934" t="b">
        <v>1</v>
      </c>
      <c r="S934" t="b">
        <v>0</v>
      </c>
      <c r="T934" t="b">
        <v>1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E934" t="s">
        <v>2587</v>
      </c>
    </row>
    <row r="935" spans="1:31" x14ac:dyDescent="0.3">
      <c r="A935">
        <v>-73.971859715679997</v>
      </c>
      <c r="B935">
        <v>40.776585876330003</v>
      </c>
      <c r="C935" t="s">
        <v>2588</v>
      </c>
      <c r="D935" t="s">
        <v>604</v>
      </c>
      <c r="E935" t="s">
        <v>33</v>
      </c>
      <c r="F935">
        <v>10192018</v>
      </c>
      <c r="G935">
        <v>4</v>
      </c>
      <c r="H935" t="s">
        <v>48</v>
      </c>
      <c r="I935" t="s">
        <v>42</v>
      </c>
      <c r="K935" t="s">
        <v>43</v>
      </c>
      <c r="M935" t="s">
        <v>65</v>
      </c>
      <c r="N935" t="b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1</v>
      </c>
      <c r="AE935" t="s">
        <v>2589</v>
      </c>
    </row>
    <row r="936" spans="1:31" x14ac:dyDescent="0.3">
      <c r="A936">
        <v>-73.961620456950001</v>
      </c>
      <c r="B936">
        <v>40.79261886055</v>
      </c>
      <c r="C936" t="s">
        <v>2590</v>
      </c>
      <c r="D936" t="s">
        <v>928</v>
      </c>
      <c r="E936" t="s">
        <v>33</v>
      </c>
      <c r="F936">
        <v>10102018</v>
      </c>
      <c r="G936">
        <v>1</v>
      </c>
      <c r="H936" t="s">
        <v>48</v>
      </c>
      <c r="I936" t="s">
        <v>42</v>
      </c>
      <c r="K936" t="s">
        <v>43</v>
      </c>
      <c r="M936" t="s">
        <v>65</v>
      </c>
      <c r="N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1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1</v>
      </c>
      <c r="AC936" t="b">
        <v>0</v>
      </c>
      <c r="AE936" t="s">
        <v>2591</v>
      </c>
    </row>
    <row r="937" spans="1:31" x14ac:dyDescent="0.3">
      <c r="A937">
        <v>-73.977205378700006</v>
      </c>
      <c r="B937">
        <v>40.76639065733</v>
      </c>
      <c r="C937" t="s">
        <v>2592</v>
      </c>
      <c r="D937" t="s">
        <v>2593</v>
      </c>
      <c r="E937" t="s">
        <v>33</v>
      </c>
      <c r="F937">
        <v>10072018</v>
      </c>
      <c r="G937">
        <v>2</v>
      </c>
      <c r="H937" t="s">
        <v>48</v>
      </c>
      <c r="I937" t="s">
        <v>42</v>
      </c>
      <c r="K937" t="s">
        <v>43</v>
      </c>
      <c r="M937" t="s">
        <v>65</v>
      </c>
      <c r="N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1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E937" t="s">
        <v>2594</v>
      </c>
    </row>
    <row r="938" spans="1:31" x14ac:dyDescent="0.3">
      <c r="A938">
        <v>-73.966619511900007</v>
      </c>
      <c r="B938">
        <v>40.78392167394</v>
      </c>
      <c r="C938" t="s">
        <v>2595</v>
      </c>
      <c r="D938" t="s">
        <v>689</v>
      </c>
      <c r="E938" t="s">
        <v>33</v>
      </c>
      <c r="F938">
        <v>10062018</v>
      </c>
      <c r="G938">
        <v>10</v>
      </c>
      <c r="H938" t="s">
        <v>48</v>
      </c>
      <c r="I938" t="s">
        <v>42</v>
      </c>
      <c r="K938" t="s">
        <v>43</v>
      </c>
      <c r="M938" t="s">
        <v>44</v>
      </c>
      <c r="N938">
        <v>13</v>
      </c>
      <c r="P938" t="b">
        <v>0</v>
      </c>
      <c r="Q938" t="b">
        <v>0</v>
      </c>
      <c r="R938" t="b">
        <v>1</v>
      </c>
      <c r="S938" t="b">
        <v>0</v>
      </c>
      <c r="T938" t="b">
        <v>0</v>
      </c>
      <c r="V938" t="b">
        <v>1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E938" t="s">
        <v>2596</v>
      </c>
    </row>
    <row r="939" spans="1:31" x14ac:dyDescent="0.3">
      <c r="A939">
        <v>-73.968475824509994</v>
      </c>
      <c r="B939">
        <v>40.7858531619</v>
      </c>
      <c r="C939" t="s">
        <v>2597</v>
      </c>
      <c r="D939" t="s">
        <v>1439</v>
      </c>
      <c r="E939" t="s">
        <v>33</v>
      </c>
      <c r="F939">
        <v>10072018</v>
      </c>
      <c r="G939">
        <v>2</v>
      </c>
      <c r="H939" t="s">
        <v>48</v>
      </c>
      <c r="I939" t="s">
        <v>42</v>
      </c>
      <c r="K939" t="s">
        <v>43</v>
      </c>
      <c r="M939" t="s">
        <v>65</v>
      </c>
      <c r="N939" t="b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1</v>
      </c>
      <c r="AC939" t="b">
        <v>0</v>
      </c>
      <c r="AE939" t="s">
        <v>2598</v>
      </c>
    </row>
    <row r="940" spans="1:31" x14ac:dyDescent="0.3">
      <c r="A940">
        <v>-73.970632345880006</v>
      </c>
      <c r="B940">
        <v>40.771319603430001</v>
      </c>
      <c r="C940" t="s">
        <v>2599</v>
      </c>
      <c r="D940" t="s">
        <v>571</v>
      </c>
      <c r="E940" t="s">
        <v>33</v>
      </c>
      <c r="F940">
        <v>10072018</v>
      </c>
      <c r="G940">
        <v>3</v>
      </c>
      <c r="H940" t="s">
        <v>48</v>
      </c>
      <c r="I940" t="s">
        <v>53</v>
      </c>
      <c r="J940" t="s">
        <v>42</v>
      </c>
      <c r="K940" t="s">
        <v>89</v>
      </c>
      <c r="M940" t="s">
        <v>65</v>
      </c>
      <c r="N940" t="b">
        <v>0</v>
      </c>
      <c r="P940" t="b">
        <v>1</v>
      </c>
      <c r="Q940" t="b">
        <v>0</v>
      </c>
      <c r="R940" t="b">
        <v>1</v>
      </c>
      <c r="S940" t="b">
        <v>0</v>
      </c>
      <c r="T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1</v>
      </c>
      <c r="AC940" t="b">
        <v>0</v>
      </c>
      <c r="AE940" t="s">
        <v>2600</v>
      </c>
    </row>
    <row r="941" spans="1:31" x14ac:dyDescent="0.3">
      <c r="A941">
        <v>-73.969945119640002</v>
      </c>
      <c r="B941">
        <v>40.771040998270003</v>
      </c>
      <c r="C941" t="s">
        <v>2601</v>
      </c>
      <c r="D941" t="s">
        <v>2056</v>
      </c>
      <c r="E941" t="s">
        <v>33</v>
      </c>
      <c r="F941">
        <v>10182018</v>
      </c>
      <c r="G941">
        <v>2</v>
      </c>
      <c r="H941" t="s">
        <v>48</v>
      </c>
      <c r="I941" t="s">
        <v>42</v>
      </c>
      <c r="J941" t="s">
        <v>96</v>
      </c>
      <c r="K941" t="s">
        <v>97</v>
      </c>
      <c r="M941" t="s">
        <v>65</v>
      </c>
      <c r="N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1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1</v>
      </c>
      <c r="AC941" t="b">
        <v>0</v>
      </c>
      <c r="AE941" t="s">
        <v>2602</v>
      </c>
    </row>
    <row r="942" spans="1:31" x14ac:dyDescent="0.3">
      <c r="A942">
        <v>-73.976144779150005</v>
      </c>
      <c r="B942">
        <v>40.769014787400003</v>
      </c>
      <c r="C942" t="s">
        <v>2603</v>
      </c>
      <c r="D942" t="s">
        <v>534</v>
      </c>
      <c r="E942" t="s">
        <v>33</v>
      </c>
      <c r="F942">
        <v>10082018</v>
      </c>
      <c r="G942">
        <v>2</v>
      </c>
      <c r="H942" t="s">
        <v>48</v>
      </c>
      <c r="I942" t="s">
        <v>53</v>
      </c>
      <c r="J942" t="s">
        <v>115</v>
      </c>
      <c r="K942" t="s">
        <v>116</v>
      </c>
      <c r="M942" t="s">
        <v>65</v>
      </c>
      <c r="N942" t="b">
        <v>0</v>
      </c>
      <c r="P942" t="b">
        <v>0</v>
      </c>
      <c r="Q942" t="b">
        <v>0</v>
      </c>
      <c r="R942" t="b">
        <v>0</v>
      </c>
      <c r="S942" t="b">
        <v>1</v>
      </c>
      <c r="T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1</v>
      </c>
      <c r="AC942" t="b">
        <v>0</v>
      </c>
      <c r="AE942" t="s">
        <v>2604</v>
      </c>
    </row>
    <row r="943" spans="1:31" x14ac:dyDescent="0.3">
      <c r="A943">
        <v>-73.970087909659995</v>
      </c>
      <c r="B943">
        <v>40.776589972479997</v>
      </c>
      <c r="C943" t="s">
        <v>2605</v>
      </c>
      <c r="D943" t="s">
        <v>100</v>
      </c>
      <c r="E943" t="s">
        <v>33</v>
      </c>
      <c r="F943">
        <v>10172018</v>
      </c>
      <c r="G943">
        <v>5</v>
      </c>
      <c r="H943" t="s">
        <v>48</v>
      </c>
      <c r="I943" t="s">
        <v>42</v>
      </c>
      <c r="J943" t="s">
        <v>59</v>
      </c>
      <c r="K943" t="s">
        <v>79</v>
      </c>
      <c r="M943" t="s">
        <v>65</v>
      </c>
      <c r="N943" t="b">
        <v>0</v>
      </c>
      <c r="P943" t="b">
        <v>0</v>
      </c>
      <c r="Q943" t="b">
        <v>0</v>
      </c>
      <c r="R943" t="b">
        <v>0</v>
      </c>
      <c r="S943" t="b">
        <v>1</v>
      </c>
      <c r="T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1</v>
      </c>
      <c r="AE943" t="s">
        <v>2606</v>
      </c>
    </row>
    <row r="944" spans="1:31" x14ac:dyDescent="0.3">
      <c r="A944">
        <v>-73.971792032229999</v>
      </c>
      <c r="B944">
        <v>40.776309539369997</v>
      </c>
      <c r="C944" t="s">
        <v>2607</v>
      </c>
      <c r="D944" t="s">
        <v>415</v>
      </c>
      <c r="E944" t="s">
        <v>38</v>
      </c>
      <c r="F944">
        <v>10142018</v>
      </c>
      <c r="G944">
        <v>10</v>
      </c>
      <c r="H944" t="s">
        <v>48</v>
      </c>
      <c r="I944" t="s">
        <v>42</v>
      </c>
      <c r="J944" t="s">
        <v>53</v>
      </c>
      <c r="K944" t="s">
        <v>54</v>
      </c>
      <c r="M944" t="s">
        <v>65</v>
      </c>
      <c r="N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1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1</v>
      </c>
      <c r="AB944" t="b">
        <v>0</v>
      </c>
      <c r="AC944" t="b">
        <v>0</v>
      </c>
      <c r="AE944" t="s">
        <v>2608</v>
      </c>
    </row>
    <row r="945" spans="1:31" x14ac:dyDescent="0.3">
      <c r="A945">
        <v>-73.970258898140003</v>
      </c>
      <c r="B945">
        <v>40.776610754289997</v>
      </c>
      <c r="C945" t="s">
        <v>2609</v>
      </c>
      <c r="D945" t="s">
        <v>100</v>
      </c>
      <c r="E945" t="s">
        <v>38</v>
      </c>
      <c r="F945">
        <v>10082018</v>
      </c>
      <c r="G945">
        <v>8</v>
      </c>
      <c r="H945" t="s">
        <v>48</v>
      </c>
      <c r="I945" t="s">
        <v>42</v>
      </c>
      <c r="K945" t="s">
        <v>43</v>
      </c>
      <c r="M945" t="s">
        <v>65</v>
      </c>
      <c r="N945" t="b">
        <v>0</v>
      </c>
      <c r="P945" t="b">
        <v>1</v>
      </c>
      <c r="Q945" t="b">
        <v>1</v>
      </c>
      <c r="R945" t="b">
        <v>0</v>
      </c>
      <c r="S945" t="b">
        <v>0</v>
      </c>
      <c r="T945" t="b">
        <v>1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1</v>
      </c>
      <c r="AE945" t="s">
        <v>2610</v>
      </c>
    </row>
    <row r="946" spans="1:31" x14ac:dyDescent="0.3">
      <c r="A946">
        <v>-73.953392391799994</v>
      </c>
      <c r="B946">
        <v>40.796170187480001</v>
      </c>
      <c r="C946" t="s">
        <v>2611</v>
      </c>
      <c r="D946" t="s">
        <v>1292</v>
      </c>
      <c r="E946" t="s">
        <v>38</v>
      </c>
      <c r="F946">
        <v>10072018</v>
      </c>
      <c r="G946">
        <v>1</v>
      </c>
      <c r="H946" t="s">
        <v>48</v>
      </c>
      <c r="I946" t="s">
        <v>42</v>
      </c>
      <c r="J946" t="s">
        <v>53</v>
      </c>
      <c r="K946" t="s">
        <v>54</v>
      </c>
      <c r="M946" t="s">
        <v>44</v>
      </c>
      <c r="N946">
        <v>25</v>
      </c>
      <c r="O946" t="s">
        <v>2612</v>
      </c>
      <c r="P946" t="b">
        <v>0</v>
      </c>
      <c r="Q946" t="b">
        <v>0</v>
      </c>
      <c r="R946" t="b">
        <v>1</v>
      </c>
      <c r="S946" t="b">
        <v>1</v>
      </c>
      <c r="T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1</v>
      </c>
      <c r="AC946" t="b">
        <v>0</v>
      </c>
      <c r="AE946" t="s">
        <v>2613</v>
      </c>
    </row>
    <row r="947" spans="1:31" x14ac:dyDescent="0.3">
      <c r="A947">
        <v>-73.977309671859999</v>
      </c>
      <c r="B947">
        <v>40.773805386249997</v>
      </c>
      <c r="C947" t="s">
        <v>2614</v>
      </c>
      <c r="D947" t="s">
        <v>741</v>
      </c>
      <c r="E947" t="s">
        <v>38</v>
      </c>
      <c r="F947">
        <v>10132018</v>
      </c>
      <c r="G947">
        <v>6</v>
      </c>
      <c r="H947" t="s">
        <v>105</v>
      </c>
      <c r="I947" t="s">
        <v>42</v>
      </c>
      <c r="J947" t="s">
        <v>53</v>
      </c>
      <c r="K947" t="s">
        <v>54</v>
      </c>
      <c r="M947" t="s">
        <v>65</v>
      </c>
      <c r="N947" t="b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1</v>
      </c>
      <c r="AE947" t="s">
        <v>2615</v>
      </c>
    </row>
    <row r="948" spans="1:31" x14ac:dyDescent="0.3">
      <c r="A948">
        <v>-73.973881738819998</v>
      </c>
      <c r="B948">
        <v>40.771270936610001</v>
      </c>
      <c r="C948" t="s">
        <v>2616</v>
      </c>
      <c r="D948" t="s">
        <v>139</v>
      </c>
      <c r="E948" t="s">
        <v>38</v>
      </c>
      <c r="F948">
        <v>10062018</v>
      </c>
      <c r="G948">
        <v>1</v>
      </c>
      <c r="H948" t="s">
        <v>48</v>
      </c>
      <c r="I948" t="s">
        <v>42</v>
      </c>
      <c r="K948" t="s">
        <v>43</v>
      </c>
      <c r="M948" t="s">
        <v>65</v>
      </c>
      <c r="N948" t="b">
        <v>0</v>
      </c>
      <c r="O948" t="s">
        <v>140</v>
      </c>
      <c r="P948" t="b">
        <v>0</v>
      </c>
      <c r="Q948" t="b">
        <v>0</v>
      </c>
      <c r="R948" t="b">
        <v>0</v>
      </c>
      <c r="S948" t="b">
        <v>1</v>
      </c>
      <c r="T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E948" t="s">
        <v>2617</v>
      </c>
    </row>
    <row r="949" spans="1:31" x14ac:dyDescent="0.3">
      <c r="A949">
        <v>-73.953283833840004</v>
      </c>
      <c r="B949">
        <v>40.793111267459999</v>
      </c>
      <c r="C949" t="s">
        <v>2618</v>
      </c>
      <c r="D949" t="s">
        <v>863</v>
      </c>
      <c r="E949" t="s">
        <v>38</v>
      </c>
      <c r="F949">
        <v>10182018</v>
      </c>
      <c r="G949">
        <v>1</v>
      </c>
      <c r="H949" t="s">
        <v>48</v>
      </c>
      <c r="I949" t="s">
        <v>42</v>
      </c>
      <c r="K949" t="s">
        <v>43</v>
      </c>
      <c r="M949" t="s">
        <v>65</v>
      </c>
      <c r="N949" t="b">
        <v>0</v>
      </c>
      <c r="O949" t="s">
        <v>2619</v>
      </c>
      <c r="P949" t="b">
        <v>0</v>
      </c>
      <c r="Q949" t="b">
        <v>0</v>
      </c>
      <c r="R949" t="b">
        <v>0</v>
      </c>
      <c r="S949" t="b">
        <v>0</v>
      </c>
      <c r="T949" t="b">
        <v>1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1</v>
      </c>
      <c r="AC949" t="b">
        <v>0</v>
      </c>
      <c r="AE949" t="s">
        <v>2620</v>
      </c>
    </row>
    <row r="950" spans="1:31" x14ac:dyDescent="0.3">
      <c r="A950">
        <v>-73.965409384400004</v>
      </c>
      <c r="B950">
        <v>40.780689636849999</v>
      </c>
      <c r="C950" t="s">
        <v>2621</v>
      </c>
      <c r="D950" t="s">
        <v>564</v>
      </c>
      <c r="E950" t="s">
        <v>33</v>
      </c>
      <c r="F950">
        <v>10072018</v>
      </c>
      <c r="G950">
        <v>9</v>
      </c>
      <c r="H950" t="s">
        <v>48</v>
      </c>
      <c r="I950" t="s">
        <v>53</v>
      </c>
      <c r="J950" t="s">
        <v>42</v>
      </c>
      <c r="K950" t="s">
        <v>89</v>
      </c>
      <c r="M950" t="s">
        <v>65</v>
      </c>
      <c r="N950" t="b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1</v>
      </c>
      <c r="AB950" t="b">
        <v>0</v>
      </c>
      <c r="AC950" t="b">
        <v>0</v>
      </c>
      <c r="AE950" t="s">
        <v>2622</v>
      </c>
    </row>
    <row r="951" spans="1:31" x14ac:dyDescent="0.3">
      <c r="A951">
        <v>-73.973654379059994</v>
      </c>
      <c r="B951">
        <v>40.765144418840002</v>
      </c>
      <c r="C951" t="s">
        <v>2623</v>
      </c>
      <c r="D951" t="s">
        <v>1093</v>
      </c>
      <c r="E951" t="s">
        <v>38</v>
      </c>
      <c r="F951">
        <v>10122018</v>
      </c>
      <c r="G951">
        <v>2</v>
      </c>
      <c r="H951" t="s">
        <v>48</v>
      </c>
      <c r="I951" t="s">
        <v>42</v>
      </c>
      <c r="J951" t="s">
        <v>96</v>
      </c>
      <c r="K951" t="s">
        <v>97</v>
      </c>
      <c r="M951" t="s">
        <v>65</v>
      </c>
      <c r="N951" t="b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E951" t="s">
        <v>2624</v>
      </c>
    </row>
    <row r="952" spans="1:31" x14ac:dyDescent="0.3">
      <c r="A952">
        <v>-73.956814387120005</v>
      </c>
      <c r="B952">
        <v>40.789900170000003</v>
      </c>
      <c r="C952" t="s">
        <v>2625</v>
      </c>
      <c r="D952" t="s">
        <v>530</v>
      </c>
      <c r="E952" t="s">
        <v>38</v>
      </c>
      <c r="F952">
        <v>10102018</v>
      </c>
      <c r="G952">
        <v>1</v>
      </c>
      <c r="H952" t="s">
        <v>48</v>
      </c>
      <c r="I952" t="s">
        <v>42</v>
      </c>
      <c r="K952" t="s">
        <v>43</v>
      </c>
      <c r="M952" t="s">
        <v>65</v>
      </c>
      <c r="N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1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1</v>
      </c>
      <c r="AC952" t="b">
        <v>0</v>
      </c>
      <c r="AE952" t="s">
        <v>2626</v>
      </c>
    </row>
    <row r="953" spans="1:31" x14ac:dyDescent="0.3">
      <c r="A953">
        <v>-73.97015962687</v>
      </c>
      <c r="B953">
        <v>40.770210660730001</v>
      </c>
      <c r="C953" t="s">
        <v>2627</v>
      </c>
      <c r="D953" t="s">
        <v>183</v>
      </c>
      <c r="E953" t="s">
        <v>33</v>
      </c>
      <c r="F953">
        <v>10142018</v>
      </c>
      <c r="G953">
        <v>9</v>
      </c>
      <c r="H953" t="s">
        <v>48</v>
      </c>
      <c r="I953" t="s">
        <v>42</v>
      </c>
      <c r="J953" t="s">
        <v>53</v>
      </c>
      <c r="K953" t="s">
        <v>54</v>
      </c>
      <c r="M953" t="s">
        <v>65</v>
      </c>
      <c r="N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1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1</v>
      </c>
      <c r="AC953" t="b">
        <v>0</v>
      </c>
      <c r="AE953" t="s">
        <v>2628</v>
      </c>
    </row>
    <row r="954" spans="1:31" x14ac:dyDescent="0.3">
      <c r="A954">
        <v>-73.963741589319994</v>
      </c>
      <c r="B954">
        <v>40.789814036350002</v>
      </c>
      <c r="C954" t="s">
        <v>2629</v>
      </c>
      <c r="D954" t="s">
        <v>1133</v>
      </c>
      <c r="E954" t="s">
        <v>38</v>
      </c>
      <c r="F954">
        <v>10072018</v>
      </c>
      <c r="G954">
        <v>1</v>
      </c>
      <c r="H954" t="s">
        <v>48</v>
      </c>
      <c r="I954" t="s">
        <v>42</v>
      </c>
      <c r="K954" t="s">
        <v>43</v>
      </c>
      <c r="M954" t="s">
        <v>65</v>
      </c>
      <c r="N954" t="b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E954" t="s">
        <v>2630</v>
      </c>
    </row>
    <row r="955" spans="1:31" x14ac:dyDescent="0.3">
      <c r="A955">
        <v>-73.971791854879996</v>
      </c>
      <c r="B955">
        <v>40.780297172979999</v>
      </c>
      <c r="C955" t="s">
        <v>2631</v>
      </c>
      <c r="D955" t="s">
        <v>2418</v>
      </c>
      <c r="E955" t="s">
        <v>33</v>
      </c>
      <c r="F955">
        <v>10122018</v>
      </c>
      <c r="G955">
        <v>1</v>
      </c>
      <c r="H955" t="s">
        <v>48</v>
      </c>
      <c r="I955" t="s">
        <v>42</v>
      </c>
      <c r="K955" t="s">
        <v>43</v>
      </c>
      <c r="M955" t="s">
        <v>44</v>
      </c>
      <c r="N955">
        <v>2</v>
      </c>
      <c r="O955" t="s">
        <v>2632</v>
      </c>
      <c r="P955" t="b">
        <v>1</v>
      </c>
      <c r="Q955" t="b">
        <v>0</v>
      </c>
      <c r="R955" t="b">
        <v>0</v>
      </c>
      <c r="S955" t="b">
        <v>0</v>
      </c>
      <c r="T955" t="b">
        <v>1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1</v>
      </c>
      <c r="AE955" t="s">
        <v>2633</v>
      </c>
    </row>
    <row r="956" spans="1:31" x14ac:dyDescent="0.3">
      <c r="A956">
        <v>-73.969976366780003</v>
      </c>
      <c r="B956">
        <v>40.775706073099997</v>
      </c>
      <c r="C956" t="s">
        <v>2634</v>
      </c>
      <c r="D956" t="s">
        <v>52</v>
      </c>
      <c r="E956" t="s">
        <v>33</v>
      </c>
      <c r="F956">
        <v>10082018</v>
      </c>
      <c r="G956">
        <v>11</v>
      </c>
      <c r="H956" t="s">
        <v>48</v>
      </c>
      <c r="I956" t="s">
        <v>42</v>
      </c>
      <c r="J956" t="s">
        <v>59</v>
      </c>
      <c r="K956" t="s">
        <v>79</v>
      </c>
      <c r="M956" t="s">
        <v>65</v>
      </c>
      <c r="N956" t="b">
        <v>0</v>
      </c>
      <c r="P956" t="b">
        <v>0</v>
      </c>
      <c r="Q956" t="b">
        <v>0</v>
      </c>
      <c r="R956" t="b">
        <v>0</v>
      </c>
      <c r="S956" t="b">
        <v>1</v>
      </c>
      <c r="T956" t="b">
        <v>1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1</v>
      </c>
      <c r="AC956" t="b">
        <v>0</v>
      </c>
      <c r="AE956" t="s">
        <v>2635</v>
      </c>
    </row>
    <row r="957" spans="1:31" x14ac:dyDescent="0.3">
      <c r="A957">
        <v>-73.954795927000006</v>
      </c>
      <c r="B957">
        <v>40.792516292629998</v>
      </c>
      <c r="C957" t="s">
        <v>2636</v>
      </c>
      <c r="D957" t="s">
        <v>63</v>
      </c>
      <c r="E957" t="s">
        <v>33</v>
      </c>
      <c r="F957">
        <v>10082018</v>
      </c>
      <c r="G957">
        <v>1</v>
      </c>
      <c r="H957" t="s">
        <v>48</v>
      </c>
      <c r="I957" t="s">
        <v>42</v>
      </c>
      <c r="J957" t="s">
        <v>59</v>
      </c>
      <c r="K957" t="s">
        <v>79</v>
      </c>
      <c r="L957" t="s">
        <v>2637</v>
      </c>
      <c r="M957" t="s">
        <v>44</v>
      </c>
      <c r="N957">
        <v>20</v>
      </c>
      <c r="P957" t="b">
        <v>1</v>
      </c>
      <c r="Q957" t="b">
        <v>0</v>
      </c>
      <c r="R957" t="b">
        <v>1</v>
      </c>
      <c r="S957" t="b">
        <v>0</v>
      </c>
      <c r="T957" t="b">
        <v>1</v>
      </c>
      <c r="V957" t="b">
        <v>1</v>
      </c>
      <c r="W957" t="b">
        <v>1</v>
      </c>
      <c r="X957" t="b">
        <v>0</v>
      </c>
      <c r="Y957" t="b">
        <v>0</v>
      </c>
      <c r="Z957" t="b">
        <v>0</v>
      </c>
      <c r="AA957" t="b">
        <v>0</v>
      </c>
      <c r="AB957" t="b">
        <v>1</v>
      </c>
      <c r="AC957" t="b">
        <v>0</v>
      </c>
      <c r="AE957" t="s">
        <v>2638</v>
      </c>
    </row>
    <row r="958" spans="1:31" x14ac:dyDescent="0.3">
      <c r="A958">
        <v>-73.965844354880005</v>
      </c>
      <c r="B958">
        <v>40.779670489899999</v>
      </c>
      <c r="C958" t="s">
        <v>2639</v>
      </c>
      <c r="D958" t="s">
        <v>1032</v>
      </c>
      <c r="E958" t="s">
        <v>38</v>
      </c>
      <c r="F958">
        <v>10072018</v>
      </c>
      <c r="G958">
        <v>3</v>
      </c>
      <c r="H958" t="s">
        <v>105</v>
      </c>
      <c r="I958" t="s">
        <v>53</v>
      </c>
      <c r="K958" t="s">
        <v>155</v>
      </c>
      <c r="M958" t="s">
        <v>65</v>
      </c>
      <c r="N958" t="b">
        <v>0</v>
      </c>
      <c r="P958" t="b">
        <v>0</v>
      </c>
      <c r="Q958" t="b">
        <v>0</v>
      </c>
      <c r="R958" t="b">
        <v>0</v>
      </c>
      <c r="S958" t="b">
        <v>1</v>
      </c>
      <c r="T958" t="b">
        <v>1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s">
        <v>2640</v>
      </c>
      <c r="AE958" t="s">
        <v>2641</v>
      </c>
    </row>
    <row r="959" spans="1:31" x14ac:dyDescent="0.3">
      <c r="A959">
        <v>-73.960657061559999</v>
      </c>
      <c r="B959">
        <v>40.795615074410001</v>
      </c>
      <c r="C959" t="s">
        <v>2642</v>
      </c>
      <c r="D959" t="s">
        <v>372</v>
      </c>
      <c r="E959" t="s">
        <v>33</v>
      </c>
      <c r="F959">
        <v>10132018</v>
      </c>
      <c r="G959">
        <v>8</v>
      </c>
      <c r="I959" t="s">
        <v>42</v>
      </c>
      <c r="K959" t="s">
        <v>43</v>
      </c>
      <c r="M959" t="s">
        <v>65</v>
      </c>
      <c r="N959" t="b">
        <v>0</v>
      </c>
      <c r="O959" t="s">
        <v>373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s">
        <v>2643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1</v>
      </c>
      <c r="AE959" t="s">
        <v>2644</v>
      </c>
    </row>
    <row r="960" spans="1:31" x14ac:dyDescent="0.3">
      <c r="A960">
        <v>-73.958117373090005</v>
      </c>
      <c r="B960">
        <v>40.795477217049999</v>
      </c>
      <c r="C960" t="s">
        <v>2645</v>
      </c>
      <c r="D960" t="s">
        <v>390</v>
      </c>
      <c r="E960" t="s">
        <v>33</v>
      </c>
      <c r="F960">
        <v>10142018</v>
      </c>
      <c r="G960">
        <v>8</v>
      </c>
      <c r="H960" t="s">
        <v>48</v>
      </c>
      <c r="I960" t="s">
        <v>42</v>
      </c>
      <c r="J960" t="s">
        <v>53</v>
      </c>
      <c r="K960" t="s">
        <v>54</v>
      </c>
      <c r="M960" t="s">
        <v>65</v>
      </c>
      <c r="N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1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1</v>
      </c>
      <c r="AE960" t="s">
        <v>2646</v>
      </c>
    </row>
    <row r="961" spans="1:31" x14ac:dyDescent="0.3">
      <c r="A961">
        <v>-73.958652772180002</v>
      </c>
      <c r="B961">
        <v>40.790883111059998</v>
      </c>
      <c r="C961" t="s">
        <v>2647</v>
      </c>
      <c r="D961" t="s">
        <v>124</v>
      </c>
      <c r="E961" t="s">
        <v>33</v>
      </c>
      <c r="F961">
        <v>10082018</v>
      </c>
      <c r="G961">
        <v>8</v>
      </c>
      <c r="H961" t="s">
        <v>48</v>
      </c>
      <c r="I961" t="s">
        <v>42</v>
      </c>
      <c r="J961" t="s">
        <v>59</v>
      </c>
      <c r="K961" t="s">
        <v>79</v>
      </c>
      <c r="M961" t="s">
        <v>65</v>
      </c>
      <c r="N961" t="b">
        <v>0</v>
      </c>
      <c r="P961" t="b">
        <v>1</v>
      </c>
      <c r="Q961" t="b">
        <v>1</v>
      </c>
      <c r="R961" t="b">
        <v>0</v>
      </c>
      <c r="S961" t="b">
        <v>0</v>
      </c>
      <c r="T961" t="b">
        <v>1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1</v>
      </c>
      <c r="AC961" t="b">
        <v>0</v>
      </c>
      <c r="AE961" t="s">
        <v>2648</v>
      </c>
    </row>
    <row r="962" spans="1:31" x14ac:dyDescent="0.3">
      <c r="A962">
        <v>-73.961386225129999</v>
      </c>
      <c r="B962">
        <v>40.791282169719999</v>
      </c>
      <c r="C962" t="s">
        <v>2649</v>
      </c>
      <c r="D962" t="s">
        <v>607</v>
      </c>
      <c r="E962" t="s">
        <v>38</v>
      </c>
      <c r="F962">
        <v>10142018</v>
      </c>
      <c r="G962">
        <v>3</v>
      </c>
      <c r="H962" t="s">
        <v>48</v>
      </c>
      <c r="I962" t="s">
        <v>42</v>
      </c>
      <c r="K962" t="s">
        <v>43</v>
      </c>
      <c r="M962" t="s">
        <v>44</v>
      </c>
      <c r="N962">
        <v>3</v>
      </c>
      <c r="P962" t="b">
        <v>0</v>
      </c>
      <c r="Q962" t="b">
        <v>1</v>
      </c>
      <c r="R962" t="b">
        <v>1</v>
      </c>
      <c r="S962" t="b">
        <v>0</v>
      </c>
      <c r="T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E962" t="s">
        <v>2650</v>
      </c>
    </row>
    <row r="963" spans="1:31" x14ac:dyDescent="0.3">
      <c r="A963">
        <v>-73.974613305809996</v>
      </c>
      <c r="B963">
        <v>40.776064655410003</v>
      </c>
      <c r="C963" t="s">
        <v>2651</v>
      </c>
      <c r="D963" t="s">
        <v>41</v>
      </c>
      <c r="E963" t="s">
        <v>33</v>
      </c>
      <c r="F963">
        <v>10142018</v>
      </c>
      <c r="G963">
        <v>4</v>
      </c>
      <c r="I963" t="s">
        <v>42</v>
      </c>
      <c r="K963" t="s">
        <v>43</v>
      </c>
      <c r="M963" t="s">
        <v>65</v>
      </c>
      <c r="N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1</v>
      </c>
      <c r="U963" t="s">
        <v>685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E963" t="s">
        <v>2652</v>
      </c>
    </row>
    <row r="964" spans="1:31" x14ac:dyDescent="0.3">
      <c r="A964">
        <v>-73.962392277389995</v>
      </c>
      <c r="B964">
        <v>40.781494442830002</v>
      </c>
      <c r="C964" t="s">
        <v>2653</v>
      </c>
      <c r="D964" t="s">
        <v>2654</v>
      </c>
      <c r="E964" t="s">
        <v>33</v>
      </c>
      <c r="F964">
        <v>10072018</v>
      </c>
      <c r="G964">
        <v>4</v>
      </c>
      <c r="H964" t="s">
        <v>48</v>
      </c>
      <c r="I964" t="s">
        <v>53</v>
      </c>
      <c r="J964" t="s">
        <v>42</v>
      </c>
      <c r="K964" t="s">
        <v>89</v>
      </c>
      <c r="M964" t="s">
        <v>65</v>
      </c>
      <c r="N964" t="b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E964" t="s">
        <v>2655</v>
      </c>
    </row>
    <row r="965" spans="1:31" x14ac:dyDescent="0.3">
      <c r="A965">
        <v>-73.973145710289998</v>
      </c>
      <c r="B965">
        <v>40.766025539319998</v>
      </c>
      <c r="C965" t="s">
        <v>2656</v>
      </c>
      <c r="D965" t="s">
        <v>767</v>
      </c>
      <c r="E965" t="s">
        <v>38</v>
      </c>
      <c r="F965">
        <v>10062018</v>
      </c>
      <c r="G965">
        <v>3</v>
      </c>
      <c r="H965" t="s">
        <v>48</v>
      </c>
      <c r="I965" t="s">
        <v>42</v>
      </c>
      <c r="J965" t="s">
        <v>96</v>
      </c>
      <c r="K965" t="s">
        <v>97</v>
      </c>
      <c r="M965" t="s">
        <v>65</v>
      </c>
      <c r="N965" t="b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1</v>
      </c>
      <c r="AC965" t="b">
        <v>0</v>
      </c>
      <c r="AE965" t="s">
        <v>2657</v>
      </c>
    </row>
    <row r="966" spans="1:31" x14ac:dyDescent="0.3">
      <c r="A966">
        <v>-73.971546685030006</v>
      </c>
      <c r="B966">
        <v>40.769558493349997</v>
      </c>
      <c r="C966" t="s">
        <v>2658</v>
      </c>
      <c r="D966" t="s">
        <v>539</v>
      </c>
      <c r="E966" t="s">
        <v>33</v>
      </c>
      <c r="F966">
        <v>10202018</v>
      </c>
      <c r="G966">
        <v>3</v>
      </c>
      <c r="H966" t="s">
        <v>48</v>
      </c>
      <c r="I966" t="s">
        <v>42</v>
      </c>
      <c r="J966" t="s">
        <v>53</v>
      </c>
      <c r="K966" t="s">
        <v>54</v>
      </c>
      <c r="L966" t="s">
        <v>1012</v>
      </c>
      <c r="M966" t="s">
        <v>65</v>
      </c>
      <c r="N966" t="b">
        <v>0</v>
      </c>
      <c r="P966" t="b">
        <v>0</v>
      </c>
      <c r="Q966" t="b">
        <v>0</v>
      </c>
      <c r="R966" t="b">
        <v>0</v>
      </c>
      <c r="S966" t="b">
        <v>1</v>
      </c>
      <c r="T966" t="b">
        <v>1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1</v>
      </c>
      <c r="AD966" t="s">
        <v>2659</v>
      </c>
      <c r="AE966" t="s">
        <v>2660</v>
      </c>
    </row>
    <row r="967" spans="1:31" x14ac:dyDescent="0.3">
      <c r="A967">
        <v>-73.962106671889998</v>
      </c>
      <c r="B967">
        <v>40.79424270797</v>
      </c>
      <c r="C967" t="s">
        <v>2661</v>
      </c>
      <c r="D967" t="s">
        <v>2662</v>
      </c>
      <c r="E967" t="s">
        <v>38</v>
      </c>
      <c r="F967">
        <v>10122018</v>
      </c>
      <c r="G967">
        <v>3</v>
      </c>
      <c r="H967" t="s">
        <v>48</v>
      </c>
      <c r="I967" t="s">
        <v>42</v>
      </c>
      <c r="K967" t="s">
        <v>43</v>
      </c>
      <c r="M967" t="s">
        <v>65</v>
      </c>
      <c r="N967" t="b">
        <v>0</v>
      </c>
      <c r="P967" t="b">
        <v>1</v>
      </c>
      <c r="Q967" t="b">
        <v>0</v>
      </c>
      <c r="R967" t="b">
        <v>0</v>
      </c>
      <c r="S967" t="b">
        <v>1</v>
      </c>
      <c r="T967" t="b">
        <v>1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1</v>
      </c>
      <c r="AE967" t="s">
        <v>2663</v>
      </c>
    </row>
    <row r="968" spans="1:31" x14ac:dyDescent="0.3">
      <c r="A968">
        <v>-73.963104549980002</v>
      </c>
      <c r="B968">
        <v>40.790618096949999</v>
      </c>
      <c r="C968" t="s">
        <v>2664</v>
      </c>
      <c r="D968" t="s">
        <v>908</v>
      </c>
      <c r="E968" t="s">
        <v>33</v>
      </c>
      <c r="F968">
        <v>10192018</v>
      </c>
      <c r="G968">
        <v>4</v>
      </c>
      <c r="H968" t="s">
        <v>48</v>
      </c>
      <c r="I968" t="s">
        <v>42</v>
      </c>
      <c r="J968" t="s">
        <v>96</v>
      </c>
      <c r="K968" t="s">
        <v>97</v>
      </c>
      <c r="M968" t="s">
        <v>65</v>
      </c>
      <c r="N968" t="b">
        <v>0</v>
      </c>
      <c r="P968" t="b">
        <v>1</v>
      </c>
      <c r="Q968" t="b">
        <v>0</v>
      </c>
      <c r="R968" t="b">
        <v>1</v>
      </c>
      <c r="S968" t="b">
        <v>1</v>
      </c>
      <c r="T968" t="b">
        <v>1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1</v>
      </c>
      <c r="AE968" t="s">
        <v>2665</v>
      </c>
    </row>
    <row r="969" spans="1:31" x14ac:dyDescent="0.3">
      <c r="A969">
        <v>-73.970830107089995</v>
      </c>
      <c r="B969">
        <v>40.782020092750003</v>
      </c>
      <c r="C969" t="s">
        <v>2666</v>
      </c>
      <c r="D969" t="s">
        <v>2667</v>
      </c>
      <c r="E969" t="s">
        <v>33</v>
      </c>
      <c r="F969">
        <v>10132018</v>
      </c>
      <c r="G969">
        <v>1</v>
      </c>
      <c r="H969" t="s">
        <v>48</v>
      </c>
      <c r="I969" t="s">
        <v>42</v>
      </c>
      <c r="J969" t="s">
        <v>59</v>
      </c>
      <c r="K969" t="s">
        <v>79</v>
      </c>
      <c r="M969" t="s">
        <v>65</v>
      </c>
      <c r="N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1</v>
      </c>
      <c r="U969" t="s">
        <v>2668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1</v>
      </c>
      <c r="AC969" t="b">
        <v>0</v>
      </c>
      <c r="AE969" t="s">
        <v>2669</v>
      </c>
    </row>
    <row r="970" spans="1:31" x14ac:dyDescent="0.3">
      <c r="A970">
        <v>-73.958317581800003</v>
      </c>
      <c r="B970">
        <v>40.791656668320002</v>
      </c>
      <c r="C970" t="s">
        <v>2670</v>
      </c>
      <c r="D970" t="s">
        <v>1211</v>
      </c>
      <c r="E970" t="s">
        <v>38</v>
      </c>
      <c r="F970">
        <v>10142018</v>
      </c>
      <c r="G970">
        <v>12</v>
      </c>
      <c r="H970" t="s">
        <v>48</v>
      </c>
      <c r="I970" t="s">
        <v>42</v>
      </c>
      <c r="J970" t="s">
        <v>59</v>
      </c>
      <c r="K970" t="s">
        <v>79</v>
      </c>
      <c r="M970" t="s">
        <v>44</v>
      </c>
      <c r="N970">
        <v>15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s">
        <v>2671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s">
        <v>2672</v>
      </c>
      <c r="AE970" t="s">
        <v>2673</v>
      </c>
    </row>
    <row r="971" spans="1:31" x14ac:dyDescent="0.3">
      <c r="A971">
        <v>-73.968399406469999</v>
      </c>
      <c r="B971">
        <v>40.771076550079997</v>
      </c>
      <c r="C971" t="s">
        <v>2674</v>
      </c>
      <c r="D971" t="s">
        <v>1780</v>
      </c>
      <c r="E971" t="s">
        <v>38</v>
      </c>
      <c r="F971">
        <v>10142018</v>
      </c>
      <c r="G971">
        <v>6</v>
      </c>
      <c r="H971" t="s">
        <v>48</v>
      </c>
      <c r="I971" t="s">
        <v>53</v>
      </c>
      <c r="J971" t="s">
        <v>59</v>
      </c>
      <c r="K971" t="s">
        <v>60</v>
      </c>
      <c r="M971" t="s">
        <v>65</v>
      </c>
      <c r="N971" t="b">
        <v>0</v>
      </c>
      <c r="P971" t="b">
        <v>0</v>
      </c>
      <c r="Q971" t="b">
        <v>0</v>
      </c>
      <c r="R971" t="b">
        <v>1</v>
      </c>
      <c r="S971" t="b">
        <v>0</v>
      </c>
      <c r="T971" t="b">
        <v>1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1</v>
      </c>
      <c r="AC971" t="b">
        <v>0</v>
      </c>
      <c r="AE971" t="s">
        <v>2675</v>
      </c>
    </row>
    <row r="972" spans="1:31" x14ac:dyDescent="0.3">
      <c r="A972">
        <v>-73.968978184389996</v>
      </c>
      <c r="B972">
        <v>40.770933383379997</v>
      </c>
      <c r="C972" t="s">
        <v>2676</v>
      </c>
      <c r="D972" t="s">
        <v>1780</v>
      </c>
      <c r="E972" t="s">
        <v>33</v>
      </c>
      <c r="F972">
        <v>10102018</v>
      </c>
      <c r="G972">
        <v>4</v>
      </c>
      <c r="H972" t="s">
        <v>48</v>
      </c>
      <c r="I972" t="s">
        <v>53</v>
      </c>
      <c r="J972" t="s">
        <v>42</v>
      </c>
      <c r="K972" t="s">
        <v>89</v>
      </c>
      <c r="M972" t="s">
        <v>65</v>
      </c>
      <c r="N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1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1</v>
      </c>
      <c r="AE972" t="s">
        <v>2677</v>
      </c>
    </row>
    <row r="973" spans="1:31" x14ac:dyDescent="0.3">
      <c r="A973">
        <v>-73.977352936849996</v>
      </c>
      <c r="B973">
        <v>40.772875068570002</v>
      </c>
      <c r="C973" t="s">
        <v>2678</v>
      </c>
      <c r="D973" t="s">
        <v>439</v>
      </c>
      <c r="E973" t="s">
        <v>38</v>
      </c>
      <c r="F973">
        <v>10082018</v>
      </c>
      <c r="G973">
        <v>12</v>
      </c>
      <c r="H973" t="s">
        <v>48</v>
      </c>
      <c r="I973" t="s">
        <v>42</v>
      </c>
      <c r="K973" t="s">
        <v>43</v>
      </c>
      <c r="M973" t="s">
        <v>65</v>
      </c>
      <c r="N973" t="b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1</v>
      </c>
      <c r="AC973" t="b">
        <v>0</v>
      </c>
      <c r="AE973" t="s">
        <v>2679</v>
      </c>
    </row>
    <row r="974" spans="1:31" x14ac:dyDescent="0.3">
      <c r="A974">
        <v>-73.970357676229995</v>
      </c>
      <c r="B974">
        <v>40.771403648769997</v>
      </c>
      <c r="C974" t="s">
        <v>2680</v>
      </c>
      <c r="D974" t="s">
        <v>2056</v>
      </c>
      <c r="E974" t="s">
        <v>33</v>
      </c>
      <c r="F974">
        <v>10182018</v>
      </c>
      <c r="G974">
        <v>9</v>
      </c>
      <c r="H974" t="s">
        <v>48</v>
      </c>
      <c r="I974" t="s">
        <v>42</v>
      </c>
      <c r="K974" t="s">
        <v>43</v>
      </c>
      <c r="M974" t="s">
        <v>65</v>
      </c>
      <c r="N974" t="b">
        <v>0</v>
      </c>
      <c r="P974" t="b">
        <v>0</v>
      </c>
      <c r="Q974" t="b">
        <v>0</v>
      </c>
      <c r="R974" t="b">
        <v>0</v>
      </c>
      <c r="S974" t="b">
        <v>1</v>
      </c>
      <c r="T974" t="b">
        <v>1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E974" t="s">
        <v>2681</v>
      </c>
    </row>
    <row r="975" spans="1:31" x14ac:dyDescent="0.3">
      <c r="A975">
        <v>-73.978392591149998</v>
      </c>
      <c r="B975">
        <v>40.76689933982</v>
      </c>
      <c r="C975" t="s">
        <v>2682</v>
      </c>
      <c r="D975" t="s">
        <v>1278</v>
      </c>
      <c r="E975" t="s">
        <v>33</v>
      </c>
      <c r="F975">
        <v>10072018</v>
      </c>
      <c r="G975">
        <v>4</v>
      </c>
      <c r="H975" t="s">
        <v>48</v>
      </c>
      <c r="I975" t="s">
        <v>53</v>
      </c>
      <c r="J975" t="s">
        <v>42</v>
      </c>
      <c r="K975" t="s">
        <v>89</v>
      </c>
      <c r="M975" t="s">
        <v>65</v>
      </c>
      <c r="N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1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1</v>
      </c>
      <c r="AC975" t="b">
        <v>0</v>
      </c>
      <c r="AE975" t="s">
        <v>2683</v>
      </c>
    </row>
    <row r="976" spans="1:31" x14ac:dyDescent="0.3">
      <c r="A976">
        <v>-73.970459109169994</v>
      </c>
      <c r="B976">
        <v>40.772917514340001</v>
      </c>
      <c r="C976" t="s">
        <v>2684</v>
      </c>
      <c r="D976" t="s">
        <v>600</v>
      </c>
      <c r="E976" t="s">
        <v>38</v>
      </c>
      <c r="F976">
        <v>10062018</v>
      </c>
      <c r="G976">
        <v>2</v>
      </c>
      <c r="H976" t="s">
        <v>48</v>
      </c>
      <c r="I976" t="s">
        <v>42</v>
      </c>
      <c r="J976" t="s">
        <v>53</v>
      </c>
      <c r="K976" t="s">
        <v>54</v>
      </c>
      <c r="L976" t="s">
        <v>2685</v>
      </c>
      <c r="M976" t="s">
        <v>65</v>
      </c>
      <c r="N976" t="b">
        <v>0</v>
      </c>
      <c r="P976" t="b">
        <v>1</v>
      </c>
      <c r="Q976" t="b">
        <v>0</v>
      </c>
      <c r="R976" t="b">
        <v>0</v>
      </c>
      <c r="S976" t="b">
        <v>0</v>
      </c>
      <c r="T976" t="b">
        <v>1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1</v>
      </c>
      <c r="AE976" t="s">
        <v>2686</v>
      </c>
    </row>
    <row r="977" spans="1:31" x14ac:dyDescent="0.3">
      <c r="A977">
        <v>-73.970597705990002</v>
      </c>
      <c r="B977">
        <v>40.77604131823</v>
      </c>
      <c r="C977" t="s">
        <v>2687</v>
      </c>
      <c r="D977" t="s">
        <v>52</v>
      </c>
      <c r="E977" t="s">
        <v>38</v>
      </c>
      <c r="F977">
        <v>10172018</v>
      </c>
      <c r="G977">
        <v>9</v>
      </c>
      <c r="H977" t="s">
        <v>48</v>
      </c>
      <c r="I977" t="s">
        <v>42</v>
      </c>
      <c r="K977" t="s">
        <v>43</v>
      </c>
      <c r="M977" t="s">
        <v>65</v>
      </c>
      <c r="N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1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E977" t="s">
        <v>2688</v>
      </c>
    </row>
    <row r="978" spans="1:31" x14ac:dyDescent="0.3">
      <c r="A978">
        <v>-73.974038119409997</v>
      </c>
      <c r="B978">
        <v>40.767591258819998</v>
      </c>
      <c r="C978" t="s">
        <v>2689</v>
      </c>
      <c r="D978" t="s">
        <v>642</v>
      </c>
      <c r="E978" t="s">
        <v>33</v>
      </c>
      <c r="F978">
        <v>10072018</v>
      </c>
      <c r="G978">
        <v>1</v>
      </c>
      <c r="H978" t="s">
        <v>48</v>
      </c>
      <c r="I978" t="s">
        <v>42</v>
      </c>
      <c r="J978" t="s">
        <v>96</v>
      </c>
      <c r="K978" t="s">
        <v>97</v>
      </c>
      <c r="M978" t="s">
        <v>65</v>
      </c>
      <c r="N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1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1</v>
      </c>
      <c r="AC978" t="b">
        <v>0</v>
      </c>
      <c r="AE978" t="s">
        <v>2690</v>
      </c>
    </row>
    <row r="979" spans="1:31" x14ac:dyDescent="0.3">
      <c r="A979">
        <v>-73.976460188290005</v>
      </c>
      <c r="B979">
        <v>40.766070446640001</v>
      </c>
      <c r="C979" t="s">
        <v>2691</v>
      </c>
      <c r="D979" t="s">
        <v>1859</v>
      </c>
      <c r="E979" t="s">
        <v>38</v>
      </c>
      <c r="F979">
        <v>10102018</v>
      </c>
      <c r="G979">
        <v>5</v>
      </c>
      <c r="H979" t="s">
        <v>48</v>
      </c>
      <c r="I979" t="s">
        <v>42</v>
      </c>
      <c r="K979" t="s">
        <v>43</v>
      </c>
      <c r="M979" t="s">
        <v>65</v>
      </c>
      <c r="N979" t="b">
        <v>0</v>
      </c>
      <c r="P979" t="b">
        <v>0</v>
      </c>
      <c r="Q979" t="b">
        <v>0</v>
      </c>
      <c r="R979" t="b">
        <v>0</v>
      </c>
      <c r="S979" t="b">
        <v>1</v>
      </c>
      <c r="T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1</v>
      </c>
      <c r="AC979" t="b">
        <v>0</v>
      </c>
      <c r="AE979" t="s">
        <v>2692</v>
      </c>
    </row>
    <row r="980" spans="1:31" x14ac:dyDescent="0.3">
      <c r="A980">
        <v>-73.96123494215</v>
      </c>
      <c r="B980">
        <v>40.795958647569996</v>
      </c>
      <c r="C980" t="s">
        <v>2693</v>
      </c>
      <c r="D980" t="s">
        <v>372</v>
      </c>
      <c r="E980" t="s">
        <v>33</v>
      </c>
      <c r="F980">
        <v>10132018</v>
      </c>
      <c r="G980">
        <v>9</v>
      </c>
      <c r="I980" t="s">
        <v>42</v>
      </c>
      <c r="K980" t="s">
        <v>43</v>
      </c>
      <c r="M980" t="s">
        <v>65</v>
      </c>
      <c r="N980" t="b">
        <v>0</v>
      </c>
      <c r="O980" t="s">
        <v>1819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1</v>
      </c>
      <c r="AA980" t="b">
        <v>0</v>
      </c>
      <c r="AB980" t="b">
        <v>0</v>
      </c>
      <c r="AC980" t="b">
        <v>1</v>
      </c>
      <c r="AE980" t="s">
        <v>2694</v>
      </c>
    </row>
    <row r="981" spans="1:31" x14ac:dyDescent="0.3">
      <c r="A981">
        <v>-73.970981779639999</v>
      </c>
      <c r="B981">
        <v>40.777355431159997</v>
      </c>
      <c r="C981" t="s">
        <v>2695</v>
      </c>
      <c r="D981" t="s">
        <v>729</v>
      </c>
      <c r="E981" t="s">
        <v>33</v>
      </c>
      <c r="F981">
        <v>10192018</v>
      </c>
      <c r="G981">
        <v>7</v>
      </c>
      <c r="H981" t="s">
        <v>48</v>
      </c>
      <c r="I981" t="s">
        <v>42</v>
      </c>
      <c r="K981" t="s">
        <v>43</v>
      </c>
      <c r="M981" t="s">
        <v>65</v>
      </c>
      <c r="N981" t="b">
        <v>0</v>
      </c>
      <c r="P981" t="b">
        <v>0</v>
      </c>
      <c r="Q981" t="b">
        <v>0</v>
      </c>
      <c r="R981" t="b">
        <v>0</v>
      </c>
      <c r="S981" t="b">
        <v>1</v>
      </c>
      <c r="T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1</v>
      </c>
      <c r="AE981" t="s">
        <v>2696</v>
      </c>
    </row>
    <row r="982" spans="1:31" x14ac:dyDescent="0.3">
      <c r="A982">
        <v>-73.967316016539996</v>
      </c>
      <c r="B982">
        <v>40.776615800119998</v>
      </c>
      <c r="C982" t="s">
        <v>2697</v>
      </c>
      <c r="D982" t="s">
        <v>311</v>
      </c>
      <c r="E982" t="s">
        <v>33</v>
      </c>
      <c r="F982">
        <v>10192018</v>
      </c>
      <c r="G982">
        <v>12</v>
      </c>
      <c r="H982" t="s">
        <v>48</v>
      </c>
      <c r="I982" t="s">
        <v>42</v>
      </c>
      <c r="K982" t="s">
        <v>43</v>
      </c>
      <c r="M982" t="s">
        <v>44</v>
      </c>
      <c r="N982">
        <v>4</v>
      </c>
      <c r="P982" t="b">
        <v>0</v>
      </c>
      <c r="Q982" t="b">
        <v>0</v>
      </c>
      <c r="R982" t="b">
        <v>1</v>
      </c>
      <c r="S982" t="b">
        <v>0</v>
      </c>
      <c r="T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s">
        <v>647</v>
      </c>
      <c r="AE982" t="s">
        <v>2698</v>
      </c>
    </row>
    <row r="983" spans="1:31" x14ac:dyDescent="0.3">
      <c r="A983">
        <v>-73.967642459969994</v>
      </c>
      <c r="B983">
        <v>40.77777661068</v>
      </c>
      <c r="C983" t="s">
        <v>2699</v>
      </c>
      <c r="D983" t="s">
        <v>957</v>
      </c>
      <c r="E983" t="s">
        <v>38</v>
      </c>
      <c r="F983">
        <v>10082018</v>
      </c>
      <c r="G983">
        <v>1</v>
      </c>
      <c r="H983" t="s">
        <v>48</v>
      </c>
      <c r="I983" t="s">
        <v>53</v>
      </c>
      <c r="J983" t="s">
        <v>115</v>
      </c>
      <c r="K983" t="s">
        <v>116</v>
      </c>
      <c r="M983" t="s">
        <v>65</v>
      </c>
      <c r="N983" t="b">
        <v>0</v>
      </c>
      <c r="O983" t="s">
        <v>2700</v>
      </c>
      <c r="P983" t="b">
        <v>0</v>
      </c>
      <c r="Q983" t="b">
        <v>0</v>
      </c>
      <c r="R983" t="b">
        <v>0</v>
      </c>
      <c r="S983" t="b">
        <v>0</v>
      </c>
      <c r="T983" t="b">
        <v>1</v>
      </c>
      <c r="V983" t="b">
        <v>0</v>
      </c>
      <c r="W983" t="b">
        <v>0</v>
      </c>
      <c r="X983" t="b">
        <v>0</v>
      </c>
      <c r="Y983" t="b">
        <v>0</v>
      </c>
      <c r="Z983" t="b">
        <v>1</v>
      </c>
      <c r="AA983" t="b">
        <v>1</v>
      </c>
      <c r="AB983" t="b">
        <v>0</v>
      </c>
      <c r="AC983" t="b">
        <v>0</v>
      </c>
      <c r="AE983" t="s">
        <v>2701</v>
      </c>
    </row>
    <row r="984" spans="1:31" x14ac:dyDescent="0.3">
      <c r="A984">
        <v>-73.964155207079997</v>
      </c>
      <c r="B984">
        <v>40.790847952790003</v>
      </c>
      <c r="C984" t="s">
        <v>2702</v>
      </c>
      <c r="D984" t="s">
        <v>908</v>
      </c>
      <c r="E984" t="s">
        <v>38</v>
      </c>
      <c r="F984">
        <v>10072018</v>
      </c>
      <c r="G984">
        <v>5</v>
      </c>
      <c r="H984" t="s">
        <v>48</v>
      </c>
      <c r="I984" t="s">
        <v>42</v>
      </c>
      <c r="K984" t="s">
        <v>43</v>
      </c>
      <c r="M984" t="s">
        <v>44</v>
      </c>
      <c r="N984">
        <v>10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E984" t="s">
        <v>2703</v>
      </c>
    </row>
    <row r="985" spans="1:31" x14ac:dyDescent="0.3">
      <c r="A985">
        <v>-73.967295026599999</v>
      </c>
      <c r="B985">
        <v>40.778247751759999</v>
      </c>
      <c r="C985" t="s">
        <v>2704</v>
      </c>
      <c r="D985" t="s">
        <v>111</v>
      </c>
      <c r="E985" t="s">
        <v>33</v>
      </c>
      <c r="F985">
        <v>10202018</v>
      </c>
      <c r="G985">
        <v>1</v>
      </c>
      <c r="H985" t="s">
        <v>48</v>
      </c>
      <c r="I985" t="s">
        <v>42</v>
      </c>
      <c r="J985" t="s">
        <v>53</v>
      </c>
      <c r="K985" t="s">
        <v>54</v>
      </c>
      <c r="M985" t="s">
        <v>44</v>
      </c>
      <c r="N985">
        <v>7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1</v>
      </c>
      <c r="AE985" t="s">
        <v>2705</v>
      </c>
    </row>
    <row r="986" spans="1:31" x14ac:dyDescent="0.3">
      <c r="A986">
        <v>-73.96817222448</v>
      </c>
      <c r="B986">
        <v>40.783559826279998</v>
      </c>
      <c r="C986" t="s">
        <v>2706</v>
      </c>
      <c r="D986" t="s">
        <v>320</v>
      </c>
      <c r="E986" t="s">
        <v>33</v>
      </c>
      <c r="F986">
        <v>10142018</v>
      </c>
      <c r="G986">
        <v>7</v>
      </c>
      <c r="H986" t="s">
        <v>48</v>
      </c>
      <c r="I986" t="s">
        <v>42</v>
      </c>
      <c r="J986" t="s">
        <v>53</v>
      </c>
      <c r="K986" t="s">
        <v>54</v>
      </c>
      <c r="M986" t="s">
        <v>65</v>
      </c>
      <c r="N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1</v>
      </c>
      <c r="AA986" t="b">
        <v>0</v>
      </c>
      <c r="AB986" t="b">
        <v>1</v>
      </c>
      <c r="AC986" t="b">
        <v>0</v>
      </c>
      <c r="AE986" t="s">
        <v>2707</v>
      </c>
    </row>
    <row r="987" spans="1:31" x14ac:dyDescent="0.3">
      <c r="A987">
        <v>-73.978400938700005</v>
      </c>
      <c r="B987">
        <v>40.767741191189998</v>
      </c>
      <c r="C987" t="s">
        <v>2708</v>
      </c>
      <c r="D987" t="s">
        <v>1232</v>
      </c>
      <c r="E987" t="s">
        <v>33</v>
      </c>
      <c r="F987">
        <v>10132018</v>
      </c>
      <c r="G987">
        <v>3</v>
      </c>
      <c r="H987" t="s">
        <v>48</v>
      </c>
      <c r="I987" t="s">
        <v>42</v>
      </c>
      <c r="J987" t="s">
        <v>59</v>
      </c>
      <c r="K987" t="s">
        <v>79</v>
      </c>
      <c r="M987" t="s">
        <v>65</v>
      </c>
      <c r="N987" t="b">
        <v>0</v>
      </c>
      <c r="P987" t="b">
        <v>0</v>
      </c>
      <c r="Q987" t="b">
        <v>0</v>
      </c>
      <c r="R987" t="b">
        <v>0</v>
      </c>
      <c r="S987" t="b">
        <v>1</v>
      </c>
      <c r="T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E987" t="s">
        <v>2709</v>
      </c>
    </row>
    <row r="988" spans="1:31" x14ac:dyDescent="0.3">
      <c r="A988">
        <v>-73.964982780729997</v>
      </c>
      <c r="B988">
        <v>40.78173228328</v>
      </c>
      <c r="C988" t="s">
        <v>2710</v>
      </c>
      <c r="D988" t="s">
        <v>1199</v>
      </c>
      <c r="E988" t="s">
        <v>38</v>
      </c>
      <c r="F988">
        <v>10182018</v>
      </c>
      <c r="G988">
        <v>6</v>
      </c>
      <c r="H988" t="s">
        <v>48</v>
      </c>
      <c r="I988" t="s">
        <v>53</v>
      </c>
      <c r="J988" t="s">
        <v>42</v>
      </c>
      <c r="K988" t="s">
        <v>89</v>
      </c>
      <c r="M988" t="s">
        <v>65</v>
      </c>
      <c r="N988" t="b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1</v>
      </c>
      <c r="AA988" t="b">
        <v>0</v>
      </c>
      <c r="AB988" t="b">
        <v>0</v>
      </c>
      <c r="AC988" t="b">
        <v>1</v>
      </c>
      <c r="AE988" t="s">
        <v>2711</v>
      </c>
    </row>
    <row r="989" spans="1:31" x14ac:dyDescent="0.3">
      <c r="A989">
        <v>-73.978704019250003</v>
      </c>
      <c r="B989">
        <v>40.767901024730001</v>
      </c>
      <c r="C989" t="s">
        <v>2712</v>
      </c>
      <c r="D989" t="s">
        <v>1232</v>
      </c>
      <c r="E989" t="s">
        <v>38</v>
      </c>
      <c r="F989">
        <v>10102018</v>
      </c>
      <c r="G989">
        <v>6</v>
      </c>
      <c r="H989" t="s">
        <v>48</v>
      </c>
      <c r="I989" t="s">
        <v>42</v>
      </c>
      <c r="K989" t="s">
        <v>43</v>
      </c>
      <c r="M989" t="s">
        <v>65</v>
      </c>
      <c r="N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s">
        <v>2713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1</v>
      </c>
      <c r="AC989" t="b">
        <v>1</v>
      </c>
      <c r="AE989" t="s">
        <v>2714</v>
      </c>
    </row>
    <row r="990" spans="1:31" x14ac:dyDescent="0.3">
      <c r="A990">
        <v>-73.960303105959994</v>
      </c>
      <c r="B990">
        <v>40.794366773569998</v>
      </c>
      <c r="C990" t="s">
        <v>2715</v>
      </c>
      <c r="D990" t="s">
        <v>195</v>
      </c>
      <c r="E990" t="s">
        <v>33</v>
      </c>
      <c r="F990">
        <v>10132018</v>
      </c>
      <c r="G990">
        <v>5</v>
      </c>
      <c r="H990" t="s">
        <v>48</v>
      </c>
      <c r="I990" t="s">
        <v>42</v>
      </c>
      <c r="J990" t="s">
        <v>53</v>
      </c>
      <c r="K990" t="s">
        <v>54</v>
      </c>
      <c r="M990" t="s">
        <v>65</v>
      </c>
      <c r="N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1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E990" t="s">
        <v>2716</v>
      </c>
    </row>
    <row r="991" spans="1:31" x14ac:dyDescent="0.3">
      <c r="A991">
        <v>-73.962961559440004</v>
      </c>
      <c r="B991">
        <v>40.792417642579998</v>
      </c>
      <c r="C991" t="s">
        <v>2717</v>
      </c>
      <c r="D991" t="s">
        <v>773</v>
      </c>
      <c r="E991" t="s">
        <v>33</v>
      </c>
      <c r="F991">
        <v>10102018</v>
      </c>
      <c r="G991">
        <v>6</v>
      </c>
      <c r="H991" t="s">
        <v>48</v>
      </c>
      <c r="I991" t="s">
        <v>42</v>
      </c>
      <c r="K991" t="s">
        <v>43</v>
      </c>
      <c r="M991" t="s">
        <v>65</v>
      </c>
      <c r="N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1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1</v>
      </c>
      <c r="AC991" t="b">
        <v>0</v>
      </c>
      <c r="AE991" t="s">
        <v>2718</v>
      </c>
    </row>
    <row r="992" spans="1:31" x14ac:dyDescent="0.3">
      <c r="A992">
        <v>-73.963568905979997</v>
      </c>
      <c r="B992">
        <v>40.790163434919997</v>
      </c>
      <c r="C992" t="s">
        <v>2719</v>
      </c>
      <c r="D992" t="s">
        <v>908</v>
      </c>
      <c r="E992" t="s">
        <v>33</v>
      </c>
      <c r="F992">
        <v>10192018</v>
      </c>
      <c r="G992">
        <v>3</v>
      </c>
      <c r="H992" t="s">
        <v>48</v>
      </c>
      <c r="I992" t="s">
        <v>42</v>
      </c>
      <c r="J992" t="s">
        <v>176</v>
      </c>
      <c r="K992" t="s">
        <v>339</v>
      </c>
      <c r="M992" t="s">
        <v>44</v>
      </c>
      <c r="N992">
        <v>10</v>
      </c>
      <c r="P992" t="b">
        <v>0</v>
      </c>
      <c r="Q992" t="b">
        <v>0</v>
      </c>
      <c r="R992" t="b">
        <v>1</v>
      </c>
      <c r="S992" t="b">
        <v>0</v>
      </c>
      <c r="T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E992" t="s">
        <v>2720</v>
      </c>
    </row>
    <row r="993" spans="1:31" x14ac:dyDescent="0.3">
      <c r="A993">
        <v>-73.970808358750006</v>
      </c>
      <c r="B993">
        <v>40.782542944159999</v>
      </c>
      <c r="C993" t="s">
        <v>2721</v>
      </c>
      <c r="D993" t="s">
        <v>2667</v>
      </c>
      <c r="E993" t="s">
        <v>33</v>
      </c>
      <c r="F993">
        <v>10132018</v>
      </c>
      <c r="G993">
        <v>3</v>
      </c>
      <c r="H993" t="s">
        <v>48</v>
      </c>
      <c r="I993" t="s">
        <v>42</v>
      </c>
      <c r="K993" t="s">
        <v>43</v>
      </c>
      <c r="M993" t="s">
        <v>65</v>
      </c>
      <c r="N993" t="b">
        <v>0</v>
      </c>
      <c r="P993" t="b">
        <v>0</v>
      </c>
      <c r="Q993" t="b">
        <v>0</v>
      </c>
      <c r="R993" t="b">
        <v>0</v>
      </c>
      <c r="S993" t="b">
        <v>1</v>
      </c>
      <c r="T993" t="b">
        <v>1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1</v>
      </c>
      <c r="AC993" t="b">
        <v>0</v>
      </c>
      <c r="AE993" t="s">
        <v>2722</v>
      </c>
    </row>
    <row r="994" spans="1:31" x14ac:dyDescent="0.3">
      <c r="A994">
        <v>-73.97724226647</v>
      </c>
      <c r="B994">
        <v>40.773436329159999</v>
      </c>
      <c r="C994" t="s">
        <v>2723</v>
      </c>
      <c r="D994" t="s">
        <v>741</v>
      </c>
      <c r="E994" t="s">
        <v>38</v>
      </c>
      <c r="F994">
        <v>10132018</v>
      </c>
      <c r="G994">
        <v>2</v>
      </c>
      <c r="H994" t="s">
        <v>105</v>
      </c>
      <c r="I994" t="s">
        <v>42</v>
      </c>
      <c r="J994" t="s">
        <v>53</v>
      </c>
      <c r="K994" t="s">
        <v>54</v>
      </c>
      <c r="M994" t="s">
        <v>65</v>
      </c>
      <c r="N994" t="b">
        <v>0</v>
      </c>
      <c r="O994" t="s">
        <v>2724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1</v>
      </c>
      <c r="AE994" t="s">
        <v>2725</v>
      </c>
    </row>
    <row r="995" spans="1:31" x14ac:dyDescent="0.3">
      <c r="A995">
        <v>-73.971855336199994</v>
      </c>
      <c r="B995">
        <v>40.774858479880002</v>
      </c>
      <c r="C995" t="s">
        <v>2726</v>
      </c>
      <c r="D995" t="s">
        <v>74</v>
      </c>
      <c r="E995" t="s">
        <v>38</v>
      </c>
      <c r="F995">
        <v>10102018</v>
      </c>
      <c r="G995">
        <v>5</v>
      </c>
      <c r="H995" t="s">
        <v>48</v>
      </c>
      <c r="I995" t="s">
        <v>42</v>
      </c>
      <c r="J995" t="s">
        <v>53</v>
      </c>
      <c r="K995" t="s">
        <v>54</v>
      </c>
      <c r="M995" t="s">
        <v>65</v>
      </c>
      <c r="N995" t="b">
        <v>0</v>
      </c>
      <c r="P995" t="b">
        <v>0</v>
      </c>
      <c r="Q995" t="b">
        <v>0</v>
      </c>
      <c r="R995" t="b">
        <v>0</v>
      </c>
      <c r="S995" t="b">
        <v>1</v>
      </c>
      <c r="T995" t="b">
        <v>1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1</v>
      </c>
      <c r="AC995" t="b">
        <v>0</v>
      </c>
      <c r="AE995" t="s">
        <v>2727</v>
      </c>
    </row>
    <row r="996" spans="1:31" x14ac:dyDescent="0.3">
      <c r="A996">
        <v>-73.969884350740003</v>
      </c>
      <c r="B996">
        <v>40.780375418760002</v>
      </c>
      <c r="C996" t="s">
        <v>2728</v>
      </c>
      <c r="D996" t="s">
        <v>622</v>
      </c>
      <c r="E996" t="s">
        <v>33</v>
      </c>
      <c r="F996">
        <v>10182018</v>
      </c>
      <c r="G996">
        <v>2</v>
      </c>
      <c r="H996" t="s">
        <v>105</v>
      </c>
      <c r="I996" t="s">
        <v>42</v>
      </c>
      <c r="J996" t="s">
        <v>53</v>
      </c>
      <c r="K996" t="s">
        <v>54</v>
      </c>
      <c r="M996" t="s">
        <v>65</v>
      </c>
      <c r="N996" t="b">
        <v>0</v>
      </c>
      <c r="P996" t="b">
        <v>1</v>
      </c>
      <c r="Q996" t="b">
        <v>0</v>
      </c>
      <c r="R996" t="b">
        <v>0</v>
      </c>
      <c r="S996" t="b">
        <v>0</v>
      </c>
      <c r="T996" t="b">
        <v>1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E996" t="s">
        <v>2729</v>
      </c>
    </row>
    <row r="997" spans="1:31" x14ac:dyDescent="0.3">
      <c r="A997">
        <v>-73.970314982939996</v>
      </c>
      <c r="B997">
        <v>40.778558363030001</v>
      </c>
      <c r="C997" t="s">
        <v>2730</v>
      </c>
      <c r="D997" t="s">
        <v>709</v>
      </c>
      <c r="E997" t="s">
        <v>38</v>
      </c>
      <c r="F997">
        <v>10072018</v>
      </c>
      <c r="G997">
        <v>1</v>
      </c>
      <c r="H997" t="s">
        <v>48</v>
      </c>
      <c r="I997" t="s">
        <v>42</v>
      </c>
      <c r="J997" t="s">
        <v>59</v>
      </c>
      <c r="K997" t="s">
        <v>79</v>
      </c>
      <c r="M997" t="s">
        <v>44</v>
      </c>
      <c r="N997">
        <v>3</v>
      </c>
      <c r="P997" t="b">
        <v>0</v>
      </c>
      <c r="Q997" t="b">
        <v>0</v>
      </c>
      <c r="R997" t="b">
        <v>1</v>
      </c>
      <c r="S997" t="b">
        <v>1</v>
      </c>
      <c r="T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1</v>
      </c>
      <c r="AE997" t="s">
        <v>2731</v>
      </c>
    </row>
    <row r="998" spans="1:31" x14ac:dyDescent="0.3">
      <c r="A998">
        <v>-73.979089677519994</v>
      </c>
      <c r="B998">
        <v>40.768804864490001</v>
      </c>
      <c r="C998" t="s">
        <v>2732</v>
      </c>
      <c r="D998" t="s">
        <v>455</v>
      </c>
      <c r="E998" t="s">
        <v>38</v>
      </c>
      <c r="F998">
        <v>10102018</v>
      </c>
      <c r="G998">
        <v>10</v>
      </c>
      <c r="H998" t="s">
        <v>48</v>
      </c>
      <c r="I998" t="s">
        <v>53</v>
      </c>
      <c r="J998" t="s">
        <v>115</v>
      </c>
      <c r="K998" t="s">
        <v>116</v>
      </c>
      <c r="M998" t="s">
        <v>65</v>
      </c>
      <c r="N998" t="b">
        <v>0</v>
      </c>
      <c r="P998" t="b">
        <v>0</v>
      </c>
      <c r="Q998" t="b">
        <v>0</v>
      </c>
      <c r="R998" t="b">
        <v>0</v>
      </c>
      <c r="S998" t="b">
        <v>1</v>
      </c>
      <c r="T998" t="b">
        <v>1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1</v>
      </c>
      <c r="AC998" t="b">
        <v>0</v>
      </c>
      <c r="AE998" t="s">
        <v>2733</v>
      </c>
    </row>
    <row r="999" spans="1:31" x14ac:dyDescent="0.3">
      <c r="A999">
        <v>-73.960054629449999</v>
      </c>
      <c r="B999">
        <v>40.791496916580002</v>
      </c>
      <c r="C999" t="s">
        <v>2734</v>
      </c>
      <c r="D999" t="s">
        <v>1202</v>
      </c>
      <c r="E999" t="s">
        <v>38</v>
      </c>
      <c r="F999">
        <v>10172018</v>
      </c>
      <c r="G999">
        <v>3</v>
      </c>
      <c r="H999" t="s">
        <v>48</v>
      </c>
      <c r="I999" t="s">
        <v>42</v>
      </c>
      <c r="K999" t="s">
        <v>43</v>
      </c>
      <c r="M999" t="s">
        <v>65</v>
      </c>
      <c r="N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1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1</v>
      </c>
      <c r="AB999" t="b">
        <v>1</v>
      </c>
      <c r="AC999" t="b">
        <v>0</v>
      </c>
      <c r="AE999" t="s">
        <v>2735</v>
      </c>
    </row>
    <row r="1000" spans="1:31" x14ac:dyDescent="0.3">
      <c r="A1000">
        <v>-73.980948293609998</v>
      </c>
      <c r="B1000">
        <v>40.768568885059999</v>
      </c>
      <c r="C1000" t="s">
        <v>2736</v>
      </c>
      <c r="D1000" t="s">
        <v>1906</v>
      </c>
      <c r="E1000" t="s">
        <v>33</v>
      </c>
      <c r="F1000">
        <v>10192018</v>
      </c>
      <c r="G1000">
        <v>4</v>
      </c>
      <c r="H1000" t="s">
        <v>105</v>
      </c>
      <c r="I1000" t="s">
        <v>42</v>
      </c>
      <c r="J1000" t="s">
        <v>59</v>
      </c>
      <c r="K1000" t="s">
        <v>79</v>
      </c>
      <c r="M1000" t="s">
        <v>44</v>
      </c>
      <c r="N1000">
        <v>15</v>
      </c>
      <c r="O1000" t="s">
        <v>2737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1</v>
      </c>
      <c r="AC1000" t="b">
        <v>0</v>
      </c>
      <c r="AE1000" t="s">
        <v>2738</v>
      </c>
    </row>
    <row r="1001" spans="1:31" x14ac:dyDescent="0.3">
      <c r="A1001">
        <v>-73.980513704680007</v>
      </c>
      <c r="B1001">
        <v>40.769275143800002</v>
      </c>
      <c r="C1001" t="s">
        <v>2739</v>
      </c>
      <c r="D1001" t="s">
        <v>1906</v>
      </c>
      <c r="E1001" t="s">
        <v>38</v>
      </c>
      <c r="F1001">
        <v>10102018</v>
      </c>
      <c r="G1001">
        <v>8</v>
      </c>
      <c r="H1001" t="s">
        <v>48</v>
      </c>
      <c r="I1001" t="s">
        <v>42</v>
      </c>
      <c r="K1001" t="s">
        <v>43</v>
      </c>
      <c r="L1001" t="s">
        <v>49</v>
      </c>
      <c r="M1001" t="s">
        <v>65</v>
      </c>
      <c r="N1001" t="b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1</v>
      </c>
      <c r="V1001" t="b">
        <v>0</v>
      </c>
      <c r="W1001" t="b">
        <v>0</v>
      </c>
      <c r="X1001" t="b">
        <v>0</v>
      </c>
      <c r="Y1001" t="b">
        <v>0</v>
      </c>
      <c r="Z1001" t="b">
        <v>1</v>
      </c>
      <c r="AA1001" t="b">
        <v>0</v>
      </c>
      <c r="AB1001" t="b">
        <v>0</v>
      </c>
      <c r="AC1001" t="b">
        <v>0</v>
      </c>
      <c r="AE1001" t="s">
        <v>2740</v>
      </c>
    </row>
    <row r="1002" spans="1:31" x14ac:dyDescent="0.3">
      <c r="A1002">
        <v>-73.980198597780003</v>
      </c>
      <c r="B1002">
        <v>40.76801595117</v>
      </c>
      <c r="C1002" t="s">
        <v>2741</v>
      </c>
      <c r="D1002" t="s">
        <v>851</v>
      </c>
      <c r="E1002" t="s">
        <v>38</v>
      </c>
      <c r="F1002">
        <v>10122018</v>
      </c>
      <c r="G1002">
        <v>11</v>
      </c>
      <c r="H1002" t="s">
        <v>48</v>
      </c>
      <c r="I1002" t="s">
        <v>53</v>
      </c>
      <c r="J1002" t="s">
        <v>59</v>
      </c>
      <c r="K1002" t="s">
        <v>60</v>
      </c>
      <c r="M1002" t="s">
        <v>65</v>
      </c>
      <c r="N1002" t="b">
        <v>0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  <c r="U1002" t="s">
        <v>2742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1</v>
      </c>
      <c r="AC1002" t="b">
        <v>0</v>
      </c>
      <c r="AE1002" t="s">
        <v>2743</v>
      </c>
    </row>
    <row r="1003" spans="1:31" x14ac:dyDescent="0.3">
      <c r="A1003">
        <v>-73.967207042370006</v>
      </c>
      <c r="B1003">
        <v>40.783337354890001</v>
      </c>
      <c r="C1003" t="s">
        <v>2744</v>
      </c>
      <c r="D1003" t="s">
        <v>689</v>
      </c>
      <c r="E1003" t="s">
        <v>33</v>
      </c>
      <c r="F1003">
        <v>10062018</v>
      </c>
      <c r="G1003">
        <v>2</v>
      </c>
      <c r="H1003" t="s">
        <v>48</v>
      </c>
      <c r="I1003" t="s">
        <v>42</v>
      </c>
      <c r="K1003" t="s">
        <v>43</v>
      </c>
      <c r="M1003" t="s">
        <v>65</v>
      </c>
      <c r="N1003" t="b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V1003" t="b">
        <v>0</v>
      </c>
      <c r="W1003" t="b">
        <v>1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E1003" t="s">
        <v>2745</v>
      </c>
    </row>
    <row r="1004" spans="1:31" x14ac:dyDescent="0.3">
      <c r="A1004">
        <v>-73.964554755679998</v>
      </c>
      <c r="B1004">
        <v>40.776877007080003</v>
      </c>
      <c r="C1004" t="s">
        <v>2746</v>
      </c>
      <c r="D1004" t="s">
        <v>114</v>
      </c>
      <c r="E1004" t="s">
        <v>38</v>
      </c>
      <c r="F1004">
        <v>10082018</v>
      </c>
      <c r="G1004">
        <v>4</v>
      </c>
      <c r="H1004" t="s">
        <v>105</v>
      </c>
      <c r="I1004" t="s">
        <v>53</v>
      </c>
      <c r="J1004" t="s">
        <v>42</v>
      </c>
      <c r="K1004" t="s">
        <v>89</v>
      </c>
      <c r="M1004" t="s">
        <v>44</v>
      </c>
      <c r="N1004">
        <v>9</v>
      </c>
      <c r="O1004" t="s">
        <v>2747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s">
        <v>2748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s">
        <v>1746</v>
      </c>
      <c r="AE1004" t="s">
        <v>2749</v>
      </c>
    </row>
    <row r="1005" spans="1:31" x14ac:dyDescent="0.3">
      <c r="A1005">
        <v>-73.967085080559997</v>
      </c>
      <c r="B1005">
        <v>40.783374781040003</v>
      </c>
      <c r="C1005" t="s">
        <v>2750</v>
      </c>
      <c r="D1005" t="s">
        <v>689</v>
      </c>
      <c r="E1005" t="s">
        <v>33</v>
      </c>
      <c r="F1005">
        <v>10062018</v>
      </c>
      <c r="G1005">
        <v>1</v>
      </c>
      <c r="H1005" t="s">
        <v>105</v>
      </c>
      <c r="I1005" t="s">
        <v>42</v>
      </c>
      <c r="K1005" t="s">
        <v>43</v>
      </c>
      <c r="M1005" t="s">
        <v>65</v>
      </c>
      <c r="N1005" t="b">
        <v>0</v>
      </c>
      <c r="P1005" t="b">
        <v>1</v>
      </c>
      <c r="Q1005" t="b">
        <v>1</v>
      </c>
      <c r="R1005" t="b">
        <v>0</v>
      </c>
      <c r="S1005" t="b">
        <v>0</v>
      </c>
      <c r="T1005" t="b">
        <v>0</v>
      </c>
      <c r="U1005" t="s">
        <v>2751</v>
      </c>
      <c r="V1005" t="b">
        <v>0</v>
      </c>
      <c r="W1005" t="b">
        <v>1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E1005" t="s">
        <v>2752</v>
      </c>
    </row>
    <row r="1006" spans="1:31" x14ac:dyDescent="0.3">
      <c r="A1006">
        <v>-73.955826873180001</v>
      </c>
      <c r="B1006">
        <v>40.795207419379999</v>
      </c>
      <c r="C1006" t="s">
        <v>2753</v>
      </c>
      <c r="D1006" t="s">
        <v>520</v>
      </c>
      <c r="E1006" t="s">
        <v>33</v>
      </c>
      <c r="F1006">
        <v>10142018</v>
      </c>
      <c r="G1006">
        <v>4</v>
      </c>
      <c r="H1006" t="s">
        <v>48</v>
      </c>
      <c r="I1006" t="s">
        <v>42</v>
      </c>
      <c r="K1006" t="s">
        <v>43</v>
      </c>
      <c r="M1006" t="s">
        <v>65</v>
      </c>
      <c r="N1006" t="b">
        <v>0</v>
      </c>
      <c r="O1006" t="s">
        <v>1819</v>
      </c>
      <c r="P1006" t="b">
        <v>0</v>
      </c>
      <c r="Q1006" t="b">
        <v>0</v>
      </c>
      <c r="R1006" t="b">
        <v>0</v>
      </c>
      <c r="S1006" t="b">
        <v>0</v>
      </c>
      <c r="T1006" t="b">
        <v>1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1</v>
      </c>
      <c r="AE1006" t="s">
        <v>2754</v>
      </c>
    </row>
    <row r="1007" spans="1:31" x14ac:dyDescent="0.3">
      <c r="A1007">
        <v>-73.968629621790001</v>
      </c>
      <c r="B1007">
        <v>40.771812308880001</v>
      </c>
      <c r="C1007" t="s">
        <v>2755</v>
      </c>
      <c r="D1007" t="s">
        <v>1251</v>
      </c>
      <c r="E1007" t="s">
        <v>38</v>
      </c>
      <c r="F1007">
        <v>10142018</v>
      </c>
      <c r="G1007">
        <v>2</v>
      </c>
      <c r="H1007" t="s">
        <v>105</v>
      </c>
      <c r="I1007" t="s">
        <v>53</v>
      </c>
      <c r="K1007" t="s">
        <v>155</v>
      </c>
      <c r="M1007" t="s">
        <v>44</v>
      </c>
      <c r="N1007">
        <v>6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E1007" t="s">
        <v>2756</v>
      </c>
    </row>
    <row r="1008" spans="1:31" x14ac:dyDescent="0.3">
      <c r="A1008">
        <v>-73.963531782299995</v>
      </c>
      <c r="B1008">
        <v>40.782135208020001</v>
      </c>
      <c r="C1008" t="s">
        <v>2757</v>
      </c>
      <c r="D1008" t="s">
        <v>1287</v>
      </c>
      <c r="E1008" t="s">
        <v>38</v>
      </c>
      <c r="F1008">
        <v>10182018</v>
      </c>
      <c r="G1008">
        <v>1</v>
      </c>
      <c r="H1008" t="s">
        <v>48</v>
      </c>
      <c r="I1008" t="s">
        <v>42</v>
      </c>
      <c r="J1008" t="s">
        <v>53</v>
      </c>
      <c r="K1008" t="s">
        <v>54</v>
      </c>
      <c r="M1008" t="s">
        <v>65</v>
      </c>
      <c r="N1008" t="b">
        <v>0</v>
      </c>
      <c r="P1008" t="b">
        <v>0</v>
      </c>
      <c r="Q1008" t="b">
        <v>1</v>
      </c>
      <c r="R1008" t="b">
        <v>0</v>
      </c>
      <c r="S1008" t="b">
        <v>0</v>
      </c>
      <c r="T1008" t="b">
        <v>0</v>
      </c>
      <c r="V1008" t="b">
        <v>1</v>
      </c>
      <c r="W1008" t="b">
        <v>0</v>
      </c>
      <c r="X1008" t="b">
        <v>0</v>
      </c>
      <c r="Y1008" t="b">
        <v>1</v>
      </c>
      <c r="Z1008" t="b">
        <v>0</v>
      </c>
      <c r="AA1008" t="b">
        <v>0</v>
      </c>
      <c r="AB1008" t="b">
        <v>1</v>
      </c>
      <c r="AC1008" t="b">
        <v>0</v>
      </c>
      <c r="AE1008" t="s">
        <v>2758</v>
      </c>
    </row>
    <row r="1009" spans="1:31" x14ac:dyDescent="0.3">
      <c r="A1009">
        <v>-73.955303816259999</v>
      </c>
      <c r="B1009">
        <v>40.790936778320003</v>
      </c>
      <c r="C1009" t="s">
        <v>2759</v>
      </c>
      <c r="D1009" t="s">
        <v>1352</v>
      </c>
      <c r="E1009" t="s">
        <v>33</v>
      </c>
      <c r="F1009">
        <v>10062018</v>
      </c>
      <c r="G1009">
        <v>4</v>
      </c>
      <c r="I1009" t="s">
        <v>42</v>
      </c>
      <c r="J1009" t="s">
        <v>53</v>
      </c>
      <c r="K1009" t="s">
        <v>54</v>
      </c>
      <c r="M1009" t="s">
        <v>44</v>
      </c>
      <c r="O1009" t="s">
        <v>2760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E1009" t="s">
        <v>2761</v>
      </c>
    </row>
    <row r="1010" spans="1:31" x14ac:dyDescent="0.3">
      <c r="A1010">
        <v>-73.963655143319997</v>
      </c>
      <c r="B1010">
        <v>40.790157281879999</v>
      </c>
      <c r="C1010" t="s">
        <v>2762</v>
      </c>
      <c r="D1010" t="s">
        <v>908</v>
      </c>
      <c r="E1010" t="s">
        <v>33</v>
      </c>
      <c r="F1010">
        <v>10192018</v>
      </c>
      <c r="G1010">
        <v>2</v>
      </c>
      <c r="H1010" t="s">
        <v>48</v>
      </c>
      <c r="I1010" t="s">
        <v>42</v>
      </c>
      <c r="J1010" t="s">
        <v>148</v>
      </c>
      <c r="K1010" t="s">
        <v>149</v>
      </c>
      <c r="M1010" t="s">
        <v>65</v>
      </c>
      <c r="N1010" t="b">
        <v>0</v>
      </c>
      <c r="P1010" t="b">
        <v>0</v>
      </c>
      <c r="Q1010" t="b">
        <v>1</v>
      </c>
      <c r="R1010" t="b">
        <v>0</v>
      </c>
      <c r="S1010" t="b">
        <v>1</v>
      </c>
      <c r="T1010" t="b">
        <v>1</v>
      </c>
      <c r="V1010" t="b">
        <v>0</v>
      </c>
      <c r="W1010" t="b">
        <v>0</v>
      </c>
      <c r="X1010" t="b">
        <v>0</v>
      </c>
      <c r="Y1010" t="b">
        <v>0</v>
      </c>
      <c r="Z1010" t="b">
        <v>1</v>
      </c>
      <c r="AA1010" t="b">
        <v>0</v>
      </c>
      <c r="AB1010" t="b">
        <v>0</v>
      </c>
      <c r="AC1010" t="b">
        <v>1</v>
      </c>
      <c r="AE1010" t="s">
        <v>2763</v>
      </c>
    </row>
    <row r="1011" spans="1:31" x14ac:dyDescent="0.3">
      <c r="A1011">
        <v>-73.968972359000006</v>
      </c>
      <c r="B1011">
        <v>40.775686099029997</v>
      </c>
      <c r="C1011" t="s">
        <v>2764</v>
      </c>
      <c r="D1011" t="s">
        <v>260</v>
      </c>
      <c r="E1011" t="s">
        <v>38</v>
      </c>
      <c r="F1011">
        <v>10072018</v>
      </c>
      <c r="G1011">
        <v>1</v>
      </c>
      <c r="H1011" t="s">
        <v>48</v>
      </c>
      <c r="I1011" t="s">
        <v>42</v>
      </c>
      <c r="J1011" t="s">
        <v>53</v>
      </c>
      <c r="K1011" t="s">
        <v>54</v>
      </c>
      <c r="M1011" t="s">
        <v>44</v>
      </c>
      <c r="N1011">
        <v>20</v>
      </c>
      <c r="P1011" t="b">
        <v>0</v>
      </c>
      <c r="Q1011" t="b">
        <v>0</v>
      </c>
      <c r="R1011" t="b">
        <v>1</v>
      </c>
      <c r="S1011" t="b">
        <v>0</v>
      </c>
      <c r="T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1</v>
      </c>
      <c r="AC1011" t="b">
        <v>0</v>
      </c>
      <c r="AE1011" t="s">
        <v>2765</v>
      </c>
    </row>
    <row r="1012" spans="1:31" x14ac:dyDescent="0.3">
      <c r="A1012">
        <v>-73.971911147019995</v>
      </c>
      <c r="B1012">
        <v>40.775878985550001</v>
      </c>
      <c r="C1012" t="s">
        <v>2766</v>
      </c>
      <c r="D1012" t="s">
        <v>1145</v>
      </c>
      <c r="E1012" t="s">
        <v>38</v>
      </c>
      <c r="F1012">
        <v>10132018</v>
      </c>
      <c r="G1012">
        <v>2</v>
      </c>
      <c r="H1012" t="s">
        <v>48</v>
      </c>
      <c r="I1012" t="s">
        <v>42</v>
      </c>
      <c r="K1012" t="s">
        <v>43</v>
      </c>
      <c r="M1012" t="s">
        <v>44</v>
      </c>
      <c r="N1012">
        <v>7</v>
      </c>
      <c r="O1012" t="s">
        <v>2767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s">
        <v>2768</v>
      </c>
      <c r="V1012" t="b">
        <v>0</v>
      </c>
      <c r="W1012" t="b">
        <v>0</v>
      </c>
      <c r="X1012" t="b">
        <v>0</v>
      </c>
      <c r="Y1012" t="b">
        <v>1</v>
      </c>
      <c r="Z1012" t="b">
        <v>0</v>
      </c>
      <c r="AA1012" t="b">
        <v>0</v>
      </c>
      <c r="AB1012" t="b">
        <v>0</v>
      </c>
      <c r="AC1012" t="b">
        <v>1</v>
      </c>
      <c r="AE1012" t="s">
        <v>2769</v>
      </c>
    </row>
    <row r="1013" spans="1:31" x14ac:dyDescent="0.3">
      <c r="A1013">
        <v>-73.975556917060004</v>
      </c>
      <c r="B1013">
        <v>40.76680069775</v>
      </c>
      <c r="C1013" t="s">
        <v>2770</v>
      </c>
      <c r="D1013" t="s">
        <v>471</v>
      </c>
      <c r="E1013" t="s">
        <v>38</v>
      </c>
      <c r="F1013">
        <v>10062018</v>
      </c>
      <c r="G1013">
        <v>3</v>
      </c>
      <c r="H1013" t="s">
        <v>48</v>
      </c>
      <c r="I1013" t="s">
        <v>42</v>
      </c>
      <c r="J1013" t="s">
        <v>53</v>
      </c>
      <c r="K1013" t="s">
        <v>54</v>
      </c>
      <c r="M1013" t="s">
        <v>44</v>
      </c>
      <c r="N1013">
        <v>25</v>
      </c>
      <c r="O1013" t="s">
        <v>456</v>
      </c>
      <c r="P1013" t="b">
        <v>0</v>
      </c>
      <c r="Q1013" t="b">
        <v>0</v>
      </c>
      <c r="R1013" t="b">
        <v>1</v>
      </c>
      <c r="S1013" t="b">
        <v>0</v>
      </c>
      <c r="T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E1013" t="s">
        <v>2771</v>
      </c>
    </row>
    <row r="1014" spans="1:31" x14ac:dyDescent="0.3">
      <c r="A1014">
        <v>-73.969553896299999</v>
      </c>
      <c r="B1014">
        <v>40.770988492930002</v>
      </c>
      <c r="C1014" t="s">
        <v>2772</v>
      </c>
      <c r="D1014" t="s">
        <v>2056</v>
      </c>
      <c r="E1014" t="s">
        <v>33</v>
      </c>
      <c r="F1014">
        <v>10182018</v>
      </c>
      <c r="G1014">
        <v>4</v>
      </c>
      <c r="H1014" t="s">
        <v>48</v>
      </c>
      <c r="I1014" t="s">
        <v>42</v>
      </c>
      <c r="K1014" t="s">
        <v>43</v>
      </c>
      <c r="M1014" t="s">
        <v>65</v>
      </c>
      <c r="N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1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E1014" t="s">
        <v>2773</v>
      </c>
    </row>
    <row r="1015" spans="1:31" x14ac:dyDescent="0.3">
      <c r="A1015">
        <v>-73.969446804450001</v>
      </c>
      <c r="B1015">
        <v>40.770360886040002</v>
      </c>
      <c r="C1015" t="s">
        <v>2774</v>
      </c>
      <c r="D1015" t="s">
        <v>1326</v>
      </c>
      <c r="E1015" t="s">
        <v>33</v>
      </c>
      <c r="F1015">
        <v>10132018</v>
      </c>
      <c r="G1015">
        <v>5</v>
      </c>
      <c r="H1015" t="s">
        <v>48</v>
      </c>
      <c r="I1015" t="s">
        <v>42</v>
      </c>
      <c r="J1015" t="s">
        <v>96</v>
      </c>
      <c r="K1015" t="s">
        <v>97</v>
      </c>
      <c r="M1015" t="s">
        <v>65</v>
      </c>
      <c r="N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1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1</v>
      </c>
      <c r="AC1015" t="b">
        <v>0</v>
      </c>
      <c r="AE1015" t="s">
        <v>2775</v>
      </c>
    </row>
    <row r="1016" spans="1:31" x14ac:dyDescent="0.3">
      <c r="A1016">
        <v>-73.972034708929996</v>
      </c>
      <c r="B1016">
        <v>40.772775027199998</v>
      </c>
      <c r="C1016" t="s">
        <v>2776</v>
      </c>
      <c r="D1016" t="s">
        <v>1920</v>
      </c>
      <c r="E1016" t="s">
        <v>33</v>
      </c>
      <c r="F1016">
        <v>10142018</v>
      </c>
      <c r="G1016">
        <v>1</v>
      </c>
      <c r="H1016" t="s">
        <v>48</v>
      </c>
      <c r="I1016" t="s">
        <v>42</v>
      </c>
      <c r="J1016" t="s">
        <v>53</v>
      </c>
      <c r="K1016" t="s">
        <v>54</v>
      </c>
      <c r="M1016" t="s">
        <v>65</v>
      </c>
      <c r="N1016" t="b">
        <v>0</v>
      </c>
      <c r="O1016" t="s">
        <v>2777</v>
      </c>
      <c r="P1016" t="b">
        <v>0</v>
      </c>
      <c r="Q1016" t="b">
        <v>0</v>
      </c>
      <c r="R1016" t="b">
        <v>0</v>
      </c>
      <c r="S1016" t="b">
        <v>0</v>
      </c>
      <c r="T1016" t="b">
        <v>1</v>
      </c>
      <c r="U1016" t="s">
        <v>2778</v>
      </c>
      <c r="V1016" t="b">
        <v>0</v>
      </c>
      <c r="W1016" t="b">
        <v>0</v>
      </c>
      <c r="X1016" t="b">
        <v>0</v>
      </c>
      <c r="Y1016" t="b">
        <v>0</v>
      </c>
      <c r="Z1016" t="b">
        <v>1</v>
      </c>
      <c r="AA1016" t="b">
        <v>0</v>
      </c>
      <c r="AB1016" t="b">
        <v>1</v>
      </c>
      <c r="AC1016" t="b">
        <v>0</v>
      </c>
      <c r="AD1016" t="s">
        <v>2779</v>
      </c>
      <c r="AE1016" t="s">
        <v>2780</v>
      </c>
    </row>
    <row r="1017" spans="1:31" x14ac:dyDescent="0.3">
      <c r="A1017">
        <v>-73.969129354640003</v>
      </c>
      <c r="B1017">
        <v>40.770321907650001</v>
      </c>
      <c r="C1017" t="s">
        <v>2781</v>
      </c>
      <c r="D1017" t="s">
        <v>1326</v>
      </c>
      <c r="E1017" t="s">
        <v>38</v>
      </c>
      <c r="F1017">
        <v>10062018</v>
      </c>
      <c r="G1017">
        <v>11</v>
      </c>
      <c r="H1017" t="s">
        <v>48</v>
      </c>
      <c r="I1017" t="s">
        <v>42</v>
      </c>
      <c r="K1017" t="s">
        <v>43</v>
      </c>
      <c r="M1017" t="s">
        <v>44</v>
      </c>
      <c r="N1017">
        <v>50</v>
      </c>
      <c r="O1017" t="s">
        <v>190</v>
      </c>
      <c r="P1017" t="b">
        <v>0</v>
      </c>
      <c r="Q1017" t="b">
        <v>1</v>
      </c>
      <c r="R1017" t="b">
        <v>0</v>
      </c>
      <c r="S1017" t="b">
        <v>0</v>
      </c>
      <c r="T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1</v>
      </c>
      <c r="AC1017" t="b">
        <v>0</v>
      </c>
      <c r="AE1017" t="s">
        <v>2782</v>
      </c>
    </row>
    <row r="1018" spans="1:31" x14ac:dyDescent="0.3">
      <c r="A1018">
        <v>-73.955203501189999</v>
      </c>
      <c r="B1018">
        <v>40.788985189629997</v>
      </c>
      <c r="C1018" t="s">
        <v>2783</v>
      </c>
      <c r="D1018" t="s">
        <v>873</v>
      </c>
      <c r="E1018" t="s">
        <v>38</v>
      </c>
      <c r="F1018">
        <v>10132018</v>
      </c>
      <c r="G1018">
        <v>6</v>
      </c>
      <c r="H1018" t="s">
        <v>48</v>
      </c>
      <c r="I1018" t="s">
        <v>53</v>
      </c>
      <c r="J1018" t="s">
        <v>42</v>
      </c>
      <c r="K1018" t="s">
        <v>89</v>
      </c>
      <c r="M1018" t="s">
        <v>44</v>
      </c>
      <c r="N1018">
        <v>3</v>
      </c>
      <c r="O1018" t="s">
        <v>874</v>
      </c>
      <c r="P1018" t="b">
        <v>0</v>
      </c>
      <c r="Q1018" t="b">
        <v>0</v>
      </c>
      <c r="R1018" t="b">
        <v>1</v>
      </c>
      <c r="S1018" t="b">
        <v>0</v>
      </c>
      <c r="T1018" t="b">
        <v>1</v>
      </c>
      <c r="V1018" t="b">
        <v>0</v>
      </c>
      <c r="W1018" t="b">
        <v>0</v>
      </c>
      <c r="X1018" t="b">
        <v>0</v>
      </c>
      <c r="Y1018" t="b">
        <v>1</v>
      </c>
      <c r="Z1018" t="b">
        <v>0</v>
      </c>
      <c r="AA1018" t="b">
        <v>0</v>
      </c>
      <c r="AB1018" t="b">
        <v>1</v>
      </c>
      <c r="AC1018" t="b">
        <v>0</v>
      </c>
      <c r="AE1018" t="s">
        <v>2784</v>
      </c>
    </row>
    <row r="1019" spans="1:31" x14ac:dyDescent="0.3">
      <c r="A1019">
        <v>-73.969530555540004</v>
      </c>
      <c r="B1019">
        <v>40.775754197099999</v>
      </c>
      <c r="C1019" t="s">
        <v>2785</v>
      </c>
      <c r="D1019" t="s">
        <v>260</v>
      </c>
      <c r="E1019" t="s">
        <v>33</v>
      </c>
      <c r="F1019">
        <v>10082018</v>
      </c>
      <c r="G1019">
        <v>3</v>
      </c>
      <c r="H1019" t="s">
        <v>48</v>
      </c>
      <c r="I1019" t="s">
        <v>42</v>
      </c>
      <c r="K1019" t="s">
        <v>43</v>
      </c>
      <c r="M1019" t="s">
        <v>44</v>
      </c>
      <c r="N1019">
        <v>15</v>
      </c>
      <c r="O1019" t="s">
        <v>190</v>
      </c>
      <c r="P1019" t="b">
        <v>0</v>
      </c>
      <c r="Q1019" t="b">
        <v>0</v>
      </c>
      <c r="R1019" t="b">
        <v>0</v>
      </c>
      <c r="S1019" t="b">
        <v>1</v>
      </c>
      <c r="T1019" t="b">
        <v>1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1</v>
      </c>
      <c r="AC1019" t="b">
        <v>0</v>
      </c>
      <c r="AE1019" t="s">
        <v>2786</v>
      </c>
    </row>
    <row r="1020" spans="1:31" x14ac:dyDescent="0.3">
      <c r="A1020">
        <v>-73.970426963099996</v>
      </c>
      <c r="B1020">
        <v>40.772296464029999</v>
      </c>
      <c r="C1020" t="s">
        <v>2787</v>
      </c>
      <c r="D1020" t="s">
        <v>600</v>
      </c>
      <c r="E1020" t="s">
        <v>38</v>
      </c>
      <c r="F1020">
        <v>10062018</v>
      </c>
      <c r="G1020">
        <v>9</v>
      </c>
      <c r="H1020" t="s">
        <v>48</v>
      </c>
      <c r="I1020" t="s">
        <v>42</v>
      </c>
      <c r="J1020" t="s">
        <v>59</v>
      </c>
      <c r="K1020" t="s">
        <v>79</v>
      </c>
      <c r="M1020" t="s">
        <v>65</v>
      </c>
      <c r="N1020" t="b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V1020" t="b">
        <v>0</v>
      </c>
      <c r="W1020" t="b">
        <v>0</v>
      </c>
      <c r="X1020" t="b">
        <v>0</v>
      </c>
      <c r="Y1020" t="b">
        <v>1</v>
      </c>
      <c r="Z1020" t="b">
        <v>0</v>
      </c>
      <c r="AA1020" t="b">
        <v>0</v>
      </c>
      <c r="AB1020" t="b">
        <v>0</v>
      </c>
      <c r="AC1020" t="b">
        <v>1</v>
      </c>
      <c r="AE1020" t="s">
        <v>2788</v>
      </c>
    </row>
    <row r="1021" spans="1:31" x14ac:dyDescent="0.3">
      <c r="A1021">
        <v>-73.970169336349997</v>
      </c>
      <c r="B1021">
        <v>40.77054525298</v>
      </c>
      <c r="C1021" t="s">
        <v>2789</v>
      </c>
      <c r="D1021" t="s">
        <v>183</v>
      </c>
      <c r="E1021" t="s">
        <v>38</v>
      </c>
      <c r="F1021">
        <v>10172018</v>
      </c>
      <c r="G1021">
        <v>5</v>
      </c>
      <c r="H1021" t="s">
        <v>48</v>
      </c>
      <c r="I1021" t="s">
        <v>42</v>
      </c>
      <c r="J1021" t="s">
        <v>53</v>
      </c>
      <c r="K1021" t="s">
        <v>54</v>
      </c>
      <c r="M1021" t="s">
        <v>44</v>
      </c>
      <c r="N1021">
        <v>6</v>
      </c>
      <c r="P1021" t="b">
        <v>1</v>
      </c>
      <c r="Q1021" t="b">
        <v>0</v>
      </c>
      <c r="R1021" t="b">
        <v>0</v>
      </c>
      <c r="S1021" t="b">
        <v>1</v>
      </c>
      <c r="T1021" t="b">
        <v>1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1</v>
      </c>
      <c r="AC1021" t="b">
        <v>0</v>
      </c>
      <c r="AE1021" t="s">
        <v>2790</v>
      </c>
    </row>
    <row r="1022" spans="1:31" x14ac:dyDescent="0.3">
      <c r="A1022">
        <v>-73.971869682879998</v>
      </c>
      <c r="B1022">
        <v>40.778926988880002</v>
      </c>
      <c r="C1022" t="s">
        <v>2791</v>
      </c>
      <c r="D1022" t="s">
        <v>1138</v>
      </c>
      <c r="E1022" t="s">
        <v>38</v>
      </c>
      <c r="F1022">
        <v>10142018</v>
      </c>
      <c r="G1022">
        <v>3</v>
      </c>
      <c r="H1022" t="s">
        <v>105</v>
      </c>
      <c r="I1022" t="s">
        <v>42</v>
      </c>
      <c r="J1022" t="s">
        <v>53</v>
      </c>
      <c r="K1022" t="s">
        <v>54</v>
      </c>
      <c r="M1022" t="s">
        <v>65</v>
      </c>
      <c r="N1022" t="b">
        <v>0</v>
      </c>
      <c r="P1022" t="b">
        <v>1</v>
      </c>
      <c r="Q1022" t="b">
        <v>0</v>
      </c>
      <c r="R1022" t="b">
        <v>0</v>
      </c>
      <c r="S1022" t="b">
        <v>1</v>
      </c>
      <c r="T1022" t="b">
        <v>1</v>
      </c>
      <c r="U1022" t="s">
        <v>2792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1</v>
      </c>
      <c r="AC1022" t="b">
        <v>0</v>
      </c>
      <c r="AE1022" t="s">
        <v>2793</v>
      </c>
    </row>
    <row r="1023" spans="1:31" x14ac:dyDescent="0.3">
      <c r="A1023">
        <v>-73.95488534927</v>
      </c>
      <c r="B1023">
        <v>40.798478358440001</v>
      </c>
      <c r="C1023" t="s">
        <v>2794</v>
      </c>
      <c r="D1023" t="s">
        <v>338</v>
      </c>
      <c r="E1023" t="s">
        <v>33</v>
      </c>
      <c r="F1023">
        <v>10142018</v>
      </c>
      <c r="G1023">
        <v>4</v>
      </c>
      <c r="H1023" t="s">
        <v>48</v>
      </c>
      <c r="I1023" t="s">
        <v>42</v>
      </c>
      <c r="J1023" t="s">
        <v>53</v>
      </c>
      <c r="K1023" t="s">
        <v>54</v>
      </c>
      <c r="M1023" t="s">
        <v>44</v>
      </c>
      <c r="N1023">
        <v>30</v>
      </c>
      <c r="P1023" t="b">
        <v>0</v>
      </c>
      <c r="Q1023" t="b">
        <v>0</v>
      </c>
      <c r="R1023" t="b">
        <v>1</v>
      </c>
      <c r="S1023" t="b">
        <v>0</v>
      </c>
      <c r="T1023" t="b">
        <v>0</v>
      </c>
      <c r="U1023" t="s">
        <v>2795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E1023" t="s">
        <v>2796</v>
      </c>
    </row>
    <row r="1024" spans="1:31" x14ac:dyDescent="0.3">
      <c r="A1024">
        <v>-73.976088007019996</v>
      </c>
      <c r="B1024">
        <v>40.771105782790002</v>
      </c>
      <c r="C1024" t="s">
        <v>2797</v>
      </c>
      <c r="D1024" t="s">
        <v>2798</v>
      </c>
      <c r="E1024" t="s">
        <v>33</v>
      </c>
      <c r="F1024">
        <v>10202018</v>
      </c>
      <c r="G1024">
        <v>4</v>
      </c>
      <c r="H1024" t="s">
        <v>48</v>
      </c>
      <c r="I1024" t="s">
        <v>42</v>
      </c>
      <c r="K1024" t="s">
        <v>43</v>
      </c>
      <c r="M1024" t="s">
        <v>65</v>
      </c>
      <c r="N1024" t="b">
        <v>0</v>
      </c>
      <c r="P1024" t="b">
        <v>0</v>
      </c>
      <c r="Q1024" t="b">
        <v>0</v>
      </c>
      <c r="R1024" t="b">
        <v>0</v>
      </c>
      <c r="S1024" t="b">
        <v>1</v>
      </c>
      <c r="T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1</v>
      </c>
      <c r="AC1024" t="b">
        <v>0</v>
      </c>
      <c r="AE1024" t="s">
        <v>2799</v>
      </c>
    </row>
    <row r="1025" spans="1:31" x14ac:dyDescent="0.3">
      <c r="A1025">
        <v>-73.952151466900006</v>
      </c>
      <c r="B1025">
        <v>40.794951518280001</v>
      </c>
      <c r="C1025" t="s">
        <v>2800</v>
      </c>
      <c r="D1025" t="s">
        <v>549</v>
      </c>
      <c r="E1025" t="s">
        <v>33</v>
      </c>
      <c r="F1025">
        <v>10132018</v>
      </c>
      <c r="G1025">
        <v>3</v>
      </c>
      <c r="H1025" t="s">
        <v>105</v>
      </c>
      <c r="I1025" t="s">
        <v>42</v>
      </c>
      <c r="J1025" t="s">
        <v>96</v>
      </c>
      <c r="K1025" t="s">
        <v>97</v>
      </c>
      <c r="M1025" t="s">
        <v>65</v>
      </c>
      <c r="N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1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1</v>
      </c>
      <c r="AB1025" t="b">
        <v>1</v>
      </c>
      <c r="AC1025" t="b">
        <v>1</v>
      </c>
      <c r="AE1025" t="s">
        <v>2801</v>
      </c>
    </row>
    <row r="1026" spans="1:31" x14ac:dyDescent="0.3">
      <c r="A1026">
        <v>-73.976350661240005</v>
      </c>
      <c r="B1026">
        <v>40.771611393180002</v>
      </c>
      <c r="C1026" t="s">
        <v>2802</v>
      </c>
      <c r="D1026" t="s">
        <v>2803</v>
      </c>
      <c r="E1026" t="s">
        <v>33</v>
      </c>
      <c r="F1026">
        <v>10202018</v>
      </c>
      <c r="G1026">
        <v>5</v>
      </c>
      <c r="H1026" t="s">
        <v>105</v>
      </c>
      <c r="I1026" t="s">
        <v>42</v>
      </c>
      <c r="J1026" t="s">
        <v>53</v>
      </c>
      <c r="K1026" t="s">
        <v>54</v>
      </c>
      <c r="M1026" t="s">
        <v>65</v>
      </c>
      <c r="N1026" t="b">
        <v>0</v>
      </c>
      <c r="P1026" t="b">
        <v>0</v>
      </c>
      <c r="Q1026" t="b">
        <v>0</v>
      </c>
      <c r="R1026" t="b">
        <v>0</v>
      </c>
      <c r="S1026" t="b">
        <v>1</v>
      </c>
      <c r="T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E1026" t="s">
        <v>2804</v>
      </c>
    </row>
    <row r="1027" spans="1:31" x14ac:dyDescent="0.3">
      <c r="A1027">
        <v>-73.971095114959994</v>
      </c>
      <c r="B1027">
        <v>40.772501245009998</v>
      </c>
      <c r="C1027" t="s">
        <v>2805</v>
      </c>
      <c r="D1027" t="s">
        <v>314</v>
      </c>
      <c r="E1027" t="s">
        <v>33</v>
      </c>
      <c r="F1027">
        <v>10192018</v>
      </c>
      <c r="G1027">
        <v>4</v>
      </c>
      <c r="H1027" t="s">
        <v>48</v>
      </c>
      <c r="I1027" t="s">
        <v>176</v>
      </c>
      <c r="K1027" t="s">
        <v>177</v>
      </c>
      <c r="M1027" t="s">
        <v>65</v>
      </c>
      <c r="N1027" t="b">
        <v>0</v>
      </c>
      <c r="O1027" t="s">
        <v>701</v>
      </c>
      <c r="P1027" t="b">
        <v>0</v>
      </c>
      <c r="Q1027" t="b">
        <v>0</v>
      </c>
      <c r="R1027" t="b">
        <v>0</v>
      </c>
      <c r="S1027" t="b">
        <v>0</v>
      </c>
      <c r="T1027" t="b">
        <v>1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1</v>
      </c>
      <c r="AC1027" t="b">
        <v>0</v>
      </c>
      <c r="AE1027" t="s">
        <v>2806</v>
      </c>
    </row>
    <row r="1028" spans="1:31" x14ac:dyDescent="0.3">
      <c r="A1028">
        <v>-73.964001632489996</v>
      </c>
      <c r="B1028">
        <v>40.792175909709997</v>
      </c>
      <c r="C1028" t="s">
        <v>2807</v>
      </c>
      <c r="D1028" t="s">
        <v>104</v>
      </c>
      <c r="E1028" t="s">
        <v>33</v>
      </c>
      <c r="F1028">
        <v>10132018</v>
      </c>
      <c r="G1028">
        <v>1</v>
      </c>
      <c r="H1028" t="s">
        <v>105</v>
      </c>
      <c r="I1028" t="s">
        <v>42</v>
      </c>
      <c r="J1028" t="s">
        <v>59</v>
      </c>
      <c r="K1028" t="s">
        <v>79</v>
      </c>
      <c r="M1028" t="s">
        <v>65</v>
      </c>
      <c r="N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1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E1028" t="s">
        <v>2808</v>
      </c>
    </row>
    <row r="1029" spans="1:31" x14ac:dyDescent="0.3">
      <c r="A1029">
        <v>-73.970701234570001</v>
      </c>
      <c r="B1029">
        <v>40.775893898409997</v>
      </c>
      <c r="C1029" t="s">
        <v>2809</v>
      </c>
      <c r="D1029" t="s">
        <v>52</v>
      </c>
      <c r="E1029" t="s">
        <v>33</v>
      </c>
      <c r="F1029">
        <v>10082018</v>
      </c>
      <c r="G1029">
        <v>3</v>
      </c>
      <c r="H1029" t="s">
        <v>105</v>
      </c>
      <c r="I1029" t="s">
        <v>42</v>
      </c>
      <c r="J1029" t="s">
        <v>59</v>
      </c>
      <c r="K1029" t="s">
        <v>79</v>
      </c>
      <c r="M1029" t="s">
        <v>44</v>
      </c>
      <c r="N1029">
        <v>10</v>
      </c>
      <c r="O1029" t="s">
        <v>2810</v>
      </c>
      <c r="P1029" t="b">
        <v>0</v>
      </c>
      <c r="Q1029" t="b">
        <v>0</v>
      </c>
      <c r="R1029" t="b">
        <v>0</v>
      </c>
      <c r="S1029" t="b">
        <v>0</v>
      </c>
      <c r="T1029" t="b">
        <v>1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1</v>
      </c>
      <c r="AC1029" t="b">
        <v>0</v>
      </c>
      <c r="AE1029" t="s">
        <v>2811</v>
      </c>
    </row>
    <row r="1030" spans="1:31" x14ac:dyDescent="0.3">
      <c r="A1030">
        <v>-73.960125918909995</v>
      </c>
      <c r="B1030">
        <v>40.795535060909998</v>
      </c>
      <c r="C1030" t="s">
        <v>2812</v>
      </c>
      <c r="D1030" t="s">
        <v>1404</v>
      </c>
      <c r="E1030" t="s">
        <v>33</v>
      </c>
      <c r="F1030">
        <v>10132018</v>
      </c>
      <c r="G1030">
        <v>4</v>
      </c>
      <c r="I1030" t="s">
        <v>42</v>
      </c>
      <c r="J1030" t="s">
        <v>53</v>
      </c>
      <c r="K1030" t="s">
        <v>54</v>
      </c>
      <c r="M1030" t="s">
        <v>65</v>
      </c>
      <c r="N1030" t="b">
        <v>0</v>
      </c>
      <c r="P1030" t="b">
        <v>1</v>
      </c>
      <c r="Q1030" t="b">
        <v>0</v>
      </c>
      <c r="R1030" t="b">
        <v>0</v>
      </c>
      <c r="S1030" t="b">
        <v>1</v>
      </c>
      <c r="T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1</v>
      </c>
      <c r="AE1030" t="s">
        <v>2813</v>
      </c>
    </row>
    <row r="1031" spans="1:31" x14ac:dyDescent="0.3">
      <c r="A1031">
        <v>-73.969752673309998</v>
      </c>
      <c r="B1031">
        <v>40.775952984980002</v>
      </c>
      <c r="C1031" t="s">
        <v>2814</v>
      </c>
      <c r="D1031" t="s">
        <v>52</v>
      </c>
      <c r="E1031" t="s">
        <v>33</v>
      </c>
      <c r="F1031">
        <v>10082018</v>
      </c>
      <c r="G1031">
        <v>9</v>
      </c>
      <c r="H1031" t="s">
        <v>48</v>
      </c>
      <c r="I1031" t="s">
        <v>42</v>
      </c>
      <c r="J1031" t="s">
        <v>59</v>
      </c>
      <c r="K1031" t="s">
        <v>79</v>
      </c>
      <c r="M1031" t="s">
        <v>65</v>
      </c>
      <c r="N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1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1</v>
      </c>
      <c r="AE1031" t="s">
        <v>2815</v>
      </c>
    </row>
    <row r="1032" spans="1:31" x14ac:dyDescent="0.3">
      <c r="A1032">
        <v>-73.976659363669995</v>
      </c>
      <c r="B1032">
        <v>40.77357081788</v>
      </c>
      <c r="C1032" t="s">
        <v>2816</v>
      </c>
      <c r="D1032" t="s">
        <v>235</v>
      </c>
      <c r="E1032" t="s">
        <v>33</v>
      </c>
      <c r="F1032">
        <v>10122018</v>
      </c>
      <c r="G1032">
        <v>4</v>
      </c>
      <c r="H1032" t="s">
        <v>48</v>
      </c>
      <c r="I1032" t="s">
        <v>42</v>
      </c>
      <c r="J1032" t="s">
        <v>96</v>
      </c>
      <c r="K1032" t="s">
        <v>97</v>
      </c>
      <c r="M1032" t="s">
        <v>65</v>
      </c>
      <c r="N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1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1</v>
      </c>
      <c r="AC1032" t="b">
        <v>0</v>
      </c>
      <c r="AE1032" t="s">
        <v>2817</v>
      </c>
    </row>
    <row r="1033" spans="1:31" x14ac:dyDescent="0.3">
      <c r="A1033">
        <v>-73.963286856180005</v>
      </c>
      <c r="B1033">
        <v>40.790780631289998</v>
      </c>
      <c r="C1033" t="s">
        <v>2818</v>
      </c>
      <c r="D1033" t="s">
        <v>908</v>
      </c>
      <c r="E1033" t="s">
        <v>38</v>
      </c>
      <c r="F1033">
        <v>10072018</v>
      </c>
      <c r="G1033">
        <v>6</v>
      </c>
      <c r="H1033" t="s">
        <v>48</v>
      </c>
      <c r="I1033" t="s">
        <v>42</v>
      </c>
      <c r="K1033" t="s">
        <v>43</v>
      </c>
      <c r="M1033" t="s">
        <v>44</v>
      </c>
      <c r="N1033">
        <v>5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E1033" t="s">
        <v>2819</v>
      </c>
    </row>
    <row r="1034" spans="1:31" x14ac:dyDescent="0.3">
      <c r="A1034">
        <v>-73.97567360747</v>
      </c>
      <c r="B1034">
        <v>40.769904429420002</v>
      </c>
      <c r="C1034" t="s">
        <v>2820</v>
      </c>
      <c r="D1034" t="s">
        <v>574</v>
      </c>
      <c r="E1034" t="s">
        <v>33</v>
      </c>
      <c r="F1034">
        <v>10182018</v>
      </c>
      <c r="G1034">
        <v>1</v>
      </c>
      <c r="H1034" t="s">
        <v>48</v>
      </c>
      <c r="I1034" t="s">
        <v>42</v>
      </c>
      <c r="K1034" t="s">
        <v>43</v>
      </c>
      <c r="M1034" t="s">
        <v>65</v>
      </c>
      <c r="N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1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1</v>
      </c>
      <c r="AE1034" t="s">
        <v>2821</v>
      </c>
    </row>
    <row r="1035" spans="1:31" x14ac:dyDescent="0.3">
      <c r="A1035">
        <v>-73.955316382960007</v>
      </c>
      <c r="B1035">
        <v>40.798861092620001</v>
      </c>
      <c r="C1035" t="s">
        <v>2822</v>
      </c>
      <c r="D1035" t="s">
        <v>1424</v>
      </c>
      <c r="E1035" t="s">
        <v>33</v>
      </c>
      <c r="F1035">
        <v>10132018</v>
      </c>
      <c r="G1035">
        <v>4</v>
      </c>
      <c r="H1035" t="s">
        <v>48</v>
      </c>
      <c r="I1035" t="s">
        <v>53</v>
      </c>
      <c r="J1035" t="s">
        <v>42</v>
      </c>
      <c r="K1035" t="s">
        <v>89</v>
      </c>
      <c r="L1035" t="s">
        <v>2823</v>
      </c>
      <c r="M1035" t="s">
        <v>65</v>
      </c>
      <c r="N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s">
        <v>2824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1</v>
      </c>
      <c r="AC1035" t="b">
        <v>0</v>
      </c>
      <c r="AE1035" t="s">
        <v>2825</v>
      </c>
    </row>
    <row r="1036" spans="1:31" x14ac:dyDescent="0.3">
      <c r="A1036">
        <v>-73.977256990970005</v>
      </c>
      <c r="B1036">
        <v>40.766480479739997</v>
      </c>
      <c r="C1036" t="s">
        <v>2826</v>
      </c>
      <c r="D1036" t="s">
        <v>2593</v>
      </c>
      <c r="E1036" t="s">
        <v>38</v>
      </c>
      <c r="F1036">
        <v>10062018</v>
      </c>
      <c r="G1036">
        <v>2</v>
      </c>
      <c r="H1036" t="s">
        <v>48</v>
      </c>
      <c r="I1036" t="s">
        <v>42</v>
      </c>
      <c r="J1036" t="s">
        <v>53</v>
      </c>
      <c r="K1036" t="s">
        <v>54</v>
      </c>
      <c r="M1036" t="s">
        <v>65</v>
      </c>
      <c r="N1036" t="b">
        <v>0</v>
      </c>
      <c r="P1036" t="b">
        <v>0</v>
      </c>
      <c r="Q1036" t="b">
        <v>0</v>
      </c>
      <c r="R1036" t="b">
        <v>1</v>
      </c>
      <c r="S1036" t="b">
        <v>0</v>
      </c>
      <c r="T1036" t="b">
        <v>1</v>
      </c>
      <c r="V1036" t="b">
        <v>0</v>
      </c>
      <c r="W1036" t="b">
        <v>0</v>
      </c>
      <c r="X1036" t="b">
        <v>0</v>
      </c>
      <c r="Y1036" t="b">
        <v>0</v>
      </c>
      <c r="Z1036" t="b">
        <v>1</v>
      </c>
      <c r="AA1036" t="b">
        <v>0</v>
      </c>
      <c r="AB1036" t="b">
        <v>1</v>
      </c>
      <c r="AC1036" t="b">
        <v>0</v>
      </c>
      <c r="AE1036" t="s">
        <v>2827</v>
      </c>
    </row>
    <row r="1037" spans="1:31" x14ac:dyDescent="0.3">
      <c r="A1037">
        <v>-73.970920755099996</v>
      </c>
      <c r="B1037">
        <v>40.7767932008</v>
      </c>
      <c r="C1037" t="s">
        <v>2828</v>
      </c>
      <c r="D1037" t="s">
        <v>729</v>
      </c>
      <c r="E1037" t="s">
        <v>38</v>
      </c>
      <c r="F1037">
        <v>10142018</v>
      </c>
      <c r="G1037">
        <v>4</v>
      </c>
      <c r="H1037" t="s">
        <v>48</v>
      </c>
      <c r="I1037" t="s">
        <v>42</v>
      </c>
      <c r="J1037" t="s">
        <v>96</v>
      </c>
      <c r="K1037" t="s">
        <v>97</v>
      </c>
      <c r="M1037" t="s">
        <v>65</v>
      </c>
      <c r="N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1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1</v>
      </c>
      <c r="AB1037" t="b">
        <v>0</v>
      </c>
      <c r="AC1037" t="b">
        <v>0</v>
      </c>
      <c r="AE1037" t="s">
        <v>2829</v>
      </c>
    </row>
    <row r="1038" spans="1:31" x14ac:dyDescent="0.3">
      <c r="A1038">
        <v>-73.967740984200006</v>
      </c>
      <c r="B1038">
        <v>40.77635791406</v>
      </c>
      <c r="C1038" t="s">
        <v>2830</v>
      </c>
      <c r="D1038" t="s">
        <v>311</v>
      </c>
      <c r="E1038" t="s">
        <v>33</v>
      </c>
      <c r="F1038">
        <v>10192018</v>
      </c>
      <c r="G1038">
        <v>8</v>
      </c>
      <c r="H1038" t="s">
        <v>48</v>
      </c>
      <c r="K1038" t="s">
        <v>34</v>
      </c>
      <c r="M1038" t="s">
        <v>44</v>
      </c>
      <c r="N1038">
        <v>5</v>
      </c>
      <c r="P1038" t="b">
        <v>0</v>
      </c>
      <c r="Q1038" t="b">
        <v>1</v>
      </c>
      <c r="R1038" t="b">
        <v>0</v>
      </c>
      <c r="S1038" t="b">
        <v>0</v>
      </c>
      <c r="T1038" t="b">
        <v>0</v>
      </c>
      <c r="V1038" t="b">
        <v>0</v>
      </c>
      <c r="W1038" t="b">
        <v>1</v>
      </c>
      <c r="X1038" t="b">
        <v>1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E1038" t="s">
        <v>2831</v>
      </c>
    </row>
    <row r="1039" spans="1:31" x14ac:dyDescent="0.3">
      <c r="A1039">
        <v>-73.956331116710004</v>
      </c>
      <c r="B1039">
        <v>40.795090156329998</v>
      </c>
      <c r="C1039" t="s">
        <v>2832</v>
      </c>
      <c r="D1039" t="s">
        <v>520</v>
      </c>
      <c r="E1039" t="s">
        <v>38</v>
      </c>
      <c r="F1039">
        <v>10102018</v>
      </c>
      <c r="G1039">
        <v>12</v>
      </c>
      <c r="H1039" t="s">
        <v>48</v>
      </c>
      <c r="I1039" t="s">
        <v>53</v>
      </c>
      <c r="K1039" t="s">
        <v>155</v>
      </c>
      <c r="M1039" t="s">
        <v>65</v>
      </c>
      <c r="N1039" t="b">
        <v>0</v>
      </c>
      <c r="O1039" t="s">
        <v>2833</v>
      </c>
      <c r="P1039" t="b">
        <v>0</v>
      </c>
      <c r="Q1039" t="b">
        <v>1</v>
      </c>
      <c r="R1039" t="b">
        <v>0</v>
      </c>
      <c r="S1039" t="b">
        <v>0</v>
      </c>
      <c r="T1039" t="b">
        <v>0</v>
      </c>
      <c r="V1039" t="b">
        <v>0</v>
      </c>
      <c r="W1039" t="b">
        <v>0</v>
      </c>
      <c r="X1039" t="b">
        <v>0</v>
      </c>
      <c r="Y1039" t="b">
        <v>1</v>
      </c>
      <c r="Z1039" t="b">
        <v>0</v>
      </c>
      <c r="AA1039" t="b">
        <v>0</v>
      </c>
      <c r="AB1039" t="b">
        <v>0</v>
      </c>
      <c r="AC1039" t="b">
        <v>0</v>
      </c>
      <c r="AD1039" t="s">
        <v>2834</v>
      </c>
      <c r="AE1039" t="s">
        <v>2835</v>
      </c>
    </row>
    <row r="1040" spans="1:31" x14ac:dyDescent="0.3">
      <c r="A1040">
        <v>-73.958464600010004</v>
      </c>
      <c r="B1040">
        <v>40.798398466599998</v>
      </c>
      <c r="C1040" t="s">
        <v>2836</v>
      </c>
      <c r="D1040" t="s">
        <v>212</v>
      </c>
      <c r="E1040" t="s">
        <v>33</v>
      </c>
      <c r="F1040">
        <v>10142018</v>
      </c>
      <c r="G1040">
        <v>7</v>
      </c>
      <c r="H1040" t="s">
        <v>48</v>
      </c>
      <c r="I1040" t="s">
        <v>42</v>
      </c>
      <c r="J1040" t="s">
        <v>53</v>
      </c>
      <c r="K1040" t="s">
        <v>54</v>
      </c>
      <c r="M1040" t="s">
        <v>65</v>
      </c>
      <c r="N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1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1</v>
      </c>
      <c r="AC1040" t="b">
        <v>0</v>
      </c>
      <c r="AE1040" t="s">
        <v>2837</v>
      </c>
    </row>
    <row r="1041" spans="1:31" x14ac:dyDescent="0.3">
      <c r="A1041">
        <v>-73.964323650539995</v>
      </c>
      <c r="B1041">
        <v>40.788785477159998</v>
      </c>
      <c r="C1041" t="s">
        <v>2838</v>
      </c>
      <c r="D1041" t="s">
        <v>289</v>
      </c>
      <c r="E1041" t="s">
        <v>38</v>
      </c>
      <c r="F1041">
        <v>10142018</v>
      </c>
      <c r="G1041">
        <v>2</v>
      </c>
      <c r="H1041" t="s">
        <v>48</v>
      </c>
      <c r="I1041" t="s">
        <v>42</v>
      </c>
      <c r="K1041" t="s">
        <v>43</v>
      </c>
      <c r="M1041" t="s">
        <v>44</v>
      </c>
      <c r="N1041">
        <v>30</v>
      </c>
      <c r="P1041" t="b">
        <v>0</v>
      </c>
      <c r="Q1041" t="b">
        <v>0</v>
      </c>
      <c r="R1041" t="b">
        <v>1</v>
      </c>
      <c r="S1041" t="b">
        <v>0</v>
      </c>
      <c r="T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1</v>
      </c>
      <c r="AC1041" t="b">
        <v>0</v>
      </c>
      <c r="AE1041" t="s">
        <v>2839</v>
      </c>
    </row>
    <row r="1042" spans="1:31" x14ac:dyDescent="0.3">
      <c r="A1042">
        <v>-73.959337434190005</v>
      </c>
      <c r="B1042">
        <v>40.797258337800002</v>
      </c>
      <c r="C1042" t="s">
        <v>2840</v>
      </c>
      <c r="D1042" t="s">
        <v>431</v>
      </c>
      <c r="E1042" t="s">
        <v>33</v>
      </c>
      <c r="F1042">
        <v>10182018</v>
      </c>
      <c r="G1042">
        <v>1</v>
      </c>
      <c r="H1042" t="s">
        <v>48</v>
      </c>
      <c r="I1042" t="s">
        <v>53</v>
      </c>
      <c r="J1042" t="s">
        <v>42</v>
      </c>
      <c r="K1042" t="s">
        <v>89</v>
      </c>
      <c r="M1042" t="s">
        <v>65</v>
      </c>
      <c r="N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1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E1042" t="s">
        <v>2841</v>
      </c>
    </row>
    <row r="1043" spans="1:31" x14ac:dyDescent="0.3">
      <c r="A1043">
        <v>-73.975856439479998</v>
      </c>
      <c r="B1043">
        <v>40.767475894279997</v>
      </c>
      <c r="C1043" t="s">
        <v>2842</v>
      </c>
      <c r="D1043" t="s">
        <v>215</v>
      </c>
      <c r="E1043" t="s">
        <v>38</v>
      </c>
      <c r="F1043">
        <v>10062018</v>
      </c>
      <c r="G1043">
        <v>5</v>
      </c>
      <c r="H1043" t="s">
        <v>105</v>
      </c>
      <c r="I1043" t="s">
        <v>42</v>
      </c>
      <c r="K1043" t="s">
        <v>43</v>
      </c>
      <c r="M1043" t="s">
        <v>65</v>
      </c>
      <c r="N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1</v>
      </c>
      <c r="V1043" t="b">
        <v>0</v>
      </c>
      <c r="W1043" t="b">
        <v>0</v>
      </c>
      <c r="X1043" t="b">
        <v>0</v>
      </c>
      <c r="Y1043" t="b">
        <v>0</v>
      </c>
      <c r="Z1043" t="b">
        <v>1</v>
      </c>
      <c r="AA1043" t="b">
        <v>0</v>
      </c>
      <c r="AB1043" t="b">
        <v>0</v>
      </c>
      <c r="AC1043" t="b">
        <v>0</v>
      </c>
      <c r="AE1043" t="s">
        <v>2843</v>
      </c>
    </row>
    <row r="1044" spans="1:31" x14ac:dyDescent="0.3">
      <c r="A1044">
        <v>-73.969325408049997</v>
      </c>
      <c r="B1044">
        <v>40.776160032710003</v>
      </c>
      <c r="C1044" t="s">
        <v>2844</v>
      </c>
      <c r="D1044" t="s">
        <v>225</v>
      </c>
      <c r="E1044" t="s">
        <v>38</v>
      </c>
      <c r="F1044">
        <v>10072018</v>
      </c>
      <c r="G1044">
        <v>1</v>
      </c>
      <c r="H1044" t="s">
        <v>48</v>
      </c>
      <c r="I1044" t="s">
        <v>42</v>
      </c>
      <c r="J1044" t="s">
        <v>53</v>
      </c>
      <c r="K1044" t="s">
        <v>54</v>
      </c>
      <c r="M1044" t="s">
        <v>44</v>
      </c>
      <c r="N1044">
        <v>30</v>
      </c>
      <c r="P1044" t="b">
        <v>0</v>
      </c>
      <c r="Q1044" t="b">
        <v>0</v>
      </c>
      <c r="R1044" t="b">
        <v>1</v>
      </c>
      <c r="S1044" t="b">
        <v>0</v>
      </c>
      <c r="T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1</v>
      </c>
      <c r="AC1044" t="b">
        <v>0</v>
      </c>
      <c r="AE1044" t="s">
        <v>2845</v>
      </c>
    </row>
    <row r="1045" spans="1:31" x14ac:dyDescent="0.3">
      <c r="A1045">
        <v>-73.9730420697</v>
      </c>
      <c r="B1045">
        <v>40.778615101969997</v>
      </c>
      <c r="C1045" t="s">
        <v>2846</v>
      </c>
      <c r="D1045" t="s">
        <v>1138</v>
      </c>
      <c r="E1045" t="s">
        <v>38</v>
      </c>
      <c r="F1045">
        <v>10142018</v>
      </c>
      <c r="G1045">
        <v>1</v>
      </c>
      <c r="H1045" t="s">
        <v>48</v>
      </c>
      <c r="I1045" t="s">
        <v>42</v>
      </c>
      <c r="J1045" t="s">
        <v>53</v>
      </c>
      <c r="K1045" t="s">
        <v>54</v>
      </c>
      <c r="M1045" t="s">
        <v>44</v>
      </c>
      <c r="N1045">
        <v>40</v>
      </c>
      <c r="P1045" t="b">
        <v>0</v>
      </c>
      <c r="Q1045" t="b">
        <v>0</v>
      </c>
      <c r="R1045" t="b">
        <v>1</v>
      </c>
      <c r="S1045" t="b">
        <v>0</v>
      </c>
      <c r="T1045" t="b">
        <v>1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E1045" t="s">
        <v>2847</v>
      </c>
    </row>
    <row r="1046" spans="1:31" x14ac:dyDescent="0.3">
      <c r="A1046">
        <v>-73.964789122859997</v>
      </c>
      <c r="B1046">
        <v>40.789853066040003</v>
      </c>
      <c r="C1046" t="s">
        <v>2848</v>
      </c>
      <c r="D1046" t="s">
        <v>1133</v>
      </c>
      <c r="E1046" t="s">
        <v>38</v>
      </c>
      <c r="F1046">
        <v>10072018</v>
      </c>
      <c r="G1046">
        <v>2</v>
      </c>
      <c r="H1046" t="s">
        <v>48</v>
      </c>
      <c r="I1046" t="s">
        <v>42</v>
      </c>
      <c r="K1046" t="s">
        <v>43</v>
      </c>
      <c r="M1046" t="s">
        <v>44</v>
      </c>
      <c r="N1046">
        <v>30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V1046" t="b">
        <v>0</v>
      </c>
      <c r="W1046" t="b">
        <v>0</v>
      </c>
      <c r="X1046" t="b">
        <v>0</v>
      </c>
      <c r="Y1046" t="b">
        <v>1</v>
      </c>
      <c r="Z1046" t="b">
        <v>0</v>
      </c>
      <c r="AA1046" t="b">
        <v>0</v>
      </c>
      <c r="AB1046" t="b">
        <v>0</v>
      </c>
      <c r="AC1046" t="b">
        <v>0</v>
      </c>
      <c r="AE1046" t="s">
        <v>2849</v>
      </c>
    </row>
    <row r="1047" spans="1:31" x14ac:dyDescent="0.3">
      <c r="A1047">
        <v>-73.958011105669996</v>
      </c>
      <c r="B1047">
        <v>40.78543394015</v>
      </c>
      <c r="C1047" t="s">
        <v>2850</v>
      </c>
      <c r="D1047" t="s">
        <v>1083</v>
      </c>
      <c r="E1047" t="s">
        <v>33</v>
      </c>
      <c r="F1047">
        <v>10202018</v>
      </c>
      <c r="G1047">
        <v>2</v>
      </c>
      <c r="H1047" t="s">
        <v>48</v>
      </c>
      <c r="I1047" t="s">
        <v>42</v>
      </c>
      <c r="J1047" t="s">
        <v>59</v>
      </c>
      <c r="K1047" t="s">
        <v>79</v>
      </c>
      <c r="M1047" t="s">
        <v>65</v>
      </c>
      <c r="N1047" t="b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E1047" t="s">
        <v>2851</v>
      </c>
    </row>
    <row r="1048" spans="1:31" x14ac:dyDescent="0.3">
      <c r="A1048">
        <v>-73.978212013939995</v>
      </c>
      <c r="B1048">
        <v>40.771715446880002</v>
      </c>
      <c r="C1048" t="s">
        <v>2852</v>
      </c>
      <c r="D1048" t="s">
        <v>870</v>
      </c>
      <c r="E1048" t="s">
        <v>38</v>
      </c>
      <c r="F1048">
        <v>10062018</v>
      </c>
      <c r="G1048">
        <v>5</v>
      </c>
      <c r="H1048" t="s">
        <v>48</v>
      </c>
      <c r="I1048" t="s">
        <v>42</v>
      </c>
      <c r="J1048" t="s">
        <v>96</v>
      </c>
      <c r="K1048" t="s">
        <v>97</v>
      </c>
      <c r="M1048" t="s">
        <v>44</v>
      </c>
      <c r="N1048">
        <v>4</v>
      </c>
      <c r="O1048" t="s">
        <v>190</v>
      </c>
      <c r="P1048" t="b">
        <v>0</v>
      </c>
      <c r="Q1048" t="b">
        <v>0</v>
      </c>
      <c r="R1048" t="b">
        <v>1</v>
      </c>
      <c r="S1048" t="b">
        <v>0</v>
      </c>
      <c r="T1048" t="b">
        <v>0</v>
      </c>
      <c r="V1048" t="b">
        <v>0</v>
      </c>
      <c r="W1048" t="b">
        <v>0</v>
      </c>
      <c r="X1048" t="b">
        <v>0</v>
      </c>
      <c r="Y1048" t="b">
        <v>1</v>
      </c>
      <c r="Z1048" t="b">
        <v>1</v>
      </c>
      <c r="AA1048" t="b">
        <v>0</v>
      </c>
      <c r="AB1048" t="b">
        <v>0</v>
      </c>
      <c r="AC1048" t="b">
        <v>0</v>
      </c>
      <c r="AD1048" t="s">
        <v>1746</v>
      </c>
      <c r="AE1048" t="s">
        <v>2853</v>
      </c>
    </row>
    <row r="1049" spans="1:31" x14ac:dyDescent="0.3">
      <c r="A1049">
        <v>-73.956460642639996</v>
      </c>
      <c r="B1049">
        <v>40.788054657259998</v>
      </c>
      <c r="C1049" t="s">
        <v>2854</v>
      </c>
      <c r="D1049" t="s">
        <v>1912</v>
      </c>
      <c r="E1049" t="s">
        <v>33</v>
      </c>
      <c r="F1049">
        <v>10062018</v>
      </c>
      <c r="G1049">
        <v>6</v>
      </c>
      <c r="H1049" t="s">
        <v>48</v>
      </c>
      <c r="I1049" t="s">
        <v>42</v>
      </c>
      <c r="J1049" t="s">
        <v>59</v>
      </c>
      <c r="K1049" t="s">
        <v>79</v>
      </c>
      <c r="M1049" t="s">
        <v>65</v>
      </c>
      <c r="N1049" t="b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1</v>
      </c>
      <c r="AC1049" t="b">
        <v>1</v>
      </c>
      <c r="AD1049" t="s">
        <v>1203</v>
      </c>
      <c r="AE1049" t="s">
        <v>2855</v>
      </c>
    </row>
    <row r="1050" spans="1:31" x14ac:dyDescent="0.3">
      <c r="A1050">
        <v>-73.956264207689998</v>
      </c>
      <c r="B1050">
        <v>40.798333876309997</v>
      </c>
      <c r="C1050" t="s">
        <v>2856</v>
      </c>
      <c r="D1050" t="s">
        <v>1130</v>
      </c>
      <c r="E1050" t="s">
        <v>38</v>
      </c>
      <c r="F1050">
        <v>10172018</v>
      </c>
      <c r="G1050">
        <v>2</v>
      </c>
      <c r="H1050" t="s">
        <v>48</v>
      </c>
      <c r="I1050" t="s">
        <v>53</v>
      </c>
      <c r="J1050" t="s">
        <v>42</v>
      </c>
      <c r="K1050" t="s">
        <v>89</v>
      </c>
      <c r="M1050" t="s">
        <v>65</v>
      </c>
      <c r="N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1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1</v>
      </c>
      <c r="AB1050" t="b">
        <v>0</v>
      </c>
      <c r="AC1050" t="b">
        <v>0</v>
      </c>
      <c r="AE1050" t="s">
        <v>2857</v>
      </c>
    </row>
    <row r="1051" spans="1:31" x14ac:dyDescent="0.3">
      <c r="A1051">
        <v>-73.961374703269996</v>
      </c>
      <c r="B1051">
        <v>40.792048385240001</v>
      </c>
      <c r="C1051" t="s">
        <v>2858</v>
      </c>
      <c r="D1051" t="s">
        <v>275</v>
      </c>
      <c r="E1051" t="s">
        <v>33</v>
      </c>
      <c r="F1051">
        <v>10072018</v>
      </c>
      <c r="G1051">
        <v>1</v>
      </c>
      <c r="H1051" t="s">
        <v>48</v>
      </c>
      <c r="I1051" t="s">
        <v>42</v>
      </c>
      <c r="K1051" t="s">
        <v>43</v>
      </c>
      <c r="M1051" t="s">
        <v>65</v>
      </c>
      <c r="N1051" t="b">
        <v>0</v>
      </c>
      <c r="P1051" t="b">
        <v>1</v>
      </c>
      <c r="Q1051" t="b">
        <v>0</v>
      </c>
      <c r="R1051" t="b">
        <v>1</v>
      </c>
      <c r="S1051" t="b">
        <v>0</v>
      </c>
      <c r="T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1</v>
      </c>
      <c r="AE1051" t="s">
        <v>2859</v>
      </c>
    </row>
    <row r="1052" spans="1:31" x14ac:dyDescent="0.3">
      <c r="A1052">
        <v>-73.977385818960002</v>
      </c>
      <c r="B1052">
        <v>40.770807701560003</v>
      </c>
      <c r="C1052" t="s">
        <v>2860</v>
      </c>
      <c r="D1052" t="s">
        <v>2861</v>
      </c>
      <c r="E1052" t="s">
        <v>33</v>
      </c>
      <c r="F1052">
        <v>10132018</v>
      </c>
      <c r="G1052">
        <v>1</v>
      </c>
      <c r="H1052" t="s">
        <v>48</v>
      </c>
      <c r="I1052" t="s">
        <v>42</v>
      </c>
      <c r="J1052" t="s">
        <v>53</v>
      </c>
      <c r="K1052" t="s">
        <v>54</v>
      </c>
      <c r="M1052" t="s">
        <v>65</v>
      </c>
      <c r="N1052" t="b">
        <v>0</v>
      </c>
      <c r="P1052" t="b">
        <v>0</v>
      </c>
      <c r="Q1052" t="b">
        <v>0</v>
      </c>
      <c r="R1052" t="b">
        <v>0</v>
      </c>
      <c r="S1052" t="b">
        <v>1</v>
      </c>
      <c r="T1052" t="b">
        <v>1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E1052" t="s">
        <v>2862</v>
      </c>
    </row>
    <row r="1053" spans="1:31" x14ac:dyDescent="0.3">
      <c r="A1053">
        <v>-73.968585970549995</v>
      </c>
      <c r="B1053">
        <v>40.784880506530001</v>
      </c>
      <c r="C1053" t="s">
        <v>2863</v>
      </c>
      <c r="D1053" t="s">
        <v>2864</v>
      </c>
      <c r="E1053" t="s">
        <v>38</v>
      </c>
      <c r="F1053">
        <v>10182018</v>
      </c>
      <c r="G1053">
        <v>4</v>
      </c>
      <c r="H1053" t="s">
        <v>48</v>
      </c>
      <c r="I1053" t="s">
        <v>42</v>
      </c>
      <c r="K1053" t="s">
        <v>43</v>
      </c>
      <c r="M1053" t="s">
        <v>44</v>
      </c>
      <c r="N1053">
        <v>3</v>
      </c>
      <c r="O1053" t="s">
        <v>2865</v>
      </c>
      <c r="P1053" t="b">
        <v>0</v>
      </c>
      <c r="Q1053" t="b">
        <v>0</v>
      </c>
      <c r="R1053" t="b">
        <v>1</v>
      </c>
      <c r="S1053" t="b">
        <v>0</v>
      </c>
      <c r="T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1</v>
      </c>
      <c r="AE1053" t="s">
        <v>2866</v>
      </c>
    </row>
    <row r="1054" spans="1:31" x14ac:dyDescent="0.3">
      <c r="A1054">
        <v>-73.957005046090003</v>
      </c>
      <c r="B1054">
        <v>40.798519225070002</v>
      </c>
      <c r="C1054" t="s">
        <v>2867</v>
      </c>
      <c r="D1054" t="s">
        <v>1245</v>
      </c>
      <c r="E1054" t="s">
        <v>38</v>
      </c>
      <c r="F1054">
        <v>10172018</v>
      </c>
      <c r="G1054">
        <v>5</v>
      </c>
      <c r="H1054" t="s">
        <v>48</v>
      </c>
      <c r="I1054" t="s">
        <v>42</v>
      </c>
      <c r="J1054" t="s">
        <v>59</v>
      </c>
      <c r="K1054" t="s">
        <v>79</v>
      </c>
      <c r="M1054" t="s">
        <v>65</v>
      </c>
      <c r="N1054" t="b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1</v>
      </c>
      <c r="AE1054" t="s">
        <v>2868</v>
      </c>
    </row>
    <row r="1055" spans="1:31" x14ac:dyDescent="0.3">
      <c r="A1055">
        <v>-73.963233713470004</v>
      </c>
      <c r="B1055">
        <v>40.791468237069999</v>
      </c>
      <c r="C1055" t="s">
        <v>2869</v>
      </c>
      <c r="D1055" t="s">
        <v>2511</v>
      </c>
      <c r="E1055" t="s">
        <v>33</v>
      </c>
      <c r="F1055">
        <v>10072018</v>
      </c>
      <c r="G1055">
        <v>1</v>
      </c>
      <c r="H1055" t="s">
        <v>48</v>
      </c>
      <c r="I1055" t="s">
        <v>42</v>
      </c>
      <c r="J1055" t="s">
        <v>53</v>
      </c>
      <c r="K1055" t="s">
        <v>54</v>
      </c>
      <c r="M1055" t="s">
        <v>44</v>
      </c>
      <c r="N1055">
        <v>10</v>
      </c>
      <c r="P1055" t="b">
        <v>0</v>
      </c>
      <c r="Q1055" t="b">
        <v>1</v>
      </c>
      <c r="R1055" t="b">
        <v>1</v>
      </c>
      <c r="S1055" t="b">
        <v>0</v>
      </c>
      <c r="T1055" t="b">
        <v>0</v>
      </c>
      <c r="U1055" t="s">
        <v>2870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1</v>
      </c>
      <c r="AE1055" t="s">
        <v>2871</v>
      </c>
    </row>
    <row r="1056" spans="1:31" x14ac:dyDescent="0.3">
      <c r="A1056">
        <v>-73.981107844250005</v>
      </c>
      <c r="B1056">
        <v>40.76751594057</v>
      </c>
      <c r="C1056" t="s">
        <v>2872</v>
      </c>
      <c r="D1056" t="s">
        <v>1775</v>
      </c>
      <c r="E1056" t="s">
        <v>38</v>
      </c>
      <c r="F1056">
        <v>10072018</v>
      </c>
      <c r="G1056">
        <v>4</v>
      </c>
      <c r="H1056" t="s">
        <v>48</v>
      </c>
      <c r="I1056" t="s">
        <v>53</v>
      </c>
      <c r="J1056" t="s">
        <v>42</v>
      </c>
      <c r="K1056" t="s">
        <v>89</v>
      </c>
      <c r="M1056" t="s">
        <v>65</v>
      </c>
      <c r="N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1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1</v>
      </c>
      <c r="AC1056" t="b">
        <v>0</v>
      </c>
      <c r="AE1056" t="s">
        <v>2873</v>
      </c>
    </row>
    <row r="1057" spans="1:31" x14ac:dyDescent="0.3">
      <c r="A1057">
        <v>-73.959440622589995</v>
      </c>
      <c r="B1057">
        <v>40.791853370779997</v>
      </c>
      <c r="C1057" t="s">
        <v>2874</v>
      </c>
      <c r="D1057" t="s">
        <v>1202</v>
      </c>
      <c r="E1057" t="s">
        <v>38</v>
      </c>
      <c r="F1057">
        <v>10172018</v>
      </c>
      <c r="G1057">
        <v>2</v>
      </c>
      <c r="H1057" t="s">
        <v>48</v>
      </c>
      <c r="I1057" t="s">
        <v>176</v>
      </c>
      <c r="J1057" t="s">
        <v>53</v>
      </c>
      <c r="K1057" t="s">
        <v>705</v>
      </c>
      <c r="M1057" t="s">
        <v>65</v>
      </c>
      <c r="N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1</v>
      </c>
      <c r="V1057" t="b">
        <v>0</v>
      </c>
      <c r="W1057" t="b">
        <v>0</v>
      </c>
      <c r="X1057" t="b">
        <v>0</v>
      </c>
      <c r="Y1057" t="b">
        <v>0</v>
      </c>
      <c r="Z1057" t="b">
        <v>1</v>
      </c>
      <c r="AA1057" t="b">
        <v>1</v>
      </c>
      <c r="AB1057" t="b">
        <v>0</v>
      </c>
      <c r="AC1057" t="b">
        <v>0</v>
      </c>
      <c r="AE1057" t="s">
        <v>2875</v>
      </c>
    </row>
    <row r="1058" spans="1:31" x14ac:dyDescent="0.3">
      <c r="A1058">
        <v>-73.973710074319996</v>
      </c>
      <c r="B1058">
        <v>40.770836012170001</v>
      </c>
      <c r="C1058" t="s">
        <v>2876</v>
      </c>
      <c r="D1058" t="s">
        <v>139</v>
      </c>
      <c r="E1058" t="s">
        <v>33</v>
      </c>
      <c r="F1058">
        <v>10132018</v>
      </c>
      <c r="G1058">
        <v>3</v>
      </c>
      <c r="H1058" t="s">
        <v>48</v>
      </c>
      <c r="I1058" t="s">
        <v>42</v>
      </c>
      <c r="K1058" t="s">
        <v>43</v>
      </c>
      <c r="M1058" t="s">
        <v>65</v>
      </c>
      <c r="N1058" t="b">
        <v>0</v>
      </c>
      <c r="O1058" t="s">
        <v>2877</v>
      </c>
      <c r="P1058" t="b">
        <v>0</v>
      </c>
      <c r="Q1058" t="b">
        <v>0</v>
      </c>
      <c r="R1058" t="b">
        <v>0</v>
      </c>
      <c r="S1058" t="b">
        <v>0</v>
      </c>
      <c r="T1058" t="b">
        <v>1</v>
      </c>
      <c r="V1058" t="b">
        <v>0</v>
      </c>
      <c r="W1058" t="b">
        <v>0</v>
      </c>
      <c r="X1058" t="b">
        <v>0</v>
      </c>
      <c r="Y1058" t="b">
        <v>1</v>
      </c>
      <c r="Z1058" t="b">
        <v>1</v>
      </c>
      <c r="AA1058" t="b">
        <v>0</v>
      </c>
      <c r="AB1058" t="b">
        <v>1</v>
      </c>
      <c r="AC1058" t="b">
        <v>0</v>
      </c>
      <c r="AE1058" t="s">
        <v>2878</v>
      </c>
    </row>
    <row r="1059" spans="1:31" x14ac:dyDescent="0.3">
      <c r="A1059">
        <v>-73.974945751690001</v>
      </c>
      <c r="B1059">
        <v>40.76767123722</v>
      </c>
      <c r="C1059" t="s">
        <v>2879</v>
      </c>
      <c r="D1059" t="s">
        <v>1701</v>
      </c>
      <c r="E1059" t="s">
        <v>33</v>
      </c>
      <c r="F1059">
        <v>10132018</v>
      </c>
      <c r="G1059">
        <v>7</v>
      </c>
      <c r="H1059" t="s">
        <v>48</v>
      </c>
      <c r="I1059" t="s">
        <v>42</v>
      </c>
      <c r="J1059" t="s">
        <v>53</v>
      </c>
      <c r="K1059" t="s">
        <v>54</v>
      </c>
      <c r="M1059" t="s">
        <v>65</v>
      </c>
      <c r="N1059" t="b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V1059" t="b">
        <v>0</v>
      </c>
      <c r="W1059" t="b">
        <v>0</v>
      </c>
      <c r="X1059" t="b">
        <v>0</v>
      </c>
      <c r="Y1059" t="b">
        <v>1</v>
      </c>
      <c r="Z1059" t="b">
        <v>0</v>
      </c>
      <c r="AA1059" t="b">
        <v>0</v>
      </c>
      <c r="AB1059" t="b">
        <v>0</v>
      </c>
      <c r="AC1059" t="b">
        <v>1</v>
      </c>
      <c r="AE1059" t="s">
        <v>2880</v>
      </c>
    </row>
    <row r="1060" spans="1:31" x14ac:dyDescent="0.3">
      <c r="A1060">
        <v>-73.972887106119998</v>
      </c>
      <c r="B1060">
        <v>40.771298365889997</v>
      </c>
      <c r="C1060" t="s">
        <v>2881</v>
      </c>
      <c r="D1060" t="s">
        <v>764</v>
      </c>
      <c r="E1060" t="s">
        <v>33</v>
      </c>
      <c r="F1060">
        <v>10122018</v>
      </c>
      <c r="G1060">
        <v>8</v>
      </c>
      <c r="H1060" t="s">
        <v>48</v>
      </c>
      <c r="I1060" t="s">
        <v>42</v>
      </c>
      <c r="J1060" t="s">
        <v>53</v>
      </c>
      <c r="K1060" t="s">
        <v>54</v>
      </c>
      <c r="M1060" t="s">
        <v>44</v>
      </c>
      <c r="N1060">
        <v>10</v>
      </c>
      <c r="P1060" t="b">
        <v>0</v>
      </c>
      <c r="Q1060" t="b">
        <v>0</v>
      </c>
      <c r="R1060" t="b">
        <v>0</v>
      </c>
      <c r="S1060" t="b">
        <v>1</v>
      </c>
      <c r="T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1</v>
      </c>
      <c r="AE1060" t="s">
        <v>2882</v>
      </c>
    </row>
    <row r="1061" spans="1:31" x14ac:dyDescent="0.3">
      <c r="A1061">
        <v>-73.953265771559998</v>
      </c>
      <c r="B1061">
        <v>40.79490468094</v>
      </c>
      <c r="C1061" t="s">
        <v>2883</v>
      </c>
      <c r="D1061" t="s">
        <v>133</v>
      </c>
      <c r="E1061" t="s">
        <v>38</v>
      </c>
      <c r="F1061">
        <v>10182018</v>
      </c>
      <c r="G1061">
        <v>2</v>
      </c>
      <c r="H1061" t="s">
        <v>105</v>
      </c>
      <c r="I1061" t="s">
        <v>42</v>
      </c>
      <c r="K1061" t="s">
        <v>43</v>
      </c>
      <c r="M1061" t="s">
        <v>44</v>
      </c>
      <c r="N1061">
        <v>25</v>
      </c>
      <c r="O1061" t="s">
        <v>2865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s">
        <v>2884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1</v>
      </c>
      <c r="AC1061" t="b">
        <v>0</v>
      </c>
      <c r="AE1061" t="s">
        <v>2885</v>
      </c>
    </row>
    <row r="1062" spans="1:31" x14ac:dyDescent="0.3">
      <c r="A1062">
        <v>-73.957259673400003</v>
      </c>
      <c r="B1062">
        <v>40.797444291390001</v>
      </c>
      <c r="C1062" t="s">
        <v>2886</v>
      </c>
      <c r="D1062" t="s">
        <v>218</v>
      </c>
      <c r="E1062" t="s">
        <v>38</v>
      </c>
      <c r="F1062">
        <v>10172018</v>
      </c>
      <c r="G1062">
        <v>2</v>
      </c>
      <c r="H1062" t="s">
        <v>48</v>
      </c>
      <c r="I1062" t="s">
        <v>42</v>
      </c>
      <c r="J1062" t="s">
        <v>53</v>
      </c>
      <c r="K1062" t="s">
        <v>54</v>
      </c>
      <c r="M1062" t="s">
        <v>65</v>
      </c>
      <c r="N1062" t="b">
        <v>0</v>
      </c>
      <c r="P1062" t="b">
        <v>0</v>
      </c>
      <c r="Q1062" t="b">
        <v>0</v>
      </c>
      <c r="R1062" t="b">
        <v>0</v>
      </c>
      <c r="S1062" t="b">
        <v>1</v>
      </c>
      <c r="T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1</v>
      </c>
      <c r="AA1062" t="b">
        <v>0</v>
      </c>
      <c r="AB1062" t="b">
        <v>1</v>
      </c>
      <c r="AC1062" t="b">
        <v>0</v>
      </c>
      <c r="AE1062" t="s">
        <v>2887</v>
      </c>
    </row>
    <row r="1063" spans="1:31" x14ac:dyDescent="0.3">
      <c r="A1063">
        <v>-73.975034677829996</v>
      </c>
      <c r="B1063">
        <v>40.76654044048</v>
      </c>
      <c r="C1063" t="s">
        <v>2888</v>
      </c>
      <c r="D1063" t="s">
        <v>2889</v>
      </c>
      <c r="E1063" t="s">
        <v>33</v>
      </c>
      <c r="F1063">
        <v>10072018</v>
      </c>
      <c r="G1063">
        <v>1</v>
      </c>
      <c r="H1063" t="s">
        <v>48</v>
      </c>
      <c r="I1063" t="s">
        <v>42</v>
      </c>
      <c r="J1063" t="s">
        <v>53</v>
      </c>
      <c r="K1063" t="s">
        <v>54</v>
      </c>
      <c r="M1063" t="s">
        <v>65</v>
      </c>
      <c r="N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1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1</v>
      </c>
      <c r="AC1063" t="b">
        <v>0</v>
      </c>
      <c r="AE1063" t="s">
        <v>2890</v>
      </c>
    </row>
    <row r="1064" spans="1:31" x14ac:dyDescent="0.3">
      <c r="A1064">
        <v>-73.954025731960002</v>
      </c>
      <c r="B1064">
        <v>40.798408619120003</v>
      </c>
      <c r="C1064" t="s">
        <v>2891</v>
      </c>
      <c r="D1064" t="s">
        <v>317</v>
      </c>
      <c r="E1064" t="s">
        <v>33</v>
      </c>
      <c r="F1064">
        <v>10122018</v>
      </c>
      <c r="G1064">
        <v>2</v>
      </c>
      <c r="H1064" t="s">
        <v>105</v>
      </c>
      <c r="I1064" t="s">
        <v>42</v>
      </c>
      <c r="J1064" t="s">
        <v>53</v>
      </c>
      <c r="K1064" t="s">
        <v>54</v>
      </c>
      <c r="P1064" t="b">
        <v>1</v>
      </c>
      <c r="Q1064" t="b">
        <v>0</v>
      </c>
      <c r="R1064" t="b">
        <v>1</v>
      </c>
      <c r="S1064" t="b">
        <v>0</v>
      </c>
      <c r="T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1</v>
      </c>
      <c r="AC1064" t="b">
        <v>1</v>
      </c>
      <c r="AE1064" t="s">
        <v>2892</v>
      </c>
    </row>
    <row r="1065" spans="1:31" x14ac:dyDescent="0.3">
      <c r="A1065">
        <v>-73.976970077740006</v>
      </c>
      <c r="B1065">
        <v>40.772848957500003</v>
      </c>
      <c r="C1065" t="s">
        <v>2893</v>
      </c>
      <c r="D1065" t="s">
        <v>439</v>
      </c>
      <c r="E1065" t="s">
        <v>38</v>
      </c>
      <c r="F1065">
        <v>10082018</v>
      </c>
      <c r="G1065">
        <v>8</v>
      </c>
      <c r="H1065" t="s">
        <v>48</v>
      </c>
      <c r="I1065" t="s">
        <v>42</v>
      </c>
      <c r="K1065" t="s">
        <v>43</v>
      </c>
      <c r="M1065" t="s">
        <v>44</v>
      </c>
      <c r="N1065">
        <v>5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1</v>
      </c>
      <c r="AC1065" t="b">
        <v>0</v>
      </c>
      <c r="AE1065" t="s">
        <v>2894</v>
      </c>
    </row>
    <row r="1066" spans="1:31" x14ac:dyDescent="0.3">
      <c r="A1066">
        <v>-73.972017499710006</v>
      </c>
      <c r="B1066">
        <v>40.774889426599998</v>
      </c>
      <c r="C1066" t="s">
        <v>2895</v>
      </c>
      <c r="D1066" t="s">
        <v>74</v>
      </c>
      <c r="E1066" t="s">
        <v>38</v>
      </c>
      <c r="F1066">
        <v>10102018</v>
      </c>
      <c r="G1066">
        <v>7</v>
      </c>
      <c r="H1066" t="s">
        <v>48</v>
      </c>
      <c r="I1066" t="s">
        <v>176</v>
      </c>
      <c r="K1066" t="s">
        <v>177</v>
      </c>
      <c r="M1066" t="s">
        <v>65</v>
      </c>
      <c r="N1066" t="b">
        <v>0</v>
      </c>
      <c r="P1066" t="b">
        <v>0</v>
      </c>
      <c r="Q1066" t="b">
        <v>0</v>
      </c>
      <c r="R1066" t="b">
        <v>0</v>
      </c>
      <c r="S1066" t="b">
        <v>1</v>
      </c>
      <c r="T1066" t="b">
        <v>1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1</v>
      </c>
      <c r="AC1066" t="b">
        <v>0</v>
      </c>
      <c r="AE1066" t="s">
        <v>2896</v>
      </c>
    </row>
    <row r="1067" spans="1:31" x14ac:dyDescent="0.3">
      <c r="A1067">
        <v>-73.969530599669994</v>
      </c>
      <c r="B1067">
        <v>40.774538689700002</v>
      </c>
      <c r="C1067" t="s">
        <v>2897</v>
      </c>
      <c r="D1067" t="s">
        <v>646</v>
      </c>
      <c r="E1067" t="s">
        <v>33</v>
      </c>
      <c r="F1067">
        <v>10072018</v>
      </c>
      <c r="G1067">
        <v>2</v>
      </c>
      <c r="H1067" t="s">
        <v>48</v>
      </c>
      <c r="I1067" t="s">
        <v>53</v>
      </c>
      <c r="J1067" t="s">
        <v>42</v>
      </c>
      <c r="K1067" t="s">
        <v>89</v>
      </c>
      <c r="M1067" t="s">
        <v>65</v>
      </c>
      <c r="N1067" t="b">
        <v>0</v>
      </c>
      <c r="P1067" t="b">
        <v>0</v>
      </c>
      <c r="Q1067" t="b">
        <v>0</v>
      </c>
      <c r="R1067" t="b">
        <v>1</v>
      </c>
      <c r="S1067" t="b">
        <v>1</v>
      </c>
      <c r="T1067" t="b">
        <v>1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1</v>
      </c>
      <c r="AC1067" t="b">
        <v>0</v>
      </c>
      <c r="AE1067" t="s">
        <v>2898</v>
      </c>
    </row>
    <row r="1068" spans="1:31" x14ac:dyDescent="0.3">
      <c r="A1068">
        <v>-73.966606397020001</v>
      </c>
      <c r="B1068">
        <v>40.775665503170003</v>
      </c>
      <c r="C1068" t="s">
        <v>2899</v>
      </c>
      <c r="D1068" t="s">
        <v>1320</v>
      </c>
      <c r="E1068" t="s">
        <v>38</v>
      </c>
      <c r="F1068">
        <v>10072018</v>
      </c>
      <c r="G1068">
        <v>3</v>
      </c>
      <c r="H1068" t="s">
        <v>105</v>
      </c>
      <c r="I1068" t="s">
        <v>42</v>
      </c>
      <c r="J1068" t="s">
        <v>96</v>
      </c>
      <c r="K1068" t="s">
        <v>97</v>
      </c>
      <c r="M1068" t="s">
        <v>65</v>
      </c>
      <c r="N1068" t="b">
        <v>0</v>
      </c>
      <c r="P1068" t="b">
        <v>0</v>
      </c>
      <c r="Q1068" t="b">
        <v>1</v>
      </c>
      <c r="R1068" t="b">
        <v>0</v>
      </c>
      <c r="S1068" t="b">
        <v>0</v>
      </c>
      <c r="T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1</v>
      </c>
      <c r="AC1068" t="b">
        <v>0</v>
      </c>
      <c r="AE1068" t="s">
        <v>2900</v>
      </c>
    </row>
    <row r="1069" spans="1:31" x14ac:dyDescent="0.3">
      <c r="A1069">
        <v>-73.959548573459998</v>
      </c>
      <c r="B1069">
        <v>40.783532642570002</v>
      </c>
      <c r="C1069" t="s">
        <v>2901</v>
      </c>
      <c r="D1069" t="s">
        <v>2573</v>
      </c>
      <c r="E1069" t="s">
        <v>33</v>
      </c>
      <c r="F1069">
        <v>10072018</v>
      </c>
      <c r="G1069">
        <v>8</v>
      </c>
      <c r="H1069" t="s">
        <v>48</v>
      </c>
      <c r="I1069" t="s">
        <v>42</v>
      </c>
      <c r="K1069" t="s">
        <v>43</v>
      </c>
      <c r="M1069" t="s">
        <v>44</v>
      </c>
      <c r="O1069" t="s">
        <v>2902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E1069" t="s">
        <v>2903</v>
      </c>
    </row>
    <row r="1070" spans="1:31" x14ac:dyDescent="0.3">
      <c r="A1070">
        <v>-73.96746312546</v>
      </c>
      <c r="B1070">
        <v>40.77900763577</v>
      </c>
      <c r="C1070" t="s">
        <v>2904</v>
      </c>
      <c r="D1070" t="s">
        <v>200</v>
      </c>
      <c r="E1070" t="s">
        <v>38</v>
      </c>
      <c r="F1070">
        <v>10172018</v>
      </c>
      <c r="G1070">
        <v>10</v>
      </c>
      <c r="H1070" t="s">
        <v>105</v>
      </c>
      <c r="I1070" t="s">
        <v>42</v>
      </c>
      <c r="K1070" t="s">
        <v>43</v>
      </c>
      <c r="M1070" t="s">
        <v>44</v>
      </c>
      <c r="N1070">
        <v>2</v>
      </c>
      <c r="O1070" t="s">
        <v>2905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1</v>
      </c>
      <c r="AE1070" t="s">
        <v>2906</v>
      </c>
    </row>
    <row r="1071" spans="1:31" x14ac:dyDescent="0.3">
      <c r="A1071">
        <v>-73.970377400009994</v>
      </c>
      <c r="B1071">
        <v>40.771760755160003</v>
      </c>
      <c r="C1071" t="s">
        <v>2907</v>
      </c>
      <c r="D1071" t="s">
        <v>571</v>
      </c>
      <c r="E1071" t="s">
        <v>38</v>
      </c>
      <c r="F1071">
        <v>10072018</v>
      </c>
      <c r="G1071">
        <v>1</v>
      </c>
      <c r="H1071" t="s">
        <v>48</v>
      </c>
      <c r="I1071" t="s">
        <v>42</v>
      </c>
      <c r="K1071" t="s">
        <v>43</v>
      </c>
      <c r="M1071" t="s">
        <v>44</v>
      </c>
      <c r="N1071">
        <v>50</v>
      </c>
      <c r="P1071" t="b">
        <v>0</v>
      </c>
      <c r="Q1071" t="b">
        <v>0</v>
      </c>
      <c r="R1071" t="b">
        <v>1</v>
      </c>
      <c r="S1071" t="b">
        <v>0</v>
      </c>
      <c r="T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E1071" t="s">
        <v>2908</v>
      </c>
    </row>
    <row r="1072" spans="1:31" x14ac:dyDescent="0.3">
      <c r="A1072">
        <v>-73.956657171329994</v>
      </c>
      <c r="B1072">
        <v>40.798985577540002</v>
      </c>
      <c r="C1072" t="s">
        <v>2909</v>
      </c>
      <c r="D1072" t="s">
        <v>1130</v>
      </c>
      <c r="E1072" t="s">
        <v>38</v>
      </c>
      <c r="F1072">
        <v>10172018</v>
      </c>
      <c r="G1072">
        <v>4</v>
      </c>
      <c r="I1072" t="s">
        <v>42</v>
      </c>
      <c r="K1072" t="s">
        <v>43</v>
      </c>
      <c r="M1072" t="s">
        <v>65</v>
      </c>
      <c r="N1072" t="b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1</v>
      </c>
      <c r="AC1072" t="b">
        <v>0</v>
      </c>
      <c r="AE1072" t="s">
        <v>2910</v>
      </c>
    </row>
    <row r="1073" spans="1:31" x14ac:dyDescent="0.3">
      <c r="A1073">
        <v>-73.976974217980001</v>
      </c>
      <c r="B1073">
        <v>40.772748452179997</v>
      </c>
      <c r="C1073" t="s">
        <v>2911</v>
      </c>
      <c r="D1073" t="s">
        <v>439</v>
      </c>
      <c r="E1073" t="s">
        <v>38</v>
      </c>
      <c r="F1073">
        <v>10082018</v>
      </c>
      <c r="G1073">
        <v>7</v>
      </c>
      <c r="H1073" t="s">
        <v>48</v>
      </c>
      <c r="I1073" t="s">
        <v>42</v>
      </c>
      <c r="K1073" t="s">
        <v>43</v>
      </c>
      <c r="M1073" t="s">
        <v>65</v>
      </c>
      <c r="N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1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1</v>
      </c>
      <c r="AC1073" t="b">
        <v>0</v>
      </c>
      <c r="AE1073" t="s">
        <v>2912</v>
      </c>
    </row>
    <row r="1074" spans="1:31" x14ac:dyDescent="0.3">
      <c r="A1074">
        <v>-73.972465756269997</v>
      </c>
      <c r="B1074">
        <v>40.765801550440003</v>
      </c>
      <c r="C1074" t="s">
        <v>2913</v>
      </c>
      <c r="D1074" t="s">
        <v>985</v>
      </c>
      <c r="E1074" t="s">
        <v>33</v>
      </c>
      <c r="F1074">
        <v>10132018</v>
      </c>
      <c r="G1074">
        <v>6</v>
      </c>
      <c r="H1074" t="s">
        <v>48</v>
      </c>
      <c r="I1074" t="s">
        <v>42</v>
      </c>
      <c r="J1074" t="s">
        <v>53</v>
      </c>
      <c r="K1074" t="s">
        <v>54</v>
      </c>
      <c r="M1074" t="s">
        <v>65</v>
      </c>
      <c r="N1074" t="b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1</v>
      </c>
      <c r="AC1074" t="b">
        <v>0</v>
      </c>
      <c r="AE1074" t="s">
        <v>2914</v>
      </c>
    </row>
    <row r="1075" spans="1:31" x14ac:dyDescent="0.3">
      <c r="A1075">
        <v>-73.964053490660007</v>
      </c>
      <c r="B1075">
        <v>40.777738389980001</v>
      </c>
      <c r="C1075" t="s">
        <v>2915</v>
      </c>
      <c r="D1075" t="s">
        <v>2372</v>
      </c>
      <c r="E1075" t="s">
        <v>38</v>
      </c>
      <c r="F1075">
        <v>10142018</v>
      </c>
      <c r="G1075">
        <v>2</v>
      </c>
      <c r="H1075" t="s">
        <v>48</v>
      </c>
      <c r="I1075" t="s">
        <v>53</v>
      </c>
      <c r="J1075" t="s">
        <v>59</v>
      </c>
      <c r="K1075" t="s">
        <v>60</v>
      </c>
      <c r="M1075" t="s">
        <v>65</v>
      </c>
      <c r="N1075" t="b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s">
        <v>2916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1</v>
      </c>
      <c r="AB1075" t="b">
        <v>0</v>
      </c>
      <c r="AC1075" t="b">
        <v>1</v>
      </c>
      <c r="AD1075" t="s">
        <v>2917</v>
      </c>
      <c r="AE1075" t="s">
        <v>2918</v>
      </c>
    </row>
    <row r="1076" spans="1:31" x14ac:dyDescent="0.3">
      <c r="A1076">
        <v>-73.962790432839995</v>
      </c>
      <c r="B1076">
        <v>40.793937530580003</v>
      </c>
      <c r="C1076" t="s">
        <v>2919</v>
      </c>
      <c r="D1076" t="s">
        <v>2662</v>
      </c>
      <c r="E1076" t="s">
        <v>33</v>
      </c>
      <c r="F1076">
        <v>10132018</v>
      </c>
      <c r="G1076">
        <v>4</v>
      </c>
      <c r="H1076" t="s">
        <v>48</v>
      </c>
      <c r="I1076" t="s">
        <v>42</v>
      </c>
      <c r="J1076" t="s">
        <v>53</v>
      </c>
      <c r="K1076" t="s">
        <v>54</v>
      </c>
      <c r="M1076" t="s">
        <v>65</v>
      </c>
      <c r="N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s">
        <v>2920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E1076" t="s">
        <v>2921</v>
      </c>
    </row>
    <row r="1077" spans="1:31" x14ac:dyDescent="0.3">
      <c r="A1077">
        <v>-73.954183714319996</v>
      </c>
      <c r="B1077">
        <v>40.794434047739998</v>
      </c>
      <c r="C1077" t="s">
        <v>2922</v>
      </c>
      <c r="D1077" t="s">
        <v>278</v>
      </c>
      <c r="E1077" t="s">
        <v>33</v>
      </c>
      <c r="F1077">
        <v>10202018</v>
      </c>
      <c r="G1077">
        <v>6</v>
      </c>
      <c r="H1077" t="s">
        <v>105</v>
      </c>
      <c r="I1077" t="s">
        <v>53</v>
      </c>
      <c r="J1077" t="s">
        <v>59</v>
      </c>
      <c r="K1077" t="s">
        <v>60</v>
      </c>
      <c r="M1077" t="s">
        <v>65</v>
      </c>
      <c r="N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1</v>
      </c>
      <c r="V1077" t="b">
        <v>0</v>
      </c>
      <c r="W1077" t="b">
        <v>1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1</v>
      </c>
      <c r="AE1077" t="s">
        <v>2923</v>
      </c>
    </row>
    <row r="1078" spans="1:31" x14ac:dyDescent="0.3">
      <c r="A1078">
        <v>-73.958659145520002</v>
      </c>
      <c r="B1078">
        <v>40.790624390129999</v>
      </c>
      <c r="C1078" t="s">
        <v>2924</v>
      </c>
      <c r="D1078" t="s">
        <v>124</v>
      </c>
      <c r="E1078" t="s">
        <v>33</v>
      </c>
      <c r="F1078">
        <v>10082018</v>
      </c>
      <c r="G1078">
        <v>6</v>
      </c>
      <c r="H1078" t="s">
        <v>48</v>
      </c>
      <c r="I1078" t="s">
        <v>42</v>
      </c>
      <c r="K1078" t="s">
        <v>43</v>
      </c>
      <c r="M1078" t="s">
        <v>65</v>
      </c>
      <c r="N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1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1</v>
      </c>
      <c r="AC1078" t="b">
        <v>0</v>
      </c>
      <c r="AE1078" t="s">
        <v>2925</v>
      </c>
    </row>
    <row r="1079" spans="1:31" x14ac:dyDescent="0.3">
      <c r="A1079">
        <v>-73.972273759359993</v>
      </c>
      <c r="B1079">
        <v>40.76896301875</v>
      </c>
      <c r="C1079" t="s">
        <v>2926</v>
      </c>
      <c r="D1079" t="s">
        <v>221</v>
      </c>
      <c r="E1079" t="s">
        <v>38</v>
      </c>
      <c r="F1079">
        <v>10082018</v>
      </c>
      <c r="G1079">
        <v>4</v>
      </c>
      <c r="H1079" t="s">
        <v>105</v>
      </c>
      <c r="I1079" t="s">
        <v>42</v>
      </c>
      <c r="J1079" t="s">
        <v>53</v>
      </c>
      <c r="K1079" t="s">
        <v>54</v>
      </c>
      <c r="L1079" t="s">
        <v>2927</v>
      </c>
      <c r="M1079" t="s">
        <v>44</v>
      </c>
      <c r="N1079">
        <v>20</v>
      </c>
      <c r="O1079" t="s">
        <v>190</v>
      </c>
      <c r="P1079" t="b">
        <v>1</v>
      </c>
      <c r="Q1079" t="b">
        <v>0</v>
      </c>
      <c r="R1079" t="b">
        <v>1</v>
      </c>
      <c r="S1079" t="b">
        <v>0</v>
      </c>
      <c r="T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1</v>
      </c>
      <c r="AA1079" t="b">
        <v>0</v>
      </c>
      <c r="AB1079" t="b">
        <v>0</v>
      </c>
      <c r="AC1079" t="b">
        <v>1</v>
      </c>
      <c r="AE1079" t="s">
        <v>2928</v>
      </c>
    </row>
    <row r="1080" spans="1:31" x14ac:dyDescent="0.3">
      <c r="A1080">
        <v>-73.969021193529997</v>
      </c>
      <c r="B1080">
        <v>40.773038298160003</v>
      </c>
      <c r="C1080" t="s">
        <v>2929</v>
      </c>
      <c r="D1080" t="s">
        <v>58</v>
      </c>
      <c r="E1080" t="s">
        <v>38</v>
      </c>
      <c r="F1080">
        <v>10102018</v>
      </c>
      <c r="G1080">
        <v>7</v>
      </c>
      <c r="H1080" t="s">
        <v>48</v>
      </c>
      <c r="I1080" t="s">
        <v>42</v>
      </c>
      <c r="J1080" t="s">
        <v>59</v>
      </c>
      <c r="K1080" t="s">
        <v>79</v>
      </c>
      <c r="M1080" t="s">
        <v>44</v>
      </c>
      <c r="N1080">
        <v>4</v>
      </c>
      <c r="P1080" t="b">
        <v>0</v>
      </c>
      <c r="Q1080" t="b">
        <v>0</v>
      </c>
      <c r="R1080" t="b">
        <v>0</v>
      </c>
      <c r="S1080" t="b">
        <v>1</v>
      </c>
      <c r="T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1</v>
      </c>
      <c r="AE1080" t="s">
        <v>2930</v>
      </c>
    </row>
    <row r="1081" spans="1:31" x14ac:dyDescent="0.3">
      <c r="A1081">
        <v>-73.968085527780005</v>
      </c>
      <c r="B1081">
        <v>40.776925196539999</v>
      </c>
      <c r="C1081" t="s">
        <v>2931</v>
      </c>
      <c r="D1081" t="s">
        <v>232</v>
      </c>
      <c r="E1081" t="s">
        <v>38</v>
      </c>
      <c r="F1081">
        <v>10072018</v>
      </c>
      <c r="G1081">
        <v>10</v>
      </c>
      <c r="H1081" t="s">
        <v>48</v>
      </c>
      <c r="I1081" t="s">
        <v>53</v>
      </c>
      <c r="J1081" t="s">
        <v>42</v>
      </c>
      <c r="K1081" t="s">
        <v>89</v>
      </c>
      <c r="M1081" t="s">
        <v>44</v>
      </c>
      <c r="N1081">
        <v>20</v>
      </c>
      <c r="P1081" t="b">
        <v>1</v>
      </c>
      <c r="Q1081" t="b">
        <v>0</v>
      </c>
      <c r="R1081" t="b">
        <v>1</v>
      </c>
      <c r="S1081" t="b">
        <v>0</v>
      </c>
      <c r="T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1</v>
      </c>
      <c r="AE1081" t="s">
        <v>2932</v>
      </c>
    </row>
    <row r="1082" spans="1:31" x14ac:dyDescent="0.3">
      <c r="A1082">
        <v>-73.961749068030002</v>
      </c>
      <c r="B1082">
        <v>40.792153784920004</v>
      </c>
      <c r="C1082" t="s">
        <v>2933</v>
      </c>
      <c r="D1082" t="s">
        <v>607</v>
      </c>
      <c r="E1082" t="s">
        <v>33</v>
      </c>
      <c r="F1082">
        <v>10132018</v>
      </c>
      <c r="G1082">
        <v>6</v>
      </c>
      <c r="H1082" t="s">
        <v>48</v>
      </c>
      <c r="I1082" t="s">
        <v>42</v>
      </c>
      <c r="K1082" t="s">
        <v>43</v>
      </c>
      <c r="M1082" t="s">
        <v>65</v>
      </c>
      <c r="N1082" t="b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E1082" t="s">
        <v>2934</v>
      </c>
    </row>
    <row r="1083" spans="1:31" x14ac:dyDescent="0.3">
      <c r="A1083">
        <v>-73.978811775539995</v>
      </c>
      <c r="B1083">
        <v>40.770734713750002</v>
      </c>
      <c r="C1083" t="s">
        <v>2935</v>
      </c>
      <c r="D1083" t="s">
        <v>2861</v>
      </c>
      <c r="E1083" t="s">
        <v>33</v>
      </c>
      <c r="F1083">
        <v>10132018</v>
      </c>
      <c r="G1083">
        <v>4</v>
      </c>
      <c r="H1083" t="s">
        <v>48</v>
      </c>
      <c r="I1083" t="s">
        <v>42</v>
      </c>
      <c r="J1083" t="s">
        <v>59</v>
      </c>
      <c r="K1083" t="s">
        <v>79</v>
      </c>
      <c r="M1083" t="s">
        <v>65</v>
      </c>
      <c r="N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1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E1083" t="s">
        <v>2936</v>
      </c>
    </row>
    <row r="1084" spans="1:31" x14ac:dyDescent="0.3">
      <c r="A1084">
        <v>-73.969883975019997</v>
      </c>
      <c r="B1084">
        <v>40.77814330767</v>
      </c>
      <c r="C1084" t="s">
        <v>2937</v>
      </c>
      <c r="D1084" t="s">
        <v>709</v>
      </c>
      <c r="E1084" t="s">
        <v>33</v>
      </c>
      <c r="F1084">
        <v>10102018</v>
      </c>
      <c r="G1084">
        <v>8</v>
      </c>
      <c r="H1084" t="s">
        <v>48</v>
      </c>
      <c r="I1084" t="s">
        <v>42</v>
      </c>
      <c r="K1084" t="s">
        <v>43</v>
      </c>
      <c r="M1084" t="s">
        <v>65</v>
      </c>
      <c r="N1084" t="b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V1084" t="b">
        <v>1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1</v>
      </c>
      <c r="AC1084" t="b">
        <v>0</v>
      </c>
      <c r="AE1084" t="s">
        <v>2938</v>
      </c>
    </row>
    <row r="1085" spans="1:31" x14ac:dyDescent="0.3">
      <c r="A1085">
        <v>-73.972226504679995</v>
      </c>
      <c r="B1085">
        <v>40.770091689589997</v>
      </c>
      <c r="C1085" t="s">
        <v>2939</v>
      </c>
      <c r="D1085" t="s">
        <v>402</v>
      </c>
      <c r="E1085" t="s">
        <v>33</v>
      </c>
      <c r="F1085">
        <v>10182018</v>
      </c>
      <c r="G1085">
        <v>2</v>
      </c>
      <c r="H1085" t="s">
        <v>48</v>
      </c>
      <c r="I1085" t="s">
        <v>42</v>
      </c>
      <c r="J1085" t="s">
        <v>59</v>
      </c>
      <c r="K1085" t="s">
        <v>79</v>
      </c>
      <c r="M1085" t="s">
        <v>65</v>
      </c>
      <c r="N1085" t="b">
        <v>0</v>
      </c>
      <c r="P1085" t="b">
        <v>0</v>
      </c>
      <c r="Q1085" t="b">
        <v>0</v>
      </c>
      <c r="R1085" t="b">
        <v>0</v>
      </c>
      <c r="S1085" t="b">
        <v>1</v>
      </c>
      <c r="T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1</v>
      </c>
      <c r="AC1085" t="b">
        <v>0</v>
      </c>
      <c r="AE1085" t="s">
        <v>2940</v>
      </c>
    </row>
    <row r="1086" spans="1:31" x14ac:dyDescent="0.3">
      <c r="A1086">
        <v>-73.971339931649993</v>
      </c>
      <c r="B1086">
        <v>40.775067802679999</v>
      </c>
      <c r="C1086" t="s">
        <v>2941</v>
      </c>
      <c r="D1086" t="s">
        <v>726</v>
      </c>
      <c r="E1086" t="s">
        <v>33</v>
      </c>
      <c r="F1086">
        <v>10182018</v>
      </c>
      <c r="G1086">
        <v>2</v>
      </c>
      <c r="H1086" t="s">
        <v>48</v>
      </c>
      <c r="I1086" t="s">
        <v>176</v>
      </c>
      <c r="J1086" t="s">
        <v>96</v>
      </c>
      <c r="K1086" t="s">
        <v>2942</v>
      </c>
      <c r="L1086" t="s">
        <v>2943</v>
      </c>
      <c r="M1086" t="s">
        <v>44</v>
      </c>
      <c r="N1086">
        <v>3</v>
      </c>
      <c r="P1086" t="b">
        <v>0</v>
      </c>
      <c r="Q1086" t="b">
        <v>0</v>
      </c>
      <c r="R1086" t="b">
        <v>1</v>
      </c>
      <c r="S1086" t="b">
        <v>0</v>
      </c>
      <c r="T1086" t="b">
        <v>0</v>
      </c>
      <c r="U1086" t="s">
        <v>2944</v>
      </c>
      <c r="V1086" t="b">
        <v>0</v>
      </c>
      <c r="W1086" t="b">
        <v>0</v>
      </c>
      <c r="X1086" t="b">
        <v>0</v>
      </c>
      <c r="Y1086" t="b">
        <v>0</v>
      </c>
      <c r="Z1086" t="b">
        <v>1</v>
      </c>
      <c r="AA1086" t="b">
        <v>0</v>
      </c>
      <c r="AB1086" t="b">
        <v>1</v>
      </c>
      <c r="AC1086" t="b">
        <v>0</v>
      </c>
      <c r="AE1086" t="s">
        <v>2945</v>
      </c>
    </row>
    <row r="1087" spans="1:31" x14ac:dyDescent="0.3">
      <c r="A1087">
        <v>-73.967995583109996</v>
      </c>
      <c r="B1087">
        <v>40.781843160789997</v>
      </c>
      <c r="C1087" t="s">
        <v>2946</v>
      </c>
      <c r="D1087" t="s">
        <v>1035</v>
      </c>
      <c r="E1087" t="s">
        <v>33</v>
      </c>
      <c r="F1087">
        <v>10182018</v>
      </c>
      <c r="G1087">
        <v>4</v>
      </c>
      <c r="H1087" t="s">
        <v>48</v>
      </c>
      <c r="I1087" t="s">
        <v>42</v>
      </c>
      <c r="K1087" t="s">
        <v>43</v>
      </c>
      <c r="M1087" t="s">
        <v>44</v>
      </c>
      <c r="N1087">
        <v>8</v>
      </c>
      <c r="P1087" t="b">
        <v>0</v>
      </c>
      <c r="Q1087" t="b">
        <v>0</v>
      </c>
      <c r="R1087" t="b">
        <v>1</v>
      </c>
      <c r="S1087" t="b">
        <v>0</v>
      </c>
      <c r="T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E1087" t="s">
        <v>2947</v>
      </c>
    </row>
    <row r="1088" spans="1:31" x14ac:dyDescent="0.3">
      <c r="A1088">
        <v>-73.977098542510006</v>
      </c>
      <c r="B1088">
        <v>40.766592674450003</v>
      </c>
      <c r="C1088" t="s">
        <v>2948</v>
      </c>
      <c r="D1088" t="s">
        <v>2593</v>
      </c>
      <c r="E1088" t="s">
        <v>38</v>
      </c>
      <c r="F1088">
        <v>10062018</v>
      </c>
      <c r="G1088">
        <v>4</v>
      </c>
      <c r="H1088" t="s">
        <v>48</v>
      </c>
      <c r="I1088" t="s">
        <v>53</v>
      </c>
      <c r="J1088" t="s">
        <v>42</v>
      </c>
      <c r="K1088" t="s">
        <v>89</v>
      </c>
      <c r="M1088" t="s">
        <v>65</v>
      </c>
      <c r="N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1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E1088" t="s">
        <v>2949</v>
      </c>
    </row>
    <row r="1089" spans="1:31" x14ac:dyDescent="0.3">
      <c r="A1089">
        <v>-73.96559558413</v>
      </c>
      <c r="B1089">
        <v>40.776206386059997</v>
      </c>
      <c r="C1089" t="s">
        <v>2950</v>
      </c>
      <c r="D1089" t="s">
        <v>663</v>
      </c>
      <c r="E1089" t="s">
        <v>33</v>
      </c>
      <c r="F1089">
        <v>10082018</v>
      </c>
      <c r="G1089">
        <v>4</v>
      </c>
      <c r="I1089" t="s">
        <v>42</v>
      </c>
      <c r="J1089" t="s">
        <v>53</v>
      </c>
      <c r="K1089" t="s">
        <v>54</v>
      </c>
      <c r="M1089" t="s">
        <v>65</v>
      </c>
      <c r="N1089" t="b">
        <v>0</v>
      </c>
      <c r="O1089" t="s">
        <v>2951</v>
      </c>
      <c r="P1089" t="b">
        <v>0</v>
      </c>
      <c r="Q1089" t="b">
        <v>0</v>
      </c>
      <c r="R1089" t="b">
        <v>0</v>
      </c>
      <c r="S1089" t="b">
        <v>0</v>
      </c>
      <c r="T1089" t="b">
        <v>1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1</v>
      </c>
      <c r="AC1089" t="b">
        <v>0</v>
      </c>
      <c r="AE1089" t="s">
        <v>2952</v>
      </c>
    </row>
    <row r="1090" spans="1:31" x14ac:dyDescent="0.3">
      <c r="A1090">
        <v>-73.967767372180006</v>
      </c>
      <c r="B1090">
        <v>40.78470263162</v>
      </c>
      <c r="C1090" t="s">
        <v>2953</v>
      </c>
      <c r="D1090" t="s">
        <v>2181</v>
      </c>
      <c r="E1090" t="s">
        <v>33</v>
      </c>
      <c r="F1090">
        <v>10122018</v>
      </c>
      <c r="G1090">
        <v>7</v>
      </c>
      <c r="H1090" t="s">
        <v>48</v>
      </c>
      <c r="I1090" t="s">
        <v>42</v>
      </c>
      <c r="J1090" t="s">
        <v>53</v>
      </c>
      <c r="K1090" t="s">
        <v>54</v>
      </c>
      <c r="M1090" t="s">
        <v>65</v>
      </c>
      <c r="N1090" t="b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1</v>
      </c>
      <c r="AA1090" t="b">
        <v>0</v>
      </c>
      <c r="AB1090" t="b">
        <v>0</v>
      </c>
      <c r="AC1090" t="b">
        <v>1</v>
      </c>
      <c r="AE1090" t="s">
        <v>2954</v>
      </c>
    </row>
    <row r="1091" spans="1:31" x14ac:dyDescent="0.3">
      <c r="A1091">
        <v>-73.970556007910005</v>
      </c>
      <c r="B1091">
        <v>40.76984991834</v>
      </c>
      <c r="C1091" t="s">
        <v>2955</v>
      </c>
      <c r="D1091" t="s">
        <v>92</v>
      </c>
      <c r="E1091" t="s">
        <v>38</v>
      </c>
      <c r="F1091">
        <v>10062018</v>
      </c>
      <c r="G1091">
        <v>7</v>
      </c>
      <c r="H1091" t="s">
        <v>48</v>
      </c>
      <c r="I1091" t="s">
        <v>42</v>
      </c>
      <c r="J1091" t="s">
        <v>53</v>
      </c>
      <c r="K1091" t="s">
        <v>54</v>
      </c>
      <c r="P1091" t="b">
        <v>0</v>
      </c>
      <c r="Q1091" t="b">
        <v>0</v>
      </c>
      <c r="R1091" t="b">
        <v>0</v>
      </c>
      <c r="S1091" t="b">
        <v>1</v>
      </c>
      <c r="T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1</v>
      </c>
      <c r="AA1091" t="b">
        <v>0</v>
      </c>
      <c r="AB1091" t="b">
        <v>1</v>
      </c>
      <c r="AC1091" t="b">
        <v>0</v>
      </c>
      <c r="AE1091" t="s">
        <v>2956</v>
      </c>
    </row>
    <row r="1092" spans="1:31" x14ac:dyDescent="0.3">
      <c r="A1092">
        <v>-73.97113192546</v>
      </c>
      <c r="B1092">
        <v>40.776032485990001</v>
      </c>
      <c r="C1092" t="s">
        <v>2957</v>
      </c>
      <c r="D1092" t="s">
        <v>415</v>
      </c>
      <c r="E1092" t="s">
        <v>33</v>
      </c>
      <c r="F1092">
        <v>10182018</v>
      </c>
      <c r="G1092">
        <v>12</v>
      </c>
      <c r="H1092" t="s">
        <v>48</v>
      </c>
      <c r="I1092" t="s">
        <v>42</v>
      </c>
      <c r="J1092" t="s">
        <v>59</v>
      </c>
      <c r="K1092" t="s">
        <v>79</v>
      </c>
      <c r="M1092" t="s">
        <v>65</v>
      </c>
      <c r="N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1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1</v>
      </c>
      <c r="AC1092" t="b">
        <v>0</v>
      </c>
      <c r="AE1092" t="s">
        <v>2958</v>
      </c>
    </row>
    <row r="1093" spans="1:31" x14ac:dyDescent="0.3">
      <c r="A1093">
        <v>-73.958410678619998</v>
      </c>
      <c r="B1093">
        <v>40.790277755689999</v>
      </c>
      <c r="C1093" t="s">
        <v>2959</v>
      </c>
      <c r="D1093" t="s">
        <v>124</v>
      </c>
      <c r="E1093" t="s">
        <v>33</v>
      </c>
      <c r="F1093">
        <v>10082018</v>
      </c>
      <c r="G1093">
        <v>2</v>
      </c>
      <c r="H1093" t="s">
        <v>48</v>
      </c>
      <c r="I1093" t="s">
        <v>42</v>
      </c>
      <c r="J1093" t="s">
        <v>59</v>
      </c>
      <c r="K1093" t="s">
        <v>79</v>
      </c>
      <c r="M1093" t="s">
        <v>65</v>
      </c>
      <c r="N1093" t="b">
        <v>0</v>
      </c>
      <c r="P1093" t="b">
        <v>0</v>
      </c>
      <c r="Q1093" t="b">
        <v>0</v>
      </c>
      <c r="R1093" t="b">
        <v>1</v>
      </c>
      <c r="S1093" t="b">
        <v>1</v>
      </c>
      <c r="T1093" t="b">
        <v>1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1</v>
      </c>
      <c r="AC1093" t="b">
        <v>0</v>
      </c>
      <c r="AE1093" t="s">
        <v>2960</v>
      </c>
    </row>
    <row r="1094" spans="1:31" x14ac:dyDescent="0.3">
      <c r="A1094">
        <v>-73.977389830109999</v>
      </c>
      <c r="B1094">
        <v>40.770858156209997</v>
      </c>
      <c r="C1094" t="s">
        <v>2961</v>
      </c>
      <c r="D1094" t="s">
        <v>2861</v>
      </c>
      <c r="E1094" t="s">
        <v>38</v>
      </c>
      <c r="F1094">
        <v>10082018</v>
      </c>
      <c r="G1094">
        <v>1</v>
      </c>
      <c r="H1094" t="s">
        <v>48</v>
      </c>
      <c r="I1094" t="s">
        <v>42</v>
      </c>
      <c r="J1094" t="s">
        <v>53</v>
      </c>
      <c r="K1094" t="s">
        <v>54</v>
      </c>
      <c r="M1094" t="s">
        <v>65</v>
      </c>
      <c r="N1094" t="b">
        <v>0</v>
      </c>
      <c r="P1094" t="b">
        <v>1</v>
      </c>
      <c r="Q1094" t="b">
        <v>0</v>
      </c>
      <c r="R1094" t="b">
        <v>0</v>
      </c>
      <c r="S1094" t="b">
        <v>1</v>
      </c>
      <c r="T1094" t="b">
        <v>1</v>
      </c>
      <c r="U1094" t="s">
        <v>2962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1</v>
      </c>
      <c r="AC1094" t="b">
        <v>0</v>
      </c>
      <c r="AE1094" t="s">
        <v>2963</v>
      </c>
    </row>
    <row r="1095" spans="1:31" x14ac:dyDescent="0.3">
      <c r="A1095">
        <v>-73.973554792629997</v>
      </c>
      <c r="B1095">
        <v>40.77234200761</v>
      </c>
      <c r="C1095" t="s">
        <v>2964</v>
      </c>
      <c r="D1095" t="s">
        <v>2085</v>
      </c>
      <c r="E1095" t="s">
        <v>38</v>
      </c>
      <c r="F1095">
        <v>10072018</v>
      </c>
      <c r="G1095">
        <v>2</v>
      </c>
      <c r="H1095" t="s">
        <v>48</v>
      </c>
      <c r="I1095" t="s">
        <v>42</v>
      </c>
      <c r="K1095" t="s">
        <v>43</v>
      </c>
      <c r="M1095" t="s">
        <v>44</v>
      </c>
      <c r="N1095">
        <v>12</v>
      </c>
      <c r="P1095" t="b">
        <v>0</v>
      </c>
      <c r="Q1095" t="b">
        <v>0</v>
      </c>
      <c r="R1095" t="b">
        <v>1</v>
      </c>
      <c r="S1095" t="b">
        <v>0</v>
      </c>
      <c r="T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1</v>
      </c>
      <c r="AC1095" t="b">
        <v>0</v>
      </c>
      <c r="AE1095" t="s">
        <v>2965</v>
      </c>
    </row>
    <row r="1096" spans="1:31" x14ac:dyDescent="0.3">
      <c r="A1096">
        <v>-73.956830089980002</v>
      </c>
      <c r="B1096">
        <v>40.79358557434</v>
      </c>
      <c r="C1096" t="s">
        <v>2966</v>
      </c>
      <c r="D1096" t="s">
        <v>1042</v>
      </c>
      <c r="E1096" t="s">
        <v>38</v>
      </c>
      <c r="F1096">
        <v>10132018</v>
      </c>
      <c r="G1096">
        <v>1</v>
      </c>
      <c r="H1096" t="s">
        <v>105</v>
      </c>
      <c r="I1096" t="s">
        <v>42</v>
      </c>
      <c r="K1096" t="s">
        <v>43</v>
      </c>
      <c r="M1096" t="s">
        <v>65</v>
      </c>
      <c r="N1096" t="b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1</v>
      </c>
      <c r="AD1096" t="s">
        <v>2967</v>
      </c>
      <c r="AE1096" t="s">
        <v>2968</v>
      </c>
    </row>
    <row r="1097" spans="1:31" x14ac:dyDescent="0.3">
      <c r="A1097">
        <v>-73.976157952790004</v>
      </c>
      <c r="B1097">
        <v>40.775587731210003</v>
      </c>
      <c r="C1097" t="s">
        <v>2969</v>
      </c>
      <c r="D1097" t="s">
        <v>147</v>
      </c>
      <c r="E1097" t="s">
        <v>33</v>
      </c>
      <c r="F1097">
        <v>10142018</v>
      </c>
      <c r="G1097">
        <v>2</v>
      </c>
      <c r="H1097" t="s">
        <v>48</v>
      </c>
      <c r="I1097" t="s">
        <v>42</v>
      </c>
      <c r="J1097" t="s">
        <v>1921</v>
      </c>
      <c r="K1097" t="s">
        <v>1922</v>
      </c>
      <c r="M1097" t="s">
        <v>65</v>
      </c>
      <c r="N1097" t="b">
        <v>0</v>
      </c>
      <c r="O1097" t="s">
        <v>2970</v>
      </c>
      <c r="P1097" t="b">
        <v>0</v>
      </c>
      <c r="Q1097" t="b">
        <v>0</v>
      </c>
      <c r="R1097" t="b">
        <v>0</v>
      </c>
      <c r="S1097" t="b">
        <v>1</v>
      </c>
      <c r="T1097" t="b">
        <v>1</v>
      </c>
      <c r="V1097" t="b">
        <v>0</v>
      </c>
      <c r="W1097" t="b">
        <v>0</v>
      </c>
      <c r="X1097" t="b">
        <v>0</v>
      </c>
      <c r="Y1097" t="b">
        <v>0</v>
      </c>
      <c r="Z1097" t="b">
        <v>1</v>
      </c>
      <c r="AA1097" t="b">
        <v>0</v>
      </c>
      <c r="AB1097" t="b">
        <v>1</v>
      </c>
      <c r="AC1097" t="b">
        <v>0</v>
      </c>
      <c r="AE1097" t="s">
        <v>2971</v>
      </c>
    </row>
    <row r="1098" spans="1:31" x14ac:dyDescent="0.3">
      <c r="A1098">
        <v>-73.960495427609999</v>
      </c>
      <c r="B1098">
        <v>40.796568218200001</v>
      </c>
      <c r="C1098" t="s">
        <v>2972</v>
      </c>
      <c r="D1098" t="s">
        <v>2577</v>
      </c>
      <c r="E1098" t="s">
        <v>38</v>
      </c>
      <c r="F1098">
        <v>10122018</v>
      </c>
      <c r="G1098">
        <v>1</v>
      </c>
      <c r="H1098" t="s">
        <v>48</v>
      </c>
      <c r="I1098" t="s">
        <v>53</v>
      </c>
      <c r="J1098" t="s">
        <v>42</v>
      </c>
      <c r="K1098" t="s">
        <v>89</v>
      </c>
      <c r="L1098" t="s">
        <v>2973</v>
      </c>
      <c r="M1098" t="s">
        <v>65</v>
      </c>
      <c r="N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1</v>
      </c>
      <c r="U1098" t="s">
        <v>2974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1</v>
      </c>
      <c r="AE1098" t="s">
        <v>2975</v>
      </c>
    </row>
    <row r="1099" spans="1:31" x14ac:dyDescent="0.3">
      <c r="A1099">
        <v>-73.976152794750007</v>
      </c>
      <c r="B1099">
        <v>40.770960700250001</v>
      </c>
      <c r="C1099" t="s">
        <v>2976</v>
      </c>
      <c r="D1099" t="s">
        <v>2798</v>
      </c>
      <c r="E1099" t="s">
        <v>38</v>
      </c>
      <c r="F1099">
        <v>10072018</v>
      </c>
      <c r="G1099">
        <v>6</v>
      </c>
      <c r="H1099" t="s">
        <v>48</v>
      </c>
      <c r="I1099" t="s">
        <v>42</v>
      </c>
      <c r="J1099" t="s">
        <v>53</v>
      </c>
      <c r="K1099" t="s">
        <v>54</v>
      </c>
      <c r="M1099" t="s">
        <v>44</v>
      </c>
      <c r="N1099">
        <v>7</v>
      </c>
      <c r="P1099" t="b">
        <v>0</v>
      </c>
      <c r="Q1099" t="b">
        <v>0</v>
      </c>
      <c r="R1099" t="b">
        <v>1</v>
      </c>
      <c r="S1099" t="b">
        <v>0</v>
      </c>
      <c r="T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s">
        <v>2977</v>
      </c>
      <c r="AE1099" t="s">
        <v>2978</v>
      </c>
    </row>
    <row r="1100" spans="1:31" x14ac:dyDescent="0.3">
      <c r="A1100">
        <v>-73.980542388619995</v>
      </c>
      <c r="B1100">
        <v>40.768204880479999</v>
      </c>
      <c r="C1100" t="s">
        <v>2979</v>
      </c>
      <c r="D1100" t="s">
        <v>851</v>
      </c>
      <c r="E1100" t="s">
        <v>38</v>
      </c>
      <c r="F1100">
        <v>10122018</v>
      </c>
      <c r="G1100">
        <v>14</v>
      </c>
      <c r="I1100" t="s">
        <v>42</v>
      </c>
      <c r="J1100" t="s">
        <v>53</v>
      </c>
      <c r="K1100" t="s">
        <v>54</v>
      </c>
      <c r="M1100" t="s">
        <v>65</v>
      </c>
      <c r="N1100" t="b">
        <v>0</v>
      </c>
      <c r="P1100" t="b">
        <v>0</v>
      </c>
      <c r="Q1100" t="b">
        <v>1</v>
      </c>
      <c r="R1100" t="b">
        <v>0</v>
      </c>
      <c r="S1100" t="b">
        <v>0</v>
      </c>
      <c r="T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1</v>
      </c>
      <c r="AC1100" t="b">
        <v>0</v>
      </c>
      <c r="AE1100" t="s">
        <v>2980</v>
      </c>
    </row>
    <row r="1101" spans="1:31" x14ac:dyDescent="0.3">
      <c r="A1101">
        <v>-73.959129254969994</v>
      </c>
      <c r="B1101">
        <v>40.792553028050001</v>
      </c>
      <c r="C1101" t="s">
        <v>2981</v>
      </c>
      <c r="D1101" t="s">
        <v>1170</v>
      </c>
      <c r="E1101" t="s">
        <v>38</v>
      </c>
      <c r="F1101">
        <v>10082018</v>
      </c>
      <c r="G1101">
        <v>1</v>
      </c>
      <c r="H1101" t="s">
        <v>48</v>
      </c>
      <c r="I1101" t="s">
        <v>176</v>
      </c>
      <c r="K1101" t="s">
        <v>177</v>
      </c>
      <c r="M1101" t="s">
        <v>65</v>
      </c>
      <c r="N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1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s">
        <v>2982</v>
      </c>
      <c r="AE1101" t="s">
        <v>2983</v>
      </c>
    </row>
    <row r="1102" spans="1:31" x14ac:dyDescent="0.3">
      <c r="A1102">
        <v>-73.968817346579996</v>
      </c>
      <c r="B1102">
        <v>40.778200976459999</v>
      </c>
      <c r="C1102" t="s">
        <v>2984</v>
      </c>
      <c r="D1102" t="s">
        <v>256</v>
      </c>
      <c r="E1102" t="s">
        <v>38</v>
      </c>
      <c r="F1102">
        <v>10142018</v>
      </c>
      <c r="G1102">
        <v>8</v>
      </c>
      <c r="H1102" t="s">
        <v>48</v>
      </c>
      <c r="I1102" t="s">
        <v>42</v>
      </c>
      <c r="K1102" t="s">
        <v>43</v>
      </c>
      <c r="M1102" t="s">
        <v>65</v>
      </c>
      <c r="N1102" t="b">
        <v>0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1</v>
      </c>
      <c r="AD1102" t="s">
        <v>1294</v>
      </c>
      <c r="AE1102" t="s">
        <v>2985</v>
      </c>
    </row>
    <row r="1103" spans="1:31" x14ac:dyDescent="0.3">
      <c r="A1103">
        <v>-73.954150087399995</v>
      </c>
      <c r="B1103">
        <v>40.792032998979998</v>
      </c>
      <c r="C1103" t="s">
        <v>2986</v>
      </c>
      <c r="D1103" t="s">
        <v>2987</v>
      </c>
      <c r="E1103" t="s">
        <v>38</v>
      </c>
      <c r="F1103">
        <v>10132018</v>
      </c>
      <c r="G1103">
        <v>2</v>
      </c>
      <c r="H1103" t="s">
        <v>105</v>
      </c>
      <c r="I1103" t="s">
        <v>53</v>
      </c>
      <c r="J1103" t="s">
        <v>42</v>
      </c>
      <c r="K1103" t="s">
        <v>89</v>
      </c>
      <c r="M1103" t="s">
        <v>44</v>
      </c>
      <c r="N1103">
        <v>10</v>
      </c>
      <c r="O1103" t="s">
        <v>2988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s">
        <v>121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1</v>
      </c>
      <c r="AC1103" t="b">
        <v>0</v>
      </c>
      <c r="AD1103" t="s">
        <v>2989</v>
      </c>
      <c r="AE1103" t="s">
        <v>2990</v>
      </c>
    </row>
    <row r="1104" spans="1:31" x14ac:dyDescent="0.3">
      <c r="A1104">
        <v>-73.958985298949997</v>
      </c>
      <c r="B1104">
        <v>40.791272001590002</v>
      </c>
      <c r="C1104" t="s">
        <v>2991</v>
      </c>
      <c r="D1104" t="s">
        <v>1211</v>
      </c>
      <c r="E1104" t="s">
        <v>38</v>
      </c>
      <c r="F1104">
        <v>10142018</v>
      </c>
      <c r="G1104">
        <v>7</v>
      </c>
      <c r="H1104" t="s">
        <v>48</v>
      </c>
      <c r="I1104" t="s">
        <v>42</v>
      </c>
      <c r="J1104" t="s">
        <v>96</v>
      </c>
      <c r="K1104" t="s">
        <v>97</v>
      </c>
      <c r="M1104" t="s">
        <v>44</v>
      </c>
      <c r="N1104">
        <v>15</v>
      </c>
      <c r="P1104" t="b">
        <v>0</v>
      </c>
      <c r="Q1104" t="b">
        <v>0</v>
      </c>
      <c r="R1104" t="b">
        <v>1</v>
      </c>
      <c r="S1104" t="b">
        <v>0</v>
      </c>
      <c r="T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1</v>
      </c>
      <c r="AC1104" t="b">
        <v>0</v>
      </c>
      <c r="AE1104" t="s">
        <v>2992</v>
      </c>
    </row>
    <row r="1105" spans="1:31" x14ac:dyDescent="0.3">
      <c r="A1105">
        <v>-73.981121880100005</v>
      </c>
      <c r="B1105">
        <v>40.768440620619998</v>
      </c>
      <c r="C1105" t="s">
        <v>2993</v>
      </c>
      <c r="D1105" t="s">
        <v>1775</v>
      </c>
      <c r="E1105" t="s">
        <v>33</v>
      </c>
      <c r="F1105">
        <v>10142018</v>
      </c>
      <c r="G1105">
        <v>7</v>
      </c>
      <c r="H1105" t="s">
        <v>48</v>
      </c>
      <c r="I1105" t="s">
        <v>42</v>
      </c>
      <c r="J1105" t="s">
        <v>53</v>
      </c>
      <c r="K1105" t="s">
        <v>54</v>
      </c>
      <c r="M1105" t="s">
        <v>65</v>
      </c>
      <c r="N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1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1</v>
      </c>
      <c r="AC1105" t="b">
        <v>0</v>
      </c>
      <c r="AE1105" t="s">
        <v>2994</v>
      </c>
    </row>
    <row r="1106" spans="1:31" x14ac:dyDescent="0.3">
      <c r="A1106">
        <v>-73.970297091929993</v>
      </c>
      <c r="B1106">
        <v>40.769688311339998</v>
      </c>
      <c r="C1106" t="s">
        <v>2995</v>
      </c>
      <c r="D1106" t="s">
        <v>92</v>
      </c>
      <c r="E1106" t="s">
        <v>33</v>
      </c>
      <c r="F1106">
        <v>10062018</v>
      </c>
      <c r="G1106">
        <v>8</v>
      </c>
      <c r="H1106" t="s">
        <v>48</v>
      </c>
      <c r="I1106" t="s">
        <v>42</v>
      </c>
      <c r="J1106" t="s">
        <v>59</v>
      </c>
      <c r="K1106" t="s">
        <v>79</v>
      </c>
      <c r="M1106" t="s">
        <v>65</v>
      </c>
      <c r="N1106" t="b">
        <v>0</v>
      </c>
      <c r="O1106" t="s">
        <v>2996</v>
      </c>
      <c r="P1106" t="b">
        <v>0</v>
      </c>
      <c r="Q1106" t="b">
        <v>0</v>
      </c>
      <c r="R1106" t="b">
        <v>0</v>
      </c>
      <c r="S1106" t="b">
        <v>0</v>
      </c>
      <c r="T1106" t="b">
        <v>1</v>
      </c>
      <c r="V1106" t="b">
        <v>0</v>
      </c>
      <c r="W1106" t="b">
        <v>0</v>
      </c>
      <c r="X1106" t="b">
        <v>0</v>
      </c>
      <c r="Y1106" t="b">
        <v>0</v>
      </c>
      <c r="Z1106" t="b">
        <v>1</v>
      </c>
      <c r="AA1106" t="b">
        <v>1</v>
      </c>
      <c r="AB1106" t="b">
        <v>0</v>
      </c>
      <c r="AC1106" t="b">
        <v>1</v>
      </c>
      <c r="AE1106" t="s">
        <v>2997</v>
      </c>
    </row>
    <row r="1107" spans="1:31" x14ac:dyDescent="0.3">
      <c r="A1107">
        <v>-73.953073956210005</v>
      </c>
      <c r="B1107">
        <v>40.793203440950002</v>
      </c>
      <c r="C1107" t="s">
        <v>2998</v>
      </c>
      <c r="D1107" t="s">
        <v>863</v>
      </c>
      <c r="E1107" t="s">
        <v>33</v>
      </c>
      <c r="F1107">
        <v>10062018</v>
      </c>
      <c r="G1107">
        <v>1</v>
      </c>
      <c r="H1107" t="s">
        <v>105</v>
      </c>
      <c r="I1107" t="s">
        <v>42</v>
      </c>
      <c r="J1107" t="s">
        <v>59</v>
      </c>
      <c r="K1107" t="s">
        <v>79</v>
      </c>
      <c r="M1107" t="s">
        <v>65</v>
      </c>
      <c r="N1107" t="b">
        <v>0</v>
      </c>
      <c r="P1107" t="b">
        <v>0</v>
      </c>
      <c r="Q1107" t="b">
        <v>0</v>
      </c>
      <c r="R1107" t="b">
        <v>0</v>
      </c>
      <c r="S1107" t="b">
        <v>1</v>
      </c>
      <c r="T1107" t="b">
        <v>1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1</v>
      </c>
      <c r="AD1107" t="s">
        <v>2999</v>
      </c>
      <c r="AE1107" t="s">
        <v>3000</v>
      </c>
    </row>
    <row r="1108" spans="1:31" x14ac:dyDescent="0.3">
      <c r="A1108">
        <v>-73.963839779040001</v>
      </c>
      <c r="B1108">
        <v>40.782895027290003</v>
      </c>
      <c r="C1108" t="s">
        <v>3001</v>
      </c>
      <c r="D1108" t="s">
        <v>579</v>
      </c>
      <c r="E1108" t="s">
        <v>33</v>
      </c>
      <c r="F1108">
        <v>10132018</v>
      </c>
      <c r="G1108">
        <v>2</v>
      </c>
      <c r="H1108" t="s">
        <v>48</v>
      </c>
      <c r="I1108" t="s">
        <v>42</v>
      </c>
      <c r="J1108" t="s">
        <v>96</v>
      </c>
      <c r="K1108" t="s">
        <v>97</v>
      </c>
      <c r="M1108" t="s">
        <v>65</v>
      </c>
      <c r="N1108" t="b">
        <v>0</v>
      </c>
      <c r="P1108" t="b">
        <v>1</v>
      </c>
      <c r="Q1108" t="b">
        <v>0</v>
      </c>
      <c r="R1108" t="b">
        <v>0</v>
      </c>
      <c r="S1108" t="b">
        <v>1</v>
      </c>
      <c r="T1108" t="b">
        <v>1</v>
      </c>
      <c r="V1108" t="b">
        <v>0</v>
      </c>
      <c r="W1108" t="b">
        <v>1</v>
      </c>
      <c r="X1108" t="b">
        <v>0</v>
      </c>
      <c r="Y1108" t="b">
        <v>0</v>
      </c>
      <c r="Z1108" t="b">
        <v>1</v>
      </c>
      <c r="AA1108" t="b">
        <v>0</v>
      </c>
      <c r="AB1108" t="b">
        <v>1</v>
      </c>
      <c r="AC1108" t="b">
        <v>0</v>
      </c>
      <c r="AD1108" t="s">
        <v>3002</v>
      </c>
      <c r="AE1108" t="s">
        <v>3003</v>
      </c>
    </row>
    <row r="1109" spans="1:31" x14ac:dyDescent="0.3">
      <c r="A1109">
        <v>-73.967815403309999</v>
      </c>
      <c r="B1109">
        <v>40.774278348449997</v>
      </c>
      <c r="C1109" t="s">
        <v>3004</v>
      </c>
      <c r="D1109" t="s">
        <v>1389</v>
      </c>
      <c r="E1109" t="s">
        <v>33</v>
      </c>
      <c r="F1109">
        <v>10072018</v>
      </c>
      <c r="G1109">
        <v>1</v>
      </c>
      <c r="H1109" t="s">
        <v>48</v>
      </c>
      <c r="I1109" t="s">
        <v>42</v>
      </c>
      <c r="J1109" t="s">
        <v>53</v>
      </c>
      <c r="K1109" t="s">
        <v>54</v>
      </c>
      <c r="M1109" t="s">
        <v>44</v>
      </c>
      <c r="N1109">
        <v>10</v>
      </c>
      <c r="O1109" t="s">
        <v>456</v>
      </c>
      <c r="P1109" t="b">
        <v>0</v>
      </c>
      <c r="Q1109" t="b">
        <v>0</v>
      </c>
      <c r="R1109" t="b">
        <v>0</v>
      </c>
      <c r="S1109" t="b">
        <v>1</v>
      </c>
      <c r="T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E1109" t="s">
        <v>3005</v>
      </c>
    </row>
    <row r="1110" spans="1:31" x14ac:dyDescent="0.3">
      <c r="A1110">
        <v>-73.967643425700004</v>
      </c>
      <c r="B1110">
        <v>40.786233662439997</v>
      </c>
      <c r="C1110" t="s">
        <v>3006</v>
      </c>
      <c r="D1110" t="s">
        <v>1439</v>
      </c>
      <c r="E1110" t="s">
        <v>33</v>
      </c>
      <c r="F1110">
        <v>10072018</v>
      </c>
      <c r="G1110">
        <v>4</v>
      </c>
      <c r="H1110" t="s">
        <v>48</v>
      </c>
      <c r="I1110" t="s">
        <v>42</v>
      </c>
      <c r="K1110" t="s">
        <v>43</v>
      </c>
      <c r="M1110" t="s">
        <v>44</v>
      </c>
      <c r="N1110">
        <v>50</v>
      </c>
      <c r="O1110" t="s">
        <v>456</v>
      </c>
      <c r="P1110" t="b">
        <v>0</v>
      </c>
      <c r="Q1110" t="b">
        <v>0</v>
      </c>
      <c r="R1110" t="b">
        <v>1</v>
      </c>
      <c r="S1110" t="b">
        <v>0</v>
      </c>
      <c r="T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E1110" t="s">
        <v>3007</v>
      </c>
    </row>
    <row r="1111" spans="1:31" x14ac:dyDescent="0.3">
      <c r="A1111">
        <v>-73.963279933989995</v>
      </c>
      <c r="B1111">
        <v>40.780831643630002</v>
      </c>
      <c r="C1111" t="s">
        <v>3008</v>
      </c>
      <c r="D1111" t="s">
        <v>1657</v>
      </c>
      <c r="E1111" t="s">
        <v>33</v>
      </c>
      <c r="F1111">
        <v>10182018</v>
      </c>
      <c r="G1111">
        <v>1</v>
      </c>
      <c r="H1111" t="s">
        <v>105</v>
      </c>
      <c r="I1111" t="s">
        <v>42</v>
      </c>
      <c r="J1111" t="s">
        <v>53</v>
      </c>
      <c r="K1111" t="s">
        <v>54</v>
      </c>
      <c r="M1111" t="s">
        <v>65</v>
      </c>
      <c r="N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s">
        <v>1428</v>
      </c>
      <c r="V1111" t="b">
        <v>0</v>
      </c>
      <c r="W1111" t="b">
        <v>0</v>
      </c>
      <c r="X1111" t="b">
        <v>0</v>
      </c>
      <c r="Y1111" t="b">
        <v>0</v>
      </c>
      <c r="Z1111" t="b">
        <v>1</v>
      </c>
      <c r="AA1111" t="b">
        <v>1</v>
      </c>
      <c r="AB1111" t="b">
        <v>0</v>
      </c>
      <c r="AC1111" t="b">
        <v>0</v>
      </c>
      <c r="AE1111" t="s">
        <v>3009</v>
      </c>
    </row>
    <row r="1112" spans="1:31" x14ac:dyDescent="0.3">
      <c r="A1112">
        <v>-73.958393426399994</v>
      </c>
      <c r="B1112">
        <v>40.78547421855</v>
      </c>
      <c r="C1112" t="s">
        <v>3010</v>
      </c>
      <c r="D1112" t="s">
        <v>1083</v>
      </c>
      <c r="E1112" t="s">
        <v>38</v>
      </c>
      <c r="F1112">
        <v>10072018</v>
      </c>
      <c r="G1112">
        <v>2</v>
      </c>
      <c r="K1112" t="s">
        <v>34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V1112" t="b">
        <v>1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E1112" t="s">
        <v>3011</v>
      </c>
    </row>
    <row r="1113" spans="1:31" x14ac:dyDescent="0.3">
      <c r="A1113">
        <v>-73.967930913030003</v>
      </c>
      <c r="B1113">
        <v>40.779243783799998</v>
      </c>
      <c r="C1113" t="s">
        <v>3012</v>
      </c>
      <c r="D1113" t="s">
        <v>200</v>
      </c>
      <c r="E1113" t="s">
        <v>38</v>
      </c>
      <c r="F1113">
        <v>10172018</v>
      </c>
      <c r="G1113">
        <v>4</v>
      </c>
      <c r="H1113" t="s">
        <v>48</v>
      </c>
      <c r="I1113" t="s">
        <v>42</v>
      </c>
      <c r="K1113" t="s">
        <v>43</v>
      </c>
      <c r="M1113" t="s">
        <v>65</v>
      </c>
      <c r="N1113" t="b">
        <v>0</v>
      </c>
      <c r="O1113" t="s">
        <v>3013</v>
      </c>
      <c r="P1113" t="b">
        <v>0</v>
      </c>
      <c r="Q1113" t="b">
        <v>0</v>
      </c>
      <c r="R1113" t="b">
        <v>0</v>
      </c>
      <c r="S1113" t="b">
        <v>0</v>
      </c>
      <c r="T1113" t="b">
        <v>1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E1113" t="s">
        <v>3014</v>
      </c>
    </row>
    <row r="1114" spans="1:31" x14ac:dyDescent="0.3">
      <c r="A1114">
        <v>-73.959650513900002</v>
      </c>
      <c r="B1114">
        <v>40.794036773499997</v>
      </c>
      <c r="C1114" t="s">
        <v>3015</v>
      </c>
      <c r="D1114" t="s">
        <v>195</v>
      </c>
      <c r="E1114" t="s">
        <v>33</v>
      </c>
      <c r="F1114">
        <v>10132018</v>
      </c>
      <c r="G1114">
        <v>6</v>
      </c>
      <c r="H1114" t="s">
        <v>48</v>
      </c>
      <c r="I1114" t="s">
        <v>42</v>
      </c>
      <c r="J1114" t="s">
        <v>53</v>
      </c>
      <c r="K1114" t="s">
        <v>54</v>
      </c>
      <c r="M1114" t="s">
        <v>65</v>
      </c>
      <c r="N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1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E1114" t="s">
        <v>3016</v>
      </c>
    </row>
    <row r="1115" spans="1:31" x14ac:dyDescent="0.3">
      <c r="A1115">
        <v>-73.954521461330003</v>
      </c>
      <c r="B1115">
        <v>40.794380112100001</v>
      </c>
      <c r="C1115" t="s">
        <v>3017</v>
      </c>
      <c r="D1115" t="s">
        <v>936</v>
      </c>
      <c r="E1115" t="s">
        <v>33</v>
      </c>
      <c r="F1115">
        <v>10072018</v>
      </c>
      <c r="G1115">
        <v>1</v>
      </c>
      <c r="H1115" t="s">
        <v>48</v>
      </c>
      <c r="I1115" t="s">
        <v>42</v>
      </c>
      <c r="J1115" t="s">
        <v>53</v>
      </c>
      <c r="K1115" t="s">
        <v>54</v>
      </c>
      <c r="M1115" t="s">
        <v>65</v>
      </c>
      <c r="N1115" t="b">
        <v>0</v>
      </c>
      <c r="P1115" t="b">
        <v>0</v>
      </c>
      <c r="Q1115" t="b">
        <v>0</v>
      </c>
      <c r="R1115" t="b">
        <v>0</v>
      </c>
      <c r="S1115" t="b">
        <v>1</v>
      </c>
      <c r="T1115" t="b">
        <v>1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1</v>
      </c>
      <c r="AE1115" t="s">
        <v>3018</v>
      </c>
    </row>
    <row r="1116" spans="1:31" x14ac:dyDescent="0.3">
      <c r="A1116">
        <v>-73.972984710980001</v>
      </c>
      <c r="B1116">
        <v>40.774070904959999</v>
      </c>
      <c r="C1116" t="s">
        <v>3019</v>
      </c>
      <c r="D1116" t="s">
        <v>2255</v>
      </c>
      <c r="E1116" t="s">
        <v>38</v>
      </c>
      <c r="F1116">
        <v>10082018</v>
      </c>
      <c r="G1116">
        <v>3</v>
      </c>
      <c r="H1116" t="s">
        <v>48</v>
      </c>
      <c r="I1116" t="s">
        <v>42</v>
      </c>
      <c r="J1116" t="s">
        <v>59</v>
      </c>
      <c r="K1116" t="s">
        <v>79</v>
      </c>
      <c r="M1116" t="s">
        <v>44</v>
      </c>
      <c r="N1116">
        <v>10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E1116" t="s">
        <v>3020</v>
      </c>
    </row>
    <row r="1117" spans="1:31" x14ac:dyDescent="0.3">
      <c r="A1117">
        <v>-73.96934653836</v>
      </c>
      <c r="B1117">
        <v>40.774499633689999</v>
      </c>
      <c r="C1117" t="s">
        <v>3021</v>
      </c>
      <c r="D1117" t="s">
        <v>646</v>
      </c>
      <c r="E1117" t="s">
        <v>33</v>
      </c>
      <c r="F1117">
        <v>10072018</v>
      </c>
      <c r="G1117">
        <v>1</v>
      </c>
      <c r="H1117" t="s">
        <v>48</v>
      </c>
      <c r="I1117" t="s">
        <v>53</v>
      </c>
      <c r="J1117" t="s">
        <v>42</v>
      </c>
      <c r="K1117" t="s">
        <v>89</v>
      </c>
      <c r="M1117" t="s">
        <v>65</v>
      </c>
      <c r="N1117" t="b">
        <v>0</v>
      </c>
      <c r="P1117" t="b">
        <v>0</v>
      </c>
      <c r="Q1117" t="b">
        <v>0</v>
      </c>
      <c r="R1117" t="b">
        <v>0</v>
      </c>
      <c r="S1117" t="b">
        <v>1</v>
      </c>
      <c r="T1117" t="b">
        <v>1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1</v>
      </c>
      <c r="AE1117" t="s">
        <v>3022</v>
      </c>
    </row>
    <row r="1118" spans="1:31" x14ac:dyDescent="0.3">
      <c r="A1118">
        <v>-73.971946033539993</v>
      </c>
      <c r="B1118">
        <v>40.781050815630003</v>
      </c>
      <c r="C1118" t="s">
        <v>3023</v>
      </c>
      <c r="D1118" t="s">
        <v>163</v>
      </c>
      <c r="E1118" t="s">
        <v>38</v>
      </c>
      <c r="F1118">
        <v>10122018</v>
      </c>
      <c r="G1118">
        <v>1</v>
      </c>
      <c r="H1118" t="s">
        <v>48</v>
      </c>
      <c r="I1118" t="s">
        <v>42</v>
      </c>
      <c r="J1118" t="s">
        <v>96</v>
      </c>
      <c r="K1118" t="s">
        <v>97</v>
      </c>
      <c r="L1118" t="s">
        <v>1896</v>
      </c>
      <c r="M1118" t="s">
        <v>44</v>
      </c>
      <c r="N1118">
        <v>3</v>
      </c>
      <c r="O1118" t="s">
        <v>190</v>
      </c>
      <c r="P1118" t="b">
        <v>1</v>
      </c>
      <c r="Q1118" t="b">
        <v>0</v>
      </c>
      <c r="R1118" t="b">
        <v>1</v>
      </c>
      <c r="S1118" t="b">
        <v>0</v>
      </c>
      <c r="T1118" t="b">
        <v>1</v>
      </c>
      <c r="V1118" t="b">
        <v>0</v>
      </c>
      <c r="W1118" t="b">
        <v>0</v>
      </c>
      <c r="X1118" t="b">
        <v>0</v>
      </c>
      <c r="Y1118" t="b">
        <v>0</v>
      </c>
      <c r="Z1118" t="b">
        <v>1</v>
      </c>
      <c r="AA1118" t="b">
        <v>0</v>
      </c>
      <c r="AB1118" t="b">
        <v>0</v>
      </c>
      <c r="AC1118" t="b">
        <v>1</v>
      </c>
      <c r="AE1118" t="s">
        <v>3024</v>
      </c>
    </row>
    <row r="1119" spans="1:31" x14ac:dyDescent="0.3">
      <c r="A1119">
        <v>-73.959755781940004</v>
      </c>
      <c r="B1119">
        <v>40.794991820450001</v>
      </c>
      <c r="C1119" t="s">
        <v>3025</v>
      </c>
      <c r="D1119" t="s">
        <v>1262</v>
      </c>
      <c r="E1119" t="s">
        <v>38</v>
      </c>
      <c r="F1119">
        <v>10142018</v>
      </c>
      <c r="G1119">
        <v>1</v>
      </c>
      <c r="H1119" t="s">
        <v>48</v>
      </c>
      <c r="I1119" t="s">
        <v>42</v>
      </c>
      <c r="J1119" t="s">
        <v>53</v>
      </c>
      <c r="K1119" t="s">
        <v>54</v>
      </c>
      <c r="L1119" t="s">
        <v>442</v>
      </c>
      <c r="M1119" t="s">
        <v>65</v>
      </c>
      <c r="N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1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1</v>
      </c>
      <c r="AE1119" t="s">
        <v>3026</v>
      </c>
    </row>
    <row r="1120" spans="1:31" x14ac:dyDescent="0.3">
      <c r="A1120">
        <v>-73.956407927330005</v>
      </c>
      <c r="B1120">
        <v>40.793934005380002</v>
      </c>
      <c r="C1120" t="s">
        <v>3027</v>
      </c>
      <c r="D1120" t="s">
        <v>693</v>
      </c>
      <c r="E1120" t="s">
        <v>38</v>
      </c>
      <c r="F1120">
        <v>10172018</v>
      </c>
      <c r="G1120">
        <v>2</v>
      </c>
      <c r="H1120" t="s">
        <v>48</v>
      </c>
      <c r="I1120" t="s">
        <v>42</v>
      </c>
      <c r="J1120" t="s">
        <v>53</v>
      </c>
      <c r="K1120" t="s">
        <v>54</v>
      </c>
      <c r="L1120" t="s">
        <v>3028</v>
      </c>
      <c r="M1120" t="s">
        <v>65</v>
      </c>
      <c r="N1120" t="b">
        <v>0</v>
      </c>
      <c r="P1120" t="b">
        <v>0</v>
      </c>
      <c r="Q1120" t="b">
        <v>0</v>
      </c>
      <c r="R1120" t="b">
        <v>0</v>
      </c>
      <c r="S1120" t="b">
        <v>1</v>
      </c>
      <c r="T1120" t="b">
        <v>1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1</v>
      </c>
      <c r="AC1120" t="b">
        <v>0</v>
      </c>
      <c r="AE1120" t="s">
        <v>3029</v>
      </c>
    </row>
    <row r="1121" spans="1:31" x14ac:dyDescent="0.3">
      <c r="A1121">
        <v>-73.964506043330005</v>
      </c>
      <c r="B1121">
        <v>40.776832205780003</v>
      </c>
      <c r="C1121" t="s">
        <v>3030</v>
      </c>
      <c r="D1121" t="s">
        <v>114</v>
      </c>
      <c r="E1121" t="s">
        <v>38</v>
      </c>
      <c r="F1121">
        <v>10082018</v>
      </c>
      <c r="G1121">
        <v>3</v>
      </c>
      <c r="H1121" t="s">
        <v>48</v>
      </c>
      <c r="I1121" t="s">
        <v>53</v>
      </c>
      <c r="J1121" t="s">
        <v>115</v>
      </c>
      <c r="K1121" t="s">
        <v>116</v>
      </c>
      <c r="M1121" t="s">
        <v>65</v>
      </c>
      <c r="N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1</v>
      </c>
      <c r="V1121" t="b">
        <v>0</v>
      </c>
      <c r="W1121" t="b">
        <v>0</v>
      </c>
      <c r="X1121" t="b">
        <v>0</v>
      </c>
      <c r="Y1121" t="b">
        <v>0</v>
      </c>
      <c r="Z1121" t="b">
        <v>1</v>
      </c>
      <c r="AA1121" t="b">
        <v>0</v>
      </c>
      <c r="AB1121" t="b">
        <v>1</v>
      </c>
      <c r="AC1121" t="b">
        <v>0</v>
      </c>
      <c r="AE1121" t="s">
        <v>3031</v>
      </c>
    </row>
    <row r="1122" spans="1:31" x14ac:dyDescent="0.3">
      <c r="A1122">
        <v>-73.972870035949995</v>
      </c>
      <c r="B1122">
        <v>40.765984266689998</v>
      </c>
      <c r="C1122" t="s">
        <v>3032</v>
      </c>
      <c r="D1122" t="s">
        <v>1899</v>
      </c>
      <c r="E1122" t="s">
        <v>33</v>
      </c>
      <c r="F1122">
        <v>10142018</v>
      </c>
      <c r="G1122">
        <v>5</v>
      </c>
      <c r="H1122" t="s">
        <v>48</v>
      </c>
      <c r="I1122" t="s">
        <v>42</v>
      </c>
      <c r="J1122" t="s">
        <v>59</v>
      </c>
      <c r="K1122" t="s">
        <v>79</v>
      </c>
      <c r="M1122" t="s">
        <v>65</v>
      </c>
      <c r="N1122" t="b">
        <v>0</v>
      </c>
      <c r="P1122" t="b">
        <v>0</v>
      </c>
      <c r="Q1122" t="b">
        <v>0</v>
      </c>
      <c r="R1122" t="b">
        <v>0</v>
      </c>
      <c r="S1122" t="b">
        <v>1</v>
      </c>
      <c r="T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1</v>
      </c>
      <c r="AC1122" t="b">
        <v>0</v>
      </c>
      <c r="AE1122" t="s">
        <v>3033</v>
      </c>
    </row>
    <row r="1123" spans="1:31" x14ac:dyDescent="0.3">
      <c r="A1123">
        <v>-73.967085893399997</v>
      </c>
      <c r="B1123">
        <v>40.775350502499997</v>
      </c>
      <c r="C1123" t="s">
        <v>3034</v>
      </c>
      <c r="D1123" t="s">
        <v>1320</v>
      </c>
      <c r="E1123" t="s">
        <v>33</v>
      </c>
      <c r="F1123">
        <v>10122018</v>
      </c>
      <c r="G1123">
        <v>2</v>
      </c>
      <c r="H1123" t="s">
        <v>48</v>
      </c>
      <c r="I1123" t="s">
        <v>42</v>
      </c>
      <c r="J1123" t="s">
        <v>96</v>
      </c>
      <c r="K1123" t="s">
        <v>97</v>
      </c>
      <c r="M1123" t="s">
        <v>44</v>
      </c>
      <c r="N1123">
        <v>20</v>
      </c>
      <c r="P1123" t="b">
        <v>1</v>
      </c>
      <c r="Q1123" t="b">
        <v>0</v>
      </c>
      <c r="R1123" t="b">
        <v>0</v>
      </c>
      <c r="S1123" t="b">
        <v>1</v>
      </c>
      <c r="T1123" t="b">
        <v>1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1</v>
      </c>
      <c r="AC1123" t="b">
        <v>0</v>
      </c>
      <c r="AE1123" t="s">
        <v>3035</v>
      </c>
    </row>
    <row r="1124" spans="1:31" x14ac:dyDescent="0.3">
      <c r="A1124">
        <v>-73.959516757220001</v>
      </c>
      <c r="B1124">
        <v>40.79525459085</v>
      </c>
      <c r="C1124" t="s">
        <v>3036</v>
      </c>
      <c r="D1124" t="s">
        <v>1262</v>
      </c>
      <c r="E1124" t="s">
        <v>33</v>
      </c>
      <c r="F1124">
        <v>10132018</v>
      </c>
      <c r="G1124">
        <v>4</v>
      </c>
      <c r="H1124" t="s">
        <v>48</v>
      </c>
      <c r="I1124" t="s">
        <v>42</v>
      </c>
      <c r="K1124" t="s">
        <v>43</v>
      </c>
      <c r="M1124" t="s">
        <v>65</v>
      </c>
      <c r="N1124" t="b">
        <v>0</v>
      </c>
      <c r="O1124" t="s">
        <v>3037</v>
      </c>
      <c r="P1124" t="b">
        <v>1</v>
      </c>
      <c r="Q1124" t="b">
        <v>0</v>
      </c>
      <c r="R1124" t="b">
        <v>0</v>
      </c>
      <c r="S1124" t="b">
        <v>0</v>
      </c>
      <c r="T1124" t="b">
        <v>1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1</v>
      </c>
      <c r="AE1124" t="s">
        <v>3038</v>
      </c>
    </row>
    <row r="1125" spans="1:31" x14ac:dyDescent="0.3">
      <c r="A1125">
        <v>-73.97757350773</v>
      </c>
      <c r="B1125">
        <v>40.76928720822</v>
      </c>
      <c r="C1125" t="s">
        <v>3039</v>
      </c>
      <c r="D1125" t="s">
        <v>1581</v>
      </c>
      <c r="E1125" t="s">
        <v>33</v>
      </c>
      <c r="F1125">
        <v>10102018</v>
      </c>
      <c r="G1125">
        <v>8</v>
      </c>
      <c r="H1125" t="s">
        <v>48</v>
      </c>
      <c r="I1125" t="s">
        <v>42</v>
      </c>
      <c r="J1125" t="s">
        <v>96</v>
      </c>
      <c r="K1125" t="s">
        <v>97</v>
      </c>
      <c r="M1125" t="s">
        <v>44</v>
      </c>
      <c r="N1125">
        <v>10</v>
      </c>
      <c r="O1125" t="s">
        <v>3040</v>
      </c>
      <c r="P1125" t="b">
        <v>1</v>
      </c>
      <c r="Q1125" t="b">
        <v>0</v>
      </c>
      <c r="R1125" t="b">
        <v>1</v>
      </c>
      <c r="S1125" t="b">
        <v>0</v>
      </c>
      <c r="T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1</v>
      </c>
      <c r="AE1125" t="s">
        <v>3041</v>
      </c>
    </row>
    <row r="1126" spans="1:31" x14ac:dyDescent="0.3">
      <c r="A1126">
        <v>-73.970018600100005</v>
      </c>
      <c r="B1126">
        <v>40.782605218470003</v>
      </c>
      <c r="C1126" t="s">
        <v>3042</v>
      </c>
      <c r="D1126" t="s">
        <v>78</v>
      </c>
      <c r="E1126" t="s">
        <v>38</v>
      </c>
      <c r="F1126">
        <v>10072018</v>
      </c>
      <c r="G1126">
        <v>3</v>
      </c>
      <c r="H1126" t="s">
        <v>48</v>
      </c>
      <c r="I1126" t="s">
        <v>42</v>
      </c>
      <c r="J1126" t="s">
        <v>59</v>
      </c>
      <c r="K1126" t="s">
        <v>79</v>
      </c>
      <c r="M1126" t="s">
        <v>44</v>
      </c>
      <c r="P1126" t="b">
        <v>0</v>
      </c>
      <c r="Q1126" t="b">
        <v>0</v>
      </c>
      <c r="R1126" t="b">
        <v>0</v>
      </c>
      <c r="S1126" t="b">
        <v>0</v>
      </c>
      <c r="T1126" t="b">
        <v>1</v>
      </c>
      <c r="V1126" t="b">
        <v>0</v>
      </c>
      <c r="W1126" t="b">
        <v>0</v>
      </c>
      <c r="X1126" t="b">
        <v>0</v>
      </c>
      <c r="Y1126" t="b">
        <v>1</v>
      </c>
      <c r="Z1126" t="b">
        <v>0</v>
      </c>
      <c r="AA1126" t="b">
        <v>0</v>
      </c>
      <c r="AB1126" t="b">
        <v>0</v>
      </c>
      <c r="AC1126" t="b">
        <v>1</v>
      </c>
      <c r="AE1126" t="s">
        <v>3043</v>
      </c>
    </row>
    <row r="1127" spans="1:31" x14ac:dyDescent="0.3">
      <c r="A1127">
        <v>-73.977644556789997</v>
      </c>
      <c r="B1127">
        <v>40.768119107970001</v>
      </c>
      <c r="C1127" t="s">
        <v>3044</v>
      </c>
      <c r="D1127" t="s">
        <v>502</v>
      </c>
      <c r="E1127" t="s">
        <v>33</v>
      </c>
      <c r="F1127">
        <v>10102018</v>
      </c>
      <c r="G1127">
        <v>7</v>
      </c>
      <c r="H1127" t="s">
        <v>48</v>
      </c>
      <c r="I1127" t="s">
        <v>53</v>
      </c>
      <c r="J1127" t="s">
        <v>59</v>
      </c>
      <c r="K1127" t="s">
        <v>60</v>
      </c>
      <c r="M1127" t="s">
        <v>65</v>
      </c>
      <c r="N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1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E1127" t="s">
        <v>3045</v>
      </c>
    </row>
    <row r="1128" spans="1:31" x14ac:dyDescent="0.3">
      <c r="A1128">
        <v>-73.963859904429995</v>
      </c>
      <c r="B1128">
        <v>40.780928879530002</v>
      </c>
      <c r="C1128" t="s">
        <v>3046</v>
      </c>
      <c r="D1128" t="s">
        <v>343</v>
      </c>
      <c r="E1128" t="s">
        <v>38</v>
      </c>
      <c r="F1128">
        <v>10142018</v>
      </c>
      <c r="G1128">
        <v>6</v>
      </c>
      <c r="H1128" t="s">
        <v>48</v>
      </c>
      <c r="I1128" t="s">
        <v>42</v>
      </c>
      <c r="J1128" t="s">
        <v>53</v>
      </c>
      <c r="K1128" t="s">
        <v>54</v>
      </c>
      <c r="M1128" t="s">
        <v>44</v>
      </c>
      <c r="N1128">
        <v>5</v>
      </c>
      <c r="P1128" t="b">
        <v>0</v>
      </c>
      <c r="Q1128" t="b">
        <v>1</v>
      </c>
      <c r="R1128" t="b">
        <v>1</v>
      </c>
      <c r="S1128" t="b">
        <v>0</v>
      </c>
      <c r="T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E1128" t="s">
        <v>3047</v>
      </c>
    </row>
    <row r="1129" spans="1:31" x14ac:dyDescent="0.3">
      <c r="A1129">
        <v>-73.974490683270005</v>
      </c>
      <c r="B1129">
        <v>40.769994874680002</v>
      </c>
      <c r="C1129" t="s">
        <v>3048</v>
      </c>
      <c r="D1129" t="s">
        <v>3049</v>
      </c>
      <c r="E1129" t="s">
        <v>33</v>
      </c>
      <c r="F1129">
        <v>10102018</v>
      </c>
      <c r="G1129">
        <v>5</v>
      </c>
      <c r="H1129" t="s">
        <v>48</v>
      </c>
      <c r="I1129" t="s">
        <v>53</v>
      </c>
      <c r="J1129" t="s">
        <v>59</v>
      </c>
      <c r="K1129" t="s">
        <v>60</v>
      </c>
      <c r="L1129" t="s">
        <v>3050</v>
      </c>
      <c r="M1129" t="s">
        <v>65</v>
      </c>
      <c r="N1129" t="b">
        <v>0</v>
      </c>
      <c r="P1129" t="b">
        <v>0</v>
      </c>
      <c r="Q1129" t="b">
        <v>0</v>
      </c>
      <c r="R1129" t="b">
        <v>0</v>
      </c>
      <c r="S1129" t="b">
        <v>1</v>
      </c>
      <c r="T1129" t="b">
        <v>0</v>
      </c>
      <c r="U1129" t="s">
        <v>3051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1</v>
      </c>
      <c r="AC1129" t="b">
        <v>0</v>
      </c>
      <c r="AE1129" t="s">
        <v>3052</v>
      </c>
    </row>
    <row r="1130" spans="1:31" x14ac:dyDescent="0.3">
      <c r="A1130">
        <v>-73.951908162780001</v>
      </c>
      <c r="B1130">
        <v>40.797314871940003</v>
      </c>
      <c r="C1130" t="s">
        <v>3053</v>
      </c>
      <c r="D1130" t="s">
        <v>3054</v>
      </c>
      <c r="E1130" t="s">
        <v>38</v>
      </c>
      <c r="F1130">
        <v>10132018</v>
      </c>
      <c r="G1130">
        <v>2</v>
      </c>
      <c r="H1130" t="s">
        <v>48</v>
      </c>
      <c r="I1130" t="s">
        <v>42</v>
      </c>
      <c r="J1130" t="s">
        <v>96</v>
      </c>
      <c r="K1130" t="s">
        <v>97</v>
      </c>
      <c r="M1130" t="s">
        <v>65</v>
      </c>
      <c r="N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1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1</v>
      </c>
      <c r="AC1130" t="b">
        <v>0</v>
      </c>
      <c r="AE1130" t="s">
        <v>3055</v>
      </c>
    </row>
    <row r="1131" spans="1:31" x14ac:dyDescent="0.3">
      <c r="A1131">
        <v>-73.979308267969998</v>
      </c>
      <c r="B1131">
        <v>40.767993059879998</v>
      </c>
      <c r="C1131" t="s">
        <v>3056</v>
      </c>
      <c r="D1131" t="s">
        <v>1232</v>
      </c>
      <c r="E1131" t="s">
        <v>33</v>
      </c>
      <c r="F1131">
        <v>10132018</v>
      </c>
      <c r="G1131">
        <v>11</v>
      </c>
      <c r="H1131" t="s">
        <v>48</v>
      </c>
      <c r="I1131" t="s">
        <v>42</v>
      </c>
      <c r="J1131" t="s">
        <v>59</v>
      </c>
      <c r="K1131" t="s">
        <v>79</v>
      </c>
      <c r="M1131" t="s">
        <v>65</v>
      </c>
      <c r="N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E1131" t="s">
        <v>3057</v>
      </c>
    </row>
    <row r="1132" spans="1:31" x14ac:dyDescent="0.3">
      <c r="A1132">
        <v>-73.979839038730006</v>
      </c>
      <c r="B1132">
        <v>40.770076109089999</v>
      </c>
      <c r="C1132" t="s">
        <v>3058</v>
      </c>
      <c r="D1132" t="s">
        <v>239</v>
      </c>
      <c r="E1132" t="s">
        <v>33</v>
      </c>
      <c r="F1132">
        <v>10172018</v>
      </c>
      <c r="G1132">
        <v>7</v>
      </c>
      <c r="H1132" t="s">
        <v>48</v>
      </c>
      <c r="I1132" t="s">
        <v>53</v>
      </c>
      <c r="J1132" t="s">
        <v>59</v>
      </c>
      <c r="K1132" t="s">
        <v>60</v>
      </c>
      <c r="M1132" t="s">
        <v>65</v>
      </c>
      <c r="N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1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1</v>
      </c>
      <c r="AB1132" t="b">
        <v>0</v>
      </c>
      <c r="AC1132" t="b">
        <v>0</v>
      </c>
      <c r="AE1132" t="s">
        <v>3059</v>
      </c>
    </row>
    <row r="1133" spans="1:31" x14ac:dyDescent="0.3">
      <c r="A1133">
        <v>-73.971255058430003</v>
      </c>
      <c r="B1133">
        <v>40.77642734754</v>
      </c>
      <c r="C1133" t="s">
        <v>3060</v>
      </c>
      <c r="D1133" t="s">
        <v>415</v>
      </c>
      <c r="E1133" t="s">
        <v>33</v>
      </c>
      <c r="F1133">
        <v>10182018</v>
      </c>
      <c r="G1133">
        <v>6</v>
      </c>
      <c r="H1133" t="s">
        <v>48</v>
      </c>
      <c r="I1133" t="s">
        <v>42</v>
      </c>
      <c r="J1133" t="s">
        <v>59</v>
      </c>
      <c r="K1133" t="s">
        <v>79</v>
      </c>
      <c r="M1133" t="s">
        <v>44</v>
      </c>
      <c r="N1133">
        <v>10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s">
        <v>3061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1</v>
      </c>
      <c r="AC1133" t="b">
        <v>0</v>
      </c>
      <c r="AE1133" t="s">
        <v>3062</v>
      </c>
    </row>
    <row r="1134" spans="1:31" x14ac:dyDescent="0.3">
      <c r="A1134">
        <v>-73.971699550759993</v>
      </c>
      <c r="B1134">
        <v>40.779767132769997</v>
      </c>
      <c r="C1134" t="s">
        <v>3063</v>
      </c>
      <c r="D1134" t="s">
        <v>1632</v>
      </c>
      <c r="E1134" t="s">
        <v>38</v>
      </c>
      <c r="F1134">
        <v>10142018</v>
      </c>
      <c r="G1134">
        <v>2</v>
      </c>
      <c r="H1134" t="s">
        <v>48</v>
      </c>
      <c r="I1134" t="s">
        <v>42</v>
      </c>
      <c r="J1134" t="s">
        <v>53</v>
      </c>
      <c r="K1134" t="s">
        <v>54</v>
      </c>
      <c r="M1134" t="s">
        <v>65</v>
      </c>
      <c r="N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1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1</v>
      </c>
      <c r="AE1134" t="s">
        <v>3064</v>
      </c>
    </row>
    <row r="1135" spans="1:31" x14ac:dyDescent="0.3">
      <c r="A1135">
        <v>-73.966747448299998</v>
      </c>
      <c r="B1135">
        <v>40.77606437208</v>
      </c>
      <c r="C1135" t="s">
        <v>3065</v>
      </c>
      <c r="D1135" t="s">
        <v>663</v>
      </c>
      <c r="E1135" t="s">
        <v>33</v>
      </c>
      <c r="F1135">
        <v>10082018</v>
      </c>
      <c r="G1135">
        <v>1</v>
      </c>
      <c r="H1135" t="s">
        <v>48</v>
      </c>
      <c r="I1135" t="s">
        <v>53</v>
      </c>
      <c r="J1135" t="s">
        <v>42</v>
      </c>
      <c r="K1135" t="s">
        <v>89</v>
      </c>
      <c r="M1135" t="s">
        <v>44</v>
      </c>
      <c r="N1135">
        <v>10</v>
      </c>
      <c r="O1135" t="s">
        <v>3066</v>
      </c>
      <c r="P1135" t="b">
        <v>0</v>
      </c>
      <c r="Q1135" t="b">
        <v>1</v>
      </c>
      <c r="R1135" t="b">
        <v>0</v>
      </c>
      <c r="S1135" t="b">
        <v>0</v>
      </c>
      <c r="T1135" t="b">
        <v>0</v>
      </c>
      <c r="U1135" t="s">
        <v>488</v>
      </c>
      <c r="V1135" t="b">
        <v>0</v>
      </c>
      <c r="W1135" t="b">
        <v>1</v>
      </c>
      <c r="X1135" t="b">
        <v>0</v>
      </c>
      <c r="Y1135" t="b">
        <v>1</v>
      </c>
      <c r="Z1135" t="b">
        <v>0</v>
      </c>
      <c r="AA1135" t="b">
        <v>0</v>
      </c>
      <c r="AB1135" t="b">
        <v>0</v>
      </c>
      <c r="AC1135" t="b">
        <v>0</v>
      </c>
      <c r="AD1135" t="s">
        <v>3067</v>
      </c>
      <c r="AE1135" t="s">
        <v>3068</v>
      </c>
    </row>
    <row r="1136" spans="1:31" x14ac:dyDescent="0.3">
      <c r="A1136">
        <v>-73.951590779620005</v>
      </c>
      <c r="B1136">
        <v>40.795268423549999</v>
      </c>
      <c r="C1136" t="s">
        <v>3069</v>
      </c>
      <c r="D1136" t="s">
        <v>3070</v>
      </c>
      <c r="E1136" t="s">
        <v>38</v>
      </c>
      <c r="F1136">
        <v>10172018</v>
      </c>
      <c r="G1136">
        <v>2</v>
      </c>
      <c r="H1136" t="s">
        <v>48</v>
      </c>
      <c r="I1136" t="s">
        <v>42</v>
      </c>
      <c r="K1136" t="s">
        <v>43</v>
      </c>
      <c r="M1136" t="s">
        <v>65</v>
      </c>
      <c r="N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1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1</v>
      </c>
      <c r="AC1136" t="b">
        <v>0</v>
      </c>
      <c r="AE1136" t="s">
        <v>3071</v>
      </c>
    </row>
    <row r="1137" spans="1:31" x14ac:dyDescent="0.3">
      <c r="A1137">
        <v>-73.952028000439995</v>
      </c>
      <c r="B1137">
        <v>40.794634501449998</v>
      </c>
      <c r="C1137" t="s">
        <v>3072</v>
      </c>
      <c r="D1137" t="s">
        <v>3073</v>
      </c>
      <c r="E1137" t="s">
        <v>33</v>
      </c>
      <c r="F1137">
        <v>10132018</v>
      </c>
      <c r="G1137">
        <v>3</v>
      </c>
      <c r="H1137" t="s">
        <v>48</v>
      </c>
      <c r="I1137" t="s">
        <v>42</v>
      </c>
      <c r="K1137" t="s">
        <v>43</v>
      </c>
      <c r="M1137" t="s">
        <v>65</v>
      </c>
      <c r="N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s">
        <v>1367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1</v>
      </c>
      <c r="AB1137" t="b">
        <v>0</v>
      </c>
      <c r="AC1137" t="b">
        <v>0</v>
      </c>
      <c r="AE1137" t="s">
        <v>3074</v>
      </c>
    </row>
    <row r="1138" spans="1:31" x14ac:dyDescent="0.3">
      <c r="A1138">
        <v>-73.959435704970005</v>
      </c>
      <c r="B1138">
        <v>40.784067889089997</v>
      </c>
      <c r="C1138" t="s">
        <v>3075</v>
      </c>
      <c r="D1138" t="s">
        <v>2573</v>
      </c>
      <c r="E1138" t="s">
        <v>38</v>
      </c>
      <c r="F1138">
        <v>10122018</v>
      </c>
      <c r="G1138">
        <v>1</v>
      </c>
      <c r="H1138" t="s">
        <v>48</v>
      </c>
      <c r="I1138" t="s">
        <v>53</v>
      </c>
      <c r="K1138" t="s">
        <v>155</v>
      </c>
      <c r="M1138" t="s">
        <v>44</v>
      </c>
      <c r="N1138">
        <v>4</v>
      </c>
      <c r="O1138" t="s">
        <v>3076</v>
      </c>
      <c r="P1138" t="b">
        <v>0</v>
      </c>
      <c r="Q1138" t="b">
        <v>0</v>
      </c>
      <c r="R1138" t="b">
        <v>0</v>
      </c>
      <c r="S1138" t="b">
        <v>1</v>
      </c>
      <c r="T1138" t="b">
        <v>0</v>
      </c>
      <c r="V1138" t="b">
        <v>0</v>
      </c>
      <c r="W1138" t="b">
        <v>0</v>
      </c>
      <c r="X1138" t="b">
        <v>0</v>
      </c>
      <c r="Y1138" t="b">
        <v>1</v>
      </c>
      <c r="Z1138" t="b">
        <v>1</v>
      </c>
      <c r="AA1138" t="b">
        <v>1</v>
      </c>
      <c r="AB1138" t="b">
        <v>0</v>
      </c>
      <c r="AC1138" t="b">
        <v>0</v>
      </c>
      <c r="AE1138" t="s">
        <v>3077</v>
      </c>
    </row>
    <row r="1139" spans="1:31" x14ac:dyDescent="0.3">
      <c r="A1139">
        <v>-73.971627149460005</v>
      </c>
      <c r="B1139">
        <v>40.779646263419998</v>
      </c>
      <c r="C1139" t="s">
        <v>3078</v>
      </c>
      <c r="D1139" t="s">
        <v>1632</v>
      </c>
      <c r="E1139" t="s">
        <v>33</v>
      </c>
      <c r="F1139">
        <v>10172018</v>
      </c>
      <c r="G1139">
        <v>2</v>
      </c>
      <c r="H1139" t="s">
        <v>48</v>
      </c>
      <c r="I1139" t="s">
        <v>42</v>
      </c>
      <c r="J1139" t="s">
        <v>59</v>
      </c>
      <c r="K1139" t="s">
        <v>79</v>
      </c>
      <c r="M1139" t="s">
        <v>65</v>
      </c>
      <c r="N1139" t="b">
        <v>0</v>
      </c>
      <c r="P1139" t="b">
        <v>1</v>
      </c>
      <c r="Q1139" t="b">
        <v>1</v>
      </c>
      <c r="R1139" t="b">
        <v>0</v>
      </c>
      <c r="S1139" t="b">
        <v>1</v>
      </c>
      <c r="T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1</v>
      </c>
      <c r="AC1139" t="b">
        <v>0</v>
      </c>
      <c r="AE1139" t="s">
        <v>3079</v>
      </c>
    </row>
    <row r="1140" spans="1:31" x14ac:dyDescent="0.3">
      <c r="A1140">
        <v>-73.961581785920004</v>
      </c>
      <c r="B1140">
        <v>40.794583966380003</v>
      </c>
      <c r="C1140" t="s">
        <v>3080</v>
      </c>
      <c r="D1140" t="s">
        <v>286</v>
      </c>
      <c r="E1140" t="s">
        <v>38</v>
      </c>
      <c r="F1140">
        <v>10142018</v>
      </c>
      <c r="G1140">
        <v>8</v>
      </c>
      <c r="H1140" t="s">
        <v>48</v>
      </c>
      <c r="I1140" t="s">
        <v>53</v>
      </c>
      <c r="J1140" t="s">
        <v>59</v>
      </c>
      <c r="K1140" t="s">
        <v>60</v>
      </c>
      <c r="M1140" t="s">
        <v>65</v>
      </c>
      <c r="N1140" t="b">
        <v>0</v>
      </c>
      <c r="P1140" t="b">
        <v>0</v>
      </c>
      <c r="Q1140" t="b">
        <v>0</v>
      </c>
      <c r="R1140" t="b">
        <v>1</v>
      </c>
      <c r="S1140" t="b">
        <v>0</v>
      </c>
      <c r="T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1</v>
      </c>
      <c r="AC1140" t="b">
        <v>0</v>
      </c>
      <c r="AE1140" t="s">
        <v>3081</v>
      </c>
    </row>
    <row r="1141" spans="1:31" x14ac:dyDescent="0.3">
      <c r="A1141">
        <v>-73.966466936960003</v>
      </c>
      <c r="B1141">
        <v>40.777408536199999</v>
      </c>
      <c r="C1141" t="s">
        <v>3082</v>
      </c>
      <c r="D1141" t="s">
        <v>281</v>
      </c>
      <c r="E1141" t="s">
        <v>38</v>
      </c>
      <c r="F1141">
        <v>10102018</v>
      </c>
      <c r="G1141">
        <v>5</v>
      </c>
      <c r="H1141" t="s">
        <v>48</v>
      </c>
      <c r="I1141" t="s">
        <v>42</v>
      </c>
      <c r="J1141" t="s">
        <v>59</v>
      </c>
      <c r="K1141" t="s">
        <v>79</v>
      </c>
      <c r="M1141" t="s">
        <v>65</v>
      </c>
      <c r="N1141" t="b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1</v>
      </c>
      <c r="AC1141" t="b">
        <v>0</v>
      </c>
      <c r="AE1141" t="s">
        <v>3083</v>
      </c>
    </row>
    <row r="1142" spans="1:31" x14ac:dyDescent="0.3">
      <c r="A1142">
        <v>-73.976580560909994</v>
      </c>
      <c r="B1142">
        <v>40.76928078209</v>
      </c>
      <c r="C1142" t="s">
        <v>3084</v>
      </c>
      <c r="D1142" t="s">
        <v>534</v>
      </c>
      <c r="E1142" t="s">
        <v>33</v>
      </c>
      <c r="F1142">
        <v>10082018</v>
      </c>
      <c r="G1142">
        <v>7</v>
      </c>
      <c r="H1142" t="s">
        <v>48</v>
      </c>
      <c r="I1142" t="s">
        <v>53</v>
      </c>
      <c r="J1142" t="s">
        <v>115</v>
      </c>
      <c r="K1142" t="s">
        <v>116</v>
      </c>
      <c r="M1142" t="s">
        <v>65</v>
      </c>
      <c r="N1142" t="b">
        <v>0</v>
      </c>
      <c r="O1142" t="s">
        <v>3085</v>
      </c>
      <c r="P1142" t="b">
        <v>1</v>
      </c>
      <c r="Q1142" t="b">
        <v>1</v>
      </c>
      <c r="R1142" t="b">
        <v>0</v>
      </c>
      <c r="S1142" t="b">
        <v>0</v>
      </c>
      <c r="T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1</v>
      </c>
      <c r="AC1142" t="b">
        <v>0</v>
      </c>
      <c r="AE1142" t="s">
        <v>3086</v>
      </c>
    </row>
    <row r="1143" spans="1:31" x14ac:dyDescent="0.3">
      <c r="A1143">
        <v>-73.962834977840004</v>
      </c>
      <c r="B1143">
        <v>40.793887005210003</v>
      </c>
      <c r="C1143" t="s">
        <v>3087</v>
      </c>
      <c r="D1143" t="s">
        <v>2662</v>
      </c>
      <c r="E1143" t="s">
        <v>33</v>
      </c>
      <c r="F1143">
        <v>10132018</v>
      </c>
      <c r="G1143">
        <v>3</v>
      </c>
      <c r="H1143" t="s">
        <v>48</v>
      </c>
      <c r="I1143" t="s">
        <v>42</v>
      </c>
      <c r="J1143" t="s">
        <v>53</v>
      </c>
      <c r="K1143" t="s">
        <v>54</v>
      </c>
      <c r="M1143" t="s">
        <v>65</v>
      </c>
      <c r="N1143" t="b">
        <v>0</v>
      </c>
      <c r="P1143" t="b">
        <v>0</v>
      </c>
      <c r="Q1143" t="b">
        <v>1</v>
      </c>
      <c r="R1143" t="b">
        <v>0</v>
      </c>
      <c r="S1143" t="b">
        <v>0</v>
      </c>
      <c r="T1143" t="b">
        <v>1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E1143" t="s">
        <v>3088</v>
      </c>
    </row>
    <row r="1144" spans="1:31" x14ac:dyDescent="0.3">
      <c r="A1144">
        <v>-73.974318465379994</v>
      </c>
      <c r="B1144">
        <v>40.766793299699998</v>
      </c>
      <c r="C1144" t="s">
        <v>3089</v>
      </c>
      <c r="D1144" t="s">
        <v>660</v>
      </c>
      <c r="E1144" t="s">
        <v>38</v>
      </c>
      <c r="F1144">
        <v>10082018</v>
      </c>
      <c r="G1144">
        <v>1</v>
      </c>
      <c r="H1144" t="s">
        <v>48</v>
      </c>
      <c r="I1144" t="s">
        <v>42</v>
      </c>
      <c r="K1144" t="s">
        <v>43</v>
      </c>
      <c r="M1144" t="s">
        <v>44</v>
      </c>
      <c r="N1144">
        <v>30</v>
      </c>
      <c r="P1144" t="b">
        <v>0</v>
      </c>
      <c r="Q1144" t="b">
        <v>0</v>
      </c>
      <c r="R1144" t="b">
        <v>1</v>
      </c>
      <c r="S1144" t="b">
        <v>0</v>
      </c>
      <c r="T1144" t="b">
        <v>0</v>
      </c>
      <c r="V1144" t="b">
        <v>1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E1144" t="s">
        <v>3090</v>
      </c>
    </row>
    <row r="1145" spans="1:31" x14ac:dyDescent="0.3">
      <c r="A1145">
        <v>-73.961144626340001</v>
      </c>
      <c r="B1145">
        <v>40.791100340729997</v>
      </c>
      <c r="C1145" t="s">
        <v>3091</v>
      </c>
      <c r="D1145" t="s">
        <v>294</v>
      </c>
      <c r="E1145" t="s">
        <v>38</v>
      </c>
      <c r="F1145">
        <v>10132018</v>
      </c>
      <c r="G1145">
        <v>3</v>
      </c>
      <c r="H1145" t="s">
        <v>48</v>
      </c>
      <c r="I1145" t="s">
        <v>53</v>
      </c>
      <c r="J1145" t="s">
        <v>42</v>
      </c>
      <c r="K1145" t="s">
        <v>89</v>
      </c>
      <c r="M1145" t="s">
        <v>44</v>
      </c>
      <c r="N1145">
        <v>15</v>
      </c>
      <c r="P1145" t="b">
        <v>0</v>
      </c>
      <c r="Q1145" t="b">
        <v>0</v>
      </c>
      <c r="R1145" t="b">
        <v>1</v>
      </c>
      <c r="S1145" t="b">
        <v>0</v>
      </c>
      <c r="T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1</v>
      </c>
      <c r="AC1145" t="b">
        <v>0</v>
      </c>
      <c r="AE1145" t="s">
        <v>3092</v>
      </c>
    </row>
    <row r="1146" spans="1:31" x14ac:dyDescent="0.3">
      <c r="A1146">
        <v>-73.979436709629994</v>
      </c>
      <c r="B1146">
        <v>40.767272059850001</v>
      </c>
      <c r="C1146" t="s">
        <v>3093</v>
      </c>
      <c r="D1146" t="s">
        <v>1301</v>
      </c>
      <c r="E1146" t="s">
        <v>33</v>
      </c>
      <c r="F1146">
        <v>10132018</v>
      </c>
      <c r="G1146">
        <v>4</v>
      </c>
      <c r="H1146" t="s">
        <v>48</v>
      </c>
      <c r="I1146" t="s">
        <v>53</v>
      </c>
      <c r="J1146" t="s">
        <v>59</v>
      </c>
      <c r="K1146" t="s">
        <v>60</v>
      </c>
      <c r="M1146" t="s">
        <v>65</v>
      </c>
      <c r="N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1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E1146" t="s">
        <v>3094</v>
      </c>
    </row>
    <row r="1147" spans="1:31" x14ac:dyDescent="0.3">
      <c r="A1147">
        <v>-73.963181852879998</v>
      </c>
      <c r="B1147">
        <v>40.792533219409997</v>
      </c>
      <c r="C1147" t="s">
        <v>3095</v>
      </c>
      <c r="D1147" t="s">
        <v>104</v>
      </c>
      <c r="E1147" t="s">
        <v>38</v>
      </c>
      <c r="F1147">
        <v>10182018</v>
      </c>
      <c r="G1147">
        <v>1</v>
      </c>
      <c r="H1147" t="s">
        <v>48</v>
      </c>
      <c r="I1147" t="s">
        <v>42</v>
      </c>
      <c r="K1147" t="s">
        <v>43</v>
      </c>
      <c r="M1147" t="s">
        <v>44</v>
      </c>
      <c r="N1147">
        <v>15</v>
      </c>
      <c r="P1147" t="b">
        <v>1</v>
      </c>
      <c r="Q1147" t="b">
        <v>1</v>
      </c>
      <c r="R1147" t="b">
        <v>0</v>
      </c>
      <c r="S1147" t="b">
        <v>0</v>
      </c>
      <c r="T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1</v>
      </c>
      <c r="AC1147" t="b">
        <v>0</v>
      </c>
      <c r="AE1147" t="s">
        <v>3096</v>
      </c>
    </row>
    <row r="1148" spans="1:31" x14ac:dyDescent="0.3">
      <c r="A1148">
        <v>-73.970733920070003</v>
      </c>
      <c r="B1148">
        <v>40.779633335569997</v>
      </c>
      <c r="C1148" t="s">
        <v>3097</v>
      </c>
      <c r="D1148" t="s">
        <v>143</v>
      </c>
      <c r="E1148" t="s">
        <v>33</v>
      </c>
      <c r="F1148">
        <v>10132018</v>
      </c>
      <c r="G1148">
        <v>3</v>
      </c>
      <c r="H1148" t="s">
        <v>48</v>
      </c>
      <c r="I1148" t="s">
        <v>42</v>
      </c>
      <c r="K1148" t="s">
        <v>43</v>
      </c>
      <c r="M1148" t="s">
        <v>44</v>
      </c>
      <c r="N1148">
        <v>20</v>
      </c>
      <c r="O1148" t="s">
        <v>3098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E1148" t="s">
        <v>3099</v>
      </c>
    </row>
    <row r="1149" spans="1:31" x14ac:dyDescent="0.3">
      <c r="A1149">
        <v>-73.960237785199993</v>
      </c>
      <c r="B1149">
        <v>40.79078316076</v>
      </c>
      <c r="C1149" t="s">
        <v>3100</v>
      </c>
      <c r="D1149" t="s">
        <v>47</v>
      </c>
      <c r="E1149" t="s">
        <v>33</v>
      </c>
      <c r="F1149">
        <v>10172018</v>
      </c>
      <c r="G1149">
        <v>16</v>
      </c>
      <c r="H1149" t="s">
        <v>48</v>
      </c>
      <c r="I1149" t="s">
        <v>176</v>
      </c>
      <c r="K1149" t="s">
        <v>177</v>
      </c>
      <c r="M1149" t="s">
        <v>65</v>
      </c>
      <c r="N1149" t="b">
        <v>0</v>
      </c>
      <c r="O1149" t="s">
        <v>3101</v>
      </c>
      <c r="P1149" t="b">
        <v>0</v>
      </c>
      <c r="Q1149" t="b">
        <v>0</v>
      </c>
      <c r="R1149" t="b">
        <v>0</v>
      </c>
      <c r="S1149" t="b">
        <v>0</v>
      </c>
      <c r="T1149" t="b">
        <v>1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1</v>
      </c>
      <c r="AE1149" t="s">
        <v>3102</v>
      </c>
    </row>
    <row r="1150" spans="1:31" x14ac:dyDescent="0.3">
      <c r="A1150">
        <v>-73.974472643469994</v>
      </c>
      <c r="B1150">
        <v>40.776729630790001</v>
      </c>
      <c r="C1150" t="s">
        <v>3103</v>
      </c>
      <c r="D1150" t="s">
        <v>1028</v>
      </c>
      <c r="E1150" t="s">
        <v>33</v>
      </c>
      <c r="F1150">
        <v>10132018</v>
      </c>
      <c r="G1150">
        <v>3</v>
      </c>
      <c r="I1150" t="s">
        <v>42</v>
      </c>
      <c r="J1150" t="s">
        <v>53</v>
      </c>
      <c r="K1150" t="s">
        <v>54</v>
      </c>
      <c r="M1150" t="s">
        <v>44</v>
      </c>
      <c r="N1150">
        <v>3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s">
        <v>3104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1</v>
      </c>
      <c r="AC1150" t="b">
        <v>0</v>
      </c>
      <c r="AE1150" t="s">
        <v>3105</v>
      </c>
    </row>
    <row r="1151" spans="1:31" x14ac:dyDescent="0.3">
      <c r="A1151">
        <v>-73.955760249969998</v>
      </c>
      <c r="B1151">
        <v>40.795645242440003</v>
      </c>
      <c r="C1151" t="s">
        <v>3106</v>
      </c>
      <c r="D1151" t="s">
        <v>520</v>
      </c>
      <c r="E1151" t="s">
        <v>33</v>
      </c>
      <c r="F1151">
        <v>10142018</v>
      </c>
      <c r="G1151">
        <v>1</v>
      </c>
      <c r="H1151" t="s">
        <v>48</v>
      </c>
      <c r="I1151" t="s">
        <v>42</v>
      </c>
      <c r="J1151" t="s">
        <v>59</v>
      </c>
      <c r="K1151" t="s">
        <v>79</v>
      </c>
      <c r="M1151" t="s">
        <v>65</v>
      </c>
      <c r="N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1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1</v>
      </c>
      <c r="AC1151" t="b">
        <v>0</v>
      </c>
      <c r="AE1151" t="s">
        <v>3107</v>
      </c>
    </row>
    <row r="1152" spans="1:31" x14ac:dyDescent="0.3">
      <c r="A1152">
        <v>-73.960839900379995</v>
      </c>
      <c r="B1152">
        <v>40.781770450220002</v>
      </c>
      <c r="C1152" t="s">
        <v>3108</v>
      </c>
      <c r="D1152" t="s">
        <v>3109</v>
      </c>
      <c r="E1152" t="s">
        <v>38</v>
      </c>
      <c r="F1152">
        <v>10192018</v>
      </c>
      <c r="G1152">
        <v>1</v>
      </c>
      <c r="H1152" t="s">
        <v>48</v>
      </c>
      <c r="I1152" t="s">
        <v>42</v>
      </c>
      <c r="J1152" t="s">
        <v>53</v>
      </c>
      <c r="K1152" t="s">
        <v>54</v>
      </c>
      <c r="M1152" t="s">
        <v>44</v>
      </c>
      <c r="N1152">
        <v>18</v>
      </c>
      <c r="O1152" t="s">
        <v>1072</v>
      </c>
      <c r="P1152" t="b">
        <v>0</v>
      </c>
      <c r="Q1152" t="b">
        <v>0</v>
      </c>
      <c r="R1152" t="b">
        <v>1</v>
      </c>
      <c r="S1152" t="b">
        <v>0</v>
      </c>
      <c r="T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s">
        <v>3110</v>
      </c>
      <c r="AE1152" t="s">
        <v>3111</v>
      </c>
    </row>
    <row r="1153" spans="1:31" x14ac:dyDescent="0.3">
      <c r="A1153">
        <v>-73.968852392450003</v>
      </c>
      <c r="B1153">
        <v>40.784401803590001</v>
      </c>
      <c r="C1153" t="s">
        <v>3112</v>
      </c>
      <c r="D1153" t="s">
        <v>298</v>
      </c>
      <c r="E1153" t="s">
        <v>38</v>
      </c>
      <c r="F1153">
        <v>10082018</v>
      </c>
      <c r="G1153">
        <v>2</v>
      </c>
      <c r="H1153" t="s">
        <v>48</v>
      </c>
      <c r="I1153" t="s">
        <v>42</v>
      </c>
      <c r="K1153" t="s">
        <v>43</v>
      </c>
      <c r="M1153" t="s">
        <v>65</v>
      </c>
      <c r="N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1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1</v>
      </c>
      <c r="AE1153" t="s">
        <v>3113</v>
      </c>
    </row>
    <row r="1154" spans="1:31" x14ac:dyDescent="0.3">
      <c r="A1154">
        <v>-73.978693699250002</v>
      </c>
      <c r="B1154">
        <v>40.771394367470002</v>
      </c>
      <c r="C1154" t="s">
        <v>3114</v>
      </c>
      <c r="D1154" t="s">
        <v>327</v>
      </c>
      <c r="E1154" t="s">
        <v>33</v>
      </c>
      <c r="F1154">
        <v>10102018</v>
      </c>
      <c r="G1154">
        <v>2</v>
      </c>
      <c r="H1154" t="s">
        <v>48</v>
      </c>
      <c r="I1154" t="s">
        <v>42</v>
      </c>
      <c r="J1154" t="s">
        <v>59</v>
      </c>
      <c r="K1154" t="s">
        <v>79</v>
      </c>
      <c r="M1154" t="s">
        <v>44</v>
      </c>
      <c r="N1154">
        <v>50</v>
      </c>
      <c r="P1154" t="b">
        <v>0</v>
      </c>
      <c r="Q1154" t="b">
        <v>0</v>
      </c>
      <c r="R1154" t="b">
        <v>1</v>
      </c>
      <c r="S1154" t="b">
        <v>0</v>
      </c>
      <c r="T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E1154" t="s">
        <v>3115</v>
      </c>
    </row>
    <row r="1155" spans="1:31" x14ac:dyDescent="0.3">
      <c r="A1155">
        <v>-73.964572179089998</v>
      </c>
      <c r="B1155">
        <v>40.781120871900001</v>
      </c>
      <c r="C1155" t="s">
        <v>3116</v>
      </c>
      <c r="D1155" t="s">
        <v>1199</v>
      </c>
      <c r="E1155" t="s">
        <v>33</v>
      </c>
      <c r="F1155">
        <v>10182018</v>
      </c>
      <c r="G1155">
        <v>1</v>
      </c>
      <c r="H1155" t="s">
        <v>48</v>
      </c>
      <c r="I1155" t="s">
        <v>53</v>
      </c>
      <c r="J1155" t="s">
        <v>42</v>
      </c>
      <c r="K1155" t="s">
        <v>89</v>
      </c>
      <c r="M1155" t="s">
        <v>65</v>
      </c>
      <c r="N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1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1</v>
      </c>
      <c r="AE1155" t="s">
        <v>3117</v>
      </c>
    </row>
    <row r="1156" spans="1:31" x14ac:dyDescent="0.3">
      <c r="A1156">
        <v>-73.968892928269995</v>
      </c>
      <c r="B1156">
        <v>40.776889953690002</v>
      </c>
      <c r="C1156" t="s">
        <v>3118</v>
      </c>
      <c r="D1156" t="s">
        <v>232</v>
      </c>
      <c r="E1156" t="s">
        <v>33</v>
      </c>
      <c r="F1156">
        <v>10102018</v>
      </c>
      <c r="G1156">
        <v>1</v>
      </c>
      <c r="H1156" t="s">
        <v>48</v>
      </c>
      <c r="I1156" t="s">
        <v>42</v>
      </c>
      <c r="K1156" t="s">
        <v>43</v>
      </c>
      <c r="M1156" t="s">
        <v>65</v>
      </c>
      <c r="N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1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1</v>
      </c>
      <c r="AC1156" t="b">
        <v>0</v>
      </c>
      <c r="AE1156" t="s">
        <v>3119</v>
      </c>
    </row>
    <row r="1157" spans="1:31" x14ac:dyDescent="0.3">
      <c r="A1157">
        <v>-73.970444909609995</v>
      </c>
      <c r="B1157">
        <v>40.768997077830001</v>
      </c>
      <c r="C1157" t="s">
        <v>3120</v>
      </c>
      <c r="D1157" t="s">
        <v>228</v>
      </c>
      <c r="E1157" t="s">
        <v>33</v>
      </c>
      <c r="F1157">
        <v>10132018</v>
      </c>
      <c r="G1157">
        <v>5</v>
      </c>
      <c r="H1157" t="s">
        <v>48</v>
      </c>
      <c r="I1157" t="s">
        <v>42</v>
      </c>
      <c r="J1157" t="s">
        <v>59</v>
      </c>
      <c r="K1157" t="s">
        <v>79</v>
      </c>
      <c r="M1157" t="s">
        <v>65</v>
      </c>
      <c r="N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s">
        <v>3121</v>
      </c>
      <c r="V1157" t="b">
        <v>0</v>
      </c>
      <c r="W1157" t="b">
        <v>0</v>
      </c>
      <c r="X1157" t="b">
        <v>0</v>
      </c>
      <c r="Y1157" t="b">
        <v>0</v>
      </c>
      <c r="Z1157" t="b">
        <v>1</v>
      </c>
      <c r="AA1157" t="b">
        <v>0</v>
      </c>
      <c r="AB1157" t="b">
        <v>0</v>
      </c>
      <c r="AC1157" t="b">
        <v>0</v>
      </c>
      <c r="AE1157" t="s">
        <v>3122</v>
      </c>
    </row>
    <row r="1158" spans="1:31" x14ac:dyDescent="0.3">
      <c r="A1158">
        <v>-73.97638947595</v>
      </c>
      <c r="B1158">
        <v>40.770552337239998</v>
      </c>
      <c r="C1158" t="s">
        <v>3123</v>
      </c>
      <c r="D1158" t="s">
        <v>88</v>
      </c>
      <c r="E1158" t="s">
        <v>33</v>
      </c>
      <c r="F1158">
        <v>10102018</v>
      </c>
      <c r="G1158">
        <v>12</v>
      </c>
      <c r="H1158" t="s">
        <v>48</v>
      </c>
      <c r="I1158" t="s">
        <v>53</v>
      </c>
      <c r="J1158" t="s">
        <v>59</v>
      </c>
      <c r="K1158" t="s">
        <v>60</v>
      </c>
      <c r="M1158" t="s">
        <v>65</v>
      </c>
      <c r="N1158" t="b">
        <v>0</v>
      </c>
      <c r="P1158" t="b">
        <v>0</v>
      </c>
      <c r="Q1158" t="b">
        <v>0</v>
      </c>
      <c r="R1158" t="b">
        <v>0</v>
      </c>
      <c r="S1158" t="b">
        <v>1</v>
      </c>
      <c r="T1158" t="b">
        <v>1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E1158" t="s">
        <v>3124</v>
      </c>
    </row>
    <row r="1159" spans="1:31" x14ac:dyDescent="0.3">
      <c r="A1159">
        <v>-73.968212926180001</v>
      </c>
      <c r="B1159">
        <v>40.775423235810003</v>
      </c>
      <c r="C1159" t="s">
        <v>3125</v>
      </c>
      <c r="D1159" t="s">
        <v>668</v>
      </c>
      <c r="E1159" t="s">
        <v>38</v>
      </c>
      <c r="F1159">
        <v>10122018</v>
      </c>
      <c r="G1159">
        <v>3</v>
      </c>
      <c r="H1159" t="s">
        <v>48</v>
      </c>
      <c r="I1159" t="s">
        <v>42</v>
      </c>
      <c r="J1159" t="s">
        <v>53</v>
      </c>
      <c r="K1159" t="s">
        <v>54</v>
      </c>
      <c r="M1159" t="s">
        <v>65</v>
      </c>
      <c r="N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1</v>
      </c>
      <c r="V1159" t="b">
        <v>0</v>
      </c>
      <c r="W1159" t="b">
        <v>0</v>
      </c>
      <c r="X1159" t="b">
        <v>0</v>
      </c>
      <c r="Y1159" t="b">
        <v>0</v>
      </c>
      <c r="Z1159" t="b">
        <v>1</v>
      </c>
      <c r="AA1159" t="b">
        <v>0</v>
      </c>
      <c r="AB1159" t="b">
        <v>0</v>
      </c>
      <c r="AC1159" t="b">
        <v>1</v>
      </c>
      <c r="AE1159" t="s">
        <v>3126</v>
      </c>
    </row>
    <row r="1160" spans="1:31" x14ac:dyDescent="0.3">
      <c r="A1160">
        <v>-73.977725698940006</v>
      </c>
      <c r="B1160">
        <v>40.76662369956</v>
      </c>
      <c r="C1160" t="s">
        <v>3127</v>
      </c>
      <c r="D1160" t="s">
        <v>2593</v>
      </c>
      <c r="E1160" t="s">
        <v>38</v>
      </c>
      <c r="F1160">
        <v>10062018</v>
      </c>
      <c r="G1160">
        <v>3</v>
      </c>
      <c r="H1160" t="s">
        <v>48</v>
      </c>
      <c r="I1160" t="s">
        <v>42</v>
      </c>
      <c r="K1160" t="s">
        <v>43</v>
      </c>
      <c r="M1160" t="s">
        <v>65</v>
      </c>
      <c r="N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1</v>
      </c>
      <c r="V1160" t="b">
        <v>0</v>
      </c>
      <c r="W1160" t="b">
        <v>0</v>
      </c>
      <c r="X1160" t="b">
        <v>0</v>
      </c>
      <c r="Y1160" t="b">
        <v>0</v>
      </c>
      <c r="Z1160" t="b">
        <v>1</v>
      </c>
      <c r="AA1160" t="b">
        <v>0</v>
      </c>
      <c r="AB1160" t="b">
        <v>0</v>
      </c>
      <c r="AC1160" t="b">
        <v>0</v>
      </c>
      <c r="AE1160" t="s">
        <v>3128</v>
      </c>
    </row>
    <row r="1161" spans="1:31" x14ac:dyDescent="0.3">
      <c r="A1161">
        <v>-73.969406660019999</v>
      </c>
      <c r="B1161">
        <v>40.78056621807</v>
      </c>
      <c r="C1161" t="s">
        <v>3129</v>
      </c>
      <c r="D1161" t="s">
        <v>622</v>
      </c>
      <c r="E1161" t="s">
        <v>33</v>
      </c>
      <c r="F1161">
        <v>10182018</v>
      </c>
      <c r="G1161">
        <v>6</v>
      </c>
      <c r="H1161" t="s">
        <v>105</v>
      </c>
      <c r="I1161" t="s">
        <v>42</v>
      </c>
      <c r="J1161" t="s">
        <v>96</v>
      </c>
      <c r="K1161" t="s">
        <v>97</v>
      </c>
      <c r="M1161" t="s">
        <v>44</v>
      </c>
      <c r="N1161">
        <v>1</v>
      </c>
      <c r="P1161" t="b">
        <v>0</v>
      </c>
      <c r="Q1161" t="b">
        <v>0</v>
      </c>
      <c r="R1161" t="b">
        <v>1</v>
      </c>
      <c r="S1161" t="b">
        <v>1</v>
      </c>
      <c r="T1161" t="b">
        <v>1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1</v>
      </c>
      <c r="AC1161" t="b">
        <v>0</v>
      </c>
      <c r="AE1161" t="s">
        <v>3130</v>
      </c>
    </row>
    <row r="1162" spans="1:31" x14ac:dyDescent="0.3">
      <c r="A1162">
        <v>-73.956854427089993</v>
      </c>
      <c r="B1162">
        <v>40.797251727450004</v>
      </c>
      <c r="C1162" t="s">
        <v>3131</v>
      </c>
      <c r="D1162" t="s">
        <v>1945</v>
      </c>
      <c r="E1162" t="s">
        <v>38</v>
      </c>
      <c r="F1162">
        <v>10082018</v>
      </c>
      <c r="G1162">
        <v>6</v>
      </c>
      <c r="H1162" t="s">
        <v>48</v>
      </c>
      <c r="I1162" t="s">
        <v>42</v>
      </c>
      <c r="K1162" t="s">
        <v>43</v>
      </c>
      <c r="M1162" t="s">
        <v>44</v>
      </c>
      <c r="N1162">
        <v>3</v>
      </c>
      <c r="O1162" t="s">
        <v>3132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1</v>
      </c>
      <c r="AE1162" t="s">
        <v>3133</v>
      </c>
    </row>
    <row r="1163" spans="1:31" x14ac:dyDescent="0.3">
      <c r="A1163">
        <v>-73.967709698519997</v>
      </c>
      <c r="B1163">
        <v>40.782535836119997</v>
      </c>
      <c r="C1163" t="s">
        <v>3134</v>
      </c>
      <c r="D1163" t="s">
        <v>71</v>
      </c>
      <c r="E1163" t="s">
        <v>38</v>
      </c>
      <c r="F1163">
        <v>10142018</v>
      </c>
      <c r="G1163">
        <v>2</v>
      </c>
      <c r="H1163" t="s">
        <v>48</v>
      </c>
      <c r="I1163" t="s">
        <v>42</v>
      </c>
      <c r="J1163" t="s">
        <v>53</v>
      </c>
      <c r="K1163" t="s">
        <v>54</v>
      </c>
      <c r="M1163" t="s">
        <v>44</v>
      </c>
      <c r="N1163">
        <v>50</v>
      </c>
      <c r="P1163" t="b">
        <v>1</v>
      </c>
      <c r="Q1163" t="b">
        <v>1</v>
      </c>
      <c r="R1163" t="b">
        <v>1</v>
      </c>
      <c r="S1163" t="b">
        <v>0</v>
      </c>
      <c r="T1163" t="b">
        <v>1</v>
      </c>
      <c r="V1163" t="b">
        <v>0</v>
      </c>
      <c r="W1163" t="b">
        <v>1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s">
        <v>3135</v>
      </c>
      <c r="AE1163" t="s">
        <v>3136</v>
      </c>
    </row>
    <row r="1164" spans="1:31" x14ac:dyDescent="0.3">
      <c r="A1164">
        <v>-73.979022640059995</v>
      </c>
      <c r="B1164">
        <v>40.769899765380003</v>
      </c>
      <c r="C1164" t="s">
        <v>3137</v>
      </c>
      <c r="D1164" t="s">
        <v>886</v>
      </c>
      <c r="E1164" t="s">
        <v>38</v>
      </c>
      <c r="F1164">
        <v>10102018</v>
      </c>
      <c r="G1164">
        <v>1</v>
      </c>
      <c r="H1164" t="s">
        <v>48</v>
      </c>
      <c r="I1164" t="s">
        <v>42</v>
      </c>
      <c r="J1164" t="s">
        <v>1921</v>
      </c>
      <c r="K1164" t="s">
        <v>1922</v>
      </c>
      <c r="M1164" t="s">
        <v>44</v>
      </c>
      <c r="N1164">
        <v>2</v>
      </c>
      <c r="P1164" t="b">
        <v>0</v>
      </c>
      <c r="Q1164" t="b">
        <v>0</v>
      </c>
      <c r="R1164" t="b">
        <v>1</v>
      </c>
      <c r="S1164" t="b">
        <v>0</v>
      </c>
      <c r="T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1</v>
      </c>
      <c r="AA1164" t="b">
        <v>0</v>
      </c>
      <c r="AB1164" t="b">
        <v>1</v>
      </c>
      <c r="AC1164" t="b">
        <v>0</v>
      </c>
      <c r="AE1164" t="s">
        <v>3138</v>
      </c>
    </row>
    <row r="1165" spans="1:31" x14ac:dyDescent="0.3">
      <c r="A1165">
        <v>-73.968950411470004</v>
      </c>
      <c r="B1165">
        <v>40.776677015380002</v>
      </c>
      <c r="C1165" t="s">
        <v>3139</v>
      </c>
      <c r="D1165" t="s">
        <v>225</v>
      </c>
      <c r="E1165" t="s">
        <v>33</v>
      </c>
      <c r="F1165">
        <v>10122018</v>
      </c>
      <c r="G1165">
        <v>5</v>
      </c>
      <c r="H1165" t="s">
        <v>48</v>
      </c>
      <c r="I1165" t="s">
        <v>53</v>
      </c>
      <c r="J1165" t="s">
        <v>115</v>
      </c>
      <c r="K1165" t="s">
        <v>116</v>
      </c>
      <c r="M1165" t="s">
        <v>44</v>
      </c>
      <c r="N1165">
        <v>2</v>
      </c>
      <c r="O1165" t="s">
        <v>3140</v>
      </c>
      <c r="P1165" t="b">
        <v>1</v>
      </c>
      <c r="Q1165" t="b">
        <v>0</v>
      </c>
      <c r="R1165" t="b">
        <v>0</v>
      </c>
      <c r="S1165" t="b">
        <v>1</v>
      </c>
      <c r="T1165" t="b">
        <v>0</v>
      </c>
      <c r="U1165" t="s">
        <v>121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s">
        <v>3141</v>
      </c>
      <c r="AE1165" t="s">
        <v>3142</v>
      </c>
    </row>
    <row r="1166" spans="1:31" x14ac:dyDescent="0.3">
      <c r="A1166">
        <v>-73.980048119919999</v>
      </c>
      <c r="B1166">
        <v>40.767663865499998</v>
      </c>
      <c r="C1166" t="s">
        <v>3143</v>
      </c>
      <c r="D1166" t="s">
        <v>851</v>
      </c>
      <c r="E1166" t="s">
        <v>38</v>
      </c>
      <c r="F1166">
        <v>10122018</v>
      </c>
      <c r="G1166">
        <v>6</v>
      </c>
      <c r="H1166" t="s">
        <v>48</v>
      </c>
      <c r="I1166" t="s">
        <v>42</v>
      </c>
      <c r="J1166" t="s">
        <v>53</v>
      </c>
      <c r="K1166" t="s">
        <v>54</v>
      </c>
      <c r="M1166" t="s">
        <v>65</v>
      </c>
      <c r="N1166" t="b">
        <v>0</v>
      </c>
      <c r="P1166" t="b">
        <v>0</v>
      </c>
      <c r="Q1166" t="b">
        <v>1</v>
      </c>
      <c r="R1166" t="b">
        <v>1</v>
      </c>
      <c r="S1166" t="b">
        <v>0</v>
      </c>
      <c r="T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1</v>
      </c>
      <c r="AC1166" t="b">
        <v>0</v>
      </c>
      <c r="AE1166" t="s">
        <v>3144</v>
      </c>
    </row>
    <row r="1167" spans="1:31" x14ac:dyDescent="0.3">
      <c r="A1167">
        <v>-73.959324441510006</v>
      </c>
      <c r="B1167">
        <v>40.794964729749999</v>
      </c>
      <c r="C1167" t="s">
        <v>3145</v>
      </c>
      <c r="D1167" t="s">
        <v>1262</v>
      </c>
      <c r="E1167" t="s">
        <v>33</v>
      </c>
      <c r="F1167">
        <v>10132018</v>
      </c>
      <c r="G1167">
        <v>3</v>
      </c>
      <c r="H1167" t="s">
        <v>48</v>
      </c>
      <c r="I1167" t="s">
        <v>42</v>
      </c>
      <c r="K1167" t="s">
        <v>43</v>
      </c>
      <c r="M1167" t="s">
        <v>65</v>
      </c>
      <c r="N1167" t="b">
        <v>0</v>
      </c>
      <c r="O1167" t="s">
        <v>2451</v>
      </c>
      <c r="P1167" t="b">
        <v>0</v>
      </c>
      <c r="Q1167" t="b">
        <v>1</v>
      </c>
      <c r="R1167" t="b">
        <v>0</v>
      </c>
      <c r="S1167" t="b">
        <v>1</v>
      </c>
      <c r="T1167" t="b">
        <v>1</v>
      </c>
      <c r="V1167" t="b">
        <v>0</v>
      </c>
      <c r="W1167" t="b">
        <v>0</v>
      </c>
      <c r="X1167" t="b">
        <v>0</v>
      </c>
      <c r="Y1167" t="b">
        <v>0</v>
      </c>
      <c r="Z1167" t="b">
        <v>1</v>
      </c>
      <c r="AA1167" t="b">
        <v>0</v>
      </c>
      <c r="AB1167" t="b">
        <v>1</v>
      </c>
      <c r="AC1167" t="b">
        <v>0</v>
      </c>
      <c r="AE1167" t="s">
        <v>3146</v>
      </c>
    </row>
    <row r="1168" spans="1:31" x14ac:dyDescent="0.3">
      <c r="A1168">
        <v>-73.977987440570004</v>
      </c>
      <c r="B1168">
        <v>40.773076537740003</v>
      </c>
      <c r="C1168" t="s">
        <v>3147</v>
      </c>
      <c r="D1168" t="s">
        <v>493</v>
      </c>
      <c r="E1168" t="s">
        <v>33</v>
      </c>
      <c r="F1168">
        <v>10072018</v>
      </c>
      <c r="G1168">
        <v>2</v>
      </c>
      <c r="H1168" t="s">
        <v>48</v>
      </c>
      <c r="I1168" t="s">
        <v>42</v>
      </c>
      <c r="J1168" t="s">
        <v>53</v>
      </c>
      <c r="K1168" t="s">
        <v>54</v>
      </c>
      <c r="M1168" t="s">
        <v>44</v>
      </c>
      <c r="N1168">
        <v>10</v>
      </c>
      <c r="P1168" t="b">
        <v>0</v>
      </c>
      <c r="Q1168" t="b">
        <v>0</v>
      </c>
      <c r="R1168" t="b">
        <v>1</v>
      </c>
      <c r="S1168" t="b">
        <v>0</v>
      </c>
      <c r="T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E1168" t="s">
        <v>3148</v>
      </c>
    </row>
    <row r="1169" spans="1:31" x14ac:dyDescent="0.3">
      <c r="A1169">
        <v>-73.957039190149999</v>
      </c>
      <c r="B1169">
        <v>40.793069720779997</v>
      </c>
      <c r="C1169" t="s">
        <v>3149</v>
      </c>
      <c r="D1169" t="s">
        <v>2046</v>
      </c>
      <c r="E1169" t="s">
        <v>38</v>
      </c>
      <c r="F1169">
        <v>10072018</v>
      </c>
      <c r="G1169">
        <v>1</v>
      </c>
      <c r="H1169" t="s">
        <v>48</v>
      </c>
      <c r="I1169" t="s">
        <v>42</v>
      </c>
      <c r="J1169" t="s">
        <v>53</v>
      </c>
      <c r="K1169" t="s">
        <v>54</v>
      </c>
      <c r="M1169" t="s">
        <v>65</v>
      </c>
      <c r="N1169" t="b">
        <v>0</v>
      </c>
      <c r="P1169" t="b">
        <v>0</v>
      </c>
      <c r="Q1169" t="b">
        <v>0</v>
      </c>
      <c r="R1169" t="b">
        <v>0</v>
      </c>
      <c r="S1169" t="b">
        <v>1</v>
      </c>
      <c r="T1169" t="b">
        <v>1</v>
      </c>
      <c r="V1169" t="b">
        <v>0</v>
      </c>
      <c r="W1169" t="b">
        <v>0</v>
      </c>
      <c r="X1169" t="b">
        <v>0</v>
      </c>
      <c r="Y1169" t="b">
        <v>0</v>
      </c>
      <c r="Z1169" t="b">
        <v>1</v>
      </c>
      <c r="AA1169" t="b">
        <v>0</v>
      </c>
      <c r="AB1169" t="b">
        <v>1</v>
      </c>
      <c r="AC1169" t="b">
        <v>0</v>
      </c>
      <c r="AE1169" t="s">
        <v>3150</v>
      </c>
    </row>
    <row r="1170" spans="1:31" x14ac:dyDescent="0.3">
      <c r="A1170">
        <v>-73.964790408520003</v>
      </c>
      <c r="B1170">
        <v>40.791158900219997</v>
      </c>
      <c r="C1170" t="s">
        <v>3151</v>
      </c>
      <c r="D1170" t="s">
        <v>1608</v>
      </c>
      <c r="E1170" t="s">
        <v>33</v>
      </c>
      <c r="F1170">
        <v>10202018</v>
      </c>
      <c r="G1170">
        <v>2</v>
      </c>
      <c r="H1170" t="s">
        <v>48</v>
      </c>
      <c r="I1170" t="s">
        <v>42</v>
      </c>
      <c r="J1170" t="s">
        <v>96</v>
      </c>
      <c r="K1170" t="s">
        <v>97</v>
      </c>
      <c r="L1170" t="s">
        <v>3152</v>
      </c>
      <c r="M1170" t="s">
        <v>65</v>
      </c>
      <c r="N1170" t="b">
        <v>0</v>
      </c>
      <c r="O1170" t="s">
        <v>1311</v>
      </c>
      <c r="P1170" t="b">
        <v>0</v>
      </c>
      <c r="Q1170" t="b">
        <v>0</v>
      </c>
      <c r="R1170" t="b">
        <v>0</v>
      </c>
      <c r="S1170" t="b">
        <v>1</v>
      </c>
      <c r="T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1</v>
      </c>
      <c r="AE1170" t="s">
        <v>3153</v>
      </c>
    </row>
    <row r="1171" spans="1:31" x14ac:dyDescent="0.3">
      <c r="A1171">
        <v>-73.957347764380003</v>
      </c>
      <c r="B1171">
        <v>40.79717340605</v>
      </c>
      <c r="C1171" t="s">
        <v>3154</v>
      </c>
      <c r="D1171" t="s">
        <v>218</v>
      </c>
      <c r="E1171" t="s">
        <v>38</v>
      </c>
      <c r="F1171">
        <v>10172018</v>
      </c>
      <c r="G1171">
        <v>1</v>
      </c>
      <c r="H1171" t="s">
        <v>48</v>
      </c>
      <c r="I1171" t="s">
        <v>42</v>
      </c>
      <c r="K1171" t="s">
        <v>43</v>
      </c>
      <c r="M1171" t="s">
        <v>65</v>
      </c>
      <c r="N1171" t="b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1</v>
      </c>
      <c r="AC1171" t="b">
        <v>0</v>
      </c>
      <c r="AE1171" t="s">
        <v>3155</v>
      </c>
    </row>
    <row r="1172" spans="1:31" x14ac:dyDescent="0.3">
      <c r="A1172">
        <v>-73.97069292706</v>
      </c>
      <c r="B1172">
        <v>40.772784111939998</v>
      </c>
      <c r="C1172" t="s">
        <v>3156</v>
      </c>
      <c r="D1172" t="s">
        <v>600</v>
      </c>
      <c r="E1172" t="s">
        <v>38</v>
      </c>
      <c r="F1172">
        <v>10062018</v>
      </c>
      <c r="G1172">
        <v>6</v>
      </c>
      <c r="H1172" t="s">
        <v>105</v>
      </c>
      <c r="I1172" t="s">
        <v>42</v>
      </c>
      <c r="K1172" t="s">
        <v>43</v>
      </c>
      <c r="L1172" t="s">
        <v>3157</v>
      </c>
      <c r="M1172" t="s">
        <v>65</v>
      </c>
      <c r="N1172" t="b">
        <v>0</v>
      </c>
      <c r="P1172" t="b">
        <v>0</v>
      </c>
      <c r="Q1172" t="b">
        <v>1</v>
      </c>
      <c r="R1172" t="b">
        <v>0</v>
      </c>
      <c r="S1172" t="b">
        <v>0</v>
      </c>
      <c r="T1172" t="b">
        <v>0</v>
      </c>
      <c r="U1172" t="s">
        <v>3158</v>
      </c>
      <c r="V1172" t="b">
        <v>1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E1172" t="s">
        <v>3159</v>
      </c>
    </row>
    <row r="1173" spans="1:31" x14ac:dyDescent="0.3">
      <c r="A1173">
        <v>-73.959070754029995</v>
      </c>
      <c r="B1173">
        <v>40.790667514340001</v>
      </c>
      <c r="C1173" t="s">
        <v>3160</v>
      </c>
      <c r="D1173" t="s">
        <v>47</v>
      </c>
      <c r="E1173" t="s">
        <v>33</v>
      </c>
      <c r="F1173">
        <v>10172018</v>
      </c>
      <c r="G1173">
        <v>7</v>
      </c>
      <c r="H1173" t="s">
        <v>48</v>
      </c>
      <c r="I1173" t="s">
        <v>42</v>
      </c>
      <c r="K1173" t="s">
        <v>43</v>
      </c>
      <c r="M1173" t="s">
        <v>65</v>
      </c>
      <c r="N1173" t="b">
        <v>0</v>
      </c>
      <c r="O1173" t="s">
        <v>815</v>
      </c>
      <c r="P1173" t="b">
        <v>0</v>
      </c>
      <c r="Q1173" t="b">
        <v>0</v>
      </c>
      <c r="R1173" t="b">
        <v>1</v>
      </c>
      <c r="S1173" t="b">
        <v>0</v>
      </c>
      <c r="T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1</v>
      </c>
      <c r="AE1173" t="s">
        <v>3161</v>
      </c>
    </row>
    <row r="1174" spans="1:31" x14ac:dyDescent="0.3">
      <c r="A1174">
        <v>-73.968206712989996</v>
      </c>
      <c r="B1174">
        <v>40.777991120800003</v>
      </c>
      <c r="C1174" t="s">
        <v>3162</v>
      </c>
      <c r="D1174" t="s">
        <v>256</v>
      </c>
      <c r="E1174" t="s">
        <v>33</v>
      </c>
      <c r="F1174">
        <v>10182018</v>
      </c>
      <c r="G1174">
        <v>5</v>
      </c>
      <c r="H1174" t="s">
        <v>48</v>
      </c>
      <c r="I1174" t="s">
        <v>42</v>
      </c>
      <c r="J1174" t="s">
        <v>53</v>
      </c>
      <c r="K1174" t="s">
        <v>54</v>
      </c>
      <c r="M1174" t="s">
        <v>65</v>
      </c>
      <c r="N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s">
        <v>1428</v>
      </c>
      <c r="V1174" t="b">
        <v>0</v>
      </c>
      <c r="W1174" t="b">
        <v>0</v>
      </c>
      <c r="X1174" t="b">
        <v>0</v>
      </c>
      <c r="Y1174" t="b">
        <v>1</v>
      </c>
      <c r="Z1174" t="b">
        <v>0</v>
      </c>
      <c r="AA1174" t="b">
        <v>1</v>
      </c>
      <c r="AB1174" t="b">
        <v>0</v>
      </c>
      <c r="AC1174" t="b">
        <v>0</v>
      </c>
      <c r="AD1174" t="s">
        <v>3163</v>
      </c>
      <c r="AE1174" t="s">
        <v>3164</v>
      </c>
    </row>
    <row r="1175" spans="1:31" x14ac:dyDescent="0.3">
      <c r="A1175">
        <v>-73.980328269850006</v>
      </c>
      <c r="B1175">
        <v>40.76808098894</v>
      </c>
      <c r="C1175" t="s">
        <v>3165</v>
      </c>
      <c r="D1175" t="s">
        <v>851</v>
      </c>
      <c r="E1175" t="s">
        <v>33</v>
      </c>
      <c r="F1175">
        <v>10192018</v>
      </c>
      <c r="G1175">
        <v>9</v>
      </c>
      <c r="H1175" t="s">
        <v>48</v>
      </c>
      <c r="I1175" t="s">
        <v>42</v>
      </c>
      <c r="J1175" t="s">
        <v>59</v>
      </c>
      <c r="K1175" t="s">
        <v>79</v>
      </c>
      <c r="M1175" t="s">
        <v>65</v>
      </c>
      <c r="N1175" t="b">
        <v>0</v>
      </c>
      <c r="O1175" t="s">
        <v>3166</v>
      </c>
      <c r="P1175" t="b">
        <v>0</v>
      </c>
      <c r="Q1175" t="b">
        <v>0</v>
      </c>
      <c r="R1175" t="b">
        <v>0</v>
      </c>
      <c r="S1175" t="b">
        <v>0</v>
      </c>
      <c r="T1175" t="b">
        <v>1</v>
      </c>
      <c r="V1175" t="b">
        <v>0</v>
      </c>
      <c r="W1175" t="b">
        <v>0</v>
      </c>
      <c r="X1175" t="b">
        <v>0</v>
      </c>
      <c r="Y1175" t="b">
        <v>1</v>
      </c>
      <c r="Z1175" t="b">
        <v>0</v>
      </c>
      <c r="AA1175" t="b">
        <v>0</v>
      </c>
      <c r="AB1175" t="b">
        <v>1</v>
      </c>
      <c r="AC1175" t="b">
        <v>0</v>
      </c>
      <c r="AE1175" t="s">
        <v>3167</v>
      </c>
    </row>
    <row r="1176" spans="1:31" x14ac:dyDescent="0.3">
      <c r="A1176">
        <v>-73.955326315600004</v>
      </c>
      <c r="B1176">
        <v>40.797559206060001</v>
      </c>
      <c r="C1176" t="s">
        <v>3168</v>
      </c>
      <c r="D1176" t="s">
        <v>428</v>
      </c>
      <c r="E1176" t="s">
        <v>33</v>
      </c>
      <c r="F1176">
        <v>10132018</v>
      </c>
      <c r="G1176">
        <v>4</v>
      </c>
      <c r="H1176" t="s">
        <v>48</v>
      </c>
      <c r="I1176" t="s">
        <v>42</v>
      </c>
      <c r="J1176" t="s">
        <v>53</v>
      </c>
      <c r="K1176" t="s">
        <v>54</v>
      </c>
      <c r="M1176" t="s">
        <v>65</v>
      </c>
      <c r="N1176" t="b">
        <v>0</v>
      </c>
      <c r="P1176" t="b">
        <v>1</v>
      </c>
      <c r="Q1176" t="b">
        <v>0</v>
      </c>
      <c r="R1176" t="b">
        <v>0</v>
      </c>
      <c r="S1176" t="b">
        <v>0</v>
      </c>
      <c r="T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1</v>
      </c>
      <c r="AE1176" t="s">
        <v>3169</v>
      </c>
    </row>
    <row r="1177" spans="1:31" x14ac:dyDescent="0.3">
      <c r="A1177">
        <v>-73.980789822470001</v>
      </c>
      <c r="B1177">
        <v>40.768215817509997</v>
      </c>
      <c r="C1177" t="s">
        <v>3170</v>
      </c>
      <c r="D1177" t="s">
        <v>1775</v>
      </c>
      <c r="E1177" t="s">
        <v>33</v>
      </c>
      <c r="F1177">
        <v>10142018</v>
      </c>
      <c r="G1177">
        <v>4</v>
      </c>
      <c r="H1177" t="s">
        <v>48</v>
      </c>
      <c r="I1177" t="s">
        <v>53</v>
      </c>
      <c r="J1177" t="s">
        <v>59</v>
      </c>
      <c r="K1177" t="s">
        <v>60</v>
      </c>
      <c r="M1177" t="s">
        <v>65</v>
      </c>
      <c r="N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1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1</v>
      </c>
      <c r="AC1177" t="b">
        <v>0</v>
      </c>
      <c r="AE1177" t="s">
        <v>3171</v>
      </c>
    </row>
    <row r="1178" spans="1:31" x14ac:dyDescent="0.3">
      <c r="A1178">
        <v>-73.9507772993</v>
      </c>
      <c r="B1178">
        <v>40.79491889602</v>
      </c>
      <c r="C1178" t="s">
        <v>3172</v>
      </c>
      <c r="D1178" t="s">
        <v>435</v>
      </c>
      <c r="E1178" t="s">
        <v>33</v>
      </c>
      <c r="F1178">
        <v>10132018</v>
      </c>
      <c r="G1178">
        <v>1</v>
      </c>
      <c r="H1178" t="s">
        <v>48</v>
      </c>
      <c r="I1178" t="s">
        <v>42</v>
      </c>
      <c r="J1178" t="s">
        <v>53</v>
      </c>
      <c r="K1178" t="s">
        <v>54</v>
      </c>
      <c r="M1178" t="s">
        <v>44</v>
      </c>
      <c r="N1178">
        <v>7</v>
      </c>
      <c r="P1178" t="b">
        <v>0</v>
      </c>
      <c r="Q1178" t="b">
        <v>0</v>
      </c>
      <c r="R1178" t="b">
        <v>0</v>
      </c>
      <c r="S1178" t="b">
        <v>1</v>
      </c>
      <c r="T1178" t="b">
        <v>0</v>
      </c>
      <c r="U1178" t="s">
        <v>3173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1</v>
      </c>
      <c r="AC1178" t="b">
        <v>0</v>
      </c>
      <c r="AE1178" t="s">
        <v>3174</v>
      </c>
    </row>
    <row r="1179" spans="1:31" x14ac:dyDescent="0.3">
      <c r="A1179">
        <v>-73.969676203480006</v>
      </c>
      <c r="B1179">
        <v>40.770488349430003</v>
      </c>
      <c r="C1179" t="s">
        <v>3175</v>
      </c>
      <c r="D1179" t="s">
        <v>183</v>
      </c>
      <c r="E1179" t="s">
        <v>38</v>
      </c>
      <c r="F1179">
        <v>10172018</v>
      </c>
      <c r="G1179">
        <v>2</v>
      </c>
      <c r="H1179" t="s">
        <v>48</v>
      </c>
      <c r="I1179" t="s">
        <v>42</v>
      </c>
      <c r="J1179" t="s">
        <v>53</v>
      </c>
      <c r="K1179" t="s">
        <v>54</v>
      </c>
      <c r="M1179" t="s">
        <v>44</v>
      </c>
      <c r="N1179">
        <v>7</v>
      </c>
      <c r="O1179" t="s">
        <v>3176</v>
      </c>
      <c r="P1179" t="b">
        <v>1</v>
      </c>
      <c r="Q1179" t="b">
        <v>0</v>
      </c>
      <c r="R1179" t="b">
        <v>0</v>
      </c>
      <c r="S1179" t="b">
        <v>0</v>
      </c>
      <c r="T1179" t="b">
        <v>1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1</v>
      </c>
      <c r="AC1179" t="b">
        <v>0</v>
      </c>
      <c r="AE1179" t="s">
        <v>3177</v>
      </c>
    </row>
    <row r="1180" spans="1:31" x14ac:dyDescent="0.3">
      <c r="A1180">
        <v>-73.963972681800001</v>
      </c>
      <c r="B1180">
        <v>40.782908346100001</v>
      </c>
      <c r="C1180" t="s">
        <v>3178</v>
      </c>
      <c r="D1180" t="s">
        <v>579</v>
      </c>
      <c r="E1180" t="s">
        <v>33</v>
      </c>
      <c r="F1180">
        <v>10132018</v>
      </c>
      <c r="G1180">
        <v>1</v>
      </c>
      <c r="H1180" t="s">
        <v>48</v>
      </c>
      <c r="I1180" t="s">
        <v>42</v>
      </c>
      <c r="J1180" t="s">
        <v>96</v>
      </c>
      <c r="K1180" t="s">
        <v>97</v>
      </c>
      <c r="M1180" t="s">
        <v>65</v>
      </c>
      <c r="N1180" t="b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1</v>
      </c>
      <c r="AD1180" t="s">
        <v>3179</v>
      </c>
      <c r="AE1180" t="s">
        <v>3180</v>
      </c>
    </row>
    <row r="1181" spans="1:31" x14ac:dyDescent="0.3">
      <c r="A1181">
        <v>-73.96903953636</v>
      </c>
      <c r="B1181">
        <v>40.771128205030003</v>
      </c>
      <c r="C1181" t="s">
        <v>3181</v>
      </c>
      <c r="D1181" t="s">
        <v>1780</v>
      </c>
      <c r="E1181" t="s">
        <v>33</v>
      </c>
      <c r="F1181">
        <v>10102018</v>
      </c>
      <c r="G1181">
        <v>1</v>
      </c>
      <c r="H1181" t="s">
        <v>48</v>
      </c>
      <c r="I1181" t="s">
        <v>42</v>
      </c>
      <c r="J1181" t="s">
        <v>96</v>
      </c>
      <c r="K1181" t="s">
        <v>97</v>
      </c>
      <c r="L1181" t="s">
        <v>3182</v>
      </c>
      <c r="M1181" t="s">
        <v>65</v>
      </c>
      <c r="N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1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1</v>
      </c>
      <c r="AC1181" t="b">
        <v>0</v>
      </c>
      <c r="AE1181" t="s">
        <v>3183</v>
      </c>
    </row>
    <row r="1182" spans="1:31" x14ac:dyDescent="0.3">
      <c r="A1182">
        <v>-73.966720604689996</v>
      </c>
      <c r="B1182">
        <v>40.777999356510001</v>
      </c>
      <c r="C1182" t="s">
        <v>3184</v>
      </c>
      <c r="D1182" t="s">
        <v>2217</v>
      </c>
      <c r="E1182" t="s">
        <v>33</v>
      </c>
      <c r="F1182">
        <v>10172018</v>
      </c>
      <c r="G1182">
        <v>4</v>
      </c>
      <c r="H1182" t="s">
        <v>48</v>
      </c>
      <c r="I1182" t="s">
        <v>42</v>
      </c>
      <c r="J1182" t="s">
        <v>59</v>
      </c>
      <c r="K1182" t="s">
        <v>79</v>
      </c>
      <c r="M1182" t="s">
        <v>44</v>
      </c>
      <c r="N1182">
        <v>10</v>
      </c>
      <c r="O1182" t="s">
        <v>3185</v>
      </c>
      <c r="P1182" t="b">
        <v>1</v>
      </c>
      <c r="Q1182" t="b">
        <v>1</v>
      </c>
      <c r="R1182" t="b">
        <v>1</v>
      </c>
      <c r="S1182" t="b">
        <v>0</v>
      </c>
      <c r="T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1</v>
      </c>
      <c r="AC1182" t="b">
        <v>0</v>
      </c>
      <c r="AE1182" t="s">
        <v>3186</v>
      </c>
    </row>
    <row r="1183" spans="1:31" x14ac:dyDescent="0.3">
      <c r="A1183">
        <v>-73.952569906799994</v>
      </c>
      <c r="B1183">
        <v>40.793712578810002</v>
      </c>
      <c r="C1183" t="s">
        <v>3187</v>
      </c>
      <c r="D1183" t="s">
        <v>2053</v>
      </c>
      <c r="E1183" t="s">
        <v>33</v>
      </c>
      <c r="F1183">
        <v>10142018</v>
      </c>
      <c r="G1183">
        <v>1</v>
      </c>
      <c r="H1183" t="s">
        <v>48</v>
      </c>
      <c r="I1183" t="s">
        <v>42</v>
      </c>
      <c r="J1183" t="s">
        <v>96</v>
      </c>
      <c r="K1183" t="s">
        <v>97</v>
      </c>
      <c r="M1183" t="s">
        <v>65</v>
      </c>
      <c r="N1183" t="b">
        <v>0</v>
      </c>
      <c r="O1183" t="s">
        <v>3188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s">
        <v>3189</v>
      </c>
      <c r="V1183" t="b">
        <v>0</v>
      </c>
      <c r="W1183" t="b">
        <v>0</v>
      </c>
      <c r="X1183" t="b">
        <v>0</v>
      </c>
      <c r="Y1183" t="b">
        <v>0</v>
      </c>
      <c r="Z1183" t="b">
        <v>1</v>
      </c>
      <c r="AA1183" t="b">
        <v>0</v>
      </c>
      <c r="AB1183" t="b">
        <v>0</v>
      </c>
      <c r="AC1183" t="b">
        <v>1</v>
      </c>
      <c r="AE1183" t="s">
        <v>3190</v>
      </c>
    </row>
    <row r="1184" spans="1:31" x14ac:dyDescent="0.3">
      <c r="A1184">
        <v>-73.980798274220007</v>
      </c>
      <c r="B1184">
        <v>40.767879598539999</v>
      </c>
      <c r="C1184" t="s">
        <v>3191</v>
      </c>
      <c r="D1184" t="s">
        <v>851</v>
      </c>
      <c r="E1184" t="s">
        <v>33</v>
      </c>
      <c r="F1184">
        <v>10192018</v>
      </c>
      <c r="G1184">
        <v>1</v>
      </c>
      <c r="H1184" t="s">
        <v>48</v>
      </c>
      <c r="I1184" t="s">
        <v>42</v>
      </c>
      <c r="J1184" t="s">
        <v>59</v>
      </c>
      <c r="K1184" t="s">
        <v>79</v>
      </c>
      <c r="M1184" t="s">
        <v>65</v>
      </c>
      <c r="N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1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1</v>
      </c>
      <c r="AC1184" t="b">
        <v>0</v>
      </c>
      <c r="AE1184" t="s">
        <v>3192</v>
      </c>
    </row>
    <row r="1185" spans="1:31" x14ac:dyDescent="0.3">
      <c r="A1185">
        <v>-73.95823067437</v>
      </c>
      <c r="B1185">
        <v>40.798926839650001</v>
      </c>
      <c r="C1185" t="s">
        <v>3193</v>
      </c>
      <c r="D1185" t="s">
        <v>212</v>
      </c>
      <c r="E1185" t="s">
        <v>38</v>
      </c>
      <c r="F1185">
        <v>10192018</v>
      </c>
      <c r="G1185">
        <v>8</v>
      </c>
      <c r="H1185" t="s">
        <v>48</v>
      </c>
      <c r="I1185" t="s">
        <v>42</v>
      </c>
      <c r="J1185" t="s">
        <v>59</v>
      </c>
      <c r="K1185" t="s">
        <v>79</v>
      </c>
      <c r="M1185" t="s">
        <v>65</v>
      </c>
      <c r="N1185" t="b">
        <v>0</v>
      </c>
      <c r="P1185" t="b">
        <v>0</v>
      </c>
      <c r="Q1185" t="b">
        <v>0</v>
      </c>
      <c r="R1185" t="b">
        <v>1</v>
      </c>
      <c r="S1185" t="b">
        <v>0</v>
      </c>
      <c r="T1185" t="b">
        <v>1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1</v>
      </c>
      <c r="AC1185" t="b">
        <v>1</v>
      </c>
      <c r="AE1185" t="s">
        <v>3194</v>
      </c>
    </row>
    <row r="1186" spans="1:31" x14ac:dyDescent="0.3">
      <c r="A1186">
        <v>-73.967403312580004</v>
      </c>
      <c r="B1186">
        <v>40.7769132902</v>
      </c>
      <c r="C1186" t="s">
        <v>3195</v>
      </c>
      <c r="D1186" t="s">
        <v>311</v>
      </c>
      <c r="E1186" t="s">
        <v>33</v>
      </c>
      <c r="F1186">
        <v>10192018</v>
      </c>
      <c r="G1186">
        <v>2</v>
      </c>
      <c r="H1186" t="s">
        <v>48</v>
      </c>
      <c r="I1186" t="s">
        <v>42</v>
      </c>
      <c r="J1186" t="s">
        <v>53</v>
      </c>
      <c r="K1186" t="s">
        <v>54</v>
      </c>
      <c r="M1186" t="s">
        <v>65</v>
      </c>
      <c r="N1186" t="b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1</v>
      </c>
      <c r="AE1186" t="s">
        <v>3196</v>
      </c>
    </row>
    <row r="1187" spans="1:31" x14ac:dyDescent="0.3">
      <c r="A1187">
        <v>-73.979333441639994</v>
      </c>
      <c r="B1187">
        <v>40.767414208920002</v>
      </c>
      <c r="C1187" t="s">
        <v>3197</v>
      </c>
      <c r="D1187" t="s">
        <v>1301</v>
      </c>
      <c r="E1187" t="s">
        <v>33</v>
      </c>
      <c r="F1187">
        <v>10132018</v>
      </c>
      <c r="G1187">
        <v>2</v>
      </c>
      <c r="H1187" t="s">
        <v>48</v>
      </c>
      <c r="I1187" t="s">
        <v>53</v>
      </c>
      <c r="J1187" t="s">
        <v>59</v>
      </c>
      <c r="K1187" t="s">
        <v>60</v>
      </c>
      <c r="M1187" t="s">
        <v>65</v>
      </c>
      <c r="N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1</v>
      </c>
      <c r="U1187" t="s">
        <v>340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E1187" t="s">
        <v>3198</v>
      </c>
    </row>
    <row r="1188" spans="1:31" x14ac:dyDescent="0.3">
      <c r="A1188">
        <v>-73.966952983599995</v>
      </c>
      <c r="B1188">
        <v>40.787186415139999</v>
      </c>
      <c r="C1188" t="s">
        <v>3199</v>
      </c>
      <c r="D1188" t="s">
        <v>127</v>
      </c>
      <c r="E1188" t="s">
        <v>38</v>
      </c>
      <c r="F1188">
        <v>10132018</v>
      </c>
      <c r="G1188">
        <v>5</v>
      </c>
      <c r="I1188" t="s">
        <v>42</v>
      </c>
      <c r="K1188" t="s">
        <v>43</v>
      </c>
      <c r="M1188" t="s">
        <v>65</v>
      </c>
      <c r="N1188" t="b">
        <v>0</v>
      </c>
      <c r="O1188" t="s">
        <v>3200</v>
      </c>
      <c r="P1188" t="b">
        <v>1</v>
      </c>
      <c r="Q1188" t="b">
        <v>0</v>
      </c>
      <c r="R1188" t="b">
        <v>1</v>
      </c>
      <c r="S1188" t="b">
        <v>0</v>
      </c>
      <c r="T1188" t="b">
        <v>0</v>
      </c>
      <c r="U1188" t="s">
        <v>3201</v>
      </c>
      <c r="V1188" t="b">
        <v>0</v>
      </c>
      <c r="W1188" t="b">
        <v>0</v>
      </c>
      <c r="X1188" t="b">
        <v>0</v>
      </c>
      <c r="Y1188" t="b">
        <v>1</v>
      </c>
      <c r="Z1188" t="b">
        <v>1</v>
      </c>
      <c r="AA1188" t="b">
        <v>0</v>
      </c>
      <c r="AB1188" t="b">
        <v>1</v>
      </c>
      <c r="AC1188" t="b">
        <v>0</v>
      </c>
      <c r="AD1188" t="s">
        <v>3202</v>
      </c>
      <c r="AE1188" t="s">
        <v>3203</v>
      </c>
    </row>
    <row r="1189" spans="1:31" x14ac:dyDescent="0.3">
      <c r="A1189">
        <v>-73.957762974450006</v>
      </c>
      <c r="B1189">
        <v>40.789746075830003</v>
      </c>
      <c r="C1189" t="s">
        <v>3204</v>
      </c>
      <c r="D1189" t="s">
        <v>530</v>
      </c>
      <c r="E1189" t="s">
        <v>33</v>
      </c>
      <c r="F1189">
        <v>10132018</v>
      </c>
      <c r="G1189">
        <v>1</v>
      </c>
      <c r="H1189" t="s">
        <v>105</v>
      </c>
      <c r="I1189" t="s">
        <v>42</v>
      </c>
      <c r="J1189" t="s">
        <v>53</v>
      </c>
      <c r="K1189" t="s">
        <v>54</v>
      </c>
      <c r="L1189" t="s">
        <v>531</v>
      </c>
      <c r="M1189" t="s">
        <v>65</v>
      </c>
      <c r="N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1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1</v>
      </c>
      <c r="AC1189" t="b">
        <v>0</v>
      </c>
      <c r="AD1189" t="s">
        <v>3205</v>
      </c>
      <c r="AE1189" t="s">
        <v>3206</v>
      </c>
    </row>
    <row r="1190" spans="1:31" x14ac:dyDescent="0.3">
      <c r="A1190">
        <v>-73.972806935579996</v>
      </c>
      <c r="B1190">
        <v>40.77944581317</v>
      </c>
      <c r="C1190" t="s">
        <v>3207</v>
      </c>
      <c r="D1190" t="s">
        <v>946</v>
      </c>
      <c r="E1190" t="s">
        <v>38</v>
      </c>
      <c r="F1190">
        <v>10072018</v>
      </c>
      <c r="G1190">
        <v>1</v>
      </c>
      <c r="H1190" t="s">
        <v>48</v>
      </c>
      <c r="I1190" t="s">
        <v>42</v>
      </c>
      <c r="K1190" t="s">
        <v>43</v>
      </c>
      <c r="L1190" t="s">
        <v>3208</v>
      </c>
      <c r="M1190" t="s">
        <v>65</v>
      </c>
      <c r="N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1</v>
      </c>
      <c r="U1190" t="s">
        <v>2131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1</v>
      </c>
      <c r="AC1190" t="b">
        <v>0</v>
      </c>
      <c r="AD1190" t="s">
        <v>3209</v>
      </c>
      <c r="AE1190" t="s">
        <v>3210</v>
      </c>
    </row>
    <row r="1191" spans="1:31" x14ac:dyDescent="0.3">
      <c r="A1191">
        <v>-73.963483534610006</v>
      </c>
      <c r="B1191">
        <v>40.791824431069998</v>
      </c>
      <c r="C1191" t="s">
        <v>3211</v>
      </c>
      <c r="D1191" t="s">
        <v>383</v>
      </c>
      <c r="E1191" t="s">
        <v>33</v>
      </c>
      <c r="F1191">
        <v>10172018</v>
      </c>
      <c r="G1191">
        <v>3</v>
      </c>
      <c r="H1191" t="s">
        <v>48</v>
      </c>
      <c r="I1191" t="s">
        <v>42</v>
      </c>
      <c r="J1191" t="s">
        <v>96</v>
      </c>
      <c r="K1191" t="s">
        <v>97</v>
      </c>
      <c r="M1191" t="s">
        <v>65</v>
      </c>
      <c r="N1191" t="b">
        <v>0</v>
      </c>
      <c r="P1191" t="b">
        <v>0</v>
      </c>
      <c r="Q1191" t="b">
        <v>0</v>
      </c>
      <c r="R1191" t="b">
        <v>0</v>
      </c>
      <c r="S1191" t="b">
        <v>1</v>
      </c>
      <c r="T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E1191" t="s">
        <v>3212</v>
      </c>
    </row>
    <row r="1192" spans="1:31" x14ac:dyDescent="0.3">
      <c r="A1192">
        <v>-73.963481149520007</v>
      </c>
      <c r="B1192">
        <v>40.790705585079998</v>
      </c>
      <c r="C1192" t="s">
        <v>3213</v>
      </c>
      <c r="D1192" t="s">
        <v>908</v>
      </c>
      <c r="E1192" t="s">
        <v>38</v>
      </c>
      <c r="F1192">
        <v>10072018</v>
      </c>
      <c r="G1192">
        <v>10</v>
      </c>
      <c r="H1192" t="s">
        <v>48</v>
      </c>
      <c r="I1192" t="s">
        <v>42</v>
      </c>
      <c r="K1192" t="s">
        <v>43</v>
      </c>
      <c r="M1192" t="s">
        <v>65</v>
      </c>
      <c r="N1192" t="b">
        <v>0</v>
      </c>
      <c r="P1192" t="b">
        <v>1</v>
      </c>
      <c r="Q1192" t="b">
        <v>0</v>
      </c>
      <c r="R1192" t="b">
        <v>1</v>
      </c>
      <c r="S1192" t="b">
        <v>0</v>
      </c>
      <c r="T1192" t="b">
        <v>1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1</v>
      </c>
      <c r="AE1192" t="s">
        <v>3214</v>
      </c>
    </row>
    <row r="1193" spans="1:31" x14ac:dyDescent="0.3">
      <c r="A1193">
        <v>-73.973188065629998</v>
      </c>
      <c r="B1193">
        <v>40.76600261862</v>
      </c>
      <c r="C1193" t="s">
        <v>3215</v>
      </c>
      <c r="D1193" t="s">
        <v>767</v>
      </c>
      <c r="E1193" t="s">
        <v>38</v>
      </c>
      <c r="F1193">
        <v>10062018</v>
      </c>
      <c r="G1193">
        <v>1</v>
      </c>
      <c r="H1193" t="s">
        <v>48</v>
      </c>
      <c r="I1193" t="s">
        <v>176</v>
      </c>
      <c r="K1193" t="s">
        <v>177</v>
      </c>
      <c r="M1193" t="s">
        <v>65</v>
      </c>
      <c r="N1193" t="b">
        <v>0</v>
      </c>
      <c r="P1193" t="b">
        <v>1</v>
      </c>
      <c r="Q1193" t="b">
        <v>0</v>
      </c>
      <c r="R1193" t="b">
        <v>1</v>
      </c>
      <c r="S1193" t="b">
        <v>0</v>
      </c>
      <c r="T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1</v>
      </c>
      <c r="AC1193" t="b">
        <v>0</v>
      </c>
      <c r="AE1193" t="s">
        <v>3216</v>
      </c>
    </row>
    <row r="1194" spans="1:31" x14ac:dyDescent="0.3">
      <c r="A1194">
        <v>-73.968746256610004</v>
      </c>
      <c r="B1194">
        <v>40.783898987009998</v>
      </c>
      <c r="C1194" t="s">
        <v>3217</v>
      </c>
      <c r="D1194" t="s">
        <v>320</v>
      </c>
      <c r="E1194" t="s">
        <v>33</v>
      </c>
      <c r="F1194">
        <v>10142018</v>
      </c>
      <c r="G1194">
        <v>6</v>
      </c>
      <c r="I1194" t="s">
        <v>42</v>
      </c>
      <c r="J1194" t="s">
        <v>53</v>
      </c>
      <c r="K1194" t="s">
        <v>54</v>
      </c>
      <c r="M1194" t="s">
        <v>44</v>
      </c>
      <c r="N1194">
        <v>10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s">
        <v>340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E1194" t="s">
        <v>3218</v>
      </c>
    </row>
    <row r="1195" spans="1:31" x14ac:dyDescent="0.3">
      <c r="A1195">
        <v>-73.980169890940005</v>
      </c>
      <c r="B1195">
        <v>40.768372155329999</v>
      </c>
      <c r="C1195" t="s">
        <v>3219</v>
      </c>
      <c r="D1195" t="s">
        <v>204</v>
      </c>
      <c r="E1195" t="s">
        <v>38</v>
      </c>
      <c r="F1195">
        <v>10102018</v>
      </c>
      <c r="G1195">
        <v>4</v>
      </c>
      <c r="H1195" t="s">
        <v>48</v>
      </c>
      <c r="I1195" t="s">
        <v>42</v>
      </c>
      <c r="K1195" t="s">
        <v>43</v>
      </c>
      <c r="M1195" t="s">
        <v>65</v>
      </c>
      <c r="N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1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1</v>
      </c>
      <c r="AC1195" t="b">
        <v>0</v>
      </c>
      <c r="AE1195" t="s">
        <v>3220</v>
      </c>
    </row>
    <row r="1196" spans="1:31" x14ac:dyDescent="0.3">
      <c r="A1196">
        <v>-73.958011149629996</v>
      </c>
      <c r="B1196">
        <v>40.798536597149997</v>
      </c>
      <c r="C1196" t="s">
        <v>3221</v>
      </c>
      <c r="D1196" t="s">
        <v>212</v>
      </c>
      <c r="E1196" t="s">
        <v>38</v>
      </c>
      <c r="F1196">
        <v>10192018</v>
      </c>
      <c r="G1196">
        <v>5</v>
      </c>
      <c r="H1196" t="s">
        <v>48</v>
      </c>
      <c r="I1196" t="s">
        <v>42</v>
      </c>
      <c r="J1196" t="s">
        <v>96</v>
      </c>
      <c r="K1196" t="s">
        <v>97</v>
      </c>
      <c r="M1196" t="s">
        <v>65</v>
      </c>
      <c r="N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1</v>
      </c>
      <c r="V1196" t="b">
        <v>0</v>
      </c>
      <c r="W1196" t="b">
        <v>0</v>
      </c>
      <c r="X1196" t="b">
        <v>0</v>
      </c>
      <c r="Y1196" t="b">
        <v>0</v>
      </c>
      <c r="Z1196" t="b">
        <v>1</v>
      </c>
      <c r="AA1196" t="b">
        <v>1</v>
      </c>
      <c r="AB1196" t="b">
        <v>1</v>
      </c>
      <c r="AC1196" t="b">
        <v>0</v>
      </c>
      <c r="AE1196" t="s">
        <v>3222</v>
      </c>
    </row>
    <row r="1197" spans="1:31" x14ac:dyDescent="0.3">
      <c r="A1197">
        <v>-73.959086874860006</v>
      </c>
      <c r="B1197">
        <v>40.790604763040001</v>
      </c>
      <c r="C1197" t="s">
        <v>3223</v>
      </c>
      <c r="D1197" t="s">
        <v>47</v>
      </c>
      <c r="E1197" t="s">
        <v>33</v>
      </c>
      <c r="F1197">
        <v>10172018</v>
      </c>
      <c r="G1197">
        <v>9</v>
      </c>
      <c r="H1197" t="s">
        <v>48</v>
      </c>
      <c r="I1197" t="s">
        <v>42</v>
      </c>
      <c r="K1197" t="s">
        <v>43</v>
      </c>
      <c r="M1197" t="s">
        <v>65</v>
      </c>
      <c r="N1197" t="b">
        <v>0</v>
      </c>
      <c r="O1197" t="s">
        <v>815</v>
      </c>
      <c r="P1197" t="b">
        <v>0</v>
      </c>
      <c r="Q1197" t="b">
        <v>0</v>
      </c>
      <c r="R1197" t="b">
        <v>0</v>
      </c>
      <c r="S1197" t="b">
        <v>1</v>
      </c>
      <c r="T1197" t="b">
        <v>1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1</v>
      </c>
      <c r="AE1197" t="s">
        <v>3224</v>
      </c>
    </row>
    <row r="1198" spans="1:31" x14ac:dyDescent="0.3">
      <c r="A1198">
        <v>-73.965527732050006</v>
      </c>
      <c r="B1198">
        <v>40.78061205294</v>
      </c>
      <c r="C1198" t="s">
        <v>3225</v>
      </c>
      <c r="D1198" t="s">
        <v>564</v>
      </c>
      <c r="E1198" t="s">
        <v>38</v>
      </c>
      <c r="F1198">
        <v>10142018</v>
      </c>
      <c r="G1198">
        <v>3</v>
      </c>
      <c r="H1198" t="s">
        <v>48</v>
      </c>
      <c r="I1198" t="s">
        <v>42</v>
      </c>
      <c r="K1198" t="s">
        <v>43</v>
      </c>
      <c r="M1198" t="s">
        <v>44</v>
      </c>
      <c r="N1198">
        <v>30</v>
      </c>
      <c r="P1198" t="b">
        <v>0</v>
      </c>
      <c r="Q1198" t="b">
        <v>0</v>
      </c>
      <c r="R1198" t="b">
        <v>1</v>
      </c>
      <c r="S1198" t="b">
        <v>0</v>
      </c>
      <c r="T1198" t="b">
        <v>0</v>
      </c>
      <c r="V1198" t="b">
        <v>1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E1198" t="s">
        <v>3226</v>
      </c>
    </row>
    <row r="1199" spans="1:31" x14ac:dyDescent="0.3">
      <c r="A1199">
        <v>-73.976218773369993</v>
      </c>
      <c r="B1199">
        <v>40.773928297300003</v>
      </c>
      <c r="C1199" t="s">
        <v>3227</v>
      </c>
      <c r="D1199" t="s">
        <v>790</v>
      </c>
      <c r="E1199" t="s">
        <v>33</v>
      </c>
      <c r="F1199">
        <v>10132018</v>
      </c>
      <c r="G1199">
        <v>8</v>
      </c>
      <c r="H1199" t="s">
        <v>105</v>
      </c>
      <c r="I1199" t="s">
        <v>53</v>
      </c>
      <c r="J1199" t="s">
        <v>737</v>
      </c>
      <c r="K1199" t="s">
        <v>3228</v>
      </c>
      <c r="M1199" t="s">
        <v>65</v>
      </c>
      <c r="N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1</v>
      </c>
      <c r="V1199" t="b">
        <v>0</v>
      </c>
      <c r="W1199" t="b">
        <v>0</v>
      </c>
      <c r="X1199" t="b">
        <v>0</v>
      </c>
      <c r="Y1199" t="b">
        <v>1</v>
      </c>
      <c r="Z1199" t="b">
        <v>0</v>
      </c>
      <c r="AA1199" t="b">
        <v>0</v>
      </c>
      <c r="AB1199" t="b">
        <v>1</v>
      </c>
      <c r="AC1199" t="b">
        <v>0</v>
      </c>
      <c r="AE1199" t="s">
        <v>3229</v>
      </c>
    </row>
    <row r="1200" spans="1:31" x14ac:dyDescent="0.3">
      <c r="A1200">
        <v>-73.975699319840004</v>
      </c>
      <c r="B1200">
        <v>40.768195664190003</v>
      </c>
      <c r="C1200" t="s">
        <v>3230</v>
      </c>
      <c r="D1200" t="s">
        <v>215</v>
      </c>
      <c r="E1200" t="s">
        <v>33</v>
      </c>
      <c r="F1200">
        <v>10082018</v>
      </c>
      <c r="G1200">
        <v>8</v>
      </c>
      <c r="H1200" t="s">
        <v>48</v>
      </c>
      <c r="I1200" t="s">
        <v>53</v>
      </c>
      <c r="K1200" t="s">
        <v>155</v>
      </c>
      <c r="M1200" t="s">
        <v>65</v>
      </c>
      <c r="N1200" t="b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1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1</v>
      </c>
      <c r="AC1200" t="b">
        <v>0</v>
      </c>
      <c r="AE1200" t="s">
        <v>3231</v>
      </c>
    </row>
    <row r="1201" spans="1:31" x14ac:dyDescent="0.3">
      <c r="A1201">
        <v>-73.965772171530006</v>
      </c>
      <c r="B1201">
        <v>40.77853483026</v>
      </c>
      <c r="C1201" t="s">
        <v>3232</v>
      </c>
      <c r="D1201" t="s">
        <v>510</v>
      </c>
      <c r="E1201" t="s">
        <v>33</v>
      </c>
      <c r="F1201">
        <v>10132018</v>
      </c>
      <c r="G1201">
        <v>3</v>
      </c>
      <c r="H1201" t="s">
        <v>48</v>
      </c>
      <c r="I1201" t="s">
        <v>42</v>
      </c>
      <c r="K1201" t="s">
        <v>43</v>
      </c>
      <c r="M1201" t="s">
        <v>65</v>
      </c>
      <c r="N1201" t="b">
        <v>0</v>
      </c>
      <c r="P1201" t="b">
        <v>1</v>
      </c>
      <c r="Q1201" t="b">
        <v>0</v>
      </c>
      <c r="R1201" t="b">
        <v>0</v>
      </c>
      <c r="S1201" t="b">
        <v>1</v>
      </c>
      <c r="T1201" t="b">
        <v>1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1</v>
      </c>
      <c r="AE1201" t="s">
        <v>3233</v>
      </c>
    </row>
    <row r="1202" spans="1:31" x14ac:dyDescent="0.3">
      <c r="A1202">
        <v>-73.963697184370005</v>
      </c>
      <c r="B1202">
        <v>40.782563853740001</v>
      </c>
      <c r="C1202" t="s">
        <v>3234</v>
      </c>
      <c r="D1202" t="s">
        <v>82</v>
      </c>
      <c r="E1202" t="s">
        <v>38</v>
      </c>
      <c r="F1202">
        <v>10072018</v>
      </c>
      <c r="G1202">
        <v>4</v>
      </c>
      <c r="H1202" t="s">
        <v>48</v>
      </c>
      <c r="I1202" t="s">
        <v>53</v>
      </c>
      <c r="J1202" t="s">
        <v>42</v>
      </c>
      <c r="K1202" t="s">
        <v>89</v>
      </c>
      <c r="P1202" t="b">
        <v>0</v>
      </c>
      <c r="Q1202" t="b">
        <v>0</v>
      </c>
      <c r="R1202" t="b">
        <v>0</v>
      </c>
      <c r="S1202" t="b">
        <v>0</v>
      </c>
      <c r="T1202" t="b">
        <v>1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1</v>
      </c>
      <c r="AC1202" t="b">
        <v>0</v>
      </c>
      <c r="AE1202" t="s">
        <v>3235</v>
      </c>
    </row>
    <row r="1203" spans="1:31" x14ac:dyDescent="0.3">
      <c r="A1203">
        <v>-73.978281353840003</v>
      </c>
      <c r="B1203">
        <v>40.771573036870002</v>
      </c>
      <c r="C1203" t="s">
        <v>3236</v>
      </c>
      <c r="D1203" t="s">
        <v>870</v>
      </c>
      <c r="E1203" t="s">
        <v>38</v>
      </c>
      <c r="F1203">
        <v>10062018</v>
      </c>
      <c r="G1203">
        <v>2</v>
      </c>
      <c r="H1203" t="s">
        <v>48</v>
      </c>
      <c r="I1203" t="s">
        <v>42</v>
      </c>
      <c r="J1203" t="s">
        <v>96</v>
      </c>
      <c r="K1203" t="s">
        <v>97</v>
      </c>
      <c r="M1203" t="s">
        <v>44</v>
      </c>
      <c r="N1203">
        <v>30</v>
      </c>
      <c r="O1203" t="s">
        <v>190</v>
      </c>
      <c r="P1203" t="b">
        <v>0</v>
      </c>
      <c r="Q1203" t="b">
        <v>1</v>
      </c>
      <c r="R1203" t="b">
        <v>1</v>
      </c>
      <c r="S1203" t="b">
        <v>0</v>
      </c>
      <c r="T1203" t="b">
        <v>0</v>
      </c>
      <c r="V1203" t="b">
        <v>0</v>
      </c>
      <c r="W1203" t="b">
        <v>0</v>
      </c>
      <c r="X1203" t="b">
        <v>0</v>
      </c>
      <c r="Y1203" t="b">
        <v>1</v>
      </c>
      <c r="Z1203" t="b">
        <v>0</v>
      </c>
      <c r="AA1203" t="b">
        <v>0</v>
      </c>
      <c r="AB1203" t="b">
        <v>0</v>
      </c>
      <c r="AC1203" t="b">
        <v>0</v>
      </c>
      <c r="AE1203" t="s">
        <v>3237</v>
      </c>
    </row>
    <row r="1204" spans="1:31" x14ac:dyDescent="0.3">
      <c r="A1204">
        <v>-73.969497929699997</v>
      </c>
      <c r="B1204">
        <v>40.769466740870001</v>
      </c>
      <c r="C1204" t="s">
        <v>3238</v>
      </c>
      <c r="D1204" t="s">
        <v>1310</v>
      </c>
      <c r="E1204" t="s">
        <v>33</v>
      </c>
      <c r="F1204">
        <v>10132018</v>
      </c>
      <c r="G1204">
        <v>2</v>
      </c>
      <c r="H1204" t="s">
        <v>48</v>
      </c>
      <c r="I1204" t="s">
        <v>42</v>
      </c>
      <c r="J1204" t="s">
        <v>59</v>
      </c>
      <c r="K1204" t="s">
        <v>79</v>
      </c>
      <c r="M1204" t="s">
        <v>65</v>
      </c>
      <c r="N1204" t="b">
        <v>0</v>
      </c>
      <c r="O1204" t="s">
        <v>3239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1</v>
      </c>
      <c r="AA1204" t="b">
        <v>0</v>
      </c>
      <c r="AB1204" t="b">
        <v>0</v>
      </c>
      <c r="AC1204" t="b">
        <v>0</v>
      </c>
      <c r="AE1204" t="s">
        <v>3240</v>
      </c>
    </row>
    <row r="1205" spans="1:31" x14ac:dyDescent="0.3">
      <c r="A1205">
        <v>-73.961699973099996</v>
      </c>
      <c r="B1205">
        <v>40.795412693960003</v>
      </c>
      <c r="C1205" t="s">
        <v>3241</v>
      </c>
      <c r="D1205" t="s">
        <v>372</v>
      </c>
      <c r="E1205" t="s">
        <v>38</v>
      </c>
      <c r="F1205">
        <v>10182018</v>
      </c>
      <c r="G1205">
        <v>2</v>
      </c>
      <c r="H1205" t="s">
        <v>105</v>
      </c>
      <c r="I1205" t="s">
        <v>42</v>
      </c>
      <c r="J1205" t="s">
        <v>59</v>
      </c>
      <c r="K1205" t="s">
        <v>79</v>
      </c>
      <c r="M1205" t="s">
        <v>44</v>
      </c>
      <c r="N1205">
        <v>15</v>
      </c>
      <c r="P1205" t="b">
        <v>0</v>
      </c>
      <c r="Q1205" t="b">
        <v>0</v>
      </c>
      <c r="R1205" t="b">
        <v>0</v>
      </c>
      <c r="S1205" t="b">
        <v>1</v>
      </c>
      <c r="T1205" t="b">
        <v>0</v>
      </c>
      <c r="U1205" t="s">
        <v>1497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1</v>
      </c>
      <c r="AC1205" t="b">
        <v>0</v>
      </c>
      <c r="AE1205" t="s">
        <v>3242</v>
      </c>
    </row>
    <row r="1206" spans="1:31" x14ac:dyDescent="0.3">
      <c r="A1206">
        <v>-73.97629653413</v>
      </c>
      <c r="B1206">
        <v>40.775112516679997</v>
      </c>
      <c r="C1206" t="s">
        <v>3243</v>
      </c>
      <c r="D1206" t="s">
        <v>147</v>
      </c>
      <c r="E1206" t="s">
        <v>38</v>
      </c>
      <c r="F1206">
        <v>10062018</v>
      </c>
      <c r="G1206">
        <v>2</v>
      </c>
      <c r="H1206" t="s">
        <v>48</v>
      </c>
      <c r="I1206" t="s">
        <v>42</v>
      </c>
      <c r="J1206" t="s">
        <v>59</v>
      </c>
      <c r="K1206" t="s">
        <v>79</v>
      </c>
      <c r="M1206" t="s">
        <v>65</v>
      </c>
      <c r="N1206" t="b">
        <v>0</v>
      </c>
      <c r="O1206" t="s">
        <v>848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E1206" t="s">
        <v>3244</v>
      </c>
    </row>
    <row r="1207" spans="1:31" x14ac:dyDescent="0.3">
      <c r="A1207">
        <v>-73.961111877880001</v>
      </c>
      <c r="B1207">
        <v>40.795200787539997</v>
      </c>
      <c r="C1207" t="s">
        <v>3245</v>
      </c>
      <c r="D1207" t="s">
        <v>372</v>
      </c>
      <c r="E1207" t="s">
        <v>33</v>
      </c>
      <c r="F1207">
        <v>10132018</v>
      </c>
      <c r="G1207">
        <v>1</v>
      </c>
      <c r="I1207" t="s">
        <v>42</v>
      </c>
      <c r="J1207" t="s">
        <v>53</v>
      </c>
      <c r="K1207" t="s">
        <v>54</v>
      </c>
      <c r="M1207" t="s">
        <v>65</v>
      </c>
      <c r="N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1</v>
      </c>
      <c r="U1207" t="s">
        <v>511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1</v>
      </c>
      <c r="AB1207" t="b">
        <v>0</v>
      </c>
      <c r="AC1207" t="b">
        <v>0</v>
      </c>
      <c r="AE1207" t="s">
        <v>3246</v>
      </c>
    </row>
    <row r="1208" spans="1:31" x14ac:dyDescent="0.3">
      <c r="A1208">
        <v>-73.974870920640001</v>
      </c>
      <c r="B1208">
        <v>40.776080254109999</v>
      </c>
      <c r="C1208" t="s">
        <v>3247</v>
      </c>
      <c r="D1208" t="s">
        <v>41</v>
      </c>
      <c r="E1208" t="s">
        <v>33</v>
      </c>
      <c r="F1208">
        <v>10142018</v>
      </c>
      <c r="G1208">
        <v>1</v>
      </c>
      <c r="H1208" t="s">
        <v>48</v>
      </c>
      <c r="I1208" t="s">
        <v>42</v>
      </c>
      <c r="K1208" t="s">
        <v>43</v>
      </c>
      <c r="L1208" t="s">
        <v>3248</v>
      </c>
      <c r="M1208" t="s">
        <v>44</v>
      </c>
      <c r="N1208">
        <v>10</v>
      </c>
      <c r="P1208" t="b">
        <v>0</v>
      </c>
      <c r="Q1208" t="b">
        <v>0</v>
      </c>
      <c r="R1208" t="b">
        <v>1</v>
      </c>
      <c r="S1208" t="b">
        <v>0</v>
      </c>
      <c r="T1208" t="b">
        <v>0</v>
      </c>
      <c r="V1208" t="b">
        <v>1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1</v>
      </c>
      <c r="AE1208" t="s">
        <v>3249</v>
      </c>
    </row>
    <row r="1209" spans="1:31" x14ac:dyDescent="0.3">
      <c r="A1209">
        <v>-73.959470832869997</v>
      </c>
      <c r="B1209">
        <v>40.7911929829</v>
      </c>
      <c r="C1209" t="s">
        <v>3250</v>
      </c>
      <c r="D1209" t="s">
        <v>47</v>
      </c>
      <c r="E1209" t="s">
        <v>38</v>
      </c>
      <c r="F1209">
        <v>10072018</v>
      </c>
      <c r="G1209">
        <v>7</v>
      </c>
      <c r="H1209" t="s">
        <v>48</v>
      </c>
      <c r="I1209" t="s">
        <v>42</v>
      </c>
      <c r="K1209" t="s">
        <v>43</v>
      </c>
      <c r="M1209" t="s">
        <v>44</v>
      </c>
      <c r="O1209" t="s">
        <v>3251</v>
      </c>
      <c r="P1209" t="b">
        <v>0</v>
      </c>
      <c r="Q1209" t="b">
        <v>0</v>
      </c>
      <c r="R1209" t="b">
        <v>1</v>
      </c>
      <c r="S1209" t="b">
        <v>0</v>
      </c>
      <c r="T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1</v>
      </c>
      <c r="AC1209" t="b">
        <v>0</v>
      </c>
      <c r="AE1209" t="s">
        <v>3252</v>
      </c>
    </row>
    <row r="1210" spans="1:31" x14ac:dyDescent="0.3">
      <c r="A1210">
        <v>-73.966280492579997</v>
      </c>
      <c r="B1210">
        <v>40.789028464239998</v>
      </c>
      <c r="C1210" t="s">
        <v>3253</v>
      </c>
      <c r="D1210" t="s">
        <v>154</v>
      </c>
      <c r="E1210" t="s">
        <v>33</v>
      </c>
      <c r="F1210">
        <v>10072018</v>
      </c>
      <c r="G1210">
        <v>1</v>
      </c>
      <c r="H1210" t="s">
        <v>48</v>
      </c>
      <c r="I1210" t="s">
        <v>42</v>
      </c>
      <c r="J1210" t="s">
        <v>53</v>
      </c>
      <c r="K1210" t="s">
        <v>54</v>
      </c>
      <c r="M1210" t="s">
        <v>65</v>
      </c>
      <c r="N1210" t="b">
        <v>0</v>
      </c>
      <c r="P1210" t="b">
        <v>0</v>
      </c>
      <c r="Q1210" t="b">
        <v>0</v>
      </c>
      <c r="R1210" t="b">
        <v>0</v>
      </c>
      <c r="S1210" t="b">
        <v>1</v>
      </c>
      <c r="T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1</v>
      </c>
      <c r="AC1210" t="b">
        <v>0</v>
      </c>
      <c r="AE1210" t="s">
        <v>3254</v>
      </c>
    </row>
    <row r="1211" spans="1:31" x14ac:dyDescent="0.3">
      <c r="A1211">
        <v>-73.976315915309996</v>
      </c>
      <c r="B1211">
        <v>40.770578533040002</v>
      </c>
      <c r="C1211" t="s">
        <v>3255</v>
      </c>
      <c r="D1211" t="s">
        <v>88</v>
      </c>
      <c r="E1211" t="s">
        <v>38</v>
      </c>
      <c r="F1211">
        <v>10062018</v>
      </c>
      <c r="G1211">
        <v>7</v>
      </c>
      <c r="H1211" t="s">
        <v>48</v>
      </c>
      <c r="I1211" t="s">
        <v>42</v>
      </c>
      <c r="J1211" t="s">
        <v>53</v>
      </c>
      <c r="K1211" t="s">
        <v>54</v>
      </c>
      <c r="M1211" t="s">
        <v>65</v>
      </c>
      <c r="N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1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1</v>
      </c>
      <c r="AC1211" t="b">
        <v>0</v>
      </c>
      <c r="AE1211" t="s">
        <v>3256</v>
      </c>
    </row>
    <row r="1212" spans="1:31" x14ac:dyDescent="0.3">
      <c r="A1212">
        <v>-73.970793746449999</v>
      </c>
      <c r="B1212">
        <v>40.772528270839999</v>
      </c>
      <c r="C1212" t="s">
        <v>3257</v>
      </c>
      <c r="D1212" t="s">
        <v>600</v>
      </c>
      <c r="E1212" t="s">
        <v>33</v>
      </c>
      <c r="F1212">
        <v>10172018</v>
      </c>
      <c r="G1212">
        <v>7</v>
      </c>
      <c r="H1212" t="s">
        <v>48</v>
      </c>
      <c r="I1212" t="s">
        <v>176</v>
      </c>
      <c r="J1212" t="s">
        <v>59</v>
      </c>
      <c r="K1212" t="s">
        <v>619</v>
      </c>
      <c r="M1212" t="s">
        <v>65</v>
      </c>
      <c r="N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s">
        <v>3258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1</v>
      </c>
      <c r="AC1212" t="b">
        <v>0</v>
      </c>
      <c r="AE1212" t="s">
        <v>3259</v>
      </c>
    </row>
    <row r="1213" spans="1:31" x14ac:dyDescent="0.3">
      <c r="A1213">
        <v>-73.954933739799998</v>
      </c>
      <c r="B1213">
        <v>40.794655273159997</v>
      </c>
      <c r="C1213" t="s">
        <v>3260</v>
      </c>
      <c r="D1213" t="s">
        <v>363</v>
      </c>
      <c r="E1213" t="s">
        <v>33</v>
      </c>
      <c r="F1213">
        <v>10132018</v>
      </c>
      <c r="G1213">
        <v>1</v>
      </c>
      <c r="H1213" t="s">
        <v>48</v>
      </c>
      <c r="I1213" t="s">
        <v>42</v>
      </c>
      <c r="J1213" t="s">
        <v>53</v>
      </c>
      <c r="K1213" t="s">
        <v>54</v>
      </c>
      <c r="L1213" t="s">
        <v>3261</v>
      </c>
      <c r="M1213" t="s">
        <v>65</v>
      </c>
      <c r="N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1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E1213" t="s">
        <v>3262</v>
      </c>
    </row>
    <row r="1214" spans="1:31" x14ac:dyDescent="0.3">
      <c r="A1214">
        <v>-73.976179218940004</v>
      </c>
      <c r="B1214">
        <v>40.774574551720001</v>
      </c>
      <c r="C1214" t="s">
        <v>3263</v>
      </c>
      <c r="D1214" t="s">
        <v>855</v>
      </c>
      <c r="E1214" t="s">
        <v>38</v>
      </c>
      <c r="F1214">
        <v>10132018</v>
      </c>
      <c r="G1214">
        <v>9</v>
      </c>
      <c r="H1214" t="s">
        <v>105</v>
      </c>
      <c r="I1214" t="s">
        <v>53</v>
      </c>
      <c r="K1214" t="s">
        <v>155</v>
      </c>
      <c r="M1214" t="s">
        <v>65</v>
      </c>
      <c r="N1214" t="b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1</v>
      </c>
      <c r="AC1214" t="b">
        <v>0</v>
      </c>
      <c r="AE1214" t="s">
        <v>3264</v>
      </c>
    </row>
    <row r="1215" spans="1:31" x14ac:dyDescent="0.3">
      <c r="A1215">
        <v>-73.969320207829995</v>
      </c>
      <c r="B1215">
        <v>40.771043472930003</v>
      </c>
      <c r="C1215" t="s">
        <v>3265</v>
      </c>
      <c r="D1215" t="s">
        <v>2056</v>
      </c>
      <c r="E1215" t="s">
        <v>38</v>
      </c>
      <c r="F1215">
        <v>10062018</v>
      </c>
      <c r="G1215">
        <v>1</v>
      </c>
      <c r="H1215" t="s">
        <v>48</v>
      </c>
      <c r="I1215" t="s">
        <v>42</v>
      </c>
      <c r="J1215" t="s">
        <v>59</v>
      </c>
      <c r="K1215" t="s">
        <v>79</v>
      </c>
      <c r="M1215" t="s">
        <v>65</v>
      </c>
      <c r="N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1</v>
      </c>
      <c r="V1215" t="b">
        <v>0</v>
      </c>
      <c r="W1215" t="b">
        <v>0</v>
      </c>
      <c r="X1215" t="b">
        <v>0</v>
      </c>
      <c r="Y1215" t="b">
        <v>0</v>
      </c>
      <c r="Z1215" t="b">
        <v>1</v>
      </c>
      <c r="AA1215" t="b">
        <v>0</v>
      </c>
      <c r="AB1215" t="b">
        <v>1</v>
      </c>
      <c r="AC1215" t="b">
        <v>0</v>
      </c>
      <c r="AE1215" t="s">
        <v>3266</v>
      </c>
    </row>
    <row r="1216" spans="1:31" x14ac:dyDescent="0.3">
      <c r="A1216">
        <v>-73.969951749250001</v>
      </c>
      <c r="B1216">
        <v>40.77531695954</v>
      </c>
      <c r="C1216" t="s">
        <v>3267</v>
      </c>
      <c r="D1216" t="s">
        <v>260</v>
      </c>
      <c r="E1216" t="s">
        <v>33</v>
      </c>
      <c r="F1216">
        <v>10082018</v>
      </c>
      <c r="G1216">
        <v>1</v>
      </c>
      <c r="H1216" t="s">
        <v>48</v>
      </c>
      <c r="I1216" t="s">
        <v>42</v>
      </c>
      <c r="K1216" t="s">
        <v>43</v>
      </c>
      <c r="M1216" t="s">
        <v>65</v>
      </c>
      <c r="N1216" t="b">
        <v>0</v>
      </c>
      <c r="P1216" t="b">
        <v>0</v>
      </c>
      <c r="Q1216" t="b">
        <v>0</v>
      </c>
      <c r="R1216" t="b">
        <v>0</v>
      </c>
      <c r="S1216" t="b">
        <v>1</v>
      </c>
      <c r="T1216" t="b">
        <v>1</v>
      </c>
      <c r="V1216" t="b">
        <v>0</v>
      </c>
      <c r="W1216" t="b">
        <v>0</v>
      </c>
      <c r="X1216" t="b">
        <v>0</v>
      </c>
      <c r="Y1216" t="b">
        <v>0</v>
      </c>
      <c r="Z1216" t="b">
        <v>1</v>
      </c>
      <c r="AA1216" t="b">
        <v>1</v>
      </c>
      <c r="AB1216" t="b">
        <v>0</v>
      </c>
      <c r="AC1216" t="b">
        <v>0</v>
      </c>
      <c r="AE1216" t="s">
        <v>3268</v>
      </c>
    </row>
    <row r="1217" spans="1:31" x14ac:dyDescent="0.3">
      <c r="A1217">
        <v>-73.972889559600006</v>
      </c>
      <c r="B1217">
        <v>40.769937833230003</v>
      </c>
      <c r="C1217" t="s">
        <v>3269</v>
      </c>
      <c r="D1217" t="s">
        <v>514</v>
      </c>
      <c r="E1217" t="s">
        <v>38</v>
      </c>
      <c r="F1217">
        <v>10062018</v>
      </c>
      <c r="G1217">
        <v>1</v>
      </c>
      <c r="H1217" t="s">
        <v>105</v>
      </c>
      <c r="I1217" t="s">
        <v>53</v>
      </c>
      <c r="J1217" t="s">
        <v>42</v>
      </c>
      <c r="K1217" t="s">
        <v>89</v>
      </c>
      <c r="M1217" t="s">
        <v>65</v>
      </c>
      <c r="N1217" t="b">
        <v>0</v>
      </c>
      <c r="P1217" t="b">
        <v>0</v>
      </c>
      <c r="Q1217" t="b">
        <v>0</v>
      </c>
      <c r="R1217" t="b">
        <v>1</v>
      </c>
      <c r="S1217" t="b">
        <v>1</v>
      </c>
      <c r="T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1</v>
      </c>
      <c r="AB1217" t="b">
        <v>0</v>
      </c>
      <c r="AC1217" t="b">
        <v>0</v>
      </c>
      <c r="AE1217" t="s">
        <v>3270</v>
      </c>
    </row>
    <row r="1218" spans="1:31" x14ac:dyDescent="0.3">
      <c r="A1218">
        <v>-73.970724501359996</v>
      </c>
      <c r="B1218">
        <v>40.778065658830002</v>
      </c>
      <c r="C1218" t="s">
        <v>3271</v>
      </c>
      <c r="D1218" t="s">
        <v>544</v>
      </c>
      <c r="E1218" t="s">
        <v>38</v>
      </c>
      <c r="F1218">
        <v>10072018</v>
      </c>
      <c r="G1218">
        <v>6</v>
      </c>
      <c r="H1218" t="s">
        <v>48</v>
      </c>
      <c r="I1218" t="s">
        <v>42</v>
      </c>
      <c r="J1218" t="s">
        <v>53</v>
      </c>
      <c r="K1218" t="s">
        <v>54</v>
      </c>
      <c r="M1218" t="s">
        <v>65</v>
      </c>
      <c r="N1218" t="b">
        <v>0</v>
      </c>
      <c r="P1218" t="b">
        <v>0</v>
      </c>
      <c r="Q1218" t="b">
        <v>0</v>
      </c>
      <c r="R1218" t="b">
        <v>0</v>
      </c>
      <c r="S1218" t="b">
        <v>1</v>
      </c>
      <c r="T1218" t="b">
        <v>1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1</v>
      </c>
      <c r="AC1218" t="b">
        <v>0</v>
      </c>
      <c r="AE1218" t="s">
        <v>3272</v>
      </c>
    </row>
    <row r="1219" spans="1:31" x14ac:dyDescent="0.3">
      <c r="A1219">
        <v>-73.976485008680001</v>
      </c>
      <c r="B1219">
        <v>40.773734072060002</v>
      </c>
      <c r="C1219" t="s">
        <v>3273</v>
      </c>
      <c r="D1219" t="s">
        <v>235</v>
      </c>
      <c r="E1219" t="s">
        <v>38</v>
      </c>
      <c r="F1219">
        <v>10072018</v>
      </c>
      <c r="G1219">
        <v>7</v>
      </c>
      <c r="H1219" t="s">
        <v>105</v>
      </c>
      <c r="I1219" t="s">
        <v>42</v>
      </c>
      <c r="J1219" t="s">
        <v>176</v>
      </c>
      <c r="K1219" t="s">
        <v>339</v>
      </c>
      <c r="M1219" t="s">
        <v>44</v>
      </c>
      <c r="N1219">
        <v>8</v>
      </c>
      <c r="P1219" t="b">
        <v>0</v>
      </c>
      <c r="Q1219" t="b">
        <v>0</v>
      </c>
      <c r="R1219" t="b">
        <v>0</v>
      </c>
      <c r="S1219" t="b">
        <v>1</v>
      </c>
      <c r="T1219" t="b">
        <v>0</v>
      </c>
      <c r="U1219" t="s">
        <v>3274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1</v>
      </c>
      <c r="AC1219" t="b">
        <v>0</v>
      </c>
      <c r="AE1219" t="s">
        <v>3275</v>
      </c>
    </row>
    <row r="1220" spans="1:31" x14ac:dyDescent="0.3">
      <c r="A1220">
        <v>-73.953375642609998</v>
      </c>
      <c r="B1220">
        <v>40.79471444779</v>
      </c>
      <c r="C1220" t="s">
        <v>3276</v>
      </c>
      <c r="D1220" t="s">
        <v>278</v>
      </c>
      <c r="E1220" t="s">
        <v>33</v>
      </c>
      <c r="F1220">
        <v>10202018</v>
      </c>
      <c r="G1220">
        <v>2</v>
      </c>
      <c r="H1220" t="s">
        <v>48</v>
      </c>
      <c r="I1220" t="s">
        <v>42</v>
      </c>
      <c r="J1220" t="s">
        <v>53</v>
      </c>
      <c r="K1220" t="s">
        <v>54</v>
      </c>
      <c r="M1220" t="s">
        <v>65</v>
      </c>
      <c r="N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1</v>
      </c>
      <c r="V1220" t="b">
        <v>0</v>
      </c>
      <c r="W1220" t="b">
        <v>0</v>
      </c>
      <c r="X1220" t="b">
        <v>0</v>
      </c>
      <c r="Y1220" t="b">
        <v>1</v>
      </c>
      <c r="Z1220" t="b">
        <v>0</v>
      </c>
      <c r="AA1220" t="b">
        <v>0</v>
      </c>
      <c r="AB1220" t="b">
        <v>1</v>
      </c>
      <c r="AC1220" t="b">
        <v>0</v>
      </c>
      <c r="AE1220" t="s">
        <v>3277</v>
      </c>
    </row>
    <row r="1221" spans="1:31" x14ac:dyDescent="0.3">
      <c r="A1221">
        <v>-73.966189220049998</v>
      </c>
      <c r="B1221">
        <v>40.783679807280002</v>
      </c>
      <c r="C1221" t="s">
        <v>3278</v>
      </c>
      <c r="D1221" t="s">
        <v>736</v>
      </c>
      <c r="E1221" t="s">
        <v>33</v>
      </c>
      <c r="F1221">
        <v>10122018</v>
      </c>
      <c r="G1221">
        <v>6</v>
      </c>
      <c r="H1221" t="s">
        <v>48</v>
      </c>
      <c r="I1221" t="s">
        <v>42</v>
      </c>
      <c r="J1221" t="s">
        <v>148</v>
      </c>
      <c r="K1221" t="s">
        <v>149</v>
      </c>
      <c r="M1221" t="s">
        <v>65</v>
      </c>
      <c r="N1221" t="b">
        <v>0</v>
      </c>
      <c r="P1221" t="b">
        <v>1</v>
      </c>
      <c r="Q1221" t="b">
        <v>0</v>
      </c>
      <c r="R1221" t="b">
        <v>0</v>
      </c>
      <c r="S1221" t="b">
        <v>0</v>
      </c>
      <c r="T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1</v>
      </c>
      <c r="AE1221" t="s">
        <v>3279</v>
      </c>
    </row>
    <row r="1222" spans="1:31" x14ac:dyDescent="0.3">
      <c r="A1222">
        <v>-73.977998379479999</v>
      </c>
      <c r="B1222">
        <v>40.767545209920002</v>
      </c>
      <c r="C1222" t="s">
        <v>3280</v>
      </c>
      <c r="D1222" t="s">
        <v>756</v>
      </c>
      <c r="E1222" t="s">
        <v>38</v>
      </c>
      <c r="F1222">
        <v>10072018</v>
      </c>
      <c r="G1222">
        <v>2</v>
      </c>
      <c r="H1222" t="s">
        <v>48</v>
      </c>
      <c r="I1222" t="s">
        <v>42</v>
      </c>
      <c r="J1222" t="s">
        <v>96</v>
      </c>
      <c r="K1222" t="s">
        <v>97</v>
      </c>
      <c r="M1222" t="s">
        <v>44</v>
      </c>
      <c r="N1222">
        <v>6</v>
      </c>
      <c r="O1222" t="s">
        <v>3281</v>
      </c>
      <c r="P1222" t="b">
        <v>0</v>
      </c>
      <c r="Q1222" t="b">
        <v>1</v>
      </c>
      <c r="R1222" t="b">
        <v>1</v>
      </c>
      <c r="S1222" t="b">
        <v>0</v>
      </c>
      <c r="T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E1222" t="s">
        <v>3282</v>
      </c>
    </row>
    <row r="1223" spans="1:31" x14ac:dyDescent="0.3">
      <c r="A1223">
        <v>-73.979640967150004</v>
      </c>
      <c r="B1223">
        <v>40.767904987119998</v>
      </c>
      <c r="C1223" t="s">
        <v>3283</v>
      </c>
      <c r="D1223" t="s">
        <v>1301</v>
      </c>
      <c r="E1223" t="s">
        <v>33</v>
      </c>
      <c r="F1223">
        <v>10132018</v>
      </c>
      <c r="G1223">
        <v>9</v>
      </c>
      <c r="H1223" t="s">
        <v>48</v>
      </c>
      <c r="I1223" t="s">
        <v>53</v>
      </c>
      <c r="J1223" t="s">
        <v>42</v>
      </c>
      <c r="K1223" t="s">
        <v>89</v>
      </c>
      <c r="M1223" t="s">
        <v>65</v>
      </c>
      <c r="N1223" t="b">
        <v>0</v>
      </c>
      <c r="P1223" t="b">
        <v>0</v>
      </c>
      <c r="Q1223" t="b">
        <v>0</v>
      </c>
      <c r="R1223" t="b">
        <v>0</v>
      </c>
      <c r="S1223" t="b">
        <v>1</v>
      </c>
      <c r="T1223" t="b">
        <v>1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E1223" t="s">
        <v>3284</v>
      </c>
    </row>
    <row r="1224" spans="1:31" x14ac:dyDescent="0.3">
      <c r="A1224">
        <v>-73.969142041210006</v>
      </c>
      <c r="B1224">
        <v>40.777349258210002</v>
      </c>
      <c r="C1224" t="s">
        <v>3285</v>
      </c>
      <c r="D1224" t="s">
        <v>130</v>
      </c>
      <c r="E1224" t="s">
        <v>33</v>
      </c>
      <c r="F1224">
        <v>10082018</v>
      </c>
      <c r="G1224">
        <v>3</v>
      </c>
      <c r="H1224" t="s">
        <v>48</v>
      </c>
      <c r="I1224" t="s">
        <v>42</v>
      </c>
      <c r="K1224" t="s">
        <v>43</v>
      </c>
      <c r="M1224" t="s">
        <v>65</v>
      </c>
      <c r="N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1</v>
      </c>
      <c r="U1224" t="s">
        <v>101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1</v>
      </c>
      <c r="AC1224" t="b">
        <v>0</v>
      </c>
      <c r="AE1224" t="s">
        <v>3286</v>
      </c>
    </row>
    <row r="1225" spans="1:31" x14ac:dyDescent="0.3">
      <c r="A1225">
        <v>-73.959129855110007</v>
      </c>
      <c r="B1225">
        <v>40.791961244600003</v>
      </c>
      <c r="C1225" t="s">
        <v>3287</v>
      </c>
      <c r="D1225" t="s">
        <v>1211</v>
      </c>
      <c r="E1225" t="s">
        <v>38</v>
      </c>
      <c r="F1225">
        <v>10142018</v>
      </c>
      <c r="G1225">
        <v>4</v>
      </c>
      <c r="H1225" t="s">
        <v>48</v>
      </c>
      <c r="I1225" t="s">
        <v>176</v>
      </c>
      <c r="J1225" t="s">
        <v>96</v>
      </c>
      <c r="K1225" t="s">
        <v>2942</v>
      </c>
      <c r="M1225" t="s">
        <v>65</v>
      </c>
      <c r="N1225" t="b">
        <v>0</v>
      </c>
      <c r="P1225" t="b">
        <v>1</v>
      </c>
      <c r="Q1225" t="b">
        <v>0</v>
      </c>
      <c r="R1225" t="b">
        <v>0</v>
      </c>
      <c r="S1225" t="b">
        <v>1</v>
      </c>
      <c r="T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1</v>
      </c>
      <c r="AC1225" t="b">
        <v>0</v>
      </c>
      <c r="AE1225" t="s">
        <v>3288</v>
      </c>
    </row>
    <row r="1226" spans="1:31" x14ac:dyDescent="0.3">
      <c r="A1226">
        <v>-73.95725308435</v>
      </c>
      <c r="B1226">
        <v>40.798746043050002</v>
      </c>
      <c r="C1226" t="s">
        <v>3289</v>
      </c>
      <c r="D1226" t="s">
        <v>367</v>
      </c>
      <c r="E1226" t="s">
        <v>38</v>
      </c>
      <c r="F1226">
        <v>10102018</v>
      </c>
      <c r="G1226">
        <v>5</v>
      </c>
      <c r="H1226" t="s">
        <v>48</v>
      </c>
      <c r="I1226" t="s">
        <v>42</v>
      </c>
      <c r="J1226" t="s">
        <v>59</v>
      </c>
      <c r="K1226" t="s">
        <v>79</v>
      </c>
      <c r="M1226" t="s">
        <v>65</v>
      </c>
      <c r="N1226" t="b">
        <v>0</v>
      </c>
      <c r="P1226" t="b">
        <v>0</v>
      </c>
      <c r="Q1226" t="b">
        <v>1</v>
      </c>
      <c r="R1226" t="b">
        <v>0</v>
      </c>
      <c r="S1226" t="b">
        <v>0</v>
      </c>
      <c r="T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E1226" t="s">
        <v>3290</v>
      </c>
    </row>
    <row r="1227" spans="1:31" x14ac:dyDescent="0.3">
      <c r="A1227">
        <v>-73.958480351389994</v>
      </c>
      <c r="B1227">
        <v>40.793380207730003</v>
      </c>
      <c r="C1227" t="s">
        <v>3291</v>
      </c>
      <c r="D1227" t="s">
        <v>505</v>
      </c>
      <c r="E1227" t="s">
        <v>33</v>
      </c>
      <c r="F1227">
        <v>10132018</v>
      </c>
      <c r="G1227">
        <v>1</v>
      </c>
      <c r="H1227" t="s">
        <v>48</v>
      </c>
      <c r="I1227" t="s">
        <v>42</v>
      </c>
      <c r="J1227" t="s">
        <v>59</v>
      </c>
      <c r="K1227" t="s">
        <v>79</v>
      </c>
      <c r="M1227" t="s">
        <v>44</v>
      </c>
      <c r="N1227">
        <v>12</v>
      </c>
      <c r="P1227" t="b">
        <v>0</v>
      </c>
      <c r="Q1227" t="b">
        <v>0</v>
      </c>
      <c r="R1227" t="b">
        <v>1</v>
      </c>
      <c r="S1227" t="b">
        <v>0</v>
      </c>
      <c r="T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1</v>
      </c>
      <c r="AC1227" t="b">
        <v>0</v>
      </c>
      <c r="AE1227" t="s">
        <v>3292</v>
      </c>
    </row>
    <row r="1228" spans="1:31" x14ac:dyDescent="0.3">
      <c r="A1228">
        <v>-73.976845097169999</v>
      </c>
      <c r="B1228">
        <v>40.770943037510001</v>
      </c>
      <c r="C1228" t="s">
        <v>3293</v>
      </c>
      <c r="D1228" t="s">
        <v>88</v>
      </c>
      <c r="E1228" t="s">
        <v>33</v>
      </c>
      <c r="F1228">
        <v>10102018</v>
      </c>
      <c r="G1228">
        <v>7</v>
      </c>
      <c r="H1228" t="s">
        <v>48</v>
      </c>
      <c r="I1228" t="s">
        <v>53</v>
      </c>
      <c r="J1228" t="s">
        <v>42</v>
      </c>
      <c r="K1228" t="s">
        <v>89</v>
      </c>
      <c r="M1228" t="s">
        <v>44</v>
      </c>
      <c r="N1228">
        <v>13</v>
      </c>
      <c r="P1228" t="b">
        <v>0</v>
      </c>
      <c r="Q1228" t="b">
        <v>1</v>
      </c>
      <c r="R1228" t="b">
        <v>0</v>
      </c>
      <c r="S1228" t="b">
        <v>0</v>
      </c>
      <c r="T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E1228" t="s">
        <v>3294</v>
      </c>
    </row>
    <row r="1229" spans="1:31" x14ac:dyDescent="0.3">
      <c r="A1229">
        <v>-73.952792475539994</v>
      </c>
      <c r="B1229">
        <v>40.793436626050003</v>
      </c>
      <c r="C1229" t="s">
        <v>3295</v>
      </c>
      <c r="D1229" t="s">
        <v>933</v>
      </c>
      <c r="E1229" t="s">
        <v>38</v>
      </c>
      <c r="F1229">
        <v>10102018</v>
      </c>
      <c r="G1229">
        <v>4</v>
      </c>
      <c r="H1229" t="s">
        <v>48</v>
      </c>
      <c r="I1229" t="s">
        <v>42</v>
      </c>
      <c r="K1229" t="s">
        <v>43</v>
      </c>
      <c r="M1229" t="s">
        <v>44</v>
      </c>
      <c r="N1229">
        <v>50</v>
      </c>
      <c r="O1229" t="s">
        <v>456</v>
      </c>
      <c r="P1229" t="b">
        <v>0</v>
      </c>
      <c r="Q1229" t="b">
        <v>0</v>
      </c>
      <c r="R1229" t="b">
        <v>1</v>
      </c>
      <c r="S1229" t="b">
        <v>0</v>
      </c>
      <c r="T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1</v>
      </c>
      <c r="AC1229" t="b">
        <v>0</v>
      </c>
      <c r="AE1229" t="s">
        <v>3296</v>
      </c>
    </row>
    <row r="1230" spans="1:31" x14ac:dyDescent="0.3">
      <c r="A1230">
        <v>-73.972909033660002</v>
      </c>
      <c r="B1230">
        <v>40.779434005250003</v>
      </c>
      <c r="C1230" t="s">
        <v>3297</v>
      </c>
      <c r="D1230" t="s">
        <v>946</v>
      </c>
      <c r="E1230" t="s">
        <v>38</v>
      </c>
      <c r="F1230">
        <v>10072018</v>
      </c>
      <c r="G1230">
        <v>2</v>
      </c>
      <c r="H1230" t="s">
        <v>48</v>
      </c>
      <c r="I1230" t="s">
        <v>42</v>
      </c>
      <c r="K1230" t="s">
        <v>43</v>
      </c>
      <c r="M1230" t="s">
        <v>65</v>
      </c>
      <c r="N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1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1</v>
      </c>
      <c r="AC1230" t="b">
        <v>0</v>
      </c>
      <c r="AD1230" t="s">
        <v>3209</v>
      </c>
      <c r="AE1230" t="s">
        <v>3298</v>
      </c>
    </row>
    <row r="1231" spans="1:31" x14ac:dyDescent="0.3">
      <c r="A1231">
        <v>-73.967775150739996</v>
      </c>
      <c r="B1231">
        <v>40.779099006670002</v>
      </c>
      <c r="C1231" t="s">
        <v>3299</v>
      </c>
      <c r="D1231" t="s">
        <v>200</v>
      </c>
      <c r="E1231" t="s">
        <v>38</v>
      </c>
      <c r="F1231">
        <v>10172018</v>
      </c>
      <c r="G1231">
        <v>11</v>
      </c>
      <c r="H1231" t="s">
        <v>48</v>
      </c>
      <c r="I1231" t="s">
        <v>42</v>
      </c>
      <c r="K1231" t="s">
        <v>43</v>
      </c>
      <c r="M1231" t="s">
        <v>65</v>
      </c>
      <c r="N1231" t="b">
        <v>0</v>
      </c>
      <c r="O1231" t="s">
        <v>3013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1</v>
      </c>
      <c r="AC1231" t="b">
        <v>0</v>
      </c>
      <c r="AE1231" t="s">
        <v>3300</v>
      </c>
    </row>
    <row r="1232" spans="1:31" x14ac:dyDescent="0.3">
      <c r="A1232">
        <v>-73.979082260650003</v>
      </c>
      <c r="B1232">
        <v>40.771446663340001</v>
      </c>
      <c r="C1232" t="s">
        <v>3301</v>
      </c>
      <c r="D1232" t="s">
        <v>327</v>
      </c>
      <c r="E1232" t="s">
        <v>38</v>
      </c>
      <c r="F1232">
        <v>10062018</v>
      </c>
      <c r="G1232">
        <v>3</v>
      </c>
      <c r="H1232" t="s">
        <v>105</v>
      </c>
      <c r="I1232" t="s">
        <v>53</v>
      </c>
      <c r="K1232" t="s">
        <v>155</v>
      </c>
      <c r="M1232" t="s">
        <v>44</v>
      </c>
      <c r="N1232">
        <v>8</v>
      </c>
      <c r="P1232" t="b">
        <v>0</v>
      </c>
      <c r="Q1232" t="b">
        <v>0</v>
      </c>
      <c r="R1232" t="b">
        <v>1</v>
      </c>
      <c r="S1232" t="b">
        <v>1</v>
      </c>
      <c r="T1232" t="b">
        <v>0</v>
      </c>
      <c r="V1232" t="b">
        <v>0</v>
      </c>
      <c r="W1232" t="b">
        <v>0</v>
      </c>
      <c r="X1232" t="b">
        <v>0</v>
      </c>
      <c r="Y1232" t="b">
        <v>1</v>
      </c>
      <c r="Z1232" t="b">
        <v>0</v>
      </c>
      <c r="AA1232" t="b">
        <v>0</v>
      </c>
      <c r="AB1232" t="b">
        <v>0</v>
      </c>
      <c r="AC1232" t="b">
        <v>1</v>
      </c>
      <c r="AE1232" t="s">
        <v>3302</v>
      </c>
    </row>
    <row r="1233" spans="1:31" x14ac:dyDescent="0.3">
      <c r="A1233">
        <v>-73.955558372499993</v>
      </c>
      <c r="B1233">
        <v>40.793287974569999</v>
      </c>
      <c r="C1233" t="s">
        <v>3303</v>
      </c>
      <c r="D1233" t="s">
        <v>693</v>
      </c>
      <c r="E1233" t="s">
        <v>33</v>
      </c>
      <c r="F1233">
        <v>10122018</v>
      </c>
      <c r="G1233">
        <v>7</v>
      </c>
      <c r="H1233" t="s">
        <v>48</v>
      </c>
      <c r="I1233" t="s">
        <v>42</v>
      </c>
      <c r="J1233" t="s">
        <v>59</v>
      </c>
      <c r="K1233" t="s">
        <v>79</v>
      </c>
      <c r="M1233" t="s">
        <v>65</v>
      </c>
      <c r="N1233" t="b">
        <v>0</v>
      </c>
      <c r="P1233" t="b">
        <v>0</v>
      </c>
      <c r="Q1233" t="b">
        <v>0</v>
      </c>
      <c r="R1233" t="b">
        <v>0</v>
      </c>
      <c r="S1233" t="b">
        <v>1</v>
      </c>
      <c r="T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1</v>
      </c>
      <c r="AE1233" t="s">
        <v>3304</v>
      </c>
    </row>
    <row r="1234" spans="1:31" x14ac:dyDescent="0.3">
      <c r="A1234">
        <v>-73.958925487830001</v>
      </c>
      <c r="B1234">
        <v>40.791446765069999</v>
      </c>
      <c r="C1234" t="s">
        <v>3305</v>
      </c>
      <c r="D1234" t="s">
        <v>1211</v>
      </c>
      <c r="E1234" t="s">
        <v>33</v>
      </c>
      <c r="F1234">
        <v>10122018</v>
      </c>
      <c r="G1234">
        <v>9</v>
      </c>
      <c r="H1234" t="s">
        <v>48</v>
      </c>
      <c r="I1234" t="s">
        <v>176</v>
      </c>
      <c r="K1234" t="s">
        <v>177</v>
      </c>
      <c r="M1234" t="s">
        <v>65</v>
      </c>
      <c r="N1234" t="b">
        <v>0</v>
      </c>
      <c r="P1234" t="b">
        <v>0</v>
      </c>
      <c r="Q1234" t="b">
        <v>0</v>
      </c>
      <c r="R1234" t="b">
        <v>0</v>
      </c>
      <c r="S1234" t="b">
        <v>1</v>
      </c>
      <c r="T1234" t="b">
        <v>1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1</v>
      </c>
      <c r="AE1234" t="s">
        <v>3306</v>
      </c>
    </row>
    <row r="1235" spans="1:31" x14ac:dyDescent="0.3">
      <c r="A1235">
        <v>-73.972228126359994</v>
      </c>
      <c r="B1235">
        <v>40.770408328800002</v>
      </c>
      <c r="C1235" t="s">
        <v>3307</v>
      </c>
      <c r="D1235" t="s">
        <v>402</v>
      </c>
      <c r="E1235" t="s">
        <v>38</v>
      </c>
      <c r="F1235">
        <v>10102018</v>
      </c>
      <c r="G1235">
        <v>6</v>
      </c>
      <c r="H1235" t="s">
        <v>48</v>
      </c>
      <c r="I1235" t="s">
        <v>53</v>
      </c>
      <c r="J1235" t="s">
        <v>59</v>
      </c>
      <c r="K1235" t="s">
        <v>60</v>
      </c>
      <c r="M1235" t="s">
        <v>65</v>
      </c>
      <c r="N1235" t="b">
        <v>0</v>
      </c>
      <c r="P1235" t="b">
        <v>0</v>
      </c>
      <c r="Q1235" t="b">
        <v>0</v>
      </c>
      <c r="R1235" t="b">
        <v>0</v>
      </c>
      <c r="S1235" t="b">
        <v>1</v>
      </c>
      <c r="T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1</v>
      </c>
      <c r="AC1235" t="b">
        <v>0</v>
      </c>
      <c r="AE1235" t="s">
        <v>3308</v>
      </c>
    </row>
    <row r="1236" spans="1:31" x14ac:dyDescent="0.3">
      <c r="A1236">
        <v>-73.970141223110005</v>
      </c>
      <c r="B1236">
        <v>40.771453408889997</v>
      </c>
      <c r="C1236" t="s">
        <v>3309</v>
      </c>
      <c r="D1236" t="s">
        <v>2056</v>
      </c>
      <c r="E1236" t="s">
        <v>33</v>
      </c>
      <c r="F1236">
        <v>10182018</v>
      </c>
      <c r="G1236">
        <v>8</v>
      </c>
      <c r="H1236" t="s">
        <v>48</v>
      </c>
      <c r="I1236" t="s">
        <v>42</v>
      </c>
      <c r="K1236" t="s">
        <v>43</v>
      </c>
      <c r="M1236" t="s">
        <v>65</v>
      </c>
      <c r="N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1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E1236" t="s">
        <v>3310</v>
      </c>
    </row>
    <row r="1237" spans="1:31" x14ac:dyDescent="0.3">
      <c r="A1237">
        <v>-73.967968679389998</v>
      </c>
      <c r="B1237">
        <v>40.782599386789997</v>
      </c>
      <c r="C1237" t="s">
        <v>3311</v>
      </c>
      <c r="D1237" t="s">
        <v>71</v>
      </c>
      <c r="E1237" t="s">
        <v>38</v>
      </c>
      <c r="F1237">
        <v>10142018</v>
      </c>
      <c r="G1237">
        <v>1</v>
      </c>
      <c r="H1237" t="s">
        <v>48</v>
      </c>
      <c r="I1237" t="s">
        <v>42</v>
      </c>
      <c r="J1237" t="s">
        <v>53</v>
      </c>
      <c r="K1237" t="s">
        <v>54</v>
      </c>
      <c r="M1237" t="s">
        <v>44</v>
      </c>
      <c r="N1237">
        <v>3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s">
        <v>3312</v>
      </c>
      <c r="V1237" t="b">
        <v>0</v>
      </c>
      <c r="W1237" t="b">
        <v>0</v>
      </c>
      <c r="X1237" t="b">
        <v>0</v>
      </c>
      <c r="Y1237" t="b">
        <v>1</v>
      </c>
      <c r="Z1237" t="b">
        <v>1</v>
      </c>
      <c r="AA1237" t="b">
        <v>0</v>
      </c>
      <c r="AB1237" t="b">
        <v>1</v>
      </c>
      <c r="AC1237" t="b">
        <v>0</v>
      </c>
      <c r="AE1237" t="s">
        <v>3313</v>
      </c>
    </row>
    <row r="1238" spans="1:31" x14ac:dyDescent="0.3">
      <c r="A1238">
        <v>-73.979203907110005</v>
      </c>
      <c r="B1238">
        <v>40.767874947129997</v>
      </c>
      <c r="C1238" t="s">
        <v>3314</v>
      </c>
      <c r="D1238" t="s">
        <v>1232</v>
      </c>
      <c r="E1238" t="s">
        <v>38</v>
      </c>
      <c r="F1238">
        <v>10102018</v>
      </c>
      <c r="G1238">
        <v>7</v>
      </c>
      <c r="H1238" t="s">
        <v>48</v>
      </c>
      <c r="I1238" t="s">
        <v>42</v>
      </c>
      <c r="J1238" t="s">
        <v>96</v>
      </c>
      <c r="K1238" t="s">
        <v>97</v>
      </c>
      <c r="M1238" t="s">
        <v>65</v>
      </c>
      <c r="N1238" t="b">
        <v>0</v>
      </c>
      <c r="P1238" t="b">
        <v>1</v>
      </c>
      <c r="Q1238" t="b">
        <v>1</v>
      </c>
      <c r="R1238" t="b">
        <v>0</v>
      </c>
      <c r="S1238" t="b">
        <v>0</v>
      </c>
      <c r="T1238" t="b">
        <v>0</v>
      </c>
      <c r="U1238" t="s">
        <v>3315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1</v>
      </c>
      <c r="AE1238" t="s">
        <v>3316</v>
      </c>
    </row>
    <row r="1239" spans="1:31" x14ac:dyDescent="0.3">
      <c r="A1239">
        <v>-73.970537079549999</v>
      </c>
      <c r="B1239">
        <v>40.776172543489999</v>
      </c>
      <c r="C1239" t="s">
        <v>3317</v>
      </c>
      <c r="D1239" t="s">
        <v>52</v>
      </c>
      <c r="E1239" t="s">
        <v>33</v>
      </c>
      <c r="F1239">
        <v>10082018</v>
      </c>
      <c r="G1239">
        <v>4</v>
      </c>
      <c r="H1239" t="s">
        <v>48</v>
      </c>
      <c r="I1239" t="s">
        <v>42</v>
      </c>
      <c r="J1239" t="s">
        <v>53</v>
      </c>
      <c r="K1239" t="s">
        <v>54</v>
      </c>
      <c r="L1239" t="s">
        <v>3318</v>
      </c>
      <c r="M1239" t="s">
        <v>65</v>
      </c>
      <c r="N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1</v>
      </c>
      <c r="V1239" t="b">
        <v>0</v>
      </c>
      <c r="W1239" t="b">
        <v>0</v>
      </c>
      <c r="X1239" t="b">
        <v>0</v>
      </c>
      <c r="Y1239" t="b">
        <v>0</v>
      </c>
      <c r="Z1239" t="b">
        <v>1</v>
      </c>
      <c r="AA1239" t="b">
        <v>0</v>
      </c>
      <c r="AB1239" t="b">
        <v>0</v>
      </c>
      <c r="AC1239" t="b">
        <v>0</v>
      </c>
      <c r="AD1239" t="s">
        <v>3319</v>
      </c>
      <c r="AE1239" t="s">
        <v>3320</v>
      </c>
    </row>
    <row r="1240" spans="1:31" x14ac:dyDescent="0.3">
      <c r="A1240">
        <v>-73.977369213139994</v>
      </c>
      <c r="B1240">
        <v>40.767977115009998</v>
      </c>
      <c r="C1240" t="s">
        <v>3321</v>
      </c>
      <c r="D1240" t="s">
        <v>502</v>
      </c>
      <c r="E1240" t="s">
        <v>33</v>
      </c>
      <c r="F1240">
        <v>10102018</v>
      </c>
      <c r="G1240">
        <v>2</v>
      </c>
      <c r="H1240" t="s">
        <v>48</v>
      </c>
      <c r="I1240" t="s">
        <v>42</v>
      </c>
      <c r="K1240" t="s">
        <v>43</v>
      </c>
      <c r="M1240" t="s">
        <v>44</v>
      </c>
      <c r="N1240">
        <v>8</v>
      </c>
      <c r="P1240" t="b">
        <v>0</v>
      </c>
      <c r="Q1240" t="b">
        <v>0</v>
      </c>
      <c r="R1240" t="b">
        <v>1</v>
      </c>
      <c r="S1240" t="b">
        <v>0</v>
      </c>
      <c r="T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E1240" t="s">
        <v>3322</v>
      </c>
    </row>
    <row r="1241" spans="1:31" x14ac:dyDescent="0.3">
      <c r="A1241">
        <v>-73.972589724030001</v>
      </c>
      <c r="B1241">
        <v>40.769134207930001</v>
      </c>
      <c r="C1241" t="s">
        <v>3323</v>
      </c>
      <c r="D1241" t="s">
        <v>221</v>
      </c>
      <c r="E1241" t="s">
        <v>38</v>
      </c>
      <c r="F1241">
        <v>10082018</v>
      </c>
      <c r="G1241">
        <v>1</v>
      </c>
      <c r="H1241" t="s">
        <v>48</v>
      </c>
      <c r="I1241" t="s">
        <v>42</v>
      </c>
      <c r="J1241" t="s">
        <v>53</v>
      </c>
      <c r="K1241" t="s">
        <v>54</v>
      </c>
      <c r="M1241" t="s">
        <v>44</v>
      </c>
      <c r="N1241">
        <v>20</v>
      </c>
      <c r="O1241" t="s">
        <v>456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s">
        <v>121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1</v>
      </c>
      <c r="AC1241" t="b">
        <v>0</v>
      </c>
      <c r="AE1241" t="s">
        <v>3324</v>
      </c>
    </row>
    <row r="1242" spans="1:31" x14ac:dyDescent="0.3">
      <c r="A1242">
        <v>-73.969611917980004</v>
      </c>
      <c r="B1242">
        <v>40.780292611189999</v>
      </c>
      <c r="C1242" t="s">
        <v>3325</v>
      </c>
      <c r="D1242" t="s">
        <v>622</v>
      </c>
      <c r="E1242" t="s">
        <v>33</v>
      </c>
      <c r="F1242">
        <v>10182018</v>
      </c>
      <c r="G1242">
        <v>9</v>
      </c>
      <c r="H1242" t="s">
        <v>105</v>
      </c>
      <c r="I1242" t="s">
        <v>42</v>
      </c>
      <c r="K1242" t="s">
        <v>43</v>
      </c>
      <c r="M1242" t="s">
        <v>44</v>
      </c>
      <c r="N1242">
        <v>5</v>
      </c>
      <c r="P1242" t="b">
        <v>0</v>
      </c>
      <c r="Q1242" t="b">
        <v>0</v>
      </c>
      <c r="R1242" t="b">
        <v>1</v>
      </c>
      <c r="S1242" t="b">
        <v>1</v>
      </c>
      <c r="T1242" t="b">
        <v>1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E1242" t="s">
        <v>3326</v>
      </c>
    </row>
    <row r="1243" spans="1:31" x14ac:dyDescent="0.3">
      <c r="A1243">
        <v>-73.965181798700002</v>
      </c>
      <c r="B1243">
        <v>40.781908283829999</v>
      </c>
      <c r="C1243" t="s">
        <v>3327</v>
      </c>
      <c r="D1243" t="s">
        <v>1056</v>
      </c>
      <c r="E1243" t="s">
        <v>38</v>
      </c>
      <c r="F1243">
        <v>10172018</v>
      </c>
      <c r="G1243">
        <v>1</v>
      </c>
      <c r="H1243" t="s">
        <v>48</v>
      </c>
      <c r="I1243" t="s">
        <v>42</v>
      </c>
      <c r="J1243" t="s">
        <v>59</v>
      </c>
      <c r="K1243" t="s">
        <v>79</v>
      </c>
      <c r="M1243" t="s">
        <v>44</v>
      </c>
      <c r="N1243">
        <v>3</v>
      </c>
      <c r="O1243" t="s">
        <v>3328</v>
      </c>
      <c r="P1243" t="b">
        <v>0</v>
      </c>
      <c r="Q1243" t="b">
        <v>0</v>
      </c>
      <c r="R1243" t="b">
        <v>0</v>
      </c>
      <c r="S1243" t="b">
        <v>1</v>
      </c>
      <c r="T1243" t="b">
        <v>1</v>
      </c>
      <c r="V1243" t="b">
        <v>0</v>
      </c>
      <c r="W1243" t="b">
        <v>0</v>
      </c>
      <c r="X1243" t="b">
        <v>0</v>
      </c>
      <c r="Y1243" t="b">
        <v>0</v>
      </c>
      <c r="Z1243" t="b">
        <v>1</v>
      </c>
      <c r="AA1243" t="b">
        <v>0</v>
      </c>
      <c r="AB1243" t="b">
        <v>0</v>
      </c>
      <c r="AC1243" t="b">
        <v>0</v>
      </c>
      <c r="AD1243" t="s">
        <v>3329</v>
      </c>
      <c r="AE1243" t="s">
        <v>3330</v>
      </c>
    </row>
    <row r="1244" spans="1:31" x14ac:dyDescent="0.3">
      <c r="A1244">
        <v>-73.971451212519995</v>
      </c>
      <c r="B1244">
        <v>40.776027525010001</v>
      </c>
      <c r="C1244" t="s">
        <v>3331</v>
      </c>
      <c r="D1244" t="s">
        <v>415</v>
      </c>
      <c r="E1244" t="s">
        <v>33</v>
      </c>
      <c r="F1244">
        <v>10182018</v>
      </c>
      <c r="G1244">
        <v>3</v>
      </c>
      <c r="H1244" t="s">
        <v>48</v>
      </c>
      <c r="I1244" t="s">
        <v>42</v>
      </c>
      <c r="J1244" t="s">
        <v>96</v>
      </c>
      <c r="K1244" t="s">
        <v>97</v>
      </c>
      <c r="L1244" t="s">
        <v>1381</v>
      </c>
      <c r="M1244" t="s">
        <v>65</v>
      </c>
      <c r="N1244" t="b">
        <v>0</v>
      </c>
      <c r="P1244" t="b">
        <v>1</v>
      </c>
      <c r="Q1244" t="b">
        <v>0</v>
      </c>
      <c r="R1244" t="b">
        <v>0</v>
      </c>
      <c r="S1244" t="b">
        <v>1</v>
      </c>
      <c r="T1244" t="b">
        <v>1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1</v>
      </c>
      <c r="AC1244" t="b">
        <v>0</v>
      </c>
      <c r="AE1244" t="s">
        <v>3332</v>
      </c>
    </row>
    <row r="1245" spans="1:31" x14ac:dyDescent="0.3">
      <c r="A1245">
        <v>-73.974555622989996</v>
      </c>
      <c r="B1245">
        <v>40.767292104100001</v>
      </c>
      <c r="C1245" t="s">
        <v>3333</v>
      </c>
      <c r="D1245" t="s">
        <v>1701</v>
      </c>
      <c r="E1245" t="s">
        <v>38</v>
      </c>
      <c r="F1245">
        <v>10062018</v>
      </c>
      <c r="G1245">
        <v>7</v>
      </c>
      <c r="H1245" t="s">
        <v>105</v>
      </c>
      <c r="I1245" t="s">
        <v>42</v>
      </c>
      <c r="J1245" t="s">
        <v>96</v>
      </c>
      <c r="K1245" t="s">
        <v>97</v>
      </c>
      <c r="M1245" t="s">
        <v>65</v>
      </c>
      <c r="N1245" t="b">
        <v>0</v>
      </c>
      <c r="O1245" t="s">
        <v>3334</v>
      </c>
      <c r="P1245" t="b">
        <v>0</v>
      </c>
      <c r="Q1245" t="b">
        <v>0</v>
      </c>
      <c r="R1245" t="b">
        <v>0</v>
      </c>
      <c r="S1245" t="b">
        <v>0</v>
      </c>
      <c r="T1245" t="b">
        <v>1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1</v>
      </c>
      <c r="AC1245" t="b">
        <v>0</v>
      </c>
      <c r="AE1245" t="s">
        <v>3335</v>
      </c>
    </row>
    <row r="1246" spans="1:31" x14ac:dyDescent="0.3">
      <c r="A1246">
        <v>-73.956526088979999</v>
      </c>
      <c r="B1246">
        <v>40.799180792430001</v>
      </c>
      <c r="C1246" t="s">
        <v>3336</v>
      </c>
      <c r="D1246" t="s">
        <v>335</v>
      </c>
      <c r="E1246" t="s">
        <v>38</v>
      </c>
      <c r="F1246">
        <v>10072018</v>
      </c>
      <c r="G1246">
        <v>3</v>
      </c>
      <c r="K1246" t="s">
        <v>34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V1246" t="b">
        <v>0</v>
      </c>
      <c r="W1246" t="b">
        <v>1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E1246" t="s">
        <v>3337</v>
      </c>
    </row>
    <row r="1247" spans="1:31" x14ac:dyDescent="0.3">
      <c r="A1247">
        <v>-73.973932639379996</v>
      </c>
      <c r="B1247">
        <v>40.777910537049998</v>
      </c>
      <c r="C1247" t="s">
        <v>3338</v>
      </c>
      <c r="D1247" t="s">
        <v>785</v>
      </c>
      <c r="E1247" t="s">
        <v>33</v>
      </c>
      <c r="F1247">
        <v>10142018</v>
      </c>
      <c r="G1247">
        <v>7</v>
      </c>
      <c r="H1247" t="s">
        <v>48</v>
      </c>
      <c r="I1247" t="s">
        <v>42</v>
      </c>
      <c r="J1247" t="s">
        <v>96</v>
      </c>
      <c r="K1247" t="s">
        <v>97</v>
      </c>
      <c r="M1247" t="s">
        <v>65</v>
      </c>
      <c r="N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1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1</v>
      </c>
      <c r="AC1247" t="b">
        <v>0</v>
      </c>
      <c r="AE1247" t="s">
        <v>3339</v>
      </c>
    </row>
    <row r="1248" spans="1:31" x14ac:dyDescent="0.3">
      <c r="A1248">
        <v>-73.954304438540007</v>
      </c>
      <c r="B1248">
        <v>40.798449857130002</v>
      </c>
      <c r="C1248" t="s">
        <v>3340</v>
      </c>
      <c r="D1248" t="s">
        <v>1515</v>
      </c>
      <c r="E1248" t="s">
        <v>38</v>
      </c>
      <c r="F1248">
        <v>10072018</v>
      </c>
      <c r="G1248">
        <v>4</v>
      </c>
      <c r="H1248" t="s">
        <v>48</v>
      </c>
      <c r="I1248" t="s">
        <v>53</v>
      </c>
      <c r="J1248" t="s">
        <v>59</v>
      </c>
      <c r="K1248" t="s">
        <v>60</v>
      </c>
      <c r="L1248" t="s">
        <v>3341</v>
      </c>
      <c r="M1248" t="s">
        <v>65</v>
      </c>
      <c r="N1248" t="b">
        <v>0</v>
      </c>
      <c r="O1248" t="s">
        <v>3342</v>
      </c>
      <c r="P1248" t="b">
        <v>0</v>
      </c>
      <c r="Q1248" t="b">
        <v>0</v>
      </c>
      <c r="R1248" t="b">
        <v>0</v>
      </c>
      <c r="S1248" t="b">
        <v>0</v>
      </c>
      <c r="T1248" t="b">
        <v>1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1</v>
      </c>
      <c r="AC1248" t="b">
        <v>0</v>
      </c>
      <c r="AE1248" t="s">
        <v>3343</v>
      </c>
    </row>
    <row r="1249" spans="1:31" x14ac:dyDescent="0.3">
      <c r="A1249">
        <v>-73.967090486990003</v>
      </c>
      <c r="B1249">
        <v>40.783209165800002</v>
      </c>
      <c r="C1249" t="s">
        <v>3344</v>
      </c>
      <c r="D1249" t="s">
        <v>459</v>
      </c>
      <c r="E1249" t="s">
        <v>33</v>
      </c>
      <c r="F1249">
        <v>10082018</v>
      </c>
      <c r="G1249">
        <v>6</v>
      </c>
      <c r="H1249" t="s">
        <v>48</v>
      </c>
      <c r="I1249" t="s">
        <v>42</v>
      </c>
      <c r="J1249" t="s">
        <v>96</v>
      </c>
      <c r="K1249" t="s">
        <v>97</v>
      </c>
      <c r="M1249" t="s">
        <v>65</v>
      </c>
      <c r="N1249" t="b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1</v>
      </c>
      <c r="AE1249" t="s">
        <v>3345</v>
      </c>
    </row>
    <row r="1250" spans="1:31" x14ac:dyDescent="0.3">
      <c r="A1250">
        <v>-73.971972932390003</v>
      </c>
      <c r="B1250">
        <v>40.766831839449999</v>
      </c>
      <c r="C1250" t="s">
        <v>3346</v>
      </c>
      <c r="D1250" t="s">
        <v>1240</v>
      </c>
      <c r="E1250" t="s">
        <v>38</v>
      </c>
      <c r="F1250">
        <v>10062018</v>
      </c>
      <c r="G1250">
        <v>3</v>
      </c>
      <c r="H1250" t="s">
        <v>48</v>
      </c>
      <c r="K1250" t="s">
        <v>34</v>
      </c>
      <c r="L1250" t="s">
        <v>3347</v>
      </c>
      <c r="M1250" t="s">
        <v>44</v>
      </c>
      <c r="N1250">
        <v>28</v>
      </c>
      <c r="O1250" t="s">
        <v>2865</v>
      </c>
      <c r="P1250" t="b">
        <v>0</v>
      </c>
      <c r="Q1250" t="b">
        <v>0</v>
      </c>
      <c r="R1250" t="b">
        <v>1</v>
      </c>
      <c r="S1250" t="b">
        <v>0</v>
      </c>
      <c r="T1250" t="b">
        <v>0</v>
      </c>
      <c r="U1250" t="s">
        <v>3348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E1250" t="s">
        <v>3349</v>
      </c>
    </row>
    <row r="1251" spans="1:31" x14ac:dyDescent="0.3">
      <c r="A1251">
        <v>-73.959013270590006</v>
      </c>
      <c r="B1251">
        <v>40.79522482798</v>
      </c>
      <c r="C1251" t="s">
        <v>3350</v>
      </c>
      <c r="D1251" t="s">
        <v>925</v>
      </c>
      <c r="E1251" t="s">
        <v>38</v>
      </c>
      <c r="F1251">
        <v>10122018</v>
      </c>
      <c r="G1251">
        <v>3</v>
      </c>
      <c r="H1251" t="s">
        <v>48</v>
      </c>
      <c r="I1251" t="s">
        <v>42</v>
      </c>
      <c r="J1251" t="s">
        <v>53</v>
      </c>
      <c r="K1251" t="s">
        <v>54</v>
      </c>
      <c r="L1251" t="s">
        <v>3351</v>
      </c>
      <c r="M1251" t="s">
        <v>65</v>
      </c>
      <c r="N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1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1</v>
      </c>
      <c r="AC1251" t="b">
        <v>0</v>
      </c>
      <c r="AE1251" t="s">
        <v>3352</v>
      </c>
    </row>
    <row r="1252" spans="1:31" x14ac:dyDescent="0.3">
      <c r="A1252">
        <v>-73.958513334030002</v>
      </c>
      <c r="B1252">
        <v>40.796372167949997</v>
      </c>
      <c r="C1252" t="s">
        <v>3353</v>
      </c>
      <c r="D1252" t="s">
        <v>175</v>
      </c>
      <c r="E1252" t="s">
        <v>33</v>
      </c>
      <c r="F1252">
        <v>10142018</v>
      </c>
      <c r="G1252">
        <v>3</v>
      </c>
      <c r="H1252" t="s">
        <v>48</v>
      </c>
      <c r="I1252" t="s">
        <v>42</v>
      </c>
      <c r="J1252" t="s">
        <v>53</v>
      </c>
      <c r="K1252" t="s">
        <v>54</v>
      </c>
      <c r="M1252" t="s">
        <v>65</v>
      </c>
      <c r="N1252" t="b">
        <v>0</v>
      </c>
      <c r="P1252" t="b">
        <v>0</v>
      </c>
      <c r="Q1252" t="b">
        <v>0</v>
      </c>
      <c r="R1252" t="b">
        <v>0</v>
      </c>
      <c r="S1252" t="b">
        <v>1</v>
      </c>
      <c r="T1252" t="b">
        <v>1</v>
      </c>
      <c r="V1252" t="b">
        <v>1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1</v>
      </c>
      <c r="AE1252" t="s">
        <v>3354</v>
      </c>
    </row>
    <row r="1253" spans="1:31" x14ac:dyDescent="0.3">
      <c r="A1253">
        <v>-73.974824767780007</v>
      </c>
      <c r="B1253">
        <v>40.766789386779998</v>
      </c>
      <c r="C1253" t="s">
        <v>3355</v>
      </c>
      <c r="D1253" t="s">
        <v>2889</v>
      </c>
      <c r="E1253" t="s">
        <v>38</v>
      </c>
      <c r="F1253">
        <v>10102018</v>
      </c>
      <c r="G1253">
        <v>1</v>
      </c>
      <c r="H1253" t="s">
        <v>48</v>
      </c>
      <c r="I1253" t="s">
        <v>42</v>
      </c>
      <c r="K1253" t="s">
        <v>43</v>
      </c>
      <c r="M1253" t="s">
        <v>65</v>
      </c>
      <c r="N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1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1</v>
      </c>
      <c r="AC1253" t="b">
        <v>0</v>
      </c>
      <c r="AE1253" t="s">
        <v>3356</v>
      </c>
    </row>
    <row r="1254" spans="1:31" x14ac:dyDescent="0.3">
      <c r="A1254">
        <v>-73.977799893240004</v>
      </c>
      <c r="B1254">
        <v>40.770981586529999</v>
      </c>
      <c r="C1254" t="s">
        <v>3357</v>
      </c>
      <c r="D1254" t="s">
        <v>2861</v>
      </c>
      <c r="E1254" t="s">
        <v>33</v>
      </c>
      <c r="F1254">
        <v>10132018</v>
      </c>
      <c r="G1254">
        <v>2</v>
      </c>
      <c r="H1254" t="s">
        <v>48</v>
      </c>
      <c r="I1254" t="s">
        <v>42</v>
      </c>
      <c r="J1254" t="s">
        <v>59</v>
      </c>
      <c r="K1254" t="s">
        <v>79</v>
      </c>
      <c r="M1254" t="s">
        <v>44</v>
      </c>
      <c r="N1254">
        <v>5</v>
      </c>
      <c r="P1254" t="b">
        <v>0</v>
      </c>
      <c r="Q1254" t="b">
        <v>0</v>
      </c>
      <c r="R1254" t="b">
        <v>1</v>
      </c>
      <c r="S1254" t="b">
        <v>0</v>
      </c>
      <c r="T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E1254" t="s">
        <v>3358</v>
      </c>
    </row>
    <row r="1255" spans="1:31" x14ac:dyDescent="0.3">
      <c r="A1255">
        <v>-73.952722728210006</v>
      </c>
      <c r="B1255">
        <v>40.793506148410003</v>
      </c>
      <c r="C1255" t="s">
        <v>3359</v>
      </c>
      <c r="D1255" t="s">
        <v>933</v>
      </c>
      <c r="E1255" t="s">
        <v>38</v>
      </c>
      <c r="F1255">
        <v>10102018</v>
      </c>
      <c r="G1255">
        <v>3</v>
      </c>
      <c r="H1255" t="s">
        <v>48</v>
      </c>
      <c r="I1255" t="s">
        <v>53</v>
      </c>
      <c r="J1255" t="s">
        <v>42</v>
      </c>
      <c r="K1255" t="s">
        <v>89</v>
      </c>
      <c r="M1255" t="s">
        <v>44</v>
      </c>
      <c r="N1255">
        <v>4</v>
      </c>
      <c r="O1255" t="s">
        <v>456</v>
      </c>
      <c r="P1255" t="b">
        <v>0</v>
      </c>
      <c r="Q1255" t="b">
        <v>0</v>
      </c>
      <c r="R1255" t="b">
        <v>1</v>
      </c>
      <c r="S1255" t="b">
        <v>0</v>
      </c>
      <c r="T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1</v>
      </c>
      <c r="AC1255" t="b">
        <v>0</v>
      </c>
      <c r="AE1255" t="s">
        <v>3360</v>
      </c>
    </row>
    <row r="1256" spans="1:31" x14ac:dyDescent="0.3">
      <c r="A1256">
        <v>-73.976401358990003</v>
      </c>
      <c r="B1256">
        <v>40.766306349920001</v>
      </c>
      <c r="C1256" t="s">
        <v>3361</v>
      </c>
      <c r="D1256" t="s">
        <v>1859</v>
      </c>
      <c r="E1256" t="s">
        <v>33</v>
      </c>
      <c r="F1256">
        <v>10192018</v>
      </c>
      <c r="G1256">
        <v>3</v>
      </c>
      <c r="H1256" t="s">
        <v>105</v>
      </c>
      <c r="I1256" t="s">
        <v>42</v>
      </c>
      <c r="K1256" t="s">
        <v>43</v>
      </c>
      <c r="M1256" t="s">
        <v>44</v>
      </c>
      <c r="N1256">
        <v>1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s">
        <v>1222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E1256" t="s">
        <v>3362</v>
      </c>
    </row>
    <row r="1257" spans="1:31" x14ac:dyDescent="0.3">
      <c r="A1257">
        <v>-73.971746982219997</v>
      </c>
      <c r="B1257">
        <v>40.775373193070003</v>
      </c>
      <c r="C1257" t="s">
        <v>3363</v>
      </c>
      <c r="D1257" t="s">
        <v>1145</v>
      </c>
      <c r="E1257" t="s">
        <v>33</v>
      </c>
      <c r="F1257">
        <v>10142018</v>
      </c>
      <c r="G1257">
        <v>3</v>
      </c>
      <c r="H1257" t="s">
        <v>48</v>
      </c>
      <c r="I1257" t="s">
        <v>42</v>
      </c>
      <c r="K1257" t="s">
        <v>43</v>
      </c>
      <c r="M1257" t="s">
        <v>65</v>
      </c>
      <c r="N1257" t="b">
        <v>0</v>
      </c>
      <c r="P1257" t="b">
        <v>1</v>
      </c>
      <c r="Q1257" t="b">
        <v>0</v>
      </c>
      <c r="R1257" t="b">
        <v>0</v>
      </c>
      <c r="S1257" t="b">
        <v>1</v>
      </c>
      <c r="T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1</v>
      </c>
      <c r="AA1257" t="b">
        <v>0</v>
      </c>
      <c r="AB1257" t="b">
        <v>1</v>
      </c>
      <c r="AC1257" t="b">
        <v>0</v>
      </c>
      <c r="AE1257" t="s">
        <v>3364</v>
      </c>
    </row>
    <row r="1258" spans="1:31" x14ac:dyDescent="0.3">
      <c r="A1258">
        <v>-73.967945736459995</v>
      </c>
      <c r="B1258">
        <v>40.771735022199998</v>
      </c>
      <c r="C1258" t="s">
        <v>3365</v>
      </c>
      <c r="D1258" t="s">
        <v>1000</v>
      </c>
      <c r="E1258" t="s">
        <v>38</v>
      </c>
      <c r="F1258">
        <v>10102018</v>
      </c>
      <c r="G1258">
        <v>2</v>
      </c>
      <c r="H1258" t="s">
        <v>48</v>
      </c>
      <c r="I1258" t="s">
        <v>42</v>
      </c>
      <c r="J1258" t="s">
        <v>59</v>
      </c>
      <c r="K1258" t="s">
        <v>79</v>
      </c>
      <c r="M1258" t="s">
        <v>65</v>
      </c>
      <c r="N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1</v>
      </c>
      <c r="V1258" t="b">
        <v>0</v>
      </c>
      <c r="W1258" t="b">
        <v>0</v>
      </c>
      <c r="X1258" t="b">
        <v>0</v>
      </c>
      <c r="Y1258" t="b">
        <v>0</v>
      </c>
      <c r="Z1258" t="b">
        <v>1</v>
      </c>
      <c r="AA1258" t="b">
        <v>0</v>
      </c>
      <c r="AB1258" t="b">
        <v>0</v>
      </c>
      <c r="AC1258" t="b">
        <v>1</v>
      </c>
      <c r="AE1258" t="s">
        <v>3366</v>
      </c>
    </row>
    <row r="1259" spans="1:31" x14ac:dyDescent="0.3">
      <c r="A1259">
        <v>-73.976724759370001</v>
      </c>
      <c r="B1259">
        <v>40.772620005420002</v>
      </c>
      <c r="C1259" t="s">
        <v>3367</v>
      </c>
      <c r="D1259" t="s">
        <v>439</v>
      </c>
      <c r="E1259" t="s">
        <v>38</v>
      </c>
      <c r="F1259">
        <v>10082018</v>
      </c>
      <c r="G1259">
        <v>15</v>
      </c>
      <c r="H1259" t="s">
        <v>48</v>
      </c>
      <c r="I1259" t="s">
        <v>42</v>
      </c>
      <c r="J1259" t="s">
        <v>53</v>
      </c>
      <c r="K1259" t="s">
        <v>54</v>
      </c>
      <c r="M1259" t="s">
        <v>65</v>
      </c>
      <c r="N1259" t="b">
        <v>0</v>
      </c>
      <c r="P1259" t="b">
        <v>0</v>
      </c>
      <c r="Q1259" t="b">
        <v>0</v>
      </c>
      <c r="R1259" t="b">
        <v>0</v>
      </c>
      <c r="S1259" t="b">
        <v>1</v>
      </c>
      <c r="T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1</v>
      </c>
      <c r="AB1259" t="b">
        <v>0</v>
      </c>
      <c r="AC1259" t="b">
        <v>0</v>
      </c>
      <c r="AE1259" t="s">
        <v>3368</v>
      </c>
    </row>
    <row r="1260" spans="1:31" x14ac:dyDescent="0.3">
      <c r="A1260">
        <v>-73.978938519609997</v>
      </c>
      <c r="B1260">
        <v>40.767520215719998</v>
      </c>
      <c r="C1260" t="s">
        <v>3369</v>
      </c>
      <c r="D1260" t="s">
        <v>1232</v>
      </c>
      <c r="E1260" t="s">
        <v>38</v>
      </c>
      <c r="F1260">
        <v>10102018</v>
      </c>
      <c r="G1260">
        <v>2</v>
      </c>
      <c r="H1260" t="s">
        <v>48</v>
      </c>
      <c r="I1260" t="s">
        <v>42</v>
      </c>
      <c r="J1260" t="s">
        <v>53</v>
      </c>
      <c r="K1260" t="s">
        <v>54</v>
      </c>
      <c r="M1260" t="s">
        <v>65</v>
      </c>
      <c r="N1260" t="b">
        <v>0</v>
      </c>
      <c r="P1260" t="b">
        <v>0</v>
      </c>
      <c r="Q1260" t="b">
        <v>0</v>
      </c>
      <c r="R1260" t="b">
        <v>0</v>
      </c>
      <c r="S1260" t="b">
        <v>1</v>
      </c>
      <c r="T1260" t="b">
        <v>1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E1260" t="s">
        <v>3370</v>
      </c>
    </row>
    <row r="1261" spans="1:31" x14ac:dyDescent="0.3">
      <c r="A1261">
        <v>-73.976864402580006</v>
      </c>
      <c r="B1261">
        <v>40.770566375199998</v>
      </c>
      <c r="C1261" t="s">
        <v>3371</v>
      </c>
      <c r="D1261" t="s">
        <v>88</v>
      </c>
      <c r="E1261" t="s">
        <v>33</v>
      </c>
      <c r="F1261">
        <v>10102018</v>
      </c>
      <c r="G1261">
        <v>5</v>
      </c>
      <c r="H1261" t="s">
        <v>48</v>
      </c>
      <c r="I1261" t="s">
        <v>42</v>
      </c>
      <c r="J1261" t="s">
        <v>59</v>
      </c>
      <c r="K1261" t="s">
        <v>79</v>
      </c>
      <c r="M1261" t="s">
        <v>65</v>
      </c>
      <c r="N1261" t="b">
        <v>0</v>
      </c>
      <c r="P1261" t="b">
        <v>1</v>
      </c>
      <c r="Q1261" t="b">
        <v>0</v>
      </c>
      <c r="R1261" t="b">
        <v>1</v>
      </c>
      <c r="S1261" t="b">
        <v>0</v>
      </c>
      <c r="T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E1261" t="s">
        <v>3372</v>
      </c>
    </row>
    <row r="1262" spans="1:31" x14ac:dyDescent="0.3">
      <c r="A1262">
        <v>-73.981158580759995</v>
      </c>
      <c r="B1262">
        <v>40.768706748729997</v>
      </c>
      <c r="C1262" t="s">
        <v>3373</v>
      </c>
      <c r="D1262" t="s">
        <v>1906</v>
      </c>
      <c r="E1262" t="s">
        <v>38</v>
      </c>
      <c r="F1262">
        <v>10102018</v>
      </c>
      <c r="G1262">
        <v>6</v>
      </c>
      <c r="H1262" t="s">
        <v>48</v>
      </c>
      <c r="I1262" t="s">
        <v>53</v>
      </c>
      <c r="K1262" t="s">
        <v>155</v>
      </c>
      <c r="M1262" t="s">
        <v>65</v>
      </c>
      <c r="N1262" t="b">
        <v>0</v>
      </c>
      <c r="P1262" t="b">
        <v>1</v>
      </c>
      <c r="Q1262" t="b">
        <v>1</v>
      </c>
      <c r="R1262" t="b">
        <v>0</v>
      </c>
      <c r="S1262" t="b">
        <v>0</v>
      </c>
      <c r="T1262" t="b">
        <v>0</v>
      </c>
      <c r="U1262" t="s">
        <v>3374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E1262" t="s">
        <v>3375</v>
      </c>
    </row>
    <row r="1263" spans="1:31" x14ac:dyDescent="0.3">
      <c r="A1263">
        <v>-73.971910994919995</v>
      </c>
      <c r="B1263">
        <v>40.772313852129997</v>
      </c>
      <c r="C1263" t="s">
        <v>3376</v>
      </c>
      <c r="D1263" t="s">
        <v>517</v>
      </c>
      <c r="E1263" t="s">
        <v>38</v>
      </c>
      <c r="F1263">
        <v>10132018</v>
      </c>
      <c r="G1263">
        <v>1</v>
      </c>
      <c r="H1263" t="s">
        <v>48</v>
      </c>
      <c r="I1263" t="s">
        <v>176</v>
      </c>
      <c r="K1263" t="s">
        <v>177</v>
      </c>
      <c r="M1263" t="s">
        <v>65</v>
      </c>
      <c r="N1263" t="b">
        <v>0</v>
      </c>
      <c r="P1263" t="b">
        <v>0</v>
      </c>
      <c r="Q1263" t="b">
        <v>0</v>
      </c>
      <c r="R1263" t="b">
        <v>0</v>
      </c>
      <c r="S1263" t="b">
        <v>1</v>
      </c>
      <c r="T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1</v>
      </c>
      <c r="AE1263" t="s">
        <v>3377</v>
      </c>
    </row>
    <row r="1264" spans="1:31" x14ac:dyDescent="0.3">
      <c r="A1264">
        <v>-73.968334541480004</v>
      </c>
      <c r="B1264">
        <v>40.777901628030001</v>
      </c>
      <c r="C1264" t="s">
        <v>3378</v>
      </c>
      <c r="D1264" t="s">
        <v>256</v>
      </c>
      <c r="E1264" t="s">
        <v>33</v>
      </c>
      <c r="F1264">
        <v>10182018</v>
      </c>
      <c r="G1264">
        <v>7</v>
      </c>
      <c r="H1264" t="s">
        <v>105</v>
      </c>
      <c r="I1264" t="s">
        <v>42</v>
      </c>
      <c r="J1264" t="s">
        <v>53</v>
      </c>
      <c r="K1264" t="s">
        <v>54</v>
      </c>
      <c r="M1264" t="s">
        <v>44</v>
      </c>
      <c r="N1264">
        <v>10</v>
      </c>
      <c r="P1264" t="b">
        <v>0</v>
      </c>
      <c r="Q1264" t="b">
        <v>0</v>
      </c>
      <c r="R1264" t="b">
        <v>1</v>
      </c>
      <c r="S1264" t="b">
        <v>0</v>
      </c>
      <c r="T1264" t="b">
        <v>0</v>
      </c>
      <c r="V1264" t="b">
        <v>1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1</v>
      </c>
      <c r="AC1264" t="b">
        <v>0</v>
      </c>
      <c r="AE1264" t="s">
        <v>3379</v>
      </c>
    </row>
    <row r="1265" spans="1:31" x14ac:dyDescent="0.3">
      <c r="A1265">
        <v>-73.977087393999994</v>
      </c>
      <c r="B1265">
        <v>40.771037966210002</v>
      </c>
      <c r="C1265" t="s">
        <v>3380</v>
      </c>
      <c r="D1265" t="s">
        <v>2798</v>
      </c>
      <c r="E1265" t="s">
        <v>33</v>
      </c>
      <c r="F1265">
        <v>10202018</v>
      </c>
      <c r="G1265">
        <v>2</v>
      </c>
      <c r="H1265" t="s">
        <v>48</v>
      </c>
      <c r="I1265" t="s">
        <v>42</v>
      </c>
      <c r="K1265" t="s">
        <v>43</v>
      </c>
      <c r="M1265" t="s">
        <v>44</v>
      </c>
      <c r="N1265">
        <v>10</v>
      </c>
      <c r="P1265" t="b">
        <v>0</v>
      </c>
      <c r="Q1265" t="b">
        <v>0</v>
      </c>
      <c r="R1265" t="b">
        <v>1</v>
      </c>
      <c r="S1265" t="b">
        <v>0</v>
      </c>
      <c r="T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E1265" t="s">
        <v>3381</v>
      </c>
    </row>
    <row r="1266" spans="1:31" x14ac:dyDescent="0.3">
      <c r="A1266">
        <v>-73.978535377539998</v>
      </c>
      <c r="B1266">
        <v>40.767492368319999</v>
      </c>
      <c r="C1266" t="s">
        <v>3382</v>
      </c>
      <c r="D1266" t="s">
        <v>1232</v>
      </c>
      <c r="E1266" t="s">
        <v>33</v>
      </c>
      <c r="F1266">
        <v>10132018</v>
      </c>
      <c r="G1266">
        <v>1</v>
      </c>
      <c r="H1266" t="s">
        <v>48</v>
      </c>
      <c r="I1266" t="s">
        <v>42</v>
      </c>
      <c r="J1266" t="s">
        <v>59</v>
      </c>
      <c r="K1266" t="s">
        <v>79</v>
      </c>
      <c r="M1266" t="s">
        <v>65</v>
      </c>
      <c r="N1266" t="b">
        <v>0</v>
      </c>
      <c r="P1266" t="b">
        <v>1</v>
      </c>
      <c r="Q1266" t="b">
        <v>1</v>
      </c>
      <c r="R1266" t="b">
        <v>0</v>
      </c>
      <c r="S1266" t="b">
        <v>0</v>
      </c>
      <c r="T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E1266" t="s">
        <v>3383</v>
      </c>
    </row>
    <row r="1267" spans="1:31" x14ac:dyDescent="0.3">
      <c r="A1267">
        <v>-73.960359711760006</v>
      </c>
      <c r="B1267">
        <v>40.782439929840002</v>
      </c>
      <c r="C1267" t="s">
        <v>3384</v>
      </c>
      <c r="D1267" t="s">
        <v>3109</v>
      </c>
      <c r="E1267" t="s">
        <v>33</v>
      </c>
      <c r="F1267">
        <v>10192018</v>
      </c>
      <c r="G1267">
        <v>2</v>
      </c>
      <c r="H1267" t="s">
        <v>48</v>
      </c>
      <c r="I1267" t="s">
        <v>42</v>
      </c>
      <c r="K1267" t="s">
        <v>43</v>
      </c>
      <c r="M1267" t="s">
        <v>65</v>
      </c>
      <c r="N1267" t="b">
        <v>0</v>
      </c>
      <c r="P1267" t="b">
        <v>0</v>
      </c>
      <c r="Q1267" t="b">
        <v>0</v>
      </c>
      <c r="R1267" t="b">
        <v>1</v>
      </c>
      <c r="S1267" t="b">
        <v>0</v>
      </c>
      <c r="T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E1267" t="s">
        <v>3385</v>
      </c>
    </row>
    <row r="1268" spans="1:31" x14ac:dyDescent="0.3">
      <c r="A1268">
        <v>-73.970989784980006</v>
      </c>
      <c r="B1268">
        <v>40.768627964010001</v>
      </c>
      <c r="C1268" t="s">
        <v>3386</v>
      </c>
      <c r="D1268" t="s">
        <v>539</v>
      </c>
      <c r="E1268" t="s">
        <v>38</v>
      </c>
      <c r="F1268">
        <v>10082018</v>
      </c>
      <c r="G1268">
        <v>2</v>
      </c>
      <c r="H1268" t="s">
        <v>48</v>
      </c>
      <c r="I1268" t="s">
        <v>53</v>
      </c>
      <c r="J1268" t="s">
        <v>42</v>
      </c>
      <c r="K1268" t="s">
        <v>89</v>
      </c>
      <c r="M1268" t="s">
        <v>65</v>
      </c>
      <c r="N1268" t="b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1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1</v>
      </c>
      <c r="AC1268" t="b">
        <v>0</v>
      </c>
      <c r="AE1268" t="s">
        <v>3387</v>
      </c>
    </row>
    <row r="1269" spans="1:31" x14ac:dyDescent="0.3">
      <c r="A1269">
        <v>-73.970101096470003</v>
      </c>
      <c r="B1269">
        <v>40.76889193145</v>
      </c>
      <c r="C1269" t="s">
        <v>3388</v>
      </c>
      <c r="D1269" t="s">
        <v>228</v>
      </c>
      <c r="E1269" t="s">
        <v>33</v>
      </c>
      <c r="F1269">
        <v>10132018</v>
      </c>
      <c r="G1269">
        <v>2</v>
      </c>
      <c r="H1269" t="s">
        <v>48</v>
      </c>
      <c r="I1269" t="s">
        <v>176</v>
      </c>
      <c r="K1269" t="s">
        <v>177</v>
      </c>
      <c r="M1269" t="s">
        <v>65</v>
      </c>
      <c r="N1269" t="b">
        <v>0</v>
      </c>
      <c r="O1269" t="s">
        <v>3389</v>
      </c>
      <c r="P1269" t="b">
        <v>0</v>
      </c>
      <c r="Q1269" t="b">
        <v>1</v>
      </c>
      <c r="R1269" t="b">
        <v>0</v>
      </c>
      <c r="S1269" t="b">
        <v>0</v>
      </c>
      <c r="T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E1269" t="s">
        <v>3390</v>
      </c>
    </row>
    <row r="1270" spans="1:31" x14ac:dyDescent="0.3">
      <c r="A1270">
        <v>-73.962398426289994</v>
      </c>
      <c r="B1270">
        <v>40.791390045340002</v>
      </c>
      <c r="C1270" t="s">
        <v>3391</v>
      </c>
      <c r="D1270" t="s">
        <v>3392</v>
      </c>
      <c r="E1270" t="s">
        <v>33</v>
      </c>
      <c r="F1270">
        <v>10102018</v>
      </c>
      <c r="G1270">
        <v>3</v>
      </c>
      <c r="H1270" t="s">
        <v>48</v>
      </c>
      <c r="I1270" t="s">
        <v>42</v>
      </c>
      <c r="J1270" t="s">
        <v>59</v>
      </c>
      <c r="K1270" t="s">
        <v>79</v>
      </c>
      <c r="M1270" t="s">
        <v>44</v>
      </c>
      <c r="N1270">
        <v>10</v>
      </c>
      <c r="P1270" t="b">
        <v>0</v>
      </c>
      <c r="Q1270" t="b">
        <v>0</v>
      </c>
      <c r="R1270" t="b">
        <v>1</v>
      </c>
      <c r="S1270" t="b">
        <v>0</v>
      </c>
      <c r="T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1</v>
      </c>
      <c r="AE1270" t="s">
        <v>3393</v>
      </c>
    </row>
    <row r="1271" spans="1:31" x14ac:dyDescent="0.3">
      <c r="A1271">
        <v>-73.965292123360001</v>
      </c>
      <c r="B1271">
        <v>40.790440565849998</v>
      </c>
      <c r="C1271" t="s">
        <v>3394</v>
      </c>
      <c r="D1271" t="s">
        <v>3395</v>
      </c>
      <c r="E1271" t="s">
        <v>33</v>
      </c>
      <c r="F1271">
        <v>10192018</v>
      </c>
      <c r="G1271">
        <v>1</v>
      </c>
      <c r="H1271" t="s">
        <v>48</v>
      </c>
      <c r="I1271" t="s">
        <v>42</v>
      </c>
      <c r="J1271" t="s">
        <v>53</v>
      </c>
      <c r="K1271" t="s">
        <v>54</v>
      </c>
      <c r="M1271" t="s">
        <v>65</v>
      </c>
      <c r="N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1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1</v>
      </c>
      <c r="AC1271" t="b">
        <v>0</v>
      </c>
      <c r="AE1271" t="s">
        <v>3396</v>
      </c>
    </row>
    <row r="1272" spans="1:31" x14ac:dyDescent="0.3">
      <c r="A1272">
        <v>-73.967762162889997</v>
      </c>
      <c r="B1272">
        <v>40.78233590272</v>
      </c>
      <c r="C1272" t="s">
        <v>3397</v>
      </c>
      <c r="D1272" t="s">
        <v>1035</v>
      </c>
      <c r="E1272" t="s">
        <v>33</v>
      </c>
      <c r="F1272">
        <v>10182018</v>
      </c>
      <c r="G1272">
        <v>8</v>
      </c>
      <c r="H1272" t="s">
        <v>105</v>
      </c>
      <c r="I1272" t="s">
        <v>53</v>
      </c>
      <c r="K1272" t="s">
        <v>155</v>
      </c>
      <c r="M1272" t="s">
        <v>65</v>
      </c>
      <c r="N1272" t="b">
        <v>0</v>
      </c>
      <c r="P1272" t="b">
        <v>1</v>
      </c>
      <c r="Q1272" t="b">
        <v>0</v>
      </c>
      <c r="R1272" t="b">
        <v>0</v>
      </c>
      <c r="S1272" t="b">
        <v>0</v>
      </c>
      <c r="T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1</v>
      </c>
      <c r="AB1272" t="b">
        <v>0</v>
      </c>
      <c r="AC1272" t="b">
        <v>1</v>
      </c>
      <c r="AD1272" t="s">
        <v>1294</v>
      </c>
      <c r="AE1272" t="s">
        <v>3398</v>
      </c>
    </row>
    <row r="1273" spans="1:31" x14ac:dyDescent="0.3">
      <c r="A1273">
        <v>-73.965675023260005</v>
      </c>
      <c r="B1273">
        <v>40.783300258700002</v>
      </c>
      <c r="C1273" t="s">
        <v>3399</v>
      </c>
      <c r="D1273" t="s">
        <v>3400</v>
      </c>
      <c r="E1273" t="s">
        <v>33</v>
      </c>
      <c r="F1273">
        <v>10142018</v>
      </c>
      <c r="G1273">
        <v>1</v>
      </c>
      <c r="H1273" t="s">
        <v>48</v>
      </c>
      <c r="I1273" t="s">
        <v>42</v>
      </c>
      <c r="J1273" t="s">
        <v>53</v>
      </c>
      <c r="K1273" t="s">
        <v>54</v>
      </c>
      <c r="M1273" t="s">
        <v>65</v>
      </c>
      <c r="N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1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E1273" t="s">
        <v>3401</v>
      </c>
    </row>
    <row r="1274" spans="1:31" x14ac:dyDescent="0.3">
      <c r="A1274">
        <v>-73.959571722530001</v>
      </c>
      <c r="B1274">
        <v>40.782987249830001</v>
      </c>
      <c r="C1274" t="s">
        <v>3402</v>
      </c>
      <c r="D1274" t="s">
        <v>2573</v>
      </c>
      <c r="E1274" t="s">
        <v>33</v>
      </c>
      <c r="F1274">
        <v>10072018</v>
      </c>
      <c r="G1274">
        <v>3</v>
      </c>
      <c r="H1274" t="s">
        <v>48</v>
      </c>
      <c r="I1274" t="s">
        <v>42</v>
      </c>
      <c r="K1274" t="s">
        <v>43</v>
      </c>
      <c r="M1274" t="s">
        <v>65</v>
      </c>
      <c r="N1274" t="b">
        <v>0</v>
      </c>
      <c r="P1274" t="b">
        <v>1</v>
      </c>
      <c r="Q1274" t="b">
        <v>0</v>
      </c>
      <c r="R1274" t="b">
        <v>0</v>
      </c>
      <c r="S1274" t="b">
        <v>0</v>
      </c>
      <c r="T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E1274" t="s">
        <v>3403</v>
      </c>
    </row>
    <row r="1275" spans="1:31" x14ac:dyDescent="0.3">
      <c r="A1275">
        <v>-73.955894388009995</v>
      </c>
      <c r="B1275">
        <v>40.797153514190001</v>
      </c>
      <c r="C1275" t="s">
        <v>3404</v>
      </c>
      <c r="D1275" t="s">
        <v>428</v>
      </c>
      <c r="E1275" t="s">
        <v>33</v>
      </c>
      <c r="F1275">
        <v>10132018</v>
      </c>
      <c r="G1275">
        <v>6</v>
      </c>
      <c r="H1275" t="s">
        <v>48</v>
      </c>
      <c r="I1275" t="s">
        <v>42</v>
      </c>
      <c r="J1275" t="s">
        <v>53</v>
      </c>
      <c r="K1275" t="s">
        <v>54</v>
      </c>
      <c r="M1275" t="s">
        <v>44</v>
      </c>
      <c r="N1275">
        <v>4</v>
      </c>
      <c r="P1275" t="b">
        <v>0</v>
      </c>
      <c r="Q1275" t="b">
        <v>0</v>
      </c>
      <c r="R1275" t="b">
        <v>1</v>
      </c>
      <c r="S1275" t="b">
        <v>0</v>
      </c>
      <c r="T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1</v>
      </c>
      <c r="AE1275" t="s">
        <v>3405</v>
      </c>
    </row>
    <row r="1276" spans="1:31" x14ac:dyDescent="0.3">
      <c r="A1276">
        <v>-73.974585999870001</v>
      </c>
      <c r="B1276">
        <v>40.767163488560001</v>
      </c>
      <c r="C1276" t="s">
        <v>3406</v>
      </c>
      <c r="D1276" t="s">
        <v>660</v>
      </c>
      <c r="E1276" t="s">
        <v>38</v>
      </c>
      <c r="F1276">
        <v>10082018</v>
      </c>
      <c r="G1276">
        <v>2</v>
      </c>
      <c r="H1276" t="s">
        <v>48</v>
      </c>
      <c r="I1276" t="s">
        <v>42</v>
      </c>
      <c r="K1276" t="s">
        <v>43</v>
      </c>
      <c r="L1276" t="s">
        <v>3407</v>
      </c>
      <c r="M1276" t="s">
        <v>65</v>
      </c>
      <c r="N1276" t="b">
        <v>0</v>
      </c>
      <c r="P1276" t="b">
        <v>0</v>
      </c>
      <c r="Q1276" t="b">
        <v>0</v>
      </c>
      <c r="R1276" t="b">
        <v>1</v>
      </c>
      <c r="S1276" t="b">
        <v>0</v>
      </c>
      <c r="T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1</v>
      </c>
      <c r="AC1276" t="b">
        <v>0</v>
      </c>
      <c r="AE1276" t="s">
        <v>3408</v>
      </c>
    </row>
    <row r="1277" spans="1:31" x14ac:dyDescent="0.3">
      <c r="A1277">
        <v>-73.970254147139997</v>
      </c>
      <c r="B1277">
        <v>40.769858423179997</v>
      </c>
      <c r="C1277" t="s">
        <v>3409</v>
      </c>
      <c r="D1277" t="s">
        <v>92</v>
      </c>
      <c r="E1277" t="s">
        <v>38</v>
      </c>
      <c r="F1277">
        <v>10062018</v>
      </c>
      <c r="G1277">
        <v>12</v>
      </c>
      <c r="H1277" t="s">
        <v>48</v>
      </c>
      <c r="I1277" t="s">
        <v>53</v>
      </c>
      <c r="J1277" t="s">
        <v>42</v>
      </c>
      <c r="K1277" t="s">
        <v>89</v>
      </c>
      <c r="M1277" t="s">
        <v>65</v>
      </c>
      <c r="N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1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1</v>
      </c>
      <c r="AC1277" t="b">
        <v>0</v>
      </c>
      <c r="AE1277" t="s">
        <v>3410</v>
      </c>
    </row>
    <row r="1278" spans="1:31" x14ac:dyDescent="0.3">
      <c r="A1278">
        <v>-73.979800518869993</v>
      </c>
      <c r="B1278">
        <v>40.76918687917</v>
      </c>
      <c r="C1278" t="s">
        <v>3411</v>
      </c>
      <c r="D1278" t="s">
        <v>239</v>
      </c>
      <c r="E1278" t="s">
        <v>33</v>
      </c>
      <c r="F1278">
        <v>10172018</v>
      </c>
      <c r="G1278">
        <v>1</v>
      </c>
      <c r="H1278" t="s">
        <v>48</v>
      </c>
      <c r="I1278" t="s">
        <v>53</v>
      </c>
      <c r="J1278" t="s">
        <v>42</v>
      </c>
      <c r="K1278" t="s">
        <v>89</v>
      </c>
      <c r="M1278" t="s">
        <v>65</v>
      </c>
      <c r="N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1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1</v>
      </c>
      <c r="AB1278" t="b">
        <v>0</v>
      </c>
      <c r="AC1278" t="b">
        <v>0</v>
      </c>
      <c r="AE1278" t="s">
        <v>3412</v>
      </c>
    </row>
    <row r="1279" spans="1:31" x14ac:dyDescent="0.3">
      <c r="A1279">
        <v>-73.961960997610007</v>
      </c>
      <c r="B1279">
        <v>40.792282444350001</v>
      </c>
      <c r="C1279" t="s">
        <v>3413</v>
      </c>
      <c r="D1279" t="s">
        <v>928</v>
      </c>
      <c r="E1279" t="s">
        <v>33</v>
      </c>
      <c r="F1279">
        <v>10102018</v>
      </c>
      <c r="G1279">
        <v>9</v>
      </c>
      <c r="H1279" t="s">
        <v>48</v>
      </c>
      <c r="I1279" t="s">
        <v>42</v>
      </c>
      <c r="K1279" t="s">
        <v>43</v>
      </c>
      <c r="M1279" t="s">
        <v>65</v>
      </c>
      <c r="N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1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E1279" t="s">
        <v>3414</v>
      </c>
    </row>
    <row r="1280" spans="1:31" x14ac:dyDescent="0.3">
      <c r="A1280">
        <v>-73.972984899650001</v>
      </c>
      <c r="B1280">
        <v>40.77071432943</v>
      </c>
      <c r="C1280" t="s">
        <v>3415</v>
      </c>
      <c r="D1280" t="s">
        <v>353</v>
      </c>
      <c r="E1280" t="s">
        <v>38</v>
      </c>
      <c r="F1280">
        <v>10082018</v>
      </c>
      <c r="G1280">
        <v>11</v>
      </c>
      <c r="H1280" t="s">
        <v>48</v>
      </c>
      <c r="I1280" t="s">
        <v>42</v>
      </c>
      <c r="K1280" t="s">
        <v>43</v>
      </c>
      <c r="M1280" t="s">
        <v>65</v>
      </c>
      <c r="N1280" t="b">
        <v>0</v>
      </c>
      <c r="P1280" t="b">
        <v>1</v>
      </c>
      <c r="Q1280" t="b">
        <v>0</v>
      </c>
      <c r="R1280" t="b">
        <v>0</v>
      </c>
      <c r="S1280" t="b">
        <v>0</v>
      </c>
      <c r="T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1</v>
      </c>
      <c r="AC1280" t="b">
        <v>0</v>
      </c>
      <c r="AE1280" t="s">
        <v>3416</v>
      </c>
    </row>
    <row r="1281" spans="1:31" x14ac:dyDescent="0.3">
      <c r="A1281">
        <v>-73.951212094949994</v>
      </c>
      <c r="B1281">
        <v>40.794794526650001</v>
      </c>
      <c r="C1281" t="s">
        <v>3417</v>
      </c>
      <c r="D1281" t="s">
        <v>3073</v>
      </c>
      <c r="E1281" t="s">
        <v>33</v>
      </c>
      <c r="F1281">
        <v>10132018</v>
      </c>
      <c r="G1281">
        <v>1</v>
      </c>
      <c r="H1281" t="s">
        <v>48</v>
      </c>
      <c r="I1281" t="s">
        <v>42</v>
      </c>
      <c r="K1281" t="s">
        <v>43</v>
      </c>
      <c r="M1281" t="s">
        <v>65</v>
      </c>
      <c r="N1281" t="b">
        <v>0</v>
      </c>
      <c r="O1281" t="s">
        <v>2032</v>
      </c>
      <c r="P1281" t="b">
        <v>0</v>
      </c>
      <c r="Q1281" t="b">
        <v>0</v>
      </c>
      <c r="R1281" t="b">
        <v>0</v>
      </c>
      <c r="S1281" t="b">
        <v>1</v>
      </c>
      <c r="T1281" t="b">
        <v>0</v>
      </c>
      <c r="U1281" t="s">
        <v>340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E1281" t="s">
        <v>3418</v>
      </c>
    </row>
    <row r="1282" spans="1:31" x14ac:dyDescent="0.3">
      <c r="A1282">
        <v>-73.956246972719995</v>
      </c>
      <c r="B1282">
        <v>40.796859076540002</v>
      </c>
      <c r="C1282" t="s">
        <v>3419</v>
      </c>
      <c r="D1282" t="s">
        <v>1945</v>
      </c>
      <c r="E1282" t="s">
        <v>38</v>
      </c>
      <c r="F1282">
        <v>10082018</v>
      </c>
      <c r="G1282">
        <v>4</v>
      </c>
      <c r="H1282" t="s">
        <v>48</v>
      </c>
      <c r="I1282" t="s">
        <v>42</v>
      </c>
      <c r="K1282" t="s">
        <v>43</v>
      </c>
      <c r="M1282" t="s">
        <v>44</v>
      </c>
      <c r="N1282">
        <v>10</v>
      </c>
      <c r="P1282" t="b">
        <v>0</v>
      </c>
      <c r="Q1282" t="b">
        <v>0</v>
      </c>
      <c r="R1282" t="b">
        <v>1</v>
      </c>
      <c r="S1282" t="b">
        <v>0</v>
      </c>
      <c r="T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E1282" t="s">
        <v>3420</v>
      </c>
    </row>
    <row r="1283" spans="1:31" x14ac:dyDescent="0.3">
      <c r="A1283">
        <v>-73.979572828960002</v>
      </c>
      <c r="B1283">
        <v>40.767866980480001</v>
      </c>
      <c r="C1283" t="s">
        <v>3421</v>
      </c>
      <c r="D1283" t="s">
        <v>1301</v>
      </c>
      <c r="E1283" t="s">
        <v>33</v>
      </c>
      <c r="F1283">
        <v>10132018</v>
      </c>
      <c r="G1283">
        <v>7</v>
      </c>
      <c r="H1283" t="s">
        <v>48</v>
      </c>
      <c r="I1283" t="s">
        <v>53</v>
      </c>
      <c r="J1283" t="s">
        <v>42</v>
      </c>
      <c r="K1283" t="s">
        <v>89</v>
      </c>
      <c r="M1283" t="s">
        <v>65</v>
      </c>
      <c r="N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1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E1283" t="s">
        <v>3422</v>
      </c>
    </row>
    <row r="1284" spans="1:31" x14ac:dyDescent="0.3">
      <c r="A1284">
        <v>-73.974451175319999</v>
      </c>
      <c r="B1284">
        <v>40.770129463529997</v>
      </c>
      <c r="C1284" t="s">
        <v>3423</v>
      </c>
      <c r="D1284" t="s">
        <v>3049</v>
      </c>
      <c r="E1284" t="s">
        <v>33</v>
      </c>
      <c r="F1284">
        <v>10102018</v>
      </c>
      <c r="G1284">
        <v>4</v>
      </c>
      <c r="H1284" t="s">
        <v>48</v>
      </c>
      <c r="I1284" t="s">
        <v>53</v>
      </c>
      <c r="J1284" t="s">
        <v>59</v>
      </c>
      <c r="K1284" t="s">
        <v>60</v>
      </c>
      <c r="L1284" t="s">
        <v>3050</v>
      </c>
      <c r="M1284" t="s">
        <v>65</v>
      </c>
      <c r="N1284" t="b">
        <v>0</v>
      </c>
      <c r="O1284" t="s">
        <v>3424</v>
      </c>
      <c r="P1284" t="b">
        <v>0</v>
      </c>
      <c r="Q1284" t="b">
        <v>1</v>
      </c>
      <c r="R1284" t="b">
        <v>0</v>
      </c>
      <c r="S1284" t="b">
        <v>1</v>
      </c>
      <c r="T1284" t="b">
        <v>0</v>
      </c>
      <c r="U1284" t="s">
        <v>1029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1</v>
      </c>
      <c r="AC1284" t="b">
        <v>0</v>
      </c>
      <c r="AE1284" t="s">
        <v>3425</v>
      </c>
    </row>
    <row r="1285" spans="1:31" x14ac:dyDescent="0.3">
      <c r="A1285">
        <v>-73.956678513650004</v>
      </c>
      <c r="B1285">
        <v>40.796336833280002</v>
      </c>
      <c r="C1285" t="s">
        <v>3426</v>
      </c>
      <c r="D1285" t="s">
        <v>1945</v>
      </c>
      <c r="E1285" t="s">
        <v>33</v>
      </c>
      <c r="F1285">
        <v>10122018</v>
      </c>
      <c r="G1285">
        <v>2</v>
      </c>
      <c r="H1285" t="s">
        <v>48</v>
      </c>
      <c r="I1285" t="s">
        <v>42</v>
      </c>
      <c r="J1285" t="s">
        <v>59</v>
      </c>
      <c r="K1285" t="s">
        <v>79</v>
      </c>
      <c r="M1285" t="s">
        <v>65</v>
      </c>
      <c r="N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1</v>
      </c>
      <c r="V1285" t="b">
        <v>0</v>
      </c>
      <c r="W1285" t="b">
        <v>0</v>
      </c>
      <c r="X1285" t="b">
        <v>0</v>
      </c>
      <c r="Y1285" t="b">
        <v>0</v>
      </c>
      <c r="Z1285" t="b">
        <v>1</v>
      </c>
      <c r="AA1285" t="b">
        <v>0</v>
      </c>
      <c r="AB1285" t="b">
        <v>0</v>
      </c>
      <c r="AC1285" t="b">
        <v>1</v>
      </c>
      <c r="AE1285" t="s">
        <v>3427</v>
      </c>
    </row>
    <row r="1286" spans="1:31" x14ac:dyDescent="0.3">
      <c r="A1286">
        <v>-73.957089169680003</v>
      </c>
      <c r="B1286">
        <v>40.793544880219997</v>
      </c>
      <c r="C1286" t="s">
        <v>3428</v>
      </c>
      <c r="D1286" t="s">
        <v>1042</v>
      </c>
      <c r="E1286" t="s">
        <v>33</v>
      </c>
      <c r="F1286">
        <v>10122018</v>
      </c>
      <c r="G1286">
        <v>1</v>
      </c>
      <c r="H1286" t="s">
        <v>48</v>
      </c>
      <c r="I1286" t="s">
        <v>42</v>
      </c>
      <c r="J1286" t="s">
        <v>53</v>
      </c>
      <c r="K1286" t="s">
        <v>54</v>
      </c>
      <c r="M1286" t="s">
        <v>65</v>
      </c>
      <c r="N1286" t="b">
        <v>0</v>
      </c>
      <c r="P1286" t="b">
        <v>1</v>
      </c>
      <c r="Q1286" t="b">
        <v>0</v>
      </c>
      <c r="R1286" t="b">
        <v>0</v>
      </c>
      <c r="S1286" t="b">
        <v>0</v>
      </c>
      <c r="T1286" t="b">
        <v>1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1</v>
      </c>
      <c r="AC1286" t="b">
        <v>0</v>
      </c>
      <c r="AE1286" t="s">
        <v>3429</v>
      </c>
    </row>
    <row r="1287" spans="1:31" x14ac:dyDescent="0.3">
      <c r="A1287">
        <v>-73.97051151894</v>
      </c>
      <c r="B1287">
        <v>40.76983955771</v>
      </c>
      <c r="C1287" t="s">
        <v>3430</v>
      </c>
      <c r="D1287" t="s">
        <v>92</v>
      </c>
      <c r="E1287" t="s">
        <v>38</v>
      </c>
      <c r="F1287">
        <v>10062018</v>
      </c>
      <c r="G1287">
        <v>8</v>
      </c>
      <c r="H1287" t="s">
        <v>48</v>
      </c>
      <c r="I1287" t="s">
        <v>42</v>
      </c>
      <c r="J1287" t="s">
        <v>53</v>
      </c>
      <c r="K1287" t="s">
        <v>54</v>
      </c>
      <c r="M1287" t="s">
        <v>65</v>
      </c>
      <c r="N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1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1</v>
      </c>
      <c r="AB1287" t="b">
        <v>0</v>
      </c>
      <c r="AC1287" t="b">
        <v>0</v>
      </c>
      <c r="AE1287" t="s">
        <v>3431</v>
      </c>
    </row>
    <row r="1288" spans="1:31" x14ac:dyDescent="0.3">
      <c r="A1288">
        <v>-73.958909678279994</v>
      </c>
      <c r="B1288">
        <v>40.793969875789998</v>
      </c>
      <c r="C1288" t="s">
        <v>3432</v>
      </c>
      <c r="D1288" t="s">
        <v>505</v>
      </c>
      <c r="E1288" t="s">
        <v>38</v>
      </c>
      <c r="F1288">
        <v>10192018</v>
      </c>
      <c r="G1288">
        <v>2</v>
      </c>
      <c r="H1288" t="s">
        <v>48</v>
      </c>
      <c r="I1288" t="s">
        <v>42</v>
      </c>
      <c r="J1288" t="s">
        <v>148</v>
      </c>
      <c r="K1288" t="s">
        <v>149</v>
      </c>
      <c r="L1288" t="s">
        <v>3433</v>
      </c>
      <c r="M1288" t="s">
        <v>65</v>
      </c>
      <c r="N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1</v>
      </c>
      <c r="U1288" t="s">
        <v>3434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E1288" t="s">
        <v>3435</v>
      </c>
    </row>
    <row r="1289" spans="1:31" x14ac:dyDescent="0.3">
      <c r="A1289">
        <v>-73.976323694900003</v>
      </c>
      <c r="B1289">
        <v>40.768681561530002</v>
      </c>
      <c r="C1289" t="s">
        <v>3436</v>
      </c>
      <c r="D1289" t="s">
        <v>534</v>
      </c>
      <c r="E1289" t="s">
        <v>33</v>
      </c>
      <c r="F1289">
        <v>10082018</v>
      </c>
      <c r="G1289">
        <v>12</v>
      </c>
      <c r="H1289" t="s">
        <v>48</v>
      </c>
      <c r="I1289" t="s">
        <v>53</v>
      </c>
      <c r="J1289" t="s">
        <v>115</v>
      </c>
      <c r="K1289" t="s">
        <v>116</v>
      </c>
      <c r="M1289" t="s">
        <v>44</v>
      </c>
      <c r="N1289">
        <v>3</v>
      </c>
      <c r="P1289" t="b">
        <v>1</v>
      </c>
      <c r="Q1289" t="b">
        <v>0</v>
      </c>
      <c r="R1289" t="b">
        <v>0</v>
      </c>
      <c r="S1289" t="b">
        <v>0</v>
      </c>
      <c r="T1289" t="b">
        <v>0</v>
      </c>
      <c r="U1289" t="s">
        <v>3437</v>
      </c>
      <c r="V1289" t="b">
        <v>1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1</v>
      </c>
      <c r="AE1289" t="s">
        <v>3438</v>
      </c>
    </row>
    <row r="1290" spans="1:31" x14ac:dyDescent="0.3">
      <c r="A1290">
        <v>-73.973045429600006</v>
      </c>
      <c r="B1290">
        <v>40.770290945440003</v>
      </c>
      <c r="C1290" t="s">
        <v>3439</v>
      </c>
      <c r="D1290" t="s">
        <v>353</v>
      </c>
      <c r="E1290" t="s">
        <v>38</v>
      </c>
      <c r="F1290">
        <v>10082018</v>
      </c>
      <c r="G1290">
        <v>5</v>
      </c>
      <c r="H1290" t="s">
        <v>48</v>
      </c>
      <c r="I1290" t="s">
        <v>42</v>
      </c>
      <c r="K1290" t="s">
        <v>43</v>
      </c>
      <c r="M1290" t="s">
        <v>65</v>
      </c>
      <c r="N1290" t="b">
        <v>0</v>
      </c>
      <c r="O1290" t="s">
        <v>222</v>
      </c>
      <c r="P1290" t="b">
        <v>0</v>
      </c>
      <c r="Q1290" t="b">
        <v>1</v>
      </c>
      <c r="R1290" t="b">
        <v>0</v>
      </c>
      <c r="S1290" t="b">
        <v>0</v>
      </c>
      <c r="T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1</v>
      </c>
      <c r="AC1290" t="b">
        <v>0</v>
      </c>
      <c r="AE1290" t="s">
        <v>3440</v>
      </c>
    </row>
    <row r="1291" spans="1:31" x14ac:dyDescent="0.3">
      <c r="A1291">
        <v>-73.972468126950005</v>
      </c>
      <c r="B1291">
        <v>40.77434746758</v>
      </c>
      <c r="C1291" t="s">
        <v>3441</v>
      </c>
      <c r="D1291" t="s">
        <v>74</v>
      </c>
      <c r="E1291" t="s">
        <v>33</v>
      </c>
      <c r="F1291">
        <v>10062018</v>
      </c>
      <c r="G1291">
        <v>3</v>
      </c>
      <c r="H1291" t="s">
        <v>48</v>
      </c>
      <c r="I1291" t="s">
        <v>53</v>
      </c>
      <c r="J1291" t="s">
        <v>42</v>
      </c>
      <c r="K1291" t="s">
        <v>89</v>
      </c>
      <c r="M1291" t="s">
        <v>65</v>
      </c>
      <c r="N1291" t="b">
        <v>0</v>
      </c>
      <c r="P1291" t="b">
        <v>0</v>
      </c>
      <c r="Q1291" t="b">
        <v>0</v>
      </c>
      <c r="R1291" t="b">
        <v>0</v>
      </c>
      <c r="S1291" t="b">
        <v>1</v>
      </c>
      <c r="T1291" t="b">
        <v>1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1</v>
      </c>
      <c r="AB1291" t="b">
        <v>0</v>
      </c>
      <c r="AC1291" t="b">
        <v>0</v>
      </c>
      <c r="AE1291" t="s">
        <v>3442</v>
      </c>
    </row>
    <row r="1292" spans="1:31" x14ac:dyDescent="0.3">
      <c r="A1292">
        <v>-73.966814080410003</v>
      </c>
      <c r="B1292">
        <v>40.776810014730003</v>
      </c>
      <c r="C1292" t="s">
        <v>3443</v>
      </c>
      <c r="D1292" t="s">
        <v>311</v>
      </c>
      <c r="E1292" t="s">
        <v>38</v>
      </c>
      <c r="F1292">
        <v>10082018</v>
      </c>
      <c r="G1292">
        <v>6</v>
      </c>
      <c r="H1292" t="s">
        <v>48</v>
      </c>
      <c r="I1292" t="s">
        <v>53</v>
      </c>
      <c r="J1292" t="s">
        <v>59</v>
      </c>
      <c r="K1292" t="s">
        <v>60</v>
      </c>
      <c r="M1292" t="s">
        <v>65</v>
      </c>
      <c r="N1292" t="b">
        <v>0</v>
      </c>
      <c r="P1292" t="b">
        <v>0</v>
      </c>
      <c r="Q1292" t="b">
        <v>0</v>
      </c>
      <c r="R1292" t="b">
        <v>0</v>
      </c>
      <c r="S1292" t="b">
        <v>1</v>
      </c>
      <c r="T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1</v>
      </c>
      <c r="AE1292" t="s">
        <v>3444</v>
      </c>
    </row>
    <row r="1293" spans="1:31" x14ac:dyDescent="0.3">
      <c r="A1293">
        <v>-73.968593517749994</v>
      </c>
      <c r="B1293">
        <v>40.773553713959998</v>
      </c>
      <c r="C1293" t="s">
        <v>3445</v>
      </c>
      <c r="D1293" t="s">
        <v>58</v>
      </c>
      <c r="E1293" t="s">
        <v>33</v>
      </c>
      <c r="F1293">
        <v>10132018</v>
      </c>
      <c r="G1293">
        <v>3</v>
      </c>
      <c r="H1293" t="s">
        <v>48</v>
      </c>
      <c r="I1293" t="s">
        <v>42</v>
      </c>
      <c r="K1293" t="s">
        <v>43</v>
      </c>
      <c r="M1293" t="s">
        <v>65</v>
      </c>
      <c r="N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s">
        <v>3446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1</v>
      </c>
      <c r="AC1293" t="b">
        <v>0</v>
      </c>
      <c r="AE1293" t="s">
        <v>3447</v>
      </c>
    </row>
    <row r="1294" spans="1:31" x14ac:dyDescent="0.3">
      <c r="A1294">
        <v>-73.959019987130006</v>
      </c>
      <c r="B1294">
        <v>40.791254669179999</v>
      </c>
      <c r="C1294" t="s">
        <v>3448</v>
      </c>
      <c r="D1294" t="s">
        <v>1211</v>
      </c>
      <c r="E1294" t="s">
        <v>33</v>
      </c>
      <c r="F1294">
        <v>10122018</v>
      </c>
      <c r="G1294">
        <v>5</v>
      </c>
      <c r="H1294" t="s">
        <v>48</v>
      </c>
      <c r="I1294" t="s">
        <v>42</v>
      </c>
      <c r="J1294" t="s">
        <v>59</v>
      </c>
      <c r="K1294" t="s">
        <v>79</v>
      </c>
      <c r="M1294" t="s">
        <v>65</v>
      </c>
      <c r="N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s">
        <v>1367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E1294" t="s">
        <v>3449</v>
      </c>
    </row>
    <row r="1295" spans="1:31" x14ac:dyDescent="0.3">
      <c r="A1295">
        <v>-73.977546536529999</v>
      </c>
      <c r="B1295">
        <v>40.768194370789999</v>
      </c>
      <c r="C1295" t="s">
        <v>3450</v>
      </c>
      <c r="D1295" t="s">
        <v>502</v>
      </c>
      <c r="E1295" t="s">
        <v>33</v>
      </c>
      <c r="F1295">
        <v>10102018</v>
      </c>
      <c r="G1295">
        <v>9</v>
      </c>
      <c r="H1295" t="s">
        <v>48</v>
      </c>
      <c r="I1295" t="s">
        <v>42</v>
      </c>
      <c r="K1295" t="s">
        <v>43</v>
      </c>
      <c r="M1295" t="s">
        <v>65</v>
      </c>
      <c r="N1295" t="b">
        <v>0</v>
      </c>
      <c r="P1295" t="b">
        <v>1</v>
      </c>
      <c r="Q1295" t="b">
        <v>0</v>
      </c>
      <c r="R1295" t="b">
        <v>0</v>
      </c>
      <c r="S1295" t="b">
        <v>0</v>
      </c>
      <c r="T1295" t="b">
        <v>1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1</v>
      </c>
      <c r="AE1295" t="s">
        <v>3451</v>
      </c>
    </row>
    <row r="1296" spans="1:31" x14ac:dyDescent="0.3">
      <c r="A1296">
        <v>-73.96040899402</v>
      </c>
      <c r="B1296">
        <v>40.791002806309997</v>
      </c>
      <c r="C1296" t="s">
        <v>3452</v>
      </c>
      <c r="D1296" t="s">
        <v>294</v>
      </c>
      <c r="E1296" t="s">
        <v>38</v>
      </c>
      <c r="F1296">
        <v>10132018</v>
      </c>
      <c r="G1296">
        <v>4</v>
      </c>
      <c r="H1296" t="s">
        <v>48</v>
      </c>
      <c r="I1296" t="s">
        <v>53</v>
      </c>
      <c r="K1296" t="s">
        <v>155</v>
      </c>
      <c r="L1296" t="s">
        <v>3453</v>
      </c>
      <c r="M1296" t="s">
        <v>65</v>
      </c>
      <c r="N1296" t="b">
        <v>0</v>
      </c>
      <c r="P1296" t="b">
        <v>1</v>
      </c>
      <c r="Q1296" t="b">
        <v>0</v>
      </c>
      <c r="R1296" t="b">
        <v>0</v>
      </c>
      <c r="S1296" t="b">
        <v>0</v>
      </c>
      <c r="T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1</v>
      </c>
      <c r="AA1296" t="b">
        <v>1</v>
      </c>
      <c r="AB1296" t="b">
        <v>0</v>
      </c>
      <c r="AC1296" t="b">
        <v>1</v>
      </c>
      <c r="AE1296" t="s">
        <v>3454</v>
      </c>
    </row>
    <row r="1297" spans="1:31" x14ac:dyDescent="0.3">
      <c r="A1297">
        <v>-73.970953489400003</v>
      </c>
      <c r="B1297">
        <v>40.776596474080002</v>
      </c>
      <c r="C1297" t="s">
        <v>3455</v>
      </c>
      <c r="D1297" t="s">
        <v>729</v>
      </c>
      <c r="E1297" t="s">
        <v>38</v>
      </c>
      <c r="F1297">
        <v>10142018</v>
      </c>
      <c r="G1297">
        <v>15</v>
      </c>
      <c r="H1297" t="s">
        <v>48</v>
      </c>
      <c r="I1297" t="s">
        <v>42</v>
      </c>
      <c r="J1297" t="s">
        <v>96</v>
      </c>
      <c r="K1297" t="s">
        <v>97</v>
      </c>
      <c r="M1297" t="s">
        <v>65</v>
      </c>
      <c r="N1297" t="b">
        <v>0</v>
      </c>
      <c r="P1297" t="b">
        <v>0</v>
      </c>
      <c r="Q1297" t="b">
        <v>0</v>
      </c>
      <c r="R1297" t="b">
        <v>0</v>
      </c>
      <c r="S1297" t="b">
        <v>1</v>
      </c>
      <c r="T1297" t="b">
        <v>1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1</v>
      </c>
      <c r="AB1297" t="b">
        <v>0</v>
      </c>
      <c r="AC1297" t="b">
        <v>0</v>
      </c>
      <c r="AE1297" t="s">
        <v>3456</v>
      </c>
    </row>
    <row r="1298" spans="1:31" x14ac:dyDescent="0.3">
      <c r="A1298">
        <v>-73.970550917050005</v>
      </c>
      <c r="B1298">
        <v>40.768941654019997</v>
      </c>
      <c r="C1298" t="s">
        <v>3457</v>
      </c>
      <c r="D1298" t="s">
        <v>228</v>
      </c>
      <c r="E1298" t="s">
        <v>33</v>
      </c>
      <c r="F1298">
        <v>10132018</v>
      </c>
      <c r="G1298">
        <v>4</v>
      </c>
      <c r="H1298" t="s">
        <v>48</v>
      </c>
      <c r="I1298" t="s">
        <v>176</v>
      </c>
      <c r="J1298" t="s">
        <v>42</v>
      </c>
      <c r="K1298" t="s">
        <v>1233</v>
      </c>
      <c r="M1298" t="s">
        <v>65</v>
      </c>
      <c r="N1298" t="b">
        <v>0</v>
      </c>
      <c r="O1298" t="s">
        <v>3458</v>
      </c>
      <c r="P1298" t="b">
        <v>0</v>
      </c>
      <c r="Q1298" t="b">
        <v>0</v>
      </c>
      <c r="R1298" t="b">
        <v>0</v>
      </c>
      <c r="S1298" t="b">
        <v>1</v>
      </c>
      <c r="T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1</v>
      </c>
      <c r="AA1298" t="b">
        <v>0</v>
      </c>
      <c r="AB1298" t="b">
        <v>0</v>
      </c>
      <c r="AC1298" t="b">
        <v>0</v>
      </c>
      <c r="AE1298" t="s">
        <v>3459</v>
      </c>
    </row>
    <row r="1299" spans="1:31" x14ac:dyDescent="0.3">
      <c r="A1299">
        <v>-73.980283170600003</v>
      </c>
      <c r="B1299">
        <v>40.76927632956</v>
      </c>
      <c r="C1299" t="s">
        <v>3460</v>
      </c>
      <c r="D1299" t="s">
        <v>239</v>
      </c>
      <c r="E1299" t="s">
        <v>38</v>
      </c>
      <c r="F1299">
        <v>10122018</v>
      </c>
      <c r="G1299">
        <v>2</v>
      </c>
      <c r="H1299" t="s">
        <v>48</v>
      </c>
      <c r="I1299" t="s">
        <v>42</v>
      </c>
      <c r="J1299" t="s">
        <v>1921</v>
      </c>
      <c r="K1299" t="s">
        <v>1922</v>
      </c>
      <c r="L1299" t="s">
        <v>3461</v>
      </c>
      <c r="M1299" t="s">
        <v>44</v>
      </c>
      <c r="N1299">
        <v>1</v>
      </c>
      <c r="P1299" t="b">
        <v>1</v>
      </c>
      <c r="Q1299" t="b">
        <v>0</v>
      </c>
      <c r="R1299" t="b">
        <v>0</v>
      </c>
      <c r="S1299" t="b">
        <v>0</v>
      </c>
      <c r="T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1</v>
      </c>
      <c r="AA1299" t="b">
        <v>0</v>
      </c>
      <c r="AB1299" t="b">
        <v>0</v>
      </c>
      <c r="AC1299" t="b">
        <v>1</v>
      </c>
      <c r="AE1299" t="s">
        <v>3462</v>
      </c>
    </row>
    <row r="1300" spans="1:31" x14ac:dyDescent="0.3">
      <c r="A1300">
        <v>-73.961290055380005</v>
      </c>
      <c r="B1300">
        <v>40.791291739190001</v>
      </c>
      <c r="C1300" t="s">
        <v>3463</v>
      </c>
      <c r="D1300" t="s">
        <v>607</v>
      </c>
      <c r="E1300" t="s">
        <v>38</v>
      </c>
      <c r="F1300">
        <v>10142018</v>
      </c>
      <c r="G1300">
        <v>1</v>
      </c>
      <c r="H1300" t="s">
        <v>48</v>
      </c>
      <c r="I1300" t="s">
        <v>42</v>
      </c>
      <c r="K1300" t="s">
        <v>43</v>
      </c>
      <c r="M1300" t="s">
        <v>65</v>
      </c>
      <c r="N1300" t="b">
        <v>0</v>
      </c>
      <c r="P1300" t="b">
        <v>1</v>
      </c>
      <c r="Q1300" t="b">
        <v>0</v>
      </c>
      <c r="R1300" t="b">
        <v>0</v>
      </c>
      <c r="S1300" t="b">
        <v>1</v>
      </c>
      <c r="T1300" t="b">
        <v>1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1</v>
      </c>
      <c r="AE1300" t="s">
        <v>3464</v>
      </c>
    </row>
    <row r="1301" spans="1:31" x14ac:dyDescent="0.3">
      <c r="A1301">
        <v>-73.976665366389994</v>
      </c>
      <c r="B1301">
        <v>40.7688767713</v>
      </c>
      <c r="C1301" t="s">
        <v>3465</v>
      </c>
      <c r="D1301" t="s">
        <v>534</v>
      </c>
      <c r="E1301" t="s">
        <v>38</v>
      </c>
      <c r="F1301">
        <v>10122018</v>
      </c>
      <c r="G1301">
        <v>1</v>
      </c>
      <c r="H1301" t="s">
        <v>48</v>
      </c>
      <c r="I1301" t="s">
        <v>42</v>
      </c>
      <c r="J1301" t="s">
        <v>96</v>
      </c>
      <c r="K1301" t="s">
        <v>97</v>
      </c>
      <c r="M1301" t="s">
        <v>65</v>
      </c>
      <c r="N1301" t="b">
        <v>0</v>
      </c>
      <c r="P1301" t="b">
        <v>1</v>
      </c>
      <c r="Q1301" t="b">
        <v>0</v>
      </c>
      <c r="R1301" t="b">
        <v>1</v>
      </c>
      <c r="S1301" t="b">
        <v>0</v>
      </c>
      <c r="T1301" t="b">
        <v>1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1</v>
      </c>
      <c r="AC1301" t="b">
        <v>0</v>
      </c>
      <c r="AE1301" t="s">
        <v>3466</v>
      </c>
    </row>
    <row r="1302" spans="1:31" x14ac:dyDescent="0.3">
      <c r="A1302">
        <v>-73.964280573020005</v>
      </c>
      <c r="B1302">
        <v>40.77783091149</v>
      </c>
      <c r="C1302" t="s">
        <v>3467</v>
      </c>
      <c r="D1302" t="s">
        <v>1141</v>
      </c>
      <c r="E1302" t="s">
        <v>33</v>
      </c>
      <c r="F1302">
        <v>10072018</v>
      </c>
      <c r="G1302">
        <v>8</v>
      </c>
      <c r="H1302" t="s">
        <v>48</v>
      </c>
      <c r="I1302" t="s">
        <v>42</v>
      </c>
      <c r="J1302" t="s">
        <v>53</v>
      </c>
      <c r="K1302" t="s">
        <v>54</v>
      </c>
      <c r="M1302" t="s">
        <v>44</v>
      </c>
      <c r="N1302">
        <v>20</v>
      </c>
      <c r="P1302" t="b">
        <v>0</v>
      </c>
      <c r="Q1302" t="b">
        <v>1</v>
      </c>
      <c r="R1302" t="b">
        <v>1</v>
      </c>
      <c r="S1302" t="b">
        <v>0</v>
      </c>
      <c r="T1302" t="b">
        <v>0</v>
      </c>
      <c r="U1302" t="s">
        <v>3468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1</v>
      </c>
      <c r="AC1302" t="b">
        <v>0</v>
      </c>
      <c r="AE1302" t="s">
        <v>3469</v>
      </c>
    </row>
    <row r="1303" spans="1:31" x14ac:dyDescent="0.3">
      <c r="A1303">
        <v>-73.955214666570001</v>
      </c>
      <c r="B1303">
        <v>40.789290910239998</v>
      </c>
      <c r="C1303" t="s">
        <v>3470</v>
      </c>
      <c r="D1303" t="s">
        <v>873</v>
      </c>
      <c r="E1303" t="s">
        <v>33</v>
      </c>
      <c r="F1303">
        <v>10072018</v>
      </c>
      <c r="G1303">
        <v>3</v>
      </c>
      <c r="H1303" t="s">
        <v>48</v>
      </c>
      <c r="I1303" t="s">
        <v>42</v>
      </c>
      <c r="K1303" t="s">
        <v>43</v>
      </c>
      <c r="L1303" t="s">
        <v>3471</v>
      </c>
      <c r="M1303" t="s">
        <v>44</v>
      </c>
      <c r="N1303">
        <v>20</v>
      </c>
      <c r="P1303" t="b">
        <v>0</v>
      </c>
      <c r="Q1303" t="b">
        <v>0</v>
      </c>
      <c r="R1303" t="b">
        <v>1</v>
      </c>
      <c r="S1303" t="b">
        <v>0</v>
      </c>
      <c r="T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1</v>
      </c>
      <c r="AC1303" t="b">
        <v>0</v>
      </c>
      <c r="AE1303" t="s">
        <v>3472</v>
      </c>
    </row>
    <row r="1304" spans="1:31" x14ac:dyDescent="0.3">
      <c r="A1304">
        <v>-73.970402452990001</v>
      </c>
      <c r="B1304">
        <v>40.772925606389997</v>
      </c>
      <c r="C1304" t="s">
        <v>3473</v>
      </c>
      <c r="D1304" t="s">
        <v>600</v>
      </c>
      <c r="E1304" t="s">
        <v>38</v>
      </c>
      <c r="F1304">
        <v>10062018</v>
      </c>
      <c r="G1304">
        <v>4</v>
      </c>
      <c r="H1304" t="s">
        <v>105</v>
      </c>
      <c r="I1304" t="s">
        <v>42</v>
      </c>
      <c r="J1304" t="s">
        <v>59</v>
      </c>
      <c r="K1304" t="s">
        <v>79</v>
      </c>
      <c r="M1304" t="s">
        <v>65</v>
      </c>
      <c r="N1304" t="b">
        <v>0</v>
      </c>
      <c r="P1304" t="b">
        <v>0</v>
      </c>
      <c r="Q1304" t="b">
        <v>1</v>
      </c>
      <c r="R1304" t="b">
        <v>0</v>
      </c>
      <c r="S1304" t="b">
        <v>0</v>
      </c>
      <c r="T1304" t="b">
        <v>0</v>
      </c>
      <c r="U1304" t="s">
        <v>3474</v>
      </c>
      <c r="V1304" t="b">
        <v>1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E1304" t="s">
        <v>3475</v>
      </c>
    </row>
    <row r="1305" spans="1:31" x14ac:dyDescent="0.3">
      <c r="A1305">
        <v>-73.960330238300003</v>
      </c>
      <c r="B1305">
        <v>40.791010043519996</v>
      </c>
      <c r="C1305" t="s">
        <v>3476</v>
      </c>
      <c r="D1305" t="s">
        <v>294</v>
      </c>
      <c r="E1305" t="s">
        <v>33</v>
      </c>
      <c r="F1305">
        <v>10062018</v>
      </c>
      <c r="G1305">
        <v>1</v>
      </c>
      <c r="H1305" t="s">
        <v>48</v>
      </c>
      <c r="I1305" t="s">
        <v>42</v>
      </c>
      <c r="J1305" t="s">
        <v>96</v>
      </c>
      <c r="K1305" t="s">
        <v>97</v>
      </c>
      <c r="M1305" t="s">
        <v>65</v>
      </c>
      <c r="N1305" t="b">
        <v>0</v>
      </c>
      <c r="P1305" t="b">
        <v>1</v>
      </c>
      <c r="Q1305" t="b">
        <v>0</v>
      </c>
      <c r="R1305" t="b">
        <v>0</v>
      </c>
      <c r="S1305" t="b">
        <v>1</v>
      </c>
      <c r="T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1</v>
      </c>
      <c r="AA1305" t="b">
        <v>0</v>
      </c>
      <c r="AB1305" t="b">
        <v>0</v>
      </c>
      <c r="AC1305" t="b">
        <v>1</v>
      </c>
      <c r="AE1305" t="s">
        <v>3477</v>
      </c>
    </row>
    <row r="1306" spans="1:31" x14ac:dyDescent="0.3">
      <c r="A1306">
        <v>-73.953331951929997</v>
      </c>
      <c r="B1306">
        <v>40.793364790939997</v>
      </c>
      <c r="C1306" t="s">
        <v>3478</v>
      </c>
      <c r="D1306" t="s">
        <v>863</v>
      </c>
      <c r="E1306" t="s">
        <v>38</v>
      </c>
      <c r="F1306">
        <v>10182018</v>
      </c>
      <c r="G1306">
        <v>2</v>
      </c>
      <c r="H1306" t="s">
        <v>48</v>
      </c>
      <c r="I1306" t="s">
        <v>42</v>
      </c>
      <c r="K1306" t="s">
        <v>43</v>
      </c>
      <c r="M1306" t="s">
        <v>44</v>
      </c>
      <c r="O1306" t="s">
        <v>3479</v>
      </c>
      <c r="P1306" t="b">
        <v>0</v>
      </c>
      <c r="Q1306" t="b">
        <v>0</v>
      </c>
      <c r="R1306" t="b">
        <v>1</v>
      </c>
      <c r="S1306" t="b">
        <v>0</v>
      </c>
      <c r="T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s">
        <v>3480</v>
      </c>
      <c r="AE1306" t="s">
        <v>3481</v>
      </c>
    </row>
    <row r="1307" spans="1:31" x14ac:dyDescent="0.3">
      <c r="A1307">
        <v>-73.956932495870007</v>
      </c>
      <c r="B1307">
        <v>40.78777483743</v>
      </c>
      <c r="C1307" t="s">
        <v>3482</v>
      </c>
      <c r="D1307" t="s">
        <v>1912</v>
      </c>
      <c r="E1307" t="s">
        <v>33</v>
      </c>
      <c r="F1307">
        <v>10062018</v>
      </c>
      <c r="G1307">
        <v>1</v>
      </c>
      <c r="H1307" t="s">
        <v>48</v>
      </c>
      <c r="I1307" t="s">
        <v>42</v>
      </c>
      <c r="J1307" t="s">
        <v>59</v>
      </c>
      <c r="K1307" t="s">
        <v>79</v>
      </c>
      <c r="M1307" t="s">
        <v>65</v>
      </c>
      <c r="N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s">
        <v>3483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1</v>
      </c>
      <c r="AE1307" t="s">
        <v>3484</v>
      </c>
    </row>
    <row r="1308" spans="1:31" x14ac:dyDescent="0.3">
      <c r="A1308">
        <v>-73.975597464629999</v>
      </c>
      <c r="B1308">
        <v>40.767343579829998</v>
      </c>
      <c r="C1308" t="s">
        <v>3485</v>
      </c>
      <c r="D1308" t="s">
        <v>1701</v>
      </c>
      <c r="E1308" t="s">
        <v>33</v>
      </c>
      <c r="F1308">
        <v>10132018</v>
      </c>
      <c r="G1308">
        <v>1</v>
      </c>
      <c r="H1308" t="s">
        <v>48</v>
      </c>
      <c r="I1308" t="s">
        <v>42</v>
      </c>
      <c r="J1308" t="s">
        <v>53</v>
      </c>
      <c r="K1308" t="s">
        <v>54</v>
      </c>
      <c r="M1308" t="s">
        <v>65</v>
      </c>
      <c r="N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1</v>
      </c>
      <c r="V1308" t="b">
        <v>0</v>
      </c>
      <c r="W1308" t="b">
        <v>0</v>
      </c>
      <c r="X1308" t="b">
        <v>0</v>
      </c>
      <c r="Y1308" t="b">
        <v>0</v>
      </c>
      <c r="Z1308" t="b">
        <v>1</v>
      </c>
      <c r="AA1308" t="b">
        <v>0</v>
      </c>
      <c r="AB1308" t="b">
        <v>1</v>
      </c>
      <c r="AC1308" t="b">
        <v>0</v>
      </c>
      <c r="AE1308" t="s">
        <v>3486</v>
      </c>
    </row>
    <row r="1309" spans="1:31" x14ac:dyDescent="0.3">
      <c r="A1309">
        <v>-73.956519713730003</v>
      </c>
      <c r="B1309">
        <v>40.798601140380001</v>
      </c>
      <c r="C1309" t="s">
        <v>3487</v>
      </c>
      <c r="D1309" t="s">
        <v>1130</v>
      </c>
      <c r="E1309" t="s">
        <v>33</v>
      </c>
      <c r="F1309">
        <v>10072018</v>
      </c>
      <c r="G1309">
        <v>1</v>
      </c>
      <c r="H1309" t="s">
        <v>48</v>
      </c>
      <c r="I1309" t="s">
        <v>176</v>
      </c>
      <c r="K1309" t="s">
        <v>177</v>
      </c>
      <c r="M1309" t="s">
        <v>65</v>
      </c>
      <c r="N1309" t="b">
        <v>0</v>
      </c>
      <c r="P1309" t="b">
        <v>1</v>
      </c>
      <c r="Q1309" t="b">
        <v>0</v>
      </c>
      <c r="R1309" t="b">
        <v>0</v>
      </c>
      <c r="S1309" t="b">
        <v>1</v>
      </c>
      <c r="T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1</v>
      </c>
      <c r="AE1309" t="s">
        <v>3488</v>
      </c>
    </row>
    <row r="1310" spans="1:31" x14ac:dyDescent="0.3">
      <c r="A1310">
        <v>-73.956039644079993</v>
      </c>
      <c r="B1310">
        <v>40.794508036190003</v>
      </c>
      <c r="C1310" t="s">
        <v>3489</v>
      </c>
      <c r="D1310" t="s">
        <v>394</v>
      </c>
      <c r="E1310" t="s">
        <v>38</v>
      </c>
      <c r="F1310">
        <v>10132018</v>
      </c>
      <c r="G1310">
        <v>1</v>
      </c>
      <c r="H1310" t="s">
        <v>48</v>
      </c>
      <c r="I1310" t="s">
        <v>42</v>
      </c>
      <c r="J1310" t="s">
        <v>59</v>
      </c>
      <c r="K1310" t="s">
        <v>79</v>
      </c>
      <c r="M1310" t="s">
        <v>65</v>
      </c>
      <c r="N1310" t="b">
        <v>0</v>
      </c>
      <c r="P1310" t="b">
        <v>1</v>
      </c>
      <c r="Q1310" t="b">
        <v>0</v>
      </c>
      <c r="R1310" t="b">
        <v>0</v>
      </c>
      <c r="S1310" t="b">
        <v>0</v>
      </c>
      <c r="T1310" t="b">
        <v>1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1</v>
      </c>
      <c r="AC1310" t="b">
        <v>0</v>
      </c>
      <c r="AE1310" t="s">
        <v>3490</v>
      </c>
    </row>
    <row r="1311" spans="1:31" x14ac:dyDescent="0.3">
      <c r="A1311">
        <v>-73.954584182839994</v>
      </c>
      <c r="B1311">
        <v>40.792692426839999</v>
      </c>
      <c r="C1311" t="s">
        <v>3491</v>
      </c>
      <c r="D1311" t="s">
        <v>63</v>
      </c>
      <c r="E1311" t="s">
        <v>38</v>
      </c>
      <c r="F1311">
        <v>10102018</v>
      </c>
      <c r="G1311">
        <v>1</v>
      </c>
      <c r="H1311" t="s">
        <v>48</v>
      </c>
      <c r="I1311" t="s">
        <v>42</v>
      </c>
      <c r="J1311" t="s">
        <v>176</v>
      </c>
      <c r="K1311" t="s">
        <v>339</v>
      </c>
      <c r="M1311" t="s">
        <v>65</v>
      </c>
      <c r="N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1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1</v>
      </c>
      <c r="AC1311" t="b">
        <v>0</v>
      </c>
      <c r="AE1311" t="s">
        <v>3492</v>
      </c>
    </row>
    <row r="1312" spans="1:31" x14ac:dyDescent="0.3">
      <c r="A1312">
        <v>-73.954620140350002</v>
      </c>
      <c r="B1312">
        <v>40.798942376870002</v>
      </c>
      <c r="C1312" t="s">
        <v>3493</v>
      </c>
      <c r="D1312" t="s">
        <v>1424</v>
      </c>
      <c r="E1312" t="s">
        <v>38</v>
      </c>
      <c r="F1312">
        <v>10142018</v>
      </c>
      <c r="G1312">
        <v>3</v>
      </c>
      <c r="H1312" t="s">
        <v>48</v>
      </c>
      <c r="I1312" t="s">
        <v>42</v>
      </c>
      <c r="J1312" t="s">
        <v>59</v>
      </c>
      <c r="K1312" t="s">
        <v>79</v>
      </c>
      <c r="M1312" t="s">
        <v>65</v>
      </c>
      <c r="N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1</v>
      </c>
      <c r="V1312" t="b">
        <v>0</v>
      </c>
      <c r="W1312" t="b">
        <v>0</v>
      </c>
      <c r="X1312" t="b">
        <v>0</v>
      </c>
      <c r="Y1312" t="b">
        <v>0</v>
      </c>
      <c r="Z1312" t="b">
        <v>1</v>
      </c>
      <c r="AA1312" t="b">
        <v>0</v>
      </c>
      <c r="AB1312" t="b">
        <v>1</v>
      </c>
      <c r="AC1312" t="b">
        <v>0</v>
      </c>
      <c r="AE1312" t="s">
        <v>3494</v>
      </c>
    </row>
    <row r="1313" spans="1:31" x14ac:dyDescent="0.3">
      <c r="A1313">
        <v>-73.969416935240005</v>
      </c>
      <c r="B1313">
        <v>40.774440829390002</v>
      </c>
      <c r="C1313" t="s">
        <v>3495</v>
      </c>
      <c r="D1313" t="s">
        <v>988</v>
      </c>
      <c r="E1313" t="s">
        <v>33</v>
      </c>
      <c r="F1313">
        <v>10072018</v>
      </c>
      <c r="G1313">
        <v>3</v>
      </c>
      <c r="I1313" t="s">
        <v>53</v>
      </c>
      <c r="J1313" t="s">
        <v>42</v>
      </c>
      <c r="K1313" t="s">
        <v>89</v>
      </c>
      <c r="M1313" t="s">
        <v>65</v>
      </c>
      <c r="N1313" t="b">
        <v>0</v>
      </c>
      <c r="O1313" t="s">
        <v>3496</v>
      </c>
      <c r="P1313" t="b">
        <v>0</v>
      </c>
      <c r="Q1313" t="b">
        <v>0</v>
      </c>
      <c r="R1313" t="b">
        <v>0</v>
      </c>
      <c r="S1313" t="b">
        <v>0</v>
      </c>
      <c r="T1313" t="b">
        <v>1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s">
        <v>3497</v>
      </c>
      <c r="AE1313" t="s">
        <v>3498</v>
      </c>
    </row>
    <row r="1314" spans="1:31" x14ac:dyDescent="0.3">
      <c r="A1314">
        <v>-73.971203432069998</v>
      </c>
      <c r="B1314">
        <v>40.77644155067</v>
      </c>
      <c r="C1314" t="s">
        <v>3499</v>
      </c>
      <c r="D1314" t="s">
        <v>415</v>
      </c>
      <c r="E1314" t="s">
        <v>33</v>
      </c>
      <c r="F1314">
        <v>10182018</v>
      </c>
      <c r="G1314">
        <v>5</v>
      </c>
      <c r="H1314" t="s">
        <v>48</v>
      </c>
      <c r="I1314" t="s">
        <v>42</v>
      </c>
      <c r="J1314" t="s">
        <v>96</v>
      </c>
      <c r="K1314" t="s">
        <v>97</v>
      </c>
      <c r="L1314" t="s">
        <v>1381</v>
      </c>
      <c r="M1314" t="s">
        <v>65</v>
      </c>
      <c r="N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1</v>
      </c>
      <c r="V1314" t="b">
        <v>0</v>
      </c>
      <c r="W1314" t="b">
        <v>0</v>
      </c>
      <c r="X1314" t="b">
        <v>0</v>
      </c>
      <c r="Y1314" t="b">
        <v>0</v>
      </c>
      <c r="Z1314" t="b">
        <v>1</v>
      </c>
      <c r="AA1314" t="b">
        <v>1</v>
      </c>
      <c r="AB1314" t="b">
        <v>1</v>
      </c>
      <c r="AC1314" t="b">
        <v>0</v>
      </c>
      <c r="AE1314" t="s">
        <v>3500</v>
      </c>
    </row>
    <row r="1315" spans="1:31" x14ac:dyDescent="0.3">
      <c r="A1315">
        <v>-73.967181386619998</v>
      </c>
      <c r="B1315">
        <v>40.783864003200001</v>
      </c>
      <c r="C1315" t="s">
        <v>3501</v>
      </c>
      <c r="D1315" t="s">
        <v>689</v>
      </c>
      <c r="E1315" t="s">
        <v>33</v>
      </c>
      <c r="F1315">
        <v>10062018</v>
      </c>
      <c r="G1315">
        <v>4</v>
      </c>
      <c r="H1315" t="s">
        <v>105</v>
      </c>
      <c r="I1315" t="s">
        <v>42</v>
      </c>
      <c r="K1315" t="s">
        <v>43</v>
      </c>
      <c r="M1315" t="s">
        <v>44</v>
      </c>
      <c r="N1315">
        <v>10</v>
      </c>
      <c r="P1315" t="b">
        <v>0</v>
      </c>
      <c r="Q1315" t="b">
        <v>0</v>
      </c>
      <c r="R1315" t="b">
        <v>1</v>
      </c>
      <c r="S1315" t="b">
        <v>0</v>
      </c>
      <c r="T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E1315" t="s">
        <v>3502</v>
      </c>
    </row>
    <row r="1316" spans="1:31" x14ac:dyDescent="0.3">
      <c r="A1316">
        <v>-73.980919134779995</v>
      </c>
      <c r="B1316">
        <v>40.768377245330001</v>
      </c>
      <c r="C1316" t="s">
        <v>3503</v>
      </c>
      <c r="D1316" t="s">
        <v>1775</v>
      </c>
      <c r="E1316" t="s">
        <v>33</v>
      </c>
      <c r="F1316">
        <v>10142018</v>
      </c>
      <c r="G1316">
        <v>6</v>
      </c>
      <c r="H1316" t="s">
        <v>105</v>
      </c>
      <c r="I1316" t="s">
        <v>42</v>
      </c>
      <c r="K1316" t="s">
        <v>43</v>
      </c>
      <c r="M1316" t="s">
        <v>65</v>
      </c>
      <c r="N1316" t="b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V1316" t="b">
        <v>1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1</v>
      </c>
      <c r="AE1316" t="s">
        <v>3504</v>
      </c>
    </row>
    <row r="1317" spans="1:31" x14ac:dyDescent="0.3">
      <c r="A1317">
        <v>-73.959595582480006</v>
      </c>
      <c r="B1317">
        <v>40.79330479435</v>
      </c>
      <c r="C1317" t="s">
        <v>3505</v>
      </c>
      <c r="D1317" t="s">
        <v>1170</v>
      </c>
      <c r="E1317" t="s">
        <v>33</v>
      </c>
      <c r="F1317">
        <v>10072018</v>
      </c>
      <c r="G1317">
        <v>1</v>
      </c>
      <c r="H1317" t="s">
        <v>48</v>
      </c>
      <c r="I1317" t="s">
        <v>42</v>
      </c>
      <c r="J1317" t="s">
        <v>59</v>
      </c>
      <c r="K1317" t="s">
        <v>79</v>
      </c>
      <c r="M1317" t="s">
        <v>44</v>
      </c>
      <c r="N1317">
        <v>25</v>
      </c>
      <c r="P1317" t="b">
        <v>0</v>
      </c>
      <c r="Q1317" t="b">
        <v>0</v>
      </c>
      <c r="R1317" t="b">
        <v>1</v>
      </c>
      <c r="S1317" t="b">
        <v>0</v>
      </c>
      <c r="T1317" t="b">
        <v>1</v>
      </c>
      <c r="V1317" t="b">
        <v>0</v>
      </c>
      <c r="W1317" t="b">
        <v>0</v>
      </c>
      <c r="X1317" t="b">
        <v>0</v>
      </c>
      <c r="Y1317" t="b">
        <v>0</v>
      </c>
      <c r="Z1317" t="b">
        <v>1</v>
      </c>
      <c r="AA1317" t="b">
        <v>0</v>
      </c>
      <c r="AB1317" t="b">
        <v>0</v>
      </c>
      <c r="AC1317" t="b">
        <v>1</v>
      </c>
      <c r="AE1317" t="s">
        <v>3506</v>
      </c>
    </row>
    <row r="1318" spans="1:31" x14ac:dyDescent="0.3">
      <c r="A1318">
        <v>-73.967472479069997</v>
      </c>
      <c r="B1318">
        <v>40.776877134990002</v>
      </c>
      <c r="C1318" t="s">
        <v>3507</v>
      </c>
      <c r="D1318" t="s">
        <v>311</v>
      </c>
      <c r="E1318" t="s">
        <v>33</v>
      </c>
      <c r="F1318">
        <v>10192018</v>
      </c>
      <c r="G1318">
        <v>1</v>
      </c>
      <c r="H1318" t="s">
        <v>48</v>
      </c>
      <c r="I1318" t="s">
        <v>42</v>
      </c>
      <c r="J1318" t="s">
        <v>53</v>
      </c>
      <c r="K1318" t="s">
        <v>54</v>
      </c>
      <c r="M1318" t="s">
        <v>65</v>
      </c>
      <c r="N1318" t="b">
        <v>0</v>
      </c>
      <c r="P1318" t="b">
        <v>0</v>
      </c>
      <c r="Q1318" t="b">
        <v>0</v>
      </c>
      <c r="R1318" t="b">
        <v>0</v>
      </c>
      <c r="S1318" t="b">
        <v>1</v>
      </c>
      <c r="T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1</v>
      </c>
      <c r="AA1318" t="b">
        <v>0</v>
      </c>
      <c r="AB1318" t="b">
        <v>1</v>
      </c>
      <c r="AC1318" t="b">
        <v>0</v>
      </c>
      <c r="AE1318" t="s">
        <v>3508</v>
      </c>
    </row>
    <row r="1319" spans="1:31" x14ac:dyDescent="0.3">
      <c r="A1319">
        <v>-73.96805223794</v>
      </c>
      <c r="B1319">
        <v>40.772389813510003</v>
      </c>
      <c r="C1319" t="s">
        <v>3509</v>
      </c>
      <c r="D1319" t="s">
        <v>1270</v>
      </c>
      <c r="E1319" t="s">
        <v>33</v>
      </c>
      <c r="F1319">
        <v>10122018</v>
      </c>
      <c r="G1319">
        <v>6</v>
      </c>
      <c r="H1319" t="s">
        <v>48</v>
      </c>
      <c r="I1319" t="s">
        <v>42</v>
      </c>
      <c r="K1319" t="s">
        <v>43</v>
      </c>
      <c r="M1319" t="s">
        <v>44</v>
      </c>
      <c r="N1319">
        <v>2</v>
      </c>
      <c r="P1319" t="b">
        <v>1</v>
      </c>
      <c r="Q1319" t="b">
        <v>0</v>
      </c>
      <c r="R1319" t="b">
        <v>1</v>
      </c>
      <c r="S1319" t="b">
        <v>0</v>
      </c>
      <c r="T1319" t="b">
        <v>1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E1319" t="s">
        <v>3510</v>
      </c>
    </row>
    <row r="1320" spans="1:31" x14ac:dyDescent="0.3">
      <c r="A1320">
        <v>-73.97149072357</v>
      </c>
      <c r="B1320">
        <v>40.774058386150003</v>
      </c>
      <c r="C1320" t="s">
        <v>3511</v>
      </c>
      <c r="D1320" t="s">
        <v>1112</v>
      </c>
      <c r="E1320" t="s">
        <v>33</v>
      </c>
      <c r="F1320">
        <v>10122018</v>
      </c>
      <c r="G1320">
        <v>1</v>
      </c>
      <c r="H1320" t="s">
        <v>48</v>
      </c>
      <c r="I1320" t="s">
        <v>42</v>
      </c>
      <c r="J1320" t="s">
        <v>59</v>
      </c>
      <c r="K1320" t="s">
        <v>79</v>
      </c>
      <c r="M1320" t="s">
        <v>65</v>
      </c>
      <c r="N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1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1</v>
      </c>
      <c r="AC1320" t="b">
        <v>0</v>
      </c>
      <c r="AE1320" t="s">
        <v>3512</v>
      </c>
    </row>
    <row r="1321" spans="1:31" x14ac:dyDescent="0.3">
      <c r="A1321">
        <v>-73.956210550630004</v>
      </c>
      <c r="B1321">
        <v>40.796699119789999</v>
      </c>
      <c r="C1321" t="s">
        <v>3513</v>
      </c>
      <c r="D1321" t="s">
        <v>1945</v>
      </c>
      <c r="E1321" t="s">
        <v>38</v>
      </c>
      <c r="F1321">
        <v>10082018</v>
      </c>
      <c r="G1321">
        <v>2</v>
      </c>
      <c r="H1321" t="s">
        <v>48</v>
      </c>
      <c r="I1321" t="s">
        <v>42</v>
      </c>
      <c r="K1321" t="s">
        <v>43</v>
      </c>
      <c r="M1321" t="s">
        <v>65</v>
      </c>
      <c r="N1321" t="b">
        <v>0</v>
      </c>
      <c r="P1321" t="b">
        <v>0</v>
      </c>
      <c r="Q1321" t="b">
        <v>1</v>
      </c>
      <c r="R1321" t="b">
        <v>0</v>
      </c>
      <c r="S1321" t="b">
        <v>0</v>
      </c>
      <c r="T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E1321" t="s">
        <v>3514</v>
      </c>
    </row>
    <row r="1322" spans="1:31" x14ac:dyDescent="0.3">
      <c r="A1322">
        <v>-73.955432768359998</v>
      </c>
      <c r="B1322">
        <v>40.795384638149997</v>
      </c>
      <c r="C1322" t="s">
        <v>3515</v>
      </c>
      <c r="D1322" t="s">
        <v>520</v>
      </c>
      <c r="E1322" t="s">
        <v>38</v>
      </c>
      <c r="F1322">
        <v>10102018</v>
      </c>
      <c r="G1322">
        <v>5</v>
      </c>
      <c r="H1322" t="s">
        <v>48</v>
      </c>
      <c r="I1322" t="s">
        <v>42</v>
      </c>
      <c r="J1322" t="s">
        <v>53</v>
      </c>
      <c r="K1322" t="s">
        <v>54</v>
      </c>
      <c r="M1322" t="s">
        <v>65</v>
      </c>
      <c r="N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1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1</v>
      </c>
      <c r="AC1322" t="b">
        <v>0</v>
      </c>
      <c r="AD1322" t="s">
        <v>3516</v>
      </c>
      <c r="AE1322" t="s">
        <v>3517</v>
      </c>
    </row>
    <row r="1323" spans="1:31" x14ac:dyDescent="0.3">
      <c r="A1323">
        <v>-73.969928568829999</v>
      </c>
      <c r="B1323">
        <v>40.77744740152</v>
      </c>
      <c r="C1323" t="s">
        <v>3518</v>
      </c>
      <c r="D1323" t="s">
        <v>544</v>
      </c>
      <c r="E1323" t="s">
        <v>38</v>
      </c>
      <c r="F1323">
        <v>10072018</v>
      </c>
      <c r="G1323">
        <v>8</v>
      </c>
      <c r="H1323" t="s">
        <v>48</v>
      </c>
      <c r="I1323" t="s">
        <v>42</v>
      </c>
      <c r="K1323" t="s">
        <v>43</v>
      </c>
      <c r="M1323" t="s">
        <v>65</v>
      </c>
      <c r="N1323" t="b">
        <v>0</v>
      </c>
      <c r="P1323" t="b">
        <v>0</v>
      </c>
      <c r="Q1323" t="b">
        <v>1</v>
      </c>
      <c r="R1323" t="b">
        <v>0</v>
      </c>
      <c r="S1323" t="b">
        <v>0</v>
      </c>
      <c r="T1323" t="b">
        <v>1</v>
      </c>
      <c r="U1323" t="s">
        <v>3519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1</v>
      </c>
      <c r="AC1323" t="b">
        <v>0</v>
      </c>
      <c r="AE1323" t="s">
        <v>3520</v>
      </c>
    </row>
    <row r="1324" spans="1:31" x14ac:dyDescent="0.3">
      <c r="A1324">
        <v>-73.970182437649996</v>
      </c>
      <c r="B1324">
        <v>40.776370330669998</v>
      </c>
      <c r="C1324" t="s">
        <v>3521</v>
      </c>
      <c r="D1324" t="s">
        <v>100</v>
      </c>
      <c r="E1324" t="s">
        <v>38</v>
      </c>
      <c r="F1324">
        <v>10082018</v>
      </c>
      <c r="G1324">
        <v>21</v>
      </c>
      <c r="H1324" t="s">
        <v>48</v>
      </c>
      <c r="I1324" t="s">
        <v>42</v>
      </c>
      <c r="K1324" t="s">
        <v>43</v>
      </c>
      <c r="M1324" t="s">
        <v>65</v>
      </c>
      <c r="N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1</v>
      </c>
      <c r="U1324" t="s">
        <v>101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1</v>
      </c>
      <c r="AB1324" t="b">
        <v>0</v>
      </c>
      <c r="AC1324" t="b">
        <v>0</v>
      </c>
      <c r="AD1324" t="s">
        <v>3522</v>
      </c>
      <c r="AE1324" t="s">
        <v>3523</v>
      </c>
    </row>
    <row r="1325" spans="1:31" x14ac:dyDescent="0.3">
      <c r="A1325">
        <v>-73.97443873476</v>
      </c>
      <c r="B1325">
        <v>40.777695314379997</v>
      </c>
      <c r="C1325" t="s">
        <v>3524</v>
      </c>
      <c r="D1325" t="s">
        <v>585</v>
      </c>
      <c r="E1325" t="s">
        <v>38</v>
      </c>
      <c r="F1325">
        <v>10172018</v>
      </c>
      <c r="G1325">
        <v>3</v>
      </c>
      <c r="H1325" t="s">
        <v>48</v>
      </c>
      <c r="I1325" t="s">
        <v>53</v>
      </c>
      <c r="K1325" t="s">
        <v>155</v>
      </c>
      <c r="P1325" t="b">
        <v>0</v>
      </c>
      <c r="Q1325" t="b">
        <v>1</v>
      </c>
      <c r="R1325" t="b">
        <v>0</v>
      </c>
      <c r="S1325" t="b">
        <v>0</v>
      </c>
      <c r="T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1</v>
      </c>
      <c r="AC1325" t="b">
        <v>0</v>
      </c>
      <c r="AE1325" t="s">
        <v>3525</v>
      </c>
    </row>
    <row r="1326" spans="1:31" x14ac:dyDescent="0.3">
      <c r="A1326">
        <v>-73.954554245379995</v>
      </c>
      <c r="B1326">
        <v>40.798393573059997</v>
      </c>
      <c r="C1326" t="s">
        <v>3526</v>
      </c>
      <c r="D1326" t="s">
        <v>1515</v>
      </c>
      <c r="E1326" t="s">
        <v>38</v>
      </c>
      <c r="F1326">
        <v>10072018</v>
      </c>
      <c r="G1326">
        <v>5</v>
      </c>
      <c r="H1326" t="s">
        <v>48</v>
      </c>
      <c r="I1326" t="s">
        <v>42</v>
      </c>
      <c r="J1326" t="s">
        <v>59</v>
      </c>
      <c r="K1326" t="s">
        <v>79</v>
      </c>
      <c r="M1326" t="s">
        <v>44</v>
      </c>
      <c r="N1326">
        <v>10</v>
      </c>
      <c r="P1326" t="b">
        <v>0</v>
      </c>
      <c r="Q1326" t="b">
        <v>0</v>
      </c>
      <c r="R1326" t="b">
        <v>1</v>
      </c>
      <c r="S1326" t="b">
        <v>0</v>
      </c>
      <c r="T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1</v>
      </c>
      <c r="AD1326" t="s">
        <v>3527</v>
      </c>
      <c r="AE1326" t="s">
        <v>3528</v>
      </c>
    </row>
    <row r="1327" spans="1:31" x14ac:dyDescent="0.3">
      <c r="A1327">
        <v>-73.977527884790007</v>
      </c>
      <c r="B1327">
        <v>40.768788106110001</v>
      </c>
      <c r="C1327" t="s">
        <v>3529</v>
      </c>
      <c r="D1327" t="s">
        <v>827</v>
      </c>
      <c r="E1327" t="s">
        <v>38</v>
      </c>
      <c r="F1327">
        <v>10072018</v>
      </c>
      <c r="G1327">
        <v>2</v>
      </c>
      <c r="H1327" t="s">
        <v>48</v>
      </c>
      <c r="I1327" t="s">
        <v>42</v>
      </c>
      <c r="J1327" t="s">
        <v>96</v>
      </c>
      <c r="K1327" t="s">
        <v>97</v>
      </c>
      <c r="M1327" t="s">
        <v>65</v>
      </c>
      <c r="N1327" t="b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1</v>
      </c>
      <c r="AC1327" t="b">
        <v>0</v>
      </c>
      <c r="AE1327" t="s">
        <v>3530</v>
      </c>
    </row>
    <row r="1328" spans="1:31" x14ac:dyDescent="0.3">
      <c r="A1328">
        <v>-73.974728812259997</v>
      </c>
      <c r="B1328">
        <v>40.76599187475</v>
      </c>
      <c r="C1328" t="s">
        <v>3531</v>
      </c>
      <c r="D1328" t="s">
        <v>2889</v>
      </c>
      <c r="E1328" t="s">
        <v>33</v>
      </c>
      <c r="F1328">
        <v>10072018</v>
      </c>
      <c r="G1328">
        <v>3</v>
      </c>
      <c r="H1328" t="s">
        <v>48</v>
      </c>
      <c r="I1328" t="s">
        <v>42</v>
      </c>
      <c r="J1328" t="s">
        <v>53</v>
      </c>
      <c r="K1328" t="s">
        <v>54</v>
      </c>
      <c r="M1328" t="s">
        <v>65</v>
      </c>
      <c r="N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1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1</v>
      </c>
      <c r="AC1328" t="b">
        <v>0</v>
      </c>
      <c r="AE1328" t="s">
        <v>3532</v>
      </c>
    </row>
    <row r="1329" spans="1:31" x14ac:dyDescent="0.3">
      <c r="A1329">
        <v>-73.968993936860002</v>
      </c>
      <c r="B1329">
        <v>40.774082477340002</v>
      </c>
      <c r="C1329" t="s">
        <v>3533</v>
      </c>
      <c r="D1329" t="s">
        <v>988</v>
      </c>
      <c r="E1329" t="s">
        <v>38</v>
      </c>
      <c r="F1329">
        <v>10122018</v>
      </c>
      <c r="G1329">
        <v>3</v>
      </c>
      <c r="H1329" t="s">
        <v>48</v>
      </c>
      <c r="I1329" t="s">
        <v>42</v>
      </c>
      <c r="K1329" t="s">
        <v>43</v>
      </c>
      <c r="M1329" t="s">
        <v>65</v>
      </c>
      <c r="N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1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E1329" t="s">
        <v>3534</v>
      </c>
    </row>
    <row r="1330" spans="1:31" x14ac:dyDescent="0.3">
      <c r="A1330">
        <v>-73.976575804310002</v>
      </c>
      <c r="B1330">
        <v>40.771380315400002</v>
      </c>
      <c r="C1330" t="s">
        <v>3535</v>
      </c>
      <c r="D1330" t="s">
        <v>2798</v>
      </c>
      <c r="E1330" t="s">
        <v>38</v>
      </c>
      <c r="F1330">
        <v>10072018</v>
      </c>
      <c r="G1330">
        <v>3</v>
      </c>
      <c r="H1330" t="s">
        <v>48</v>
      </c>
      <c r="I1330" t="s">
        <v>42</v>
      </c>
      <c r="J1330" t="s">
        <v>59</v>
      </c>
      <c r="K1330" t="s">
        <v>79</v>
      </c>
      <c r="M1330" t="s">
        <v>44</v>
      </c>
      <c r="N1330">
        <v>8</v>
      </c>
      <c r="O1330" t="s">
        <v>3536</v>
      </c>
      <c r="P1330" t="b">
        <v>1</v>
      </c>
      <c r="Q1330" t="b">
        <v>0</v>
      </c>
      <c r="R1330" t="b">
        <v>1</v>
      </c>
      <c r="S1330" t="b">
        <v>0</v>
      </c>
      <c r="T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1</v>
      </c>
      <c r="AE1330" t="s">
        <v>3537</v>
      </c>
    </row>
    <row r="1331" spans="1:31" x14ac:dyDescent="0.3">
      <c r="A1331">
        <v>-73.977216452419995</v>
      </c>
      <c r="B1331">
        <v>40.768839953879997</v>
      </c>
      <c r="C1331" t="s">
        <v>3538</v>
      </c>
      <c r="D1331" t="s">
        <v>502</v>
      </c>
      <c r="E1331" t="s">
        <v>38</v>
      </c>
      <c r="F1331">
        <v>10062018</v>
      </c>
      <c r="G1331">
        <v>6</v>
      </c>
      <c r="I1331" t="s">
        <v>42</v>
      </c>
      <c r="K1331" t="s">
        <v>43</v>
      </c>
      <c r="M1331" t="s">
        <v>44</v>
      </c>
      <c r="N1331">
        <v>10</v>
      </c>
      <c r="O1331" t="s">
        <v>190</v>
      </c>
      <c r="P1331" t="b">
        <v>1</v>
      </c>
      <c r="Q1331" t="b">
        <v>0</v>
      </c>
      <c r="R1331" t="b">
        <v>1</v>
      </c>
      <c r="S1331" t="b">
        <v>0</v>
      </c>
      <c r="T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s">
        <v>3539</v>
      </c>
      <c r="AE1331" t="s">
        <v>3540</v>
      </c>
    </row>
    <row r="1332" spans="1:31" x14ac:dyDescent="0.3">
      <c r="A1332">
        <v>-73.964303255420006</v>
      </c>
      <c r="B1332">
        <v>40.779451452650001</v>
      </c>
      <c r="C1332" t="s">
        <v>3541</v>
      </c>
      <c r="D1332" t="s">
        <v>1015</v>
      </c>
      <c r="E1332" t="s">
        <v>38</v>
      </c>
      <c r="F1332">
        <v>10102018</v>
      </c>
      <c r="G1332">
        <v>2</v>
      </c>
      <c r="I1332" t="s">
        <v>42</v>
      </c>
      <c r="J1332" t="s">
        <v>96</v>
      </c>
      <c r="K1332" t="s">
        <v>97</v>
      </c>
      <c r="M1332" t="s">
        <v>65</v>
      </c>
      <c r="N1332" t="b">
        <v>0</v>
      </c>
      <c r="O1332" t="s">
        <v>3542</v>
      </c>
      <c r="P1332" t="b">
        <v>1</v>
      </c>
      <c r="Q1332" t="b">
        <v>0</v>
      </c>
      <c r="R1332" t="b">
        <v>0</v>
      </c>
      <c r="S1332" t="b">
        <v>1</v>
      </c>
      <c r="T1332" t="b">
        <v>1</v>
      </c>
      <c r="V1332" t="b">
        <v>0</v>
      </c>
      <c r="W1332" t="b">
        <v>0</v>
      </c>
      <c r="X1332" t="b">
        <v>0</v>
      </c>
      <c r="Y1332" t="b">
        <v>1</v>
      </c>
      <c r="Z1332" t="b">
        <v>0</v>
      </c>
      <c r="AA1332" t="b">
        <v>1</v>
      </c>
      <c r="AB1332" t="b">
        <v>0</v>
      </c>
      <c r="AC1332" t="b">
        <v>0</v>
      </c>
      <c r="AD1332" t="s">
        <v>3543</v>
      </c>
      <c r="AE1332" t="s">
        <v>3544</v>
      </c>
    </row>
    <row r="1333" spans="1:31" x14ac:dyDescent="0.3">
      <c r="A1333">
        <v>-73.958880914999995</v>
      </c>
      <c r="B1333">
        <v>40.78472315762</v>
      </c>
      <c r="C1333" t="s">
        <v>3545</v>
      </c>
      <c r="D1333" t="s">
        <v>844</v>
      </c>
      <c r="E1333" t="s">
        <v>33</v>
      </c>
      <c r="F1333">
        <v>10102018</v>
      </c>
      <c r="G1333">
        <v>1</v>
      </c>
      <c r="H1333" t="s">
        <v>48</v>
      </c>
      <c r="I1333" t="s">
        <v>42</v>
      </c>
      <c r="J1333" t="s">
        <v>96</v>
      </c>
      <c r="K1333" t="s">
        <v>97</v>
      </c>
      <c r="M1333" t="s">
        <v>44</v>
      </c>
      <c r="N1333">
        <v>4</v>
      </c>
      <c r="P1333" t="b">
        <v>0</v>
      </c>
      <c r="Q1333" t="b">
        <v>0</v>
      </c>
      <c r="R1333" t="b">
        <v>1</v>
      </c>
      <c r="S1333" t="b">
        <v>0</v>
      </c>
      <c r="T1333" t="b">
        <v>1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1</v>
      </c>
      <c r="AC1333" t="b">
        <v>0</v>
      </c>
      <c r="AE1333" t="s">
        <v>3546</v>
      </c>
    </row>
    <row r="1334" spans="1:31" x14ac:dyDescent="0.3">
      <c r="A1334">
        <v>-73.977492824579997</v>
      </c>
      <c r="B1334">
        <v>40.772046460699997</v>
      </c>
      <c r="C1334" t="s">
        <v>3547</v>
      </c>
      <c r="D1334" t="s">
        <v>796</v>
      </c>
      <c r="E1334" t="s">
        <v>38</v>
      </c>
      <c r="F1334">
        <v>10122018</v>
      </c>
      <c r="G1334">
        <v>2</v>
      </c>
      <c r="H1334" t="s">
        <v>48</v>
      </c>
      <c r="I1334" t="s">
        <v>42</v>
      </c>
      <c r="J1334" t="s">
        <v>53</v>
      </c>
      <c r="K1334" t="s">
        <v>54</v>
      </c>
      <c r="M1334" t="s">
        <v>65</v>
      </c>
      <c r="N1334" t="b">
        <v>0</v>
      </c>
      <c r="O1334" t="s">
        <v>3548</v>
      </c>
      <c r="P1334" t="b">
        <v>0</v>
      </c>
      <c r="Q1334" t="b">
        <v>0</v>
      </c>
      <c r="R1334" t="b">
        <v>0</v>
      </c>
      <c r="S1334" t="b">
        <v>0</v>
      </c>
      <c r="T1334" t="b">
        <v>1</v>
      </c>
      <c r="U1334" t="s">
        <v>3549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1</v>
      </c>
      <c r="AE1334" t="s">
        <v>3550</v>
      </c>
    </row>
    <row r="1335" spans="1:31" x14ac:dyDescent="0.3">
      <c r="A1335">
        <v>-73.975452770179999</v>
      </c>
      <c r="B1335">
        <v>40.765608846390002</v>
      </c>
      <c r="C1335" t="s">
        <v>3551</v>
      </c>
      <c r="D1335" t="s">
        <v>963</v>
      </c>
      <c r="E1335" t="s">
        <v>33</v>
      </c>
      <c r="F1335">
        <v>10102018</v>
      </c>
      <c r="G1335">
        <v>2</v>
      </c>
      <c r="H1335" t="s">
        <v>48</v>
      </c>
      <c r="I1335" t="s">
        <v>42</v>
      </c>
      <c r="J1335" t="s">
        <v>53</v>
      </c>
      <c r="K1335" t="s">
        <v>54</v>
      </c>
      <c r="M1335" t="s">
        <v>44</v>
      </c>
      <c r="N1335">
        <v>20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s">
        <v>3552</v>
      </c>
      <c r="V1335" t="b">
        <v>0</v>
      </c>
      <c r="W1335" t="b">
        <v>0</v>
      </c>
      <c r="X1335" t="b">
        <v>0</v>
      </c>
      <c r="Y1335" t="b">
        <v>1</v>
      </c>
      <c r="Z1335" t="b">
        <v>1</v>
      </c>
      <c r="AA1335" t="b">
        <v>0</v>
      </c>
      <c r="AB1335" t="b">
        <v>0</v>
      </c>
      <c r="AC1335" t="b">
        <v>0</v>
      </c>
      <c r="AE1335" t="s">
        <v>3553</v>
      </c>
    </row>
    <row r="1336" spans="1:31" x14ac:dyDescent="0.3">
      <c r="A1336">
        <v>-73.957134662580003</v>
      </c>
      <c r="B1336">
        <v>40.787239560410001</v>
      </c>
      <c r="C1336" t="s">
        <v>3554</v>
      </c>
      <c r="D1336" t="s">
        <v>1912</v>
      </c>
      <c r="E1336" t="s">
        <v>33</v>
      </c>
      <c r="F1336">
        <v>10062018</v>
      </c>
      <c r="G1336">
        <v>7</v>
      </c>
      <c r="H1336" t="s">
        <v>48</v>
      </c>
      <c r="I1336" t="s">
        <v>53</v>
      </c>
      <c r="J1336" t="s">
        <v>42</v>
      </c>
      <c r="K1336" t="s">
        <v>89</v>
      </c>
      <c r="M1336" t="s">
        <v>65</v>
      </c>
      <c r="N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1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1</v>
      </c>
      <c r="AE1336" t="s">
        <v>3555</v>
      </c>
    </row>
    <row r="1337" spans="1:31" x14ac:dyDescent="0.3">
      <c r="A1337">
        <v>-73.96956059128</v>
      </c>
      <c r="B1337">
        <v>40.77056198407</v>
      </c>
      <c r="C1337" t="s">
        <v>3556</v>
      </c>
      <c r="D1337" t="s">
        <v>1326</v>
      </c>
      <c r="E1337" t="s">
        <v>38</v>
      </c>
      <c r="F1337">
        <v>10062018</v>
      </c>
      <c r="G1337">
        <v>9</v>
      </c>
      <c r="H1337" t="s">
        <v>48</v>
      </c>
      <c r="I1337" t="s">
        <v>42</v>
      </c>
      <c r="J1337" t="s">
        <v>96</v>
      </c>
      <c r="K1337" t="s">
        <v>97</v>
      </c>
      <c r="M1337" t="s">
        <v>65</v>
      </c>
      <c r="N1337" t="b">
        <v>0</v>
      </c>
      <c r="P1337" t="b">
        <v>0</v>
      </c>
      <c r="Q1337" t="b">
        <v>0</v>
      </c>
      <c r="R1337" t="b">
        <v>0</v>
      </c>
      <c r="S1337" t="b">
        <v>1</v>
      </c>
      <c r="T1337" t="b">
        <v>1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s">
        <v>3557</v>
      </c>
      <c r="AE1337" t="s">
        <v>3558</v>
      </c>
    </row>
    <row r="1338" spans="1:31" x14ac:dyDescent="0.3">
      <c r="A1338">
        <v>-73.973382005369999</v>
      </c>
      <c r="B1338">
        <v>40.768733047360001</v>
      </c>
      <c r="C1338" t="s">
        <v>3559</v>
      </c>
      <c r="D1338" t="s">
        <v>1663</v>
      </c>
      <c r="E1338" t="s">
        <v>33</v>
      </c>
      <c r="F1338">
        <v>10102018</v>
      </c>
      <c r="G1338">
        <v>5</v>
      </c>
      <c r="H1338" t="s">
        <v>48</v>
      </c>
      <c r="I1338" t="s">
        <v>42</v>
      </c>
      <c r="J1338" t="s">
        <v>53</v>
      </c>
      <c r="K1338" t="s">
        <v>54</v>
      </c>
      <c r="M1338" t="s">
        <v>65</v>
      </c>
      <c r="N1338" t="b">
        <v>0</v>
      </c>
      <c r="P1338" t="b">
        <v>0</v>
      </c>
      <c r="Q1338" t="b">
        <v>0</v>
      </c>
      <c r="R1338" t="b">
        <v>0</v>
      </c>
      <c r="S1338" t="b">
        <v>1</v>
      </c>
      <c r="T1338" t="b">
        <v>1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1</v>
      </c>
      <c r="AB1338" t="b">
        <v>0</v>
      </c>
      <c r="AC1338" t="b">
        <v>0</v>
      </c>
      <c r="AE1338" t="s">
        <v>3560</v>
      </c>
    </row>
    <row r="1339" spans="1:31" x14ac:dyDescent="0.3">
      <c r="A1339">
        <v>-73.975098655349996</v>
      </c>
      <c r="B1339">
        <v>40.774067117130002</v>
      </c>
      <c r="C1339" t="s">
        <v>3561</v>
      </c>
      <c r="D1339" t="s">
        <v>839</v>
      </c>
      <c r="E1339" t="s">
        <v>38</v>
      </c>
      <c r="F1339">
        <v>10182018</v>
      </c>
      <c r="G1339">
        <v>3</v>
      </c>
      <c r="H1339" t="s">
        <v>48</v>
      </c>
      <c r="I1339" t="s">
        <v>42</v>
      </c>
      <c r="K1339" t="s">
        <v>43</v>
      </c>
      <c r="M1339" t="s">
        <v>65</v>
      </c>
      <c r="N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1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1</v>
      </c>
      <c r="AC1339" t="b">
        <v>0</v>
      </c>
      <c r="AE1339" t="s">
        <v>3562</v>
      </c>
    </row>
    <row r="1340" spans="1:31" x14ac:dyDescent="0.3">
      <c r="A1340">
        <v>-73.971662457440004</v>
      </c>
      <c r="B1340">
        <v>40.776203711009998</v>
      </c>
      <c r="C1340" t="s">
        <v>3563</v>
      </c>
      <c r="D1340" t="s">
        <v>415</v>
      </c>
      <c r="E1340" t="s">
        <v>33</v>
      </c>
      <c r="F1340">
        <v>10182018</v>
      </c>
      <c r="G1340">
        <v>7</v>
      </c>
      <c r="H1340" t="s">
        <v>48</v>
      </c>
      <c r="I1340" t="s">
        <v>42</v>
      </c>
      <c r="J1340" t="s">
        <v>53</v>
      </c>
      <c r="K1340" t="s">
        <v>54</v>
      </c>
      <c r="M1340" t="s">
        <v>44</v>
      </c>
      <c r="N1340">
        <v>20</v>
      </c>
      <c r="P1340" t="b">
        <v>1</v>
      </c>
      <c r="Q1340" t="b">
        <v>0</v>
      </c>
      <c r="R1340" t="b">
        <v>1</v>
      </c>
      <c r="S1340" t="b">
        <v>0</v>
      </c>
      <c r="T1340" t="b">
        <v>0</v>
      </c>
      <c r="U1340" t="s">
        <v>3564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1</v>
      </c>
      <c r="AC1340" t="b">
        <v>0</v>
      </c>
      <c r="AE1340" t="s">
        <v>3565</v>
      </c>
    </row>
    <row r="1341" spans="1:31" x14ac:dyDescent="0.3">
      <c r="A1341">
        <v>-73.968641332619995</v>
      </c>
      <c r="B1341">
        <v>40.781742390730003</v>
      </c>
      <c r="C1341" t="s">
        <v>3566</v>
      </c>
      <c r="D1341" t="s">
        <v>304</v>
      </c>
      <c r="E1341" t="s">
        <v>33</v>
      </c>
      <c r="F1341">
        <v>10182018</v>
      </c>
      <c r="G1341">
        <v>8</v>
      </c>
      <c r="H1341" t="s">
        <v>105</v>
      </c>
      <c r="I1341" t="s">
        <v>42</v>
      </c>
      <c r="J1341" t="s">
        <v>96</v>
      </c>
      <c r="K1341" t="s">
        <v>97</v>
      </c>
      <c r="L1341" t="s">
        <v>1005</v>
      </c>
      <c r="M1341" t="s">
        <v>65</v>
      </c>
      <c r="N1341" t="b">
        <v>0</v>
      </c>
      <c r="P1341" t="b">
        <v>0</v>
      </c>
      <c r="Q1341" t="b">
        <v>0</v>
      </c>
      <c r="R1341" t="b">
        <v>0</v>
      </c>
      <c r="S1341" t="b">
        <v>1</v>
      </c>
      <c r="T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E1341" t="s">
        <v>3567</v>
      </c>
    </row>
    <row r="1342" spans="1:31" x14ac:dyDescent="0.3">
      <c r="A1342">
        <v>-73.977308361629994</v>
      </c>
      <c r="B1342">
        <v>40.771053593159998</v>
      </c>
      <c r="C1342" t="s">
        <v>3568</v>
      </c>
      <c r="D1342" t="s">
        <v>796</v>
      </c>
      <c r="E1342" t="s">
        <v>33</v>
      </c>
      <c r="F1342">
        <v>10172018</v>
      </c>
      <c r="G1342">
        <v>1</v>
      </c>
      <c r="H1342" t="s">
        <v>48</v>
      </c>
      <c r="I1342" t="s">
        <v>42</v>
      </c>
      <c r="J1342" t="s">
        <v>59</v>
      </c>
      <c r="K1342" t="s">
        <v>79</v>
      </c>
      <c r="M1342" t="s">
        <v>65</v>
      </c>
      <c r="N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1</v>
      </c>
      <c r="U1342" t="s">
        <v>340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1</v>
      </c>
      <c r="AB1342" t="b">
        <v>0</v>
      </c>
      <c r="AC1342" t="b">
        <v>0</v>
      </c>
      <c r="AE1342" t="s">
        <v>3569</v>
      </c>
    </row>
    <row r="1343" spans="1:31" x14ac:dyDescent="0.3">
      <c r="A1343">
        <v>-73.961130090560005</v>
      </c>
      <c r="B1343">
        <v>40.791874373570003</v>
      </c>
      <c r="C1343" t="s">
        <v>3570</v>
      </c>
      <c r="D1343" t="s">
        <v>607</v>
      </c>
      <c r="E1343" t="s">
        <v>33</v>
      </c>
      <c r="F1343">
        <v>10132018</v>
      </c>
      <c r="G1343">
        <v>7</v>
      </c>
      <c r="H1343" t="s">
        <v>48</v>
      </c>
      <c r="I1343" t="s">
        <v>42</v>
      </c>
      <c r="J1343" t="s">
        <v>53</v>
      </c>
      <c r="K1343" t="s">
        <v>54</v>
      </c>
      <c r="M1343" t="s">
        <v>65</v>
      </c>
      <c r="N1343" t="b">
        <v>0</v>
      </c>
      <c r="P1343" t="b">
        <v>0</v>
      </c>
      <c r="Q1343" t="b">
        <v>0</v>
      </c>
      <c r="R1343" t="b">
        <v>0</v>
      </c>
      <c r="S1343" t="b">
        <v>1</v>
      </c>
      <c r="T1343" t="b">
        <v>1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1</v>
      </c>
      <c r="AC1343" t="b">
        <v>0</v>
      </c>
      <c r="AE1343" t="s">
        <v>3571</v>
      </c>
    </row>
    <row r="1344" spans="1:31" x14ac:dyDescent="0.3">
      <c r="A1344">
        <v>-73.966206364230004</v>
      </c>
      <c r="B1344">
        <v>40.78907786653</v>
      </c>
      <c r="C1344" t="s">
        <v>3572</v>
      </c>
      <c r="D1344" t="s">
        <v>154</v>
      </c>
      <c r="E1344" t="s">
        <v>33</v>
      </c>
      <c r="F1344">
        <v>10072018</v>
      </c>
      <c r="G1344">
        <v>4</v>
      </c>
      <c r="H1344" t="s">
        <v>48</v>
      </c>
      <c r="I1344" t="s">
        <v>42</v>
      </c>
      <c r="J1344" t="s">
        <v>59</v>
      </c>
      <c r="K1344" t="s">
        <v>79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s">
        <v>3573</v>
      </c>
      <c r="V1344" t="b">
        <v>1</v>
      </c>
      <c r="W1344" t="b">
        <v>0</v>
      </c>
      <c r="X1344" t="b">
        <v>0</v>
      </c>
      <c r="Y1344" t="b">
        <v>0</v>
      </c>
      <c r="Z1344" t="b">
        <v>1</v>
      </c>
      <c r="AA1344" t="b">
        <v>0</v>
      </c>
      <c r="AB1344" t="b">
        <v>0</v>
      </c>
      <c r="AC1344" t="b">
        <v>0</v>
      </c>
      <c r="AD1344" t="s">
        <v>1440</v>
      </c>
      <c r="AE1344" t="s">
        <v>3574</v>
      </c>
    </row>
    <row r="1345" spans="1:31" x14ac:dyDescent="0.3">
      <c r="A1345">
        <v>-73.956366296370007</v>
      </c>
      <c r="B1345">
        <v>40.79919521019</v>
      </c>
      <c r="C1345" t="s">
        <v>3575</v>
      </c>
      <c r="D1345" t="s">
        <v>335</v>
      </c>
      <c r="E1345" t="s">
        <v>33</v>
      </c>
      <c r="F1345">
        <v>10132018</v>
      </c>
      <c r="G1345">
        <v>1</v>
      </c>
      <c r="H1345" t="s">
        <v>48</v>
      </c>
      <c r="I1345" t="s">
        <v>42</v>
      </c>
      <c r="K1345" t="s">
        <v>43</v>
      </c>
      <c r="M1345" t="s">
        <v>65</v>
      </c>
      <c r="N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1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1</v>
      </c>
      <c r="AC1345" t="b">
        <v>0</v>
      </c>
      <c r="AE1345" t="s">
        <v>3576</v>
      </c>
    </row>
    <row r="1346" spans="1:31" x14ac:dyDescent="0.3">
      <c r="A1346">
        <v>-73.961859151089996</v>
      </c>
      <c r="B1346">
        <v>40.792134373800003</v>
      </c>
      <c r="C1346" t="s">
        <v>3577</v>
      </c>
      <c r="D1346" t="s">
        <v>607</v>
      </c>
      <c r="E1346" t="s">
        <v>33</v>
      </c>
      <c r="F1346">
        <v>10132018</v>
      </c>
      <c r="G1346">
        <v>11</v>
      </c>
      <c r="H1346" t="s">
        <v>105</v>
      </c>
      <c r="I1346" t="s">
        <v>42</v>
      </c>
      <c r="K1346" t="s">
        <v>43</v>
      </c>
      <c r="M1346" t="s">
        <v>65</v>
      </c>
      <c r="N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1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E1346" t="s">
        <v>3578</v>
      </c>
    </row>
    <row r="1347" spans="1:31" x14ac:dyDescent="0.3">
      <c r="A1347">
        <v>-73.958132655420002</v>
      </c>
      <c r="B1347">
        <v>40.791807474309998</v>
      </c>
      <c r="C1347" t="s">
        <v>3579</v>
      </c>
      <c r="D1347" t="s">
        <v>1962</v>
      </c>
      <c r="E1347" t="s">
        <v>33</v>
      </c>
      <c r="F1347">
        <v>10062018</v>
      </c>
      <c r="G1347">
        <v>2</v>
      </c>
      <c r="H1347" t="s">
        <v>105</v>
      </c>
      <c r="I1347" t="s">
        <v>176</v>
      </c>
      <c r="J1347" t="s">
        <v>115</v>
      </c>
      <c r="K1347" t="s">
        <v>3580</v>
      </c>
      <c r="M1347" t="s">
        <v>65</v>
      </c>
      <c r="N1347" t="b">
        <v>0</v>
      </c>
      <c r="P1347" t="b">
        <v>0</v>
      </c>
      <c r="Q1347" t="b">
        <v>0</v>
      </c>
      <c r="R1347" t="b">
        <v>0</v>
      </c>
      <c r="S1347" t="b">
        <v>1</v>
      </c>
      <c r="T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1</v>
      </c>
      <c r="AA1347" t="b">
        <v>0</v>
      </c>
      <c r="AB1347" t="b">
        <v>0</v>
      </c>
      <c r="AC1347" t="b">
        <v>1</v>
      </c>
      <c r="AE1347" t="s">
        <v>3581</v>
      </c>
    </row>
    <row r="1348" spans="1:31" x14ac:dyDescent="0.3">
      <c r="A1348">
        <v>-73.973565552919993</v>
      </c>
      <c r="B1348">
        <v>40.771607268149999</v>
      </c>
      <c r="C1348" t="s">
        <v>3582</v>
      </c>
      <c r="D1348" t="s">
        <v>139</v>
      </c>
      <c r="E1348" t="s">
        <v>33</v>
      </c>
      <c r="F1348">
        <v>10132018</v>
      </c>
      <c r="G1348">
        <v>2</v>
      </c>
      <c r="H1348" t="s">
        <v>48</v>
      </c>
      <c r="I1348" t="s">
        <v>42</v>
      </c>
      <c r="J1348" t="s">
        <v>53</v>
      </c>
      <c r="K1348" t="s">
        <v>54</v>
      </c>
      <c r="M1348" t="s">
        <v>65</v>
      </c>
      <c r="N1348" t="b">
        <v>0</v>
      </c>
      <c r="O1348" t="s">
        <v>2877</v>
      </c>
      <c r="P1348" t="b">
        <v>1</v>
      </c>
      <c r="Q1348" t="b">
        <v>0</v>
      </c>
      <c r="R1348" t="b">
        <v>0</v>
      </c>
      <c r="S1348" t="b">
        <v>1</v>
      </c>
      <c r="T1348" t="b">
        <v>1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1</v>
      </c>
      <c r="AE1348" t="s">
        <v>3583</v>
      </c>
    </row>
    <row r="1349" spans="1:31" x14ac:dyDescent="0.3">
      <c r="A1349">
        <v>-73.961669366530003</v>
      </c>
      <c r="B1349">
        <v>40.792971019630002</v>
      </c>
      <c r="C1349" t="s">
        <v>3584</v>
      </c>
      <c r="D1349" t="s">
        <v>928</v>
      </c>
      <c r="E1349" t="s">
        <v>38</v>
      </c>
      <c r="F1349">
        <v>10102018</v>
      </c>
      <c r="G1349">
        <v>5</v>
      </c>
      <c r="H1349" t="s">
        <v>48</v>
      </c>
      <c r="I1349" t="s">
        <v>42</v>
      </c>
      <c r="J1349" t="s">
        <v>59</v>
      </c>
      <c r="K1349" t="s">
        <v>79</v>
      </c>
      <c r="M1349" t="s">
        <v>65</v>
      </c>
      <c r="N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1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1</v>
      </c>
      <c r="AE1349" t="s">
        <v>3585</v>
      </c>
    </row>
    <row r="1350" spans="1:31" x14ac:dyDescent="0.3">
      <c r="A1350">
        <v>-73.959919761240002</v>
      </c>
      <c r="B1350">
        <v>40.795483645600001</v>
      </c>
      <c r="C1350" t="s">
        <v>3586</v>
      </c>
      <c r="D1350" t="s">
        <v>1404</v>
      </c>
      <c r="E1350" t="s">
        <v>33</v>
      </c>
      <c r="F1350">
        <v>10132018</v>
      </c>
      <c r="G1350">
        <v>5</v>
      </c>
      <c r="H1350" t="s">
        <v>48</v>
      </c>
      <c r="I1350" t="s">
        <v>42</v>
      </c>
      <c r="K1350" t="s">
        <v>43</v>
      </c>
      <c r="M1350" t="s">
        <v>44</v>
      </c>
      <c r="N1350">
        <v>4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1</v>
      </c>
      <c r="AE1350" t="s">
        <v>3587</v>
      </c>
    </row>
    <row r="1351" spans="1:31" x14ac:dyDescent="0.3">
      <c r="A1351">
        <v>-73.980680558160003</v>
      </c>
      <c r="B1351">
        <v>40.768153796649997</v>
      </c>
      <c r="C1351" t="s">
        <v>3588</v>
      </c>
      <c r="D1351" t="s">
        <v>851</v>
      </c>
      <c r="E1351" t="s">
        <v>38</v>
      </c>
      <c r="F1351">
        <v>10122018</v>
      </c>
      <c r="G1351">
        <v>16</v>
      </c>
      <c r="H1351" t="s">
        <v>48</v>
      </c>
      <c r="I1351" t="s">
        <v>42</v>
      </c>
      <c r="J1351" t="s">
        <v>59</v>
      </c>
      <c r="K1351" t="s">
        <v>79</v>
      </c>
      <c r="M1351" t="s">
        <v>65</v>
      </c>
      <c r="N1351" t="b">
        <v>0</v>
      </c>
      <c r="P1351" t="b">
        <v>0</v>
      </c>
      <c r="Q1351" t="b">
        <v>0</v>
      </c>
      <c r="R1351" t="b">
        <v>0</v>
      </c>
      <c r="S1351" t="b">
        <v>1</v>
      </c>
      <c r="T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1</v>
      </c>
      <c r="AA1351" t="b">
        <v>0</v>
      </c>
      <c r="AB1351" t="b">
        <v>1</v>
      </c>
      <c r="AC1351" t="b">
        <v>0</v>
      </c>
      <c r="AE1351" t="s">
        <v>3589</v>
      </c>
    </row>
    <row r="1352" spans="1:31" x14ac:dyDescent="0.3">
      <c r="A1352">
        <v>-73.972769866370001</v>
      </c>
      <c r="B1352">
        <v>40.771433528519999</v>
      </c>
      <c r="C1352" t="s">
        <v>3590</v>
      </c>
      <c r="D1352" t="s">
        <v>764</v>
      </c>
      <c r="E1352" t="s">
        <v>33</v>
      </c>
      <c r="F1352">
        <v>10122018</v>
      </c>
      <c r="G1352">
        <v>6</v>
      </c>
      <c r="H1352" t="s">
        <v>48</v>
      </c>
      <c r="I1352" t="s">
        <v>42</v>
      </c>
      <c r="K1352" t="s">
        <v>43</v>
      </c>
      <c r="M1352" t="s">
        <v>65</v>
      </c>
      <c r="N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1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1</v>
      </c>
      <c r="AC1352" t="b">
        <v>0</v>
      </c>
      <c r="AE1352" t="s">
        <v>3591</v>
      </c>
    </row>
    <row r="1353" spans="1:31" x14ac:dyDescent="0.3">
      <c r="A1353">
        <v>-73.961098517150006</v>
      </c>
      <c r="B1353">
        <v>40.7913867117</v>
      </c>
      <c r="C1353" t="s">
        <v>3592</v>
      </c>
      <c r="D1353" t="s">
        <v>294</v>
      </c>
      <c r="E1353" t="s">
        <v>38</v>
      </c>
      <c r="F1353">
        <v>10132018</v>
      </c>
      <c r="G1353">
        <v>1</v>
      </c>
      <c r="H1353" t="s">
        <v>48</v>
      </c>
      <c r="I1353" t="s">
        <v>53</v>
      </c>
      <c r="J1353" t="s">
        <v>42</v>
      </c>
      <c r="K1353" t="s">
        <v>89</v>
      </c>
      <c r="M1353" t="s">
        <v>44</v>
      </c>
      <c r="N1353">
        <v>20</v>
      </c>
      <c r="P1353" t="b">
        <v>0</v>
      </c>
      <c r="Q1353" t="b">
        <v>0</v>
      </c>
      <c r="R1353" t="b">
        <v>1</v>
      </c>
      <c r="S1353" t="b">
        <v>0</v>
      </c>
      <c r="T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1</v>
      </c>
      <c r="AC1353" t="b">
        <v>0</v>
      </c>
      <c r="AE1353" t="s">
        <v>3593</v>
      </c>
    </row>
    <row r="1354" spans="1:31" x14ac:dyDescent="0.3">
      <c r="A1354">
        <v>-73.96167703351</v>
      </c>
      <c r="B1354">
        <v>40.792164863110003</v>
      </c>
      <c r="C1354" t="s">
        <v>3594</v>
      </c>
      <c r="D1354" t="s">
        <v>607</v>
      </c>
      <c r="E1354" t="s">
        <v>33</v>
      </c>
      <c r="F1354">
        <v>10132018</v>
      </c>
      <c r="G1354">
        <v>13</v>
      </c>
      <c r="H1354" t="s">
        <v>48</v>
      </c>
      <c r="I1354" t="s">
        <v>42</v>
      </c>
      <c r="K1354" t="s">
        <v>43</v>
      </c>
      <c r="M1354" t="s">
        <v>65</v>
      </c>
      <c r="N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1</v>
      </c>
      <c r="U1354" t="s">
        <v>3595</v>
      </c>
      <c r="V1354" t="b">
        <v>0</v>
      </c>
      <c r="W1354" t="b">
        <v>0</v>
      </c>
      <c r="X1354" t="b">
        <v>0</v>
      </c>
      <c r="Y1354" t="b">
        <v>0</v>
      </c>
      <c r="Z1354" t="b">
        <v>1</v>
      </c>
      <c r="AA1354" t="b">
        <v>0</v>
      </c>
      <c r="AB1354" t="b">
        <v>0</v>
      </c>
      <c r="AC1354" t="b">
        <v>0</v>
      </c>
      <c r="AE1354" t="s">
        <v>3596</v>
      </c>
    </row>
    <row r="1355" spans="1:31" x14ac:dyDescent="0.3">
      <c r="A1355">
        <v>-73.963647646720005</v>
      </c>
      <c r="B1355">
        <v>40.77755569867</v>
      </c>
      <c r="C1355" t="s">
        <v>3597</v>
      </c>
      <c r="D1355" t="s">
        <v>1141</v>
      </c>
      <c r="E1355" t="s">
        <v>38</v>
      </c>
      <c r="F1355">
        <v>10172018</v>
      </c>
      <c r="G1355">
        <v>1</v>
      </c>
      <c r="H1355" t="s">
        <v>48</v>
      </c>
      <c r="I1355" t="s">
        <v>53</v>
      </c>
      <c r="J1355" t="s">
        <v>176</v>
      </c>
      <c r="K1355" t="s">
        <v>1142</v>
      </c>
      <c r="M1355" t="s">
        <v>65</v>
      </c>
      <c r="N1355" t="b">
        <v>0</v>
      </c>
      <c r="P1355" t="b">
        <v>0</v>
      </c>
      <c r="Q1355" t="b">
        <v>0</v>
      </c>
      <c r="R1355" t="b">
        <v>0</v>
      </c>
      <c r="S1355" t="b">
        <v>1</v>
      </c>
      <c r="T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1</v>
      </c>
      <c r="AC1355" t="b">
        <v>0</v>
      </c>
      <c r="AE1355" t="s">
        <v>3598</v>
      </c>
    </row>
    <row r="1356" spans="1:31" x14ac:dyDescent="0.3">
      <c r="A1356">
        <v>-73.976526928210006</v>
      </c>
      <c r="B1356">
        <v>40.774687663519998</v>
      </c>
      <c r="C1356" t="s">
        <v>3599</v>
      </c>
      <c r="D1356" t="s">
        <v>855</v>
      </c>
      <c r="E1356" t="s">
        <v>38</v>
      </c>
      <c r="F1356">
        <v>10132018</v>
      </c>
      <c r="G1356">
        <v>10</v>
      </c>
      <c r="H1356" t="s">
        <v>105</v>
      </c>
      <c r="I1356" t="s">
        <v>53</v>
      </c>
      <c r="J1356" t="s">
        <v>42</v>
      </c>
      <c r="K1356" t="s">
        <v>89</v>
      </c>
      <c r="M1356" t="s">
        <v>65</v>
      </c>
      <c r="N1356" t="b">
        <v>0</v>
      </c>
      <c r="P1356" t="b">
        <v>0</v>
      </c>
      <c r="Q1356" t="b">
        <v>0</v>
      </c>
      <c r="R1356" t="b">
        <v>1</v>
      </c>
      <c r="S1356" t="b">
        <v>1</v>
      </c>
      <c r="T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1</v>
      </c>
      <c r="AE1356" t="s">
        <v>3600</v>
      </c>
    </row>
    <row r="1357" spans="1:31" x14ac:dyDescent="0.3">
      <c r="A1357">
        <v>-73.953491056280001</v>
      </c>
      <c r="B1357">
        <v>40.793577444379999</v>
      </c>
      <c r="C1357" t="s">
        <v>3601</v>
      </c>
      <c r="D1357" t="s">
        <v>863</v>
      </c>
      <c r="E1357" t="s">
        <v>38</v>
      </c>
      <c r="F1357">
        <v>10182018</v>
      </c>
      <c r="G1357">
        <v>4</v>
      </c>
      <c r="H1357" t="s">
        <v>48</v>
      </c>
      <c r="I1357" t="s">
        <v>42</v>
      </c>
      <c r="J1357" t="s">
        <v>59</v>
      </c>
      <c r="K1357" t="s">
        <v>79</v>
      </c>
      <c r="M1357" t="s">
        <v>65</v>
      </c>
      <c r="N1357" t="b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1</v>
      </c>
      <c r="AA1357" t="b">
        <v>0</v>
      </c>
      <c r="AB1357" t="b">
        <v>0</v>
      </c>
      <c r="AC1357" t="b">
        <v>1</v>
      </c>
      <c r="AD1357" t="s">
        <v>3602</v>
      </c>
      <c r="AE1357" t="s">
        <v>3603</v>
      </c>
    </row>
    <row r="1358" spans="1:31" x14ac:dyDescent="0.3">
      <c r="A1358">
        <v>-73.96313500206</v>
      </c>
      <c r="B1358">
        <v>40.791907210330002</v>
      </c>
      <c r="C1358" t="s">
        <v>3604</v>
      </c>
      <c r="D1358" t="s">
        <v>773</v>
      </c>
      <c r="E1358" t="s">
        <v>33</v>
      </c>
      <c r="F1358">
        <v>10102018</v>
      </c>
      <c r="G1358">
        <v>1</v>
      </c>
      <c r="H1358" t="s">
        <v>105</v>
      </c>
      <c r="I1358" t="s">
        <v>42</v>
      </c>
      <c r="K1358" t="s">
        <v>43</v>
      </c>
      <c r="M1358" t="s">
        <v>44</v>
      </c>
      <c r="N1358">
        <v>25</v>
      </c>
      <c r="O1358" t="s">
        <v>456</v>
      </c>
      <c r="P1358" t="b">
        <v>0</v>
      </c>
      <c r="Q1358" t="b">
        <v>0</v>
      </c>
      <c r="R1358" t="b">
        <v>1</v>
      </c>
      <c r="S1358" t="b">
        <v>0</v>
      </c>
      <c r="T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1</v>
      </c>
      <c r="AA1358" t="b">
        <v>0</v>
      </c>
      <c r="AB1358" t="b">
        <v>0</v>
      </c>
      <c r="AC1358" t="b">
        <v>1</v>
      </c>
      <c r="AE1358" t="s">
        <v>3605</v>
      </c>
    </row>
    <row r="1359" spans="1:31" x14ac:dyDescent="0.3">
      <c r="A1359">
        <v>-73.969377246180002</v>
      </c>
      <c r="B1359">
        <v>40.770687589289999</v>
      </c>
      <c r="C1359" t="s">
        <v>3606</v>
      </c>
      <c r="D1359" t="s">
        <v>1326</v>
      </c>
      <c r="E1359" t="s">
        <v>38</v>
      </c>
      <c r="F1359">
        <v>10062018</v>
      </c>
      <c r="G1359">
        <v>3</v>
      </c>
      <c r="H1359" t="s">
        <v>48</v>
      </c>
      <c r="I1359" t="s">
        <v>42</v>
      </c>
      <c r="J1359" t="s">
        <v>59</v>
      </c>
      <c r="K1359" t="s">
        <v>79</v>
      </c>
      <c r="M1359" t="s">
        <v>65</v>
      </c>
      <c r="N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1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1</v>
      </c>
      <c r="AC1359" t="b">
        <v>0</v>
      </c>
      <c r="AE1359" t="s">
        <v>3607</v>
      </c>
    </row>
    <row r="1360" spans="1:31" x14ac:dyDescent="0.3">
      <c r="A1360">
        <v>-73.970878296639995</v>
      </c>
      <c r="B1360">
        <v>40.776946866960003</v>
      </c>
      <c r="C1360" t="s">
        <v>3608</v>
      </c>
      <c r="D1360" t="s">
        <v>729</v>
      </c>
      <c r="E1360" t="s">
        <v>38</v>
      </c>
      <c r="F1360">
        <v>10142018</v>
      </c>
      <c r="G1360">
        <v>8</v>
      </c>
      <c r="H1360" t="s">
        <v>48</v>
      </c>
      <c r="I1360" t="s">
        <v>42</v>
      </c>
      <c r="J1360" t="s">
        <v>96</v>
      </c>
      <c r="K1360" t="s">
        <v>97</v>
      </c>
      <c r="M1360" t="s">
        <v>65</v>
      </c>
      <c r="N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1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1</v>
      </c>
      <c r="AC1360" t="b">
        <v>0</v>
      </c>
      <c r="AE1360" t="s">
        <v>3609</v>
      </c>
    </row>
    <row r="1361" spans="1:31" x14ac:dyDescent="0.3">
      <c r="A1361">
        <v>-73.967493066840007</v>
      </c>
      <c r="B1361">
        <v>40.781351011970003</v>
      </c>
      <c r="C1361" t="s">
        <v>3610</v>
      </c>
      <c r="D1361" t="s">
        <v>1180</v>
      </c>
      <c r="E1361" t="s">
        <v>33</v>
      </c>
      <c r="F1361">
        <v>10142018</v>
      </c>
      <c r="G1361">
        <v>1</v>
      </c>
      <c r="H1361" t="s">
        <v>48</v>
      </c>
      <c r="I1361" t="s">
        <v>42</v>
      </c>
      <c r="K1361" t="s">
        <v>43</v>
      </c>
      <c r="M1361" t="s">
        <v>65</v>
      </c>
      <c r="N1361" t="b">
        <v>0</v>
      </c>
      <c r="P1361" t="b">
        <v>0</v>
      </c>
      <c r="Q1361" t="b">
        <v>0</v>
      </c>
      <c r="R1361" t="b">
        <v>0</v>
      </c>
      <c r="S1361" t="b">
        <v>1</v>
      </c>
      <c r="T1361" t="b">
        <v>1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E1361" t="s">
        <v>3611</v>
      </c>
    </row>
    <row r="1362" spans="1:31" x14ac:dyDescent="0.3">
      <c r="A1362">
        <v>-73.961934398059995</v>
      </c>
      <c r="B1362">
        <v>40.792478954849997</v>
      </c>
      <c r="C1362" t="s">
        <v>3612</v>
      </c>
      <c r="D1362" t="s">
        <v>928</v>
      </c>
      <c r="E1362" t="s">
        <v>33</v>
      </c>
      <c r="F1362">
        <v>10102018</v>
      </c>
      <c r="G1362">
        <v>7</v>
      </c>
      <c r="H1362" t="s">
        <v>48</v>
      </c>
      <c r="K1362" t="s">
        <v>34</v>
      </c>
      <c r="M1362" t="s">
        <v>65</v>
      </c>
      <c r="N1362" t="b">
        <v>0</v>
      </c>
      <c r="P1362" t="b">
        <v>0</v>
      </c>
      <c r="Q1362" t="b">
        <v>0</v>
      </c>
      <c r="R1362" t="b">
        <v>0</v>
      </c>
      <c r="S1362" t="b">
        <v>1</v>
      </c>
      <c r="T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1</v>
      </c>
      <c r="AE1362" t="s">
        <v>3613</v>
      </c>
    </row>
    <row r="1363" spans="1:31" x14ac:dyDescent="0.3">
      <c r="A1363">
        <v>-73.962918471240002</v>
      </c>
      <c r="B1363">
        <v>40.792141051160002</v>
      </c>
      <c r="C1363" t="s">
        <v>3614</v>
      </c>
      <c r="D1363" t="s">
        <v>773</v>
      </c>
      <c r="E1363" t="s">
        <v>33</v>
      </c>
      <c r="F1363">
        <v>10102018</v>
      </c>
      <c r="G1363">
        <v>4</v>
      </c>
      <c r="H1363" t="s">
        <v>48</v>
      </c>
      <c r="I1363" t="s">
        <v>42</v>
      </c>
      <c r="J1363" t="s">
        <v>53</v>
      </c>
      <c r="K1363" t="s">
        <v>54</v>
      </c>
      <c r="M1363" t="s">
        <v>65</v>
      </c>
      <c r="N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1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1</v>
      </c>
      <c r="AC1363" t="b">
        <v>0</v>
      </c>
      <c r="AE1363" t="s">
        <v>3615</v>
      </c>
    </row>
    <row r="1364" spans="1:31" x14ac:dyDescent="0.3">
      <c r="A1364">
        <v>-73.972112497279994</v>
      </c>
      <c r="B1364">
        <v>40.77027590374</v>
      </c>
      <c r="C1364" t="s">
        <v>3616</v>
      </c>
      <c r="D1364" t="s">
        <v>402</v>
      </c>
      <c r="E1364" t="s">
        <v>38</v>
      </c>
      <c r="F1364">
        <v>10102018</v>
      </c>
      <c r="G1364">
        <v>8</v>
      </c>
      <c r="H1364" t="s">
        <v>48</v>
      </c>
      <c r="I1364" t="s">
        <v>53</v>
      </c>
      <c r="K1364" t="s">
        <v>155</v>
      </c>
      <c r="M1364" t="s">
        <v>65</v>
      </c>
      <c r="N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1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1</v>
      </c>
      <c r="AC1364" t="b">
        <v>0</v>
      </c>
      <c r="AE1364" t="s">
        <v>3617</v>
      </c>
    </row>
    <row r="1365" spans="1:31" x14ac:dyDescent="0.3">
      <c r="A1365">
        <v>-73.972609088249996</v>
      </c>
      <c r="B1365">
        <v>40.77101991088</v>
      </c>
      <c r="C1365" t="s">
        <v>3618</v>
      </c>
      <c r="D1365" t="s">
        <v>353</v>
      </c>
      <c r="E1365" t="s">
        <v>38</v>
      </c>
      <c r="F1365">
        <v>10082018</v>
      </c>
      <c r="G1365">
        <v>14</v>
      </c>
      <c r="H1365" t="s">
        <v>48</v>
      </c>
      <c r="I1365" t="s">
        <v>42</v>
      </c>
      <c r="J1365" t="s">
        <v>53</v>
      </c>
      <c r="K1365" t="s">
        <v>54</v>
      </c>
      <c r="M1365" t="s">
        <v>65</v>
      </c>
      <c r="N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s">
        <v>121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1</v>
      </c>
      <c r="AC1365" t="b">
        <v>0</v>
      </c>
      <c r="AE1365" t="s">
        <v>3619</v>
      </c>
    </row>
    <row r="1366" spans="1:31" x14ac:dyDescent="0.3">
      <c r="A1366">
        <v>-73.979164815700003</v>
      </c>
      <c r="B1366">
        <v>40.767625444350003</v>
      </c>
      <c r="C1366" t="s">
        <v>3620</v>
      </c>
      <c r="D1366" t="s">
        <v>1232</v>
      </c>
      <c r="E1366" t="s">
        <v>38</v>
      </c>
      <c r="F1366">
        <v>10102018</v>
      </c>
      <c r="G1366">
        <v>4</v>
      </c>
      <c r="H1366" t="s">
        <v>48</v>
      </c>
      <c r="I1366" t="s">
        <v>42</v>
      </c>
      <c r="K1366" t="s">
        <v>43</v>
      </c>
      <c r="M1366" t="s">
        <v>44</v>
      </c>
      <c r="N1366">
        <v>10</v>
      </c>
      <c r="P1366" t="b">
        <v>0</v>
      </c>
      <c r="Q1366" t="b">
        <v>0</v>
      </c>
      <c r="R1366" t="b">
        <v>1</v>
      </c>
      <c r="S1366" t="b">
        <v>0</v>
      </c>
      <c r="T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E1366" t="s">
        <v>3621</v>
      </c>
    </row>
    <row r="1367" spans="1:31" x14ac:dyDescent="0.3">
      <c r="A1367">
        <v>-73.971158219909995</v>
      </c>
      <c r="B1367">
        <v>40.778367440949999</v>
      </c>
      <c r="C1367" t="s">
        <v>3622</v>
      </c>
      <c r="D1367" t="s">
        <v>1626</v>
      </c>
      <c r="E1367" t="s">
        <v>33</v>
      </c>
      <c r="F1367">
        <v>10172018</v>
      </c>
      <c r="G1367">
        <v>5</v>
      </c>
      <c r="H1367" t="s">
        <v>48</v>
      </c>
      <c r="I1367" t="s">
        <v>42</v>
      </c>
      <c r="J1367" t="s">
        <v>53</v>
      </c>
      <c r="K1367" t="s">
        <v>54</v>
      </c>
      <c r="M1367" t="s">
        <v>65</v>
      </c>
      <c r="N1367" t="b">
        <v>0</v>
      </c>
      <c r="P1367" t="b">
        <v>1</v>
      </c>
      <c r="Q1367" t="b">
        <v>0</v>
      </c>
      <c r="R1367" t="b">
        <v>0</v>
      </c>
      <c r="S1367" t="b">
        <v>0</v>
      </c>
      <c r="T1367" t="b">
        <v>1</v>
      </c>
      <c r="V1367" t="b">
        <v>1</v>
      </c>
      <c r="W1367" t="b">
        <v>0</v>
      </c>
      <c r="X1367" t="b">
        <v>0</v>
      </c>
      <c r="Y1367" t="b">
        <v>0</v>
      </c>
      <c r="Z1367" t="b">
        <v>1</v>
      </c>
      <c r="AA1367" t="b">
        <v>1</v>
      </c>
      <c r="AB1367" t="b">
        <v>0</v>
      </c>
      <c r="AC1367" t="b">
        <v>0</v>
      </c>
      <c r="AE1367" t="s">
        <v>3623</v>
      </c>
    </row>
    <row r="1368" spans="1:31" x14ac:dyDescent="0.3">
      <c r="A1368">
        <v>-73.954268423589994</v>
      </c>
      <c r="B1368">
        <v>40.794423716410002</v>
      </c>
      <c r="C1368" t="s">
        <v>3624</v>
      </c>
      <c r="D1368" t="s">
        <v>278</v>
      </c>
      <c r="E1368" t="s">
        <v>33</v>
      </c>
      <c r="F1368">
        <v>10202018</v>
      </c>
      <c r="G1368">
        <v>5</v>
      </c>
      <c r="H1368" t="s">
        <v>48</v>
      </c>
      <c r="I1368" t="s">
        <v>42</v>
      </c>
      <c r="J1368" t="s">
        <v>53</v>
      </c>
      <c r="K1368" t="s">
        <v>54</v>
      </c>
      <c r="M1368" t="s">
        <v>65</v>
      </c>
      <c r="N1368" t="b">
        <v>0</v>
      </c>
      <c r="P1368" t="b">
        <v>0</v>
      </c>
      <c r="Q1368" t="b">
        <v>1</v>
      </c>
      <c r="R1368" t="b">
        <v>0</v>
      </c>
      <c r="S1368" t="b">
        <v>0</v>
      </c>
      <c r="T1368" t="b">
        <v>0</v>
      </c>
      <c r="V1368" t="b">
        <v>0</v>
      </c>
      <c r="W1368" t="b">
        <v>1</v>
      </c>
      <c r="X1368" t="b">
        <v>0</v>
      </c>
      <c r="Y1368" t="b">
        <v>1</v>
      </c>
      <c r="Z1368" t="b">
        <v>0</v>
      </c>
      <c r="AA1368" t="b">
        <v>0</v>
      </c>
      <c r="AB1368" t="b">
        <v>1</v>
      </c>
      <c r="AC1368" t="b">
        <v>0</v>
      </c>
      <c r="AE1368" t="s">
        <v>3625</v>
      </c>
    </row>
    <row r="1369" spans="1:31" x14ac:dyDescent="0.3">
      <c r="A1369">
        <v>-73.954277088889995</v>
      </c>
      <c r="B1369">
        <v>40.794361036689999</v>
      </c>
      <c r="C1369" t="s">
        <v>3626</v>
      </c>
      <c r="D1369" t="s">
        <v>278</v>
      </c>
      <c r="E1369" t="s">
        <v>33</v>
      </c>
      <c r="F1369">
        <v>10202018</v>
      </c>
      <c r="G1369">
        <v>4</v>
      </c>
      <c r="H1369" t="s">
        <v>48</v>
      </c>
      <c r="I1369" t="s">
        <v>42</v>
      </c>
      <c r="J1369" t="s">
        <v>53</v>
      </c>
      <c r="K1369" t="s">
        <v>54</v>
      </c>
      <c r="M1369" t="s">
        <v>65</v>
      </c>
      <c r="N1369" t="b">
        <v>0</v>
      </c>
      <c r="P1369" t="b">
        <v>0</v>
      </c>
      <c r="Q1369" t="b">
        <v>1</v>
      </c>
      <c r="R1369" t="b">
        <v>0</v>
      </c>
      <c r="S1369" t="b">
        <v>0</v>
      </c>
      <c r="T1369" t="b">
        <v>0</v>
      </c>
      <c r="V1369" t="b">
        <v>0</v>
      </c>
      <c r="W1369" t="b">
        <v>1</v>
      </c>
      <c r="X1369" t="b">
        <v>0</v>
      </c>
      <c r="Y1369" t="b">
        <v>1</v>
      </c>
      <c r="Z1369" t="b">
        <v>0</v>
      </c>
      <c r="AA1369" t="b">
        <v>0</v>
      </c>
      <c r="AB1369" t="b">
        <v>1</v>
      </c>
      <c r="AC1369" t="b">
        <v>0</v>
      </c>
      <c r="AE1369" t="s">
        <v>3627</v>
      </c>
    </row>
    <row r="1370" spans="1:31" x14ac:dyDescent="0.3">
      <c r="A1370">
        <v>-73.97027172608</v>
      </c>
      <c r="B1370">
        <v>40.768951107760003</v>
      </c>
      <c r="C1370" t="s">
        <v>3628</v>
      </c>
      <c r="D1370" t="s">
        <v>228</v>
      </c>
      <c r="E1370" t="s">
        <v>33</v>
      </c>
      <c r="F1370">
        <v>10132018</v>
      </c>
      <c r="G1370">
        <v>3</v>
      </c>
      <c r="H1370" t="s">
        <v>48</v>
      </c>
      <c r="I1370" t="s">
        <v>53</v>
      </c>
      <c r="K1370" t="s">
        <v>155</v>
      </c>
      <c r="M1370" t="s">
        <v>65</v>
      </c>
      <c r="N1370" t="b">
        <v>0</v>
      </c>
      <c r="O1370" t="s">
        <v>3629</v>
      </c>
      <c r="P1370" t="b">
        <v>0</v>
      </c>
      <c r="Q1370" t="b">
        <v>0</v>
      </c>
      <c r="R1370" t="b">
        <v>0</v>
      </c>
      <c r="S1370" t="b">
        <v>1</v>
      </c>
      <c r="T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E1370" t="s">
        <v>3630</v>
      </c>
    </row>
    <row r="1371" spans="1:31" x14ac:dyDescent="0.3">
      <c r="A1371">
        <v>-73.968162733119996</v>
      </c>
      <c r="B1371">
        <v>40.778509966560001</v>
      </c>
      <c r="C1371" t="s">
        <v>3631</v>
      </c>
      <c r="D1371" t="s">
        <v>200</v>
      </c>
      <c r="E1371" t="s">
        <v>33</v>
      </c>
      <c r="F1371">
        <v>10182018</v>
      </c>
      <c r="G1371">
        <v>2</v>
      </c>
      <c r="H1371" t="s">
        <v>48</v>
      </c>
      <c r="I1371" t="s">
        <v>42</v>
      </c>
      <c r="K1371" t="s">
        <v>43</v>
      </c>
      <c r="M1371" t="s">
        <v>65</v>
      </c>
      <c r="N1371" t="b">
        <v>0</v>
      </c>
      <c r="O1371" t="s">
        <v>3632</v>
      </c>
      <c r="P1371" t="b">
        <v>1</v>
      </c>
      <c r="Q1371" t="b">
        <v>0</v>
      </c>
      <c r="R1371" t="b">
        <v>0</v>
      </c>
      <c r="S1371" t="b">
        <v>0</v>
      </c>
      <c r="T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1</v>
      </c>
      <c r="AC1371" t="b">
        <v>0</v>
      </c>
      <c r="AE1371" t="s">
        <v>3633</v>
      </c>
    </row>
    <row r="1372" spans="1:31" x14ac:dyDescent="0.3">
      <c r="A1372">
        <v>-73.954273379780005</v>
      </c>
      <c r="B1372">
        <v>40.795578653740002</v>
      </c>
      <c r="C1372" t="s">
        <v>3634</v>
      </c>
      <c r="D1372" t="s">
        <v>1063</v>
      </c>
      <c r="E1372" t="s">
        <v>33</v>
      </c>
      <c r="F1372">
        <v>10062018</v>
      </c>
      <c r="G1372">
        <v>2</v>
      </c>
      <c r="H1372" t="s">
        <v>48</v>
      </c>
      <c r="I1372" t="s">
        <v>42</v>
      </c>
      <c r="K1372" t="s">
        <v>43</v>
      </c>
      <c r="M1372" t="s">
        <v>44</v>
      </c>
      <c r="N1372">
        <v>20</v>
      </c>
      <c r="O1372" t="s">
        <v>190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1</v>
      </c>
      <c r="AD1372" t="s">
        <v>1065</v>
      </c>
      <c r="AE1372" t="s">
        <v>3635</v>
      </c>
    </row>
    <row r="1373" spans="1:31" x14ac:dyDescent="0.3">
      <c r="A1373">
        <v>-73.952835370220001</v>
      </c>
      <c r="B1373">
        <v>40.79764561783</v>
      </c>
      <c r="C1373" t="s">
        <v>3636</v>
      </c>
      <c r="D1373" t="s">
        <v>3637</v>
      </c>
      <c r="E1373" t="s">
        <v>33</v>
      </c>
      <c r="F1373">
        <v>10192018</v>
      </c>
      <c r="G1373">
        <v>2</v>
      </c>
      <c r="K1373" t="s">
        <v>34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E1373" t="s">
        <v>3638</v>
      </c>
    </row>
    <row r="1374" spans="1:31" x14ac:dyDescent="0.3">
      <c r="A1374">
        <v>-73.956737220099996</v>
      </c>
      <c r="B1374">
        <v>40.797580989259998</v>
      </c>
      <c r="C1374" t="s">
        <v>3639</v>
      </c>
      <c r="D1374" t="s">
        <v>1245</v>
      </c>
      <c r="E1374" t="s">
        <v>33</v>
      </c>
      <c r="F1374">
        <v>10062018</v>
      </c>
      <c r="G1374">
        <v>1</v>
      </c>
      <c r="H1374" t="s">
        <v>48</v>
      </c>
      <c r="I1374" t="s">
        <v>42</v>
      </c>
      <c r="K1374" t="s">
        <v>43</v>
      </c>
      <c r="M1374" t="s">
        <v>65</v>
      </c>
      <c r="N1374" t="b">
        <v>0</v>
      </c>
      <c r="P1374" t="b">
        <v>1</v>
      </c>
      <c r="Q1374" t="b">
        <v>0</v>
      </c>
      <c r="R1374" t="b">
        <v>0</v>
      </c>
      <c r="S1374" t="b">
        <v>0</v>
      </c>
      <c r="T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E1374" t="s">
        <v>3640</v>
      </c>
    </row>
    <row r="1375" spans="1:31" x14ac:dyDescent="0.3">
      <c r="A1375">
        <v>-73.965373927399995</v>
      </c>
      <c r="B1375">
        <v>40.788976209700003</v>
      </c>
      <c r="C1375" t="s">
        <v>3641</v>
      </c>
      <c r="D1375" t="s">
        <v>3642</v>
      </c>
      <c r="E1375" t="s">
        <v>33</v>
      </c>
      <c r="F1375">
        <v>10102018</v>
      </c>
      <c r="G1375">
        <v>2</v>
      </c>
      <c r="H1375" t="s">
        <v>48</v>
      </c>
      <c r="I1375" t="s">
        <v>42</v>
      </c>
      <c r="J1375" t="s">
        <v>59</v>
      </c>
      <c r="K1375" t="s">
        <v>79</v>
      </c>
      <c r="M1375" t="s">
        <v>44</v>
      </c>
      <c r="N1375">
        <v>4</v>
      </c>
      <c r="P1375" t="b">
        <v>0</v>
      </c>
      <c r="Q1375" t="b">
        <v>0</v>
      </c>
      <c r="R1375" t="b">
        <v>1</v>
      </c>
      <c r="S1375" t="b">
        <v>0</v>
      </c>
      <c r="T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E1375" t="s">
        <v>3643</v>
      </c>
    </row>
    <row r="1376" spans="1:31" x14ac:dyDescent="0.3">
      <c r="A1376">
        <v>-73.95647410382</v>
      </c>
      <c r="B1376">
        <v>40.793884557280002</v>
      </c>
      <c r="C1376" t="s">
        <v>3644</v>
      </c>
      <c r="D1376" t="s">
        <v>693</v>
      </c>
      <c r="E1376" t="s">
        <v>38</v>
      </c>
      <c r="F1376">
        <v>10172018</v>
      </c>
      <c r="G1376">
        <v>3</v>
      </c>
      <c r="H1376" t="s">
        <v>48</v>
      </c>
      <c r="I1376" t="s">
        <v>42</v>
      </c>
      <c r="J1376" t="s">
        <v>53</v>
      </c>
      <c r="K1376" t="s">
        <v>54</v>
      </c>
      <c r="L1376" t="s">
        <v>3028</v>
      </c>
      <c r="M1376" t="s">
        <v>65</v>
      </c>
      <c r="N1376" t="b">
        <v>0</v>
      </c>
      <c r="P1376" t="b">
        <v>0</v>
      </c>
      <c r="Q1376" t="b">
        <v>0</v>
      </c>
      <c r="R1376" t="b">
        <v>0</v>
      </c>
      <c r="S1376" t="b">
        <v>1</v>
      </c>
      <c r="T1376" t="b">
        <v>1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1</v>
      </c>
      <c r="AD1376" t="s">
        <v>770</v>
      </c>
      <c r="AE1376" t="s">
        <v>3645</v>
      </c>
    </row>
    <row r="1377" spans="1:31" x14ac:dyDescent="0.3">
      <c r="A1377">
        <v>-73.977336158080007</v>
      </c>
      <c r="B1377">
        <v>40.772947822669998</v>
      </c>
      <c r="C1377" t="s">
        <v>3646</v>
      </c>
      <c r="D1377" t="s">
        <v>439</v>
      </c>
      <c r="E1377" t="s">
        <v>38</v>
      </c>
      <c r="F1377">
        <v>10082018</v>
      </c>
      <c r="G1377">
        <v>13</v>
      </c>
      <c r="H1377" t="s">
        <v>48</v>
      </c>
      <c r="I1377" t="s">
        <v>42</v>
      </c>
      <c r="J1377" t="s">
        <v>53</v>
      </c>
      <c r="K1377" t="s">
        <v>54</v>
      </c>
      <c r="M1377" t="s">
        <v>65</v>
      </c>
      <c r="N1377" t="b">
        <v>0</v>
      </c>
      <c r="P1377" t="b">
        <v>1</v>
      </c>
      <c r="Q1377" t="b">
        <v>0</v>
      </c>
      <c r="R1377" t="b">
        <v>0</v>
      </c>
      <c r="S1377" t="b">
        <v>0</v>
      </c>
      <c r="T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1</v>
      </c>
      <c r="AC1377" t="b">
        <v>0</v>
      </c>
      <c r="AE1377" t="s">
        <v>3647</v>
      </c>
    </row>
    <row r="1378" spans="1:31" x14ac:dyDescent="0.3">
      <c r="A1378">
        <v>-73.975226356429999</v>
      </c>
      <c r="B1378">
        <v>40.772084917020003</v>
      </c>
      <c r="C1378" t="s">
        <v>3648</v>
      </c>
      <c r="D1378" t="s">
        <v>2803</v>
      </c>
      <c r="E1378" t="s">
        <v>33</v>
      </c>
      <c r="F1378">
        <v>10202018</v>
      </c>
      <c r="G1378">
        <v>2</v>
      </c>
      <c r="H1378" t="s">
        <v>48</v>
      </c>
      <c r="I1378" t="s">
        <v>42</v>
      </c>
      <c r="K1378" t="s">
        <v>43</v>
      </c>
      <c r="M1378" t="s">
        <v>65</v>
      </c>
      <c r="N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1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E1378" t="s">
        <v>3649</v>
      </c>
    </row>
    <row r="1379" spans="1:31" x14ac:dyDescent="0.3">
      <c r="A1379">
        <v>-73.966976265750006</v>
      </c>
      <c r="B1379">
        <v>40.78359132936</v>
      </c>
      <c r="C1379" t="s">
        <v>3650</v>
      </c>
      <c r="D1379" t="s">
        <v>689</v>
      </c>
      <c r="E1379" t="s">
        <v>33</v>
      </c>
      <c r="F1379">
        <v>10062018</v>
      </c>
      <c r="G1379">
        <v>8</v>
      </c>
      <c r="H1379" t="s">
        <v>48</v>
      </c>
      <c r="I1379" t="s">
        <v>42</v>
      </c>
      <c r="K1379" t="s">
        <v>43</v>
      </c>
      <c r="M1379" t="s">
        <v>44</v>
      </c>
      <c r="N1379">
        <v>10</v>
      </c>
      <c r="P1379" t="b">
        <v>0</v>
      </c>
      <c r="Q1379" t="b">
        <v>0</v>
      </c>
      <c r="R1379" t="b">
        <v>1</v>
      </c>
      <c r="S1379" t="b">
        <v>0</v>
      </c>
      <c r="T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E1379" t="s">
        <v>3651</v>
      </c>
    </row>
    <row r="1380" spans="1:31" x14ac:dyDescent="0.3">
      <c r="A1380">
        <v>-73.979647049470003</v>
      </c>
      <c r="B1380">
        <v>40.767837092550003</v>
      </c>
      <c r="C1380" t="s">
        <v>3652</v>
      </c>
      <c r="D1380" t="s">
        <v>1301</v>
      </c>
      <c r="E1380" t="s">
        <v>33</v>
      </c>
      <c r="F1380">
        <v>10132018</v>
      </c>
      <c r="G1380">
        <v>8</v>
      </c>
      <c r="H1380" t="s">
        <v>48</v>
      </c>
      <c r="I1380" t="s">
        <v>53</v>
      </c>
      <c r="K1380" t="s">
        <v>155</v>
      </c>
      <c r="M1380" t="s">
        <v>65</v>
      </c>
      <c r="N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1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E1380" t="s">
        <v>3653</v>
      </c>
    </row>
    <row r="1381" spans="1:31" x14ac:dyDescent="0.3">
      <c r="A1381">
        <v>-73.980695924819997</v>
      </c>
      <c r="B1381">
        <v>40.768482067950004</v>
      </c>
      <c r="C1381" t="s">
        <v>3654</v>
      </c>
      <c r="D1381" t="s">
        <v>1906</v>
      </c>
      <c r="E1381" t="s">
        <v>38</v>
      </c>
      <c r="F1381">
        <v>10102018</v>
      </c>
      <c r="G1381">
        <v>1</v>
      </c>
      <c r="H1381" t="s">
        <v>48</v>
      </c>
      <c r="I1381" t="s">
        <v>42</v>
      </c>
      <c r="J1381" t="s">
        <v>53</v>
      </c>
      <c r="K1381" t="s">
        <v>54</v>
      </c>
      <c r="M1381" t="s">
        <v>65</v>
      </c>
      <c r="N1381" t="b">
        <v>0</v>
      </c>
      <c r="P1381" t="b">
        <v>0</v>
      </c>
      <c r="Q1381" t="b">
        <v>0</v>
      </c>
      <c r="R1381" t="b">
        <v>0</v>
      </c>
      <c r="S1381" t="b">
        <v>1</v>
      </c>
      <c r="T1381" t="b">
        <v>1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1</v>
      </c>
      <c r="AC1381" t="b">
        <v>0</v>
      </c>
      <c r="AE1381" t="s">
        <v>3655</v>
      </c>
    </row>
    <row r="1382" spans="1:31" x14ac:dyDescent="0.3">
      <c r="A1382">
        <v>-73.958607703959999</v>
      </c>
      <c r="B1382">
        <v>40.796189647710001</v>
      </c>
      <c r="C1382" t="s">
        <v>3656</v>
      </c>
      <c r="D1382" t="s">
        <v>175</v>
      </c>
      <c r="E1382" t="s">
        <v>38</v>
      </c>
      <c r="F1382">
        <v>10192018</v>
      </c>
      <c r="G1382">
        <v>10</v>
      </c>
      <c r="H1382" t="s">
        <v>48</v>
      </c>
      <c r="I1382" t="s">
        <v>42</v>
      </c>
      <c r="J1382" t="s">
        <v>59</v>
      </c>
      <c r="K1382" t="s">
        <v>79</v>
      </c>
      <c r="M1382" t="s">
        <v>44</v>
      </c>
      <c r="N1382">
        <v>20</v>
      </c>
      <c r="P1382" t="b">
        <v>1</v>
      </c>
      <c r="Q1382" t="b">
        <v>0</v>
      </c>
      <c r="R1382" t="b">
        <v>1</v>
      </c>
      <c r="S1382" t="b">
        <v>1</v>
      </c>
      <c r="T1382" t="b">
        <v>0</v>
      </c>
      <c r="V1382" t="b">
        <v>1</v>
      </c>
      <c r="W1382" t="b">
        <v>0</v>
      </c>
      <c r="X1382" t="b">
        <v>0</v>
      </c>
      <c r="Y1382" t="b">
        <v>0</v>
      </c>
      <c r="Z1382" t="b">
        <v>1</v>
      </c>
      <c r="AA1382" t="b">
        <v>0</v>
      </c>
      <c r="AB1382" t="b">
        <v>0</v>
      </c>
      <c r="AC1382" t="b">
        <v>1</v>
      </c>
      <c r="AE1382" t="s">
        <v>3657</v>
      </c>
    </row>
    <row r="1383" spans="1:31" x14ac:dyDescent="0.3">
      <c r="A1383">
        <v>-73.961127489869995</v>
      </c>
      <c r="B1383">
        <v>40.79152500691</v>
      </c>
      <c r="C1383" t="s">
        <v>3658</v>
      </c>
      <c r="D1383" t="s">
        <v>607</v>
      </c>
      <c r="E1383" t="s">
        <v>38</v>
      </c>
      <c r="F1383">
        <v>10142018</v>
      </c>
      <c r="G1383">
        <v>5</v>
      </c>
      <c r="H1383" t="s">
        <v>48</v>
      </c>
      <c r="I1383" t="s">
        <v>53</v>
      </c>
      <c r="K1383" t="s">
        <v>155</v>
      </c>
      <c r="M1383" t="s">
        <v>65</v>
      </c>
      <c r="N1383" t="b">
        <v>0</v>
      </c>
      <c r="P1383" t="b">
        <v>0</v>
      </c>
      <c r="Q1383" t="b">
        <v>0</v>
      </c>
      <c r="R1383" t="b">
        <v>0</v>
      </c>
      <c r="S1383" t="b">
        <v>1</v>
      </c>
      <c r="T1383" t="b">
        <v>1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1</v>
      </c>
      <c r="AC1383" t="b">
        <v>0</v>
      </c>
      <c r="AE1383" t="s">
        <v>3659</v>
      </c>
    </row>
    <row r="1384" spans="1:31" x14ac:dyDescent="0.3">
      <c r="A1384">
        <v>-73.967673272569996</v>
      </c>
      <c r="B1384">
        <v>40.776319442549998</v>
      </c>
      <c r="C1384" t="s">
        <v>3660</v>
      </c>
      <c r="D1384" t="s">
        <v>311</v>
      </c>
      <c r="E1384" t="s">
        <v>33</v>
      </c>
      <c r="F1384">
        <v>10192018</v>
      </c>
      <c r="G1384">
        <v>9</v>
      </c>
      <c r="H1384" t="s">
        <v>48</v>
      </c>
      <c r="I1384" t="s">
        <v>42</v>
      </c>
      <c r="K1384" t="s">
        <v>43</v>
      </c>
      <c r="M1384" t="s">
        <v>65</v>
      </c>
      <c r="N1384" t="b">
        <v>0</v>
      </c>
      <c r="P1384" t="b">
        <v>0</v>
      </c>
      <c r="Q1384" t="b">
        <v>0</v>
      </c>
      <c r="R1384" t="b">
        <v>0</v>
      </c>
      <c r="S1384" t="b">
        <v>1</v>
      </c>
      <c r="T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E1384" t="s">
        <v>3661</v>
      </c>
    </row>
    <row r="1385" spans="1:31" x14ac:dyDescent="0.3">
      <c r="A1385">
        <v>-73.978760876199999</v>
      </c>
      <c r="B1385">
        <v>40.768606229649997</v>
      </c>
      <c r="C1385" t="s">
        <v>3662</v>
      </c>
      <c r="D1385" t="s">
        <v>827</v>
      </c>
      <c r="E1385" t="s">
        <v>33</v>
      </c>
      <c r="F1385">
        <v>10082018</v>
      </c>
      <c r="G1385">
        <v>1</v>
      </c>
      <c r="H1385" t="s">
        <v>48</v>
      </c>
      <c r="I1385" t="s">
        <v>53</v>
      </c>
      <c r="J1385" t="s">
        <v>115</v>
      </c>
      <c r="K1385" t="s">
        <v>116</v>
      </c>
      <c r="M1385" t="s">
        <v>44</v>
      </c>
      <c r="N1385">
        <v>3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s">
        <v>3663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1</v>
      </c>
      <c r="AC1385" t="b">
        <v>0</v>
      </c>
      <c r="AE1385" t="s">
        <v>3664</v>
      </c>
    </row>
    <row r="1386" spans="1:31" x14ac:dyDescent="0.3">
      <c r="A1386">
        <v>-73.961564977349994</v>
      </c>
      <c r="B1386">
        <v>40.795476131149996</v>
      </c>
      <c r="C1386" t="s">
        <v>3665</v>
      </c>
      <c r="D1386" t="s">
        <v>372</v>
      </c>
      <c r="E1386" t="s">
        <v>33</v>
      </c>
      <c r="F1386">
        <v>10132018</v>
      </c>
      <c r="G1386">
        <v>2</v>
      </c>
      <c r="I1386" t="s">
        <v>42</v>
      </c>
      <c r="J1386" t="s">
        <v>53</v>
      </c>
      <c r="K1386" t="s">
        <v>54</v>
      </c>
      <c r="M1386" t="s">
        <v>44</v>
      </c>
      <c r="N1386">
        <v>6</v>
      </c>
      <c r="P1386" t="b">
        <v>0</v>
      </c>
      <c r="Q1386" t="b">
        <v>0</v>
      </c>
      <c r="R1386" t="b">
        <v>0</v>
      </c>
      <c r="S1386" t="b">
        <v>0</v>
      </c>
      <c r="T1386" t="b">
        <v>1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1</v>
      </c>
      <c r="AC1386" t="b">
        <v>0</v>
      </c>
      <c r="AE1386" t="s">
        <v>3666</v>
      </c>
    </row>
    <row r="1387" spans="1:31" x14ac:dyDescent="0.3">
      <c r="A1387">
        <v>-73.973008572949993</v>
      </c>
      <c r="B1387">
        <v>40.770893357029998</v>
      </c>
      <c r="C1387" t="s">
        <v>3667</v>
      </c>
      <c r="D1387" t="s">
        <v>353</v>
      </c>
      <c r="E1387" t="s">
        <v>38</v>
      </c>
      <c r="F1387">
        <v>10082018</v>
      </c>
      <c r="G1387">
        <v>12</v>
      </c>
      <c r="H1387" t="s">
        <v>48</v>
      </c>
      <c r="I1387" t="s">
        <v>42</v>
      </c>
      <c r="K1387" t="s">
        <v>43</v>
      </c>
      <c r="M1387" t="s">
        <v>65</v>
      </c>
      <c r="N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1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1</v>
      </c>
      <c r="AC1387" t="b">
        <v>0</v>
      </c>
      <c r="AE1387" t="s">
        <v>3668</v>
      </c>
    </row>
    <row r="1388" spans="1:31" x14ac:dyDescent="0.3">
      <c r="A1388">
        <v>-73.969716057240007</v>
      </c>
      <c r="B1388">
        <v>40.771144557040003</v>
      </c>
      <c r="C1388" t="s">
        <v>3669</v>
      </c>
      <c r="D1388" t="s">
        <v>2056</v>
      </c>
      <c r="E1388" t="s">
        <v>38</v>
      </c>
      <c r="F1388">
        <v>10062018</v>
      </c>
      <c r="G1388">
        <v>2</v>
      </c>
      <c r="H1388" t="s">
        <v>48</v>
      </c>
      <c r="I1388" t="s">
        <v>42</v>
      </c>
      <c r="J1388" t="s">
        <v>59</v>
      </c>
      <c r="K1388" t="s">
        <v>79</v>
      </c>
      <c r="M1388" t="s">
        <v>65</v>
      </c>
      <c r="N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1</v>
      </c>
      <c r="V1388" t="b">
        <v>0</v>
      </c>
      <c r="W1388" t="b">
        <v>0</v>
      </c>
      <c r="X1388" t="b">
        <v>0</v>
      </c>
      <c r="Y1388" t="b">
        <v>0</v>
      </c>
      <c r="Z1388" t="b">
        <v>1</v>
      </c>
      <c r="AA1388" t="b">
        <v>0</v>
      </c>
      <c r="AB1388" t="b">
        <v>1</v>
      </c>
      <c r="AC1388" t="b">
        <v>0</v>
      </c>
      <c r="AE1388" t="s">
        <v>3670</v>
      </c>
    </row>
    <row r="1389" spans="1:31" x14ac:dyDescent="0.3">
      <c r="A1389">
        <v>-73.968570945600007</v>
      </c>
      <c r="B1389">
        <v>40.774487702649999</v>
      </c>
      <c r="C1389" t="s">
        <v>3671</v>
      </c>
      <c r="D1389" t="s">
        <v>988</v>
      </c>
      <c r="E1389" t="s">
        <v>33</v>
      </c>
      <c r="F1389">
        <v>10072018</v>
      </c>
      <c r="G1389">
        <v>7</v>
      </c>
      <c r="H1389" t="s">
        <v>105</v>
      </c>
      <c r="K1389" t="s">
        <v>34</v>
      </c>
      <c r="M1389" t="s">
        <v>44</v>
      </c>
      <c r="N1389">
        <v>45</v>
      </c>
      <c r="P1389" t="b">
        <v>0</v>
      </c>
      <c r="Q1389" t="b">
        <v>0</v>
      </c>
      <c r="R1389" t="b">
        <v>0</v>
      </c>
      <c r="S1389" t="b">
        <v>1</v>
      </c>
      <c r="T1389" t="b">
        <v>0</v>
      </c>
      <c r="U1389" t="s">
        <v>3672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E1389" t="s">
        <v>3673</v>
      </c>
    </row>
    <row r="1390" spans="1:31" x14ac:dyDescent="0.3">
      <c r="A1390">
        <v>-73.958002101790001</v>
      </c>
      <c r="B1390">
        <v>40.795514010220003</v>
      </c>
      <c r="C1390" t="s">
        <v>3674</v>
      </c>
      <c r="D1390" t="s">
        <v>390</v>
      </c>
      <c r="E1390" t="s">
        <v>33</v>
      </c>
      <c r="F1390">
        <v>10142018</v>
      </c>
      <c r="G1390">
        <v>7</v>
      </c>
      <c r="H1390" t="s">
        <v>48</v>
      </c>
      <c r="I1390" t="s">
        <v>42</v>
      </c>
      <c r="K1390" t="s">
        <v>43</v>
      </c>
      <c r="M1390" t="s">
        <v>65</v>
      </c>
      <c r="N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1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1</v>
      </c>
      <c r="AE1390" t="s">
        <v>3675</v>
      </c>
    </row>
    <row r="1391" spans="1:31" x14ac:dyDescent="0.3">
      <c r="A1391">
        <v>-73.967714674180002</v>
      </c>
      <c r="B1391">
        <v>40.778823133229999</v>
      </c>
      <c r="C1391" t="s">
        <v>3676</v>
      </c>
      <c r="D1391" t="s">
        <v>200</v>
      </c>
      <c r="E1391" t="s">
        <v>38</v>
      </c>
      <c r="F1391">
        <v>10172018</v>
      </c>
      <c r="G1391">
        <v>7</v>
      </c>
      <c r="H1391" t="s">
        <v>48</v>
      </c>
      <c r="I1391" t="s">
        <v>42</v>
      </c>
      <c r="K1391" t="s">
        <v>43</v>
      </c>
      <c r="M1391" t="s">
        <v>65</v>
      </c>
      <c r="N1391" t="b">
        <v>0</v>
      </c>
      <c r="P1391" t="b">
        <v>0</v>
      </c>
      <c r="Q1391" t="b">
        <v>1</v>
      </c>
      <c r="R1391" t="b">
        <v>0</v>
      </c>
      <c r="S1391" t="b">
        <v>0</v>
      </c>
      <c r="T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1</v>
      </c>
      <c r="AC1391" t="b">
        <v>0</v>
      </c>
      <c r="AE1391" t="s">
        <v>3677</v>
      </c>
    </row>
    <row r="1392" spans="1:31" x14ac:dyDescent="0.3">
      <c r="A1392">
        <v>-73.9578658633</v>
      </c>
      <c r="B1392">
        <v>40.793371218890002</v>
      </c>
      <c r="C1392" t="s">
        <v>3678</v>
      </c>
      <c r="D1392" t="s">
        <v>483</v>
      </c>
      <c r="E1392" t="s">
        <v>38</v>
      </c>
      <c r="F1392">
        <v>10202018</v>
      </c>
      <c r="G1392">
        <v>4</v>
      </c>
      <c r="H1392" t="s">
        <v>48</v>
      </c>
      <c r="I1392" t="s">
        <v>42</v>
      </c>
      <c r="J1392" t="s">
        <v>53</v>
      </c>
      <c r="K1392" t="s">
        <v>54</v>
      </c>
      <c r="M1392" t="s">
        <v>44</v>
      </c>
      <c r="N1392">
        <v>30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s">
        <v>3679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1</v>
      </c>
      <c r="AC1392" t="b">
        <v>0</v>
      </c>
      <c r="AE1392" t="s">
        <v>3680</v>
      </c>
    </row>
    <row r="1393" spans="1:31" x14ac:dyDescent="0.3">
      <c r="A1393">
        <v>-73.964809069820006</v>
      </c>
      <c r="B1393">
        <v>40.790388209779998</v>
      </c>
      <c r="C1393" t="s">
        <v>3681</v>
      </c>
      <c r="D1393" t="s">
        <v>3395</v>
      </c>
      <c r="E1393" t="s">
        <v>33</v>
      </c>
      <c r="F1393">
        <v>10192018</v>
      </c>
      <c r="G1393">
        <v>3</v>
      </c>
      <c r="H1393" t="s">
        <v>105</v>
      </c>
      <c r="I1393" t="s">
        <v>176</v>
      </c>
      <c r="J1393" t="s">
        <v>53</v>
      </c>
      <c r="K1393" t="s">
        <v>705</v>
      </c>
      <c r="M1393" t="s">
        <v>65</v>
      </c>
      <c r="N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1</v>
      </c>
      <c r="AB1393" t="b">
        <v>0</v>
      </c>
      <c r="AC1393" t="b">
        <v>1</v>
      </c>
      <c r="AD1393" t="s">
        <v>3682</v>
      </c>
      <c r="AE1393" t="s">
        <v>3683</v>
      </c>
    </row>
    <row r="1394" spans="1:31" x14ac:dyDescent="0.3">
      <c r="A1394">
        <v>-73.968713413779994</v>
      </c>
      <c r="B1394">
        <v>40.781220791339997</v>
      </c>
      <c r="C1394" t="s">
        <v>3684</v>
      </c>
      <c r="D1394" t="s">
        <v>304</v>
      </c>
      <c r="E1394" t="s">
        <v>33</v>
      </c>
      <c r="F1394">
        <v>10182018</v>
      </c>
      <c r="G1394">
        <v>3</v>
      </c>
      <c r="H1394" t="s">
        <v>48</v>
      </c>
      <c r="I1394" t="s">
        <v>42</v>
      </c>
      <c r="J1394" t="s">
        <v>53</v>
      </c>
      <c r="K1394" t="s">
        <v>54</v>
      </c>
      <c r="M1394" t="s">
        <v>65</v>
      </c>
      <c r="N1394" t="b">
        <v>0</v>
      </c>
      <c r="P1394" t="b">
        <v>0</v>
      </c>
      <c r="Q1394" t="b">
        <v>1</v>
      </c>
      <c r="R1394" t="b">
        <v>0</v>
      </c>
      <c r="S1394" t="b">
        <v>0</v>
      </c>
      <c r="T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1</v>
      </c>
      <c r="AC1394" t="b">
        <v>0</v>
      </c>
      <c r="AE1394" t="s">
        <v>3685</v>
      </c>
    </row>
    <row r="1395" spans="1:31" x14ac:dyDescent="0.3">
      <c r="A1395">
        <v>-73.954882639139996</v>
      </c>
      <c r="B1395">
        <v>40.795947457129998</v>
      </c>
      <c r="C1395" t="s">
        <v>3686</v>
      </c>
      <c r="D1395" t="s">
        <v>1063</v>
      </c>
      <c r="E1395" t="s">
        <v>38</v>
      </c>
      <c r="F1395">
        <v>10142018</v>
      </c>
      <c r="G1395">
        <v>5</v>
      </c>
      <c r="H1395" t="s">
        <v>105</v>
      </c>
      <c r="I1395" t="s">
        <v>53</v>
      </c>
      <c r="K1395" t="s">
        <v>155</v>
      </c>
      <c r="M1395" t="s">
        <v>44</v>
      </c>
      <c r="N1395">
        <v>2</v>
      </c>
      <c r="O1395" t="s">
        <v>3687</v>
      </c>
      <c r="P1395" t="b">
        <v>1</v>
      </c>
      <c r="Q1395" t="b">
        <v>0</v>
      </c>
      <c r="R1395" t="b">
        <v>1</v>
      </c>
      <c r="S1395" t="b">
        <v>0</v>
      </c>
      <c r="T1395" t="b">
        <v>1</v>
      </c>
      <c r="V1395" t="b">
        <v>0</v>
      </c>
      <c r="W1395" t="b">
        <v>0</v>
      </c>
      <c r="X1395" t="b">
        <v>0</v>
      </c>
      <c r="Y1395" t="b">
        <v>0</v>
      </c>
      <c r="Z1395" t="b">
        <v>1</v>
      </c>
      <c r="AA1395" t="b">
        <v>0</v>
      </c>
      <c r="AB1395" t="b">
        <v>1</v>
      </c>
      <c r="AC1395" t="b">
        <v>0</v>
      </c>
      <c r="AE1395" t="s">
        <v>3688</v>
      </c>
    </row>
    <row r="1396" spans="1:31" x14ac:dyDescent="0.3">
      <c r="A1396">
        <v>-73.971080154749998</v>
      </c>
      <c r="B1396">
        <v>40.77608724521</v>
      </c>
      <c r="C1396" t="s">
        <v>3689</v>
      </c>
      <c r="D1396" t="s">
        <v>415</v>
      </c>
      <c r="E1396" t="s">
        <v>38</v>
      </c>
      <c r="F1396">
        <v>10142018</v>
      </c>
      <c r="G1396">
        <v>3</v>
      </c>
      <c r="H1396" t="s">
        <v>105</v>
      </c>
      <c r="I1396" t="s">
        <v>42</v>
      </c>
      <c r="J1396" t="s">
        <v>59</v>
      </c>
      <c r="K1396" t="s">
        <v>79</v>
      </c>
      <c r="M1396" t="s">
        <v>44</v>
      </c>
      <c r="N1396">
        <v>2</v>
      </c>
      <c r="P1396" t="b">
        <v>0</v>
      </c>
      <c r="Q1396" t="b">
        <v>1</v>
      </c>
      <c r="R1396" t="b">
        <v>1</v>
      </c>
      <c r="S1396" t="b">
        <v>1</v>
      </c>
      <c r="T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1</v>
      </c>
      <c r="AE1396" t="s">
        <v>3690</v>
      </c>
    </row>
    <row r="1397" spans="1:31" x14ac:dyDescent="0.3">
      <c r="A1397">
        <v>-73.970467700780006</v>
      </c>
      <c r="B1397">
        <v>40.77868601083</v>
      </c>
      <c r="C1397" t="s">
        <v>3691</v>
      </c>
      <c r="D1397" t="s">
        <v>95</v>
      </c>
      <c r="E1397" t="s">
        <v>33</v>
      </c>
      <c r="F1397">
        <v>10182018</v>
      </c>
      <c r="G1397">
        <v>2</v>
      </c>
      <c r="H1397" t="s">
        <v>48</v>
      </c>
      <c r="I1397" t="s">
        <v>42</v>
      </c>
      <c r="J1397" t="s">
        <v>96</v>
      </c>
      <c r="K1397" t="s">
        <v>97</v>
      </c>
      <c r="M1397" t="s">
        <v>44</v>
      </c>
      <c r="N1397">
        <v>6</v>
      </c>
      <c r="P1397" t="b">
        <v>0</v>
      </c>
      <c r="Q1397" t="b">
        <v>1</v>
      </c>
      <c r="R1397" t="b">
        <v>0</v>
      </c>
      <c r="S1397" t="b">
        <v>1</v>
      </c>
      <c r="T1397" t="b">
        <v>1</v>
      </c>
      <c r="V1397" t="b">
        <v>0</v>
      </c>
      <c r="W1397" t="b">
        <v>0</v>
      </c>
      <c r="X1397" t="b">
        <v>0</v>
      </c>
      <c r="Y1397" t="b">
        <v>0</v>
      </c>
      <c r="Z1397" t="b">
        <v>1</v>
      </c>
      <c r="AA1397" t="b">
        <v>0</v>
      </c>
      <c r="AB1397" t="b">
        <v>1</v>
      </c>
      <c r="AC1397" t="b">
        <v>0</v>
      </c>
      <c r="AE1397" t="s">
        <v>3692</v>
      </c>
    </row>
    <row r="1398" spans="1:31" x14ac:dyDescent="0.3">
      <c r="A1398">
        <v>-73.965523374810004</v>
      </c>
      <c r="B1398">
        <v>40.779273728770001</v>
      </c>
      <c r="C1398" t="s">
        <v>3693</v>
      </c>
      <c r="D1398" t="s">
        <v>510</v>
      </c>
      <c r="E1398" t="s">
        <v>38</v>
      </c>
      <c r="F1398">
        <v>10142018</v>
      </c>
      <c r="G1398">
        <v>1</v>
      </c>
      <c r="H1398" t="s">
        <v>105</v>
      </c>
      <c r="I1398" t="s">
        <v>42</v>
      </c>
      <c r="J1398" t="s">
        <v>59</v>
      </c>
      <c r="K1398" t="s">
        <v>79</v>
      </c>
      <c r="M1398" t="s">
        <v>44</v>
      </c>
      <c r="N1398">
        <v>10</v>
      </c>
      <c r="P1398" t="b">
        <v>0</v>
      </c>
      <c r="Q1398" t="b">
        <v>0</v>
      </c>
      <c r="R1398" t="b">
        <v>1</v>
      </c>
      <c r="S1398" t="b">
        <v>0</v>
      </c>
      <c r="T1398" t="b">
        <v>0</v>
      </c>
      <c r="V1398" t="b">
        <v>1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1</v>
      </c>
      <c r="AC1398" t="b">
        <v>0</v>
      </c>
      <c r="AD1398" t="s">
        <v>3694</v>
      </c>
      <c r="AE1398" t="s">
        <v>3695</v>
      </c>
    </row>
    <row r="1399" spans="1:31" x14ac:dyDescent="0.3">
      <c r="A1399">
        <v>-73.96028080424</v>
      </c>
      <c r="B1399">
        <v>40.79061307888</v>
      </c>
      <c r="C1399" t="s">
        <v>3696</v>
      </c>
      <c r="D1399" t="s">
        <v>47</v>
      </c>
      <c r="E1399" t="s">
        <v>38</v>
      </c>
      <c r="F1399">
        <v>10072018</v>
      </c>
      <c r="G1399">
        <v>14</v>
      </c>
      <c r="H1399" t="s">
        <v>48</v>
      </c>
      <c r="I1399" t="s">
        <v>42</v>
      </c>
      <c r="K1399" t="s">
        <v>43</v>
      </c>
      <c r="M1399" t="s">
        <v>44</v>
      </c>
      <c r="N1399">
        <v>50</v>
      </c>
      <c r="O1399" t="s">
        <v>3697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s">
        <v>3698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1</v>
      </c>
      <c r="AE1399" t="s">
        <v>3699</v>
      </c>
    </row>
    <row r="1400" spans="1:31" x14ac:dyDescent="0.3">
      <c r="A1400">
        <v>-73.970442878379998</v>
      </c>
      <c r="B1400">
        <v>40.776375556040001</v>
      </c>
      <c r="C1400" t="s">
        <v>3700</v>
      </c>
      <c r="D1400" t="s">
        <v>100</v>
      </c>
      <c r="E1400" t="s">
        <v>38</v>
      </c>
      <c r="F1400">
        <v>10082018</v>
      </c>
      <c r="G1400">
        <v>22</v>
      </c>
      <c r="H1400" t="s">
        <v>48</v>
      </c>
      <c r="I1400" t="s">
        <v>42</v>
      </c>
      <c r="K1400" t="s">
        <v>43</v>
      </c>
      <c r="M1400" t="s">
        <v>65</v>
      </c>
      <c r="N1400" t="b">
        <v>0</v>
      </c>
      <c r="P1400" t="b">
        <v>0</v>
      </c>
      <c r="Q1400" t="b">
        <v>0</v>
      </c>
      <c r="R1400" t="b">
        <v>0</v>
      </c>
      <c r="S1400" t="b">
        <v>1</v>
      </c>
      <c r="T1400" t="b">
        <v>1</v>
      </c>
      <c r="U1400" t="s">
        <v>511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1</v>
      </c>
      <c r="AC1400" t="b">
        <v>0</v>
      </c>
      <c r="AE1400" t="s">
        <v>3701</v>
      </c>
    </row>
    <row r="1401" spans="1:31" x14ac:dyDescent="0.3">
      <c r="A1401">
        <v>-73.977349580709998</v>
      </c>
      <c r="B1401">
        <v>40.766455993729998</v>
      </c>
      <c r="C1401" t="s">
        <v>3702</v>
      </c>
      <c r="D1401" t="s">
        <v>2593</v>
      </c>
      <c r="E1401" t="s">
        <v>38</v>
      </c>
      <c r="F1401">
        <v>10062018</v>
      </c>
      <c r="G1401">
        <v>5</v>
      </c>
      <c r="H1401" t="s">
        <v>48</v>
      </c>
      <c r="I1401" t="s">
        <v>42</v>
      </c>
      <c r="J1401" t="s">
        <v>53</v>
      </c>
      <c r="K1401" t="s">
        <v>54</v>
      </c>
      <c r="M1401" t="s">
        <v>44</v>
      </c>
      <c r="N1401">
        <v>20</v>
      </c>
      <c r="P1401" t="b">
        <v>0</v>
      </c>
      <c r="Q1401" t="b">
        <v>0</v>
      </c>
      <c r="R1401" t="b">
        <v>1</v>
      </c>
      <c r="S1401" t="b">
        <v>0</v>
      </c>
      <c r="T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1</v>
      </c>
      <c r="AC1401" t="b">
        <v>0</v>
      </c>
      <c r="AE1401" t="s">
        <v>3703</v>
      </c>
    </row>
    <row r="1402" spans="1:31" x14ac:dyDescent="0.3">
      <c r="A1402">
        <v>-73.968120214690003</v>
      </c>
      <c r="B1402">
        <v>40.77439794168</v>
      </c>
      <c r="C1402" t="s">
        <v>3704</v>
      </c>
      <c r="D1402" t="s">
        <v>2016</v>
      </c>
      <c r="E1402" t="s">
        <v>33</v>
      </c>
      <c r="F1402">
        <v>10082018</v>
      </c>
      <c r="G1402">
        <v>4</v>
      </c>
      <c r="H1402" t="s">
        <v>48</v>
      </c>
      <c r="I1402" t="s">
        <v>42</v>
      </c>
      <c r="J1402" t="s">
        <v>53</v>
      </c>
      <c r="K1402" t="s">
        <v>54</v>
      </c>
      <c r="M1402" t="s">
        <v>65</v>
      </c>
      <c r="N1402" t="b">
        <v>0</v>
      </c>
      <c r="O1402" t="s">
        <v>3705</v>
      </c>
      <c r="P1402" t="b">
        <v>0</v>
      </c>
      <c r="Q1402" t="b">
        <v>0</v>
      </c>
      <c r="R1402" t="b">
        <v>0</v>
      </c>
      <c r="S1402" t="b">
        <v>0</v>
      </c>
      <c r="T1402" t="b">
        <v>1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1</v>
      </c>
      <c r="AC1402" t="b">
        <v>0</v>
      </c>
      <c r="AE1402" t="s">
        <v>3706</v>
      </c>
    </row>
    <row r="1403" spans="1:31" x14ac:dyDescent="0.3">
      <c r="A1403">
        <v>-73.974500990620001</v>
      </c>
      <c r="B1403">
        <v>40.774157407540002</v>
      </c>
      <c r="C1403" t="s">
        <v>3707</v>
      </c>
      <c r="D1403" t="s">
        <v>839</v>
      </c>
      <c r="E1403" t="s">
        <v>38</v>
      </c>
      <c r="F1403">
        <v>10182018</v>
      </c>
      <c r="G1403">
        <v>1</v>
      </c>
      <c r="H1403" t="s">
        <v>48</v>
      </c>
      <c r="I1403" t="s">
        <v>42</v>
      </c>
      <c r="K1403" t="s">
        <v>43</v>
      </c>
      <c r="M1403" t="s">
        <v>44</v>
      </c>
      <c r="N1403">
        <v>5</v>
      </c>
      <c r="P1403" t="b">
        <v>0</v>
      </c>
      <c r="Q1403" t="b">
        <v>0</v>
      </c>
      <c r="R1403" t="b">
        <v>1</v>
      </c>
      <c r="S1403" t="b">
        <v>0</v>
      </c>
      <c r="T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1</v>
      </c>
      <c r="AC1403" t="b">
        <v>0</v>
      </c>
      <c r="AE1403" t="s">
        <v>3708</v>
      </c>
    </row>
    <row r="1404" spans="1:31" x14ac:dyDescent="0.3">
      <c r="A1404">
        <v>-73.976163258669999</v>
      </c>
      <c r="B1404">
        <v>40.774108560610003</v>
      </c>
      <c r="C1404" t="s">
        <v>3709</v>
      </c>
      <c r="D1404" t="s">
        <v>790</v>
      </c>
      <c r="E1404" t="s">
        <v>33</v>
      </c>
      <c r="F1404">
        <v>10132018</v>
      </c>
      <c r="G1404">
        <v>5</v>
      </c>
      <c r="H1404" t="s">
        <v>105</v>
      </c>
      <c r="I1404" t="s">
        <v>42</v>
      </c>
      <c r="J1404" t="s">
        <v>59</v>
      </c>
      <c r="K1404" t="s">
        <v>79</v>
      </c>
      <c r="M1404" t="s">
        <v>65</v>
      </c>
      <c r="N1404" t="b">
        <v>0</v>
      </c>
      <c r="P1404" t="b">
        <v>1</v>
      </c>
      <c r="Q1404" t="b">
        <v>0</v>
      </c>
      <c r="R1404" t="b">
        <v>0</v>
      </c>
      <c r="S1404" t="b">
        <v>0</v>
      </c>
      <c r="T1404" t="b">
        <v>0</v>
      </c>
      <c r="V1404" t="b">
        <v>0</v>
      </c>
      <c r="W1404" t="b">
        <v>0</v>
      </c>
      <c r="X1404" t="b">
        <v>0</v>
      </c>
      <c r="Y1404" t="b">
        <v>1</v>
      </c>
      <c r="Z1404" t="b">
        <v>0</v>
      </c>
      <c r="AA1404" t="b">
        <v>0</v>
      </c>
      <c r="AB1404" t="b">
        <v>1</v>
      </c>
      <c r="AC1404" t="b">
        <v>0</v>
      </c>
      <c r="AE1404" t="s">
        <v>3710</v>
      </c>
    </row>
    <row r="1405" spans="1:31" x14ac:dyDescent="0.3">
      <c r="A1405">
        <v>-73.970066665489995</v>
      </c>
      <c r="B1405">
        <v>40.774285704260002</v>
      </c>
      <c r="C1405" t="s">
        <v>3711</v>
      </c>
      <c r="D1405" t="s">
        <v>646</v>
      </c>
      <c r="E1405" t="s">
        <v>33</v>
      </c>
      <c r="F1405">
        <v>10072018</v>
      </c>
      <c r="G1405">
        <v>8</v>
      </c>
      <c r="H1405" t="s">
        <v>48</v>
      </c>
      <c r="I1405" t="s">
        <v>42</v>
      </c>
      <c r="J1405" t="s">
        <v>53</v>
      </c>
      <c r="K1405" t="s">
        <v>54</v>
      </c>
      <c r="M1405" t="s">
        <v>65</v>
      </c>
      <c r="N1405" t="b">
        <v>0</v>
      </c>
      <c r="P1405" t="b">
        <v>0</v>
      </c>
      <c r="Q1405" t="b">
        <v>0</v>
      </c>
      <c r="R1405" t="b">
        <v>0</v>
      </c>
      <c r="S1405" t="b">
        <v>1</v>
      </c>
      <c r="T1405" t="b">
        <v>1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s">
        <v>647</v>
      </c>
      <c r="AE1405" t="s">
        <v>3712</v>
      </c>
    </row>
    <row r="1406" spans="1:31" x14ac:dyDescent="0.3">
      <c r="A1406">
        <v>-73.958937155089998</v>
      </c>
      <c r="B1406">
        <v>40.795981250449998</v>
      </c>
      <c r="C1406" t="s">
        <v>3713</v>
      </c>
      <c r="D1406" t="s">
        <v>925</v>
      </c>
      <c r="E1406" t="s">
        <v>33</v>
      </c>
      <c r="F1406">
        <v>10132018</v>
      </c>
      <c r="G1406">
        <v>4</v>
      </c>
      <c r="H1406" t="s">
        <v>48</v>
      </c>
      <c r="I1406" t="s">
        <v>42</v>
      </c>
      <c r="J1406" t="s">
        <v>59</v>
      </c>
      <c r="K1406" t="s">
        <v>79</v>
      </c>
      <c r="P1406" t="b">
        <v>0</v>
      </c>
      <c r="Q1406" t="b">
        <v>0</v>
      </c>
      <c r="R1406" t="b">
        <v>0</v>
      </c>
      <c r="S1406" t="b">
        <v>0</v>
      </c>
      <c r="T1406" t="b">
        <v>1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1</v>
      </c>
      <c r="AC1406" t="b">
        <v>0</v>
      </c>
      <c r="AE1406" t="s">
        <v>3714</v>
      </c>
    </row>
    <row r="1407" spans="1:31" x14ac:dyDescent="0.3">
      <c r="A1407">
        <v>-73.974620480219997</v>
      </c>
      <c r="B1407">
        <v>40.769929484069998</v>
      </c>
      <c r="C1407" t="s">
        <v>3715</v>
      </c>
      <c r="D1407" t="s">
        <v>3049</v>
      </c>
      <c r="E1407" t="s">
        <v>33</v>
      </c>
      <c r="F1407">
        <v>10102018</v>
      </c>
      <c r="G1407">
        <v>1</v>
      </c>
      <c r="H1407" t="s">
        <v>105</v>
      </c>
      <c r="K1407" t="s">
        <v>34</v>
      </c>
      <c r="M1407" t="s">
        <v>65</v>
      </c>
      <c r="N1407" t="b">
        <v>0</v>
      </c>
      <c r="O1407" t="s">
        <v>3716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1</v>
      </c>
      <c r="AC1407" t="b">
        <v>0</v>
      </c>
      <c r="AE1407" t="s">
        <v>3717</v>
      </c>
    </row>
    <row r="1408" spans="1:31" x14ac:dyDescent="0.3">
      <c r="A1408">
        <v>-73.970477855159999</v>
      </c>
      <c r="B1408">
        <v>40.778311911359999</v>
      </c>
      <c r="C1408" t="s">
        <v>3718</v>
      </c>
      <c r="D1408" t="s">
        <v>544</v>
      </c>
      <c r="E1408" t="s">
        <v>38</v>
      </c>
      <c r="F1408">
        <v>10072018</v>
      </c>
      <c r="G1408">
        <v>5</v>
      </c>
      <c r="H1408" t="s">
        <v>48</v>
      </c>
      <c r="K1408" t="s">
        <v>34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E1408" t="s">
        <v>3719</v>
      </c>
    </row>
    <row r="1409" spans="1:31" x14ac:dyDescent="0.3">
      <c r="A1409">
        <v>-73.97323016224</v>
      </c>
      <c r="B1409">
        <v>40.768982453139998</v>
      </c>
      <c r="C1409" t="s">
        <v>3720</v>
      </c>
      <c r="D1409" t="s">
        <v>250</v>
      </c>
      <c r="E1409" t="s">
        <v>38</v>
      </c>
      <c r="F1409">
        <v>10072018</v>
      </c>
      <c r="G1409">
        <v>1</v>
      </c>
      <c r="H1409" t="s">
        <v>48</v>
      </c>
      <c r="I1409" t="s">
        <v>42</v>
      </c>
      <c r="J1409" t="s">
        <v>53</v>
      </c>
      <c r="K1409" t="s">
        <v>54</v>
      </c>
      <c r="M1409" t="s">
        <v>44</v>
      </c>
      <c r="N1409">
        <v>5</v>
      </c>
      <c r="O1409" t="s">
        <v>742</v>
      </c>
      <c r="P1409" t="b">
        <v>1</v>
      </c>
      <c r="Q1409" t="b">
        <v>0</v>
      </c>
      <c r="R1409" t="b">
        <v>0</v>
      </c>
      <c r="S1409" t="b">
        <v>1</v>
      </c>
      <c r="T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E1409" t="s">
        <v>3721</v>
      </c>
    </row>
    <row r="1410" spans="1:31" x14ac:dyDescent="0.3">
      <c r="A1410">
        <v>-73.958154468239997</v>
      </c>
      <c r="B1410">
        <v>40.795808130639998</v>
      </c>
      <c r="C1410" t="s">
        <v>3722</v>
      </c>
      <c r="D1410" t="s">
        <v>925</v>
      </c>
      <c r="E1410" t="s">
        <v>33</v>
      </c>
      <c r="F1410">
        <v>10132018</v>
      </c>
      <c r="G1410">
        <v>2</v>
      </c>
      <c r="H1410" t="s">
        <v>48</v>
      </c>
      <c r="I1410" t="s">
        <v>42</v>
      </c>
      <c r="J1410" t="s">
        <v>96</v>
      </c>
      <c r="K1410" t="s">
        <v>97</v>
      </c>
      <c r="M1410" t="s">
        <v>65</v>
      </c>
      <c r="N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1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1</v>
      </c>
      <c r="AC1410" t="b">
        <v>0</v>
      </c>
      <c r="AE1410" t="s">
        <v>3723</v>
      </c>
    </row>
    <row r="1411" spans="1:31" x14ac:dyDescent="0.3">
      <c r="A1411">
        <v>-73.95879132892</v>
      </c>
      <c r="B1411">
        <v>40.796170762449997</v>
      </c>
      <c r="C1411" t="s">
        <v>3724</v>
      </c>
      <c r="D1411" t="s">
        <v>175</v>
      </c>
      <c r="E1411" t="s">
        <v>38</v>
      </c>
      <c r="F1411">
        <v>10192018</v>
      </c>
      <c r="G1411">
        <v>11</v>
      </c>
      <c r="H1411" t="s">
        <v>48</v>
      </c>
      <c r="I1411" t="s">
        <v>42</v>
      </c>
      <c r="J1411" t="s">
        <v>59</v>
      </c>
      <c r="K1411" t="s">
        <v>79</v>
      </c>
      <c r="M1411" t="s">
        <v>44</v>
      </c>
      <c r="N1411">
        <v>20</v>
      </c>
      <c r="P1411" t="b">
        <v>1</v>
      </c>
      <c r="Q1411" t="b">
        <v>0</v>
      </c>
      <c r="R1411" t="b">
        <v>1</v>
      </c>
      <c r="S1411" t="b">
        <v>1</v>
      </c>
      <c r="T1411" t="b">
        <v>0</v>
      </c>
      <c r="V1411" t="b">
        <v>1</v>
      </c>
      <c r="W1411" t="b">
        <v>0</v>
      </c>
      <c r="X1411" t="b">
        <v>0</v>
      </c>
      <c r="Y1411" t="b">
        <v>0</v>
      </c>
      <c r="Z1411" t="b">
        <v>1</v>
      </c>
      <c r="AA1411" t="b">
        <v>0</v>
      </c>
      <c r="AB1411" t="b">
        <v>0</v>
      </c>
      <c r="AC1411" t="b">
        <v>1</v>
      </c>
      <c r="AE1411" t="s">
        <v>3725</v>
      </c>
    </row>
    <row r="1412" spans="1:31" x14ac:dyDescent="0.3">
      <c r="A1412">
        <v>-73.980284003180003</v>
      </c>
      <c r="B1412">
        <v>40.76785990698</v>
      </c>
      <c r="C1412" t="s">
        <v>3726</v>
      </c>
      <c r="D1412" t="s">
        <v>851</v>
      </c>
      <c r="E1412" t="s">
        <v>33</v>
      </c>
      <c r="F1412">
        <v>10192018</v>
      </c>
      <c r="G1412">
        <v>4</v>
      </c>
      <c r="H1412" t="s">
        <v>105</v>
      </c>
      <c r="I1412" t="s">
        <v>42</v>
      </c>
      <c r="J1412" t="s">
        <v>59</v>
      </c>
      <c r="K1412" t="s">
        <v>79</v>
      </c>
      <c r="M1412" t="s">
        <v>44</v>
      </c>
      <c r="N1412">
        <v>25</v>
      </c>
      <c r="O1412" t="s">
        <v>456</v>
      </c>
      <c r="P1412" t="b">
        <v>0</v>
      </c>
      <c r="Q1412" t="b">
        <v>1</v>
      </c>
      <c r="R1412" t="b">
        <v>0</v>
      </c>
      <c r="S1412" t="b">
        <v>0</v>
      </c>
      <c r="T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E1412" t="s">
        <v>3727</v>
      </c>
    </row>
    <row r="1413" spans="1:31" x14ac:dyDescent="0.3">
      <c r="A1413">
        <v>-73.959467632659994</v>
      </c>
      <c r="B1413">
        <v>40.79844573634</v>
      </c>
      <c r="C1413" t="s">
        <v>3728</v>
      </c>
      <c r="D1413" t="s">
        <v>582</v>
      </c>
      <c r="E1413" t="s">
        <v>38</v>
      </c>
      <c r="F1413">
        <v>10132018</v>
      </c>
      <c r="G1413">
        <v>1</v>
      </c>
      <c r="H1413" t="s">
        <v>105</v>
      </c>
      <c r="I1413" t="s">
        <v>53</v>
      </c>
      <c r="J1413" t="s">
        <v>115</v>
      </c>
      <c r="K1413" t="s">
        <v>116</v>
      </c>
      <c r="M1413" t="s">
        <v>65</v>
      </c>
      <c r="N1413" t="b">
        <v>0</v>
      </c>
      <c r="P1413" t="b">
        <v>1</v>
      </c>
      <c r="Q1413" t="b">
        <v>0</v>
      </c>
      <c r="R1413" t="b">
        <v>0</v>
      </c>
      <c r="S1413" t="b">
        <v>1</v>
      </c>
      <c r="T1413" t="b">
        <v>1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1</v>
      </c>
      <c r="AE1413" t="s">
        <v>3729</v>
      </c>
    </row>
    <row r="1414" spans="1:31" x14ac:dyDescent="0.3">
      <c r="A1414">
        <v>-73.981003220640005</v>
      </c>
      <c r="B1414">
        <v>40.768162563499999</v>
      </c>
      <c r="C1414" t="s">
        <v>3730</v>
      </c>
      <c r="D1414" t="s">
        <v>1775</v>
      </c>
      <c r="E1414" t="s">
        <v>38</v>
      </c>
      <c r="F1414">
        <v>10072018</v>
      </c>
      <c r="G1414">
        <v>1</v>
      </c>
      <c r="H1414" t="s">
        <v>48</v>
      </c>
      <c r="I1414" t="s">
        <v>42</v>
      </c>
      <c r="J1414" t="s">
        <v>59</v>
      </c>
      <c r="K1414" t="s">
        <v>79</v>
      </c>
      <c r="M1414" t="s">
        <v>44</v>
      </c>
      <c r="N1414">
        <v>7</v>
      </c>
      <c r="P1414" t="b">
        <v>0</v>
      </c>
      <c r="Q1414" t="b">
        <v>0</v>
      </c>
      <c r="R1414" t="b">
        <v>1</v>
      </c>
      <c r="S1414" t="b">
        <v>0</v>
      </c>
      <c r="T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1</v>
      </c>
      <c r="AA1414" t="b">
        <v>0</v>
      </c>
      <c r="AB1414" t="b">
        <v>1</v>
      </c>
      <c r="AC1414" t="b">
        <v>0</v>
      </c>
      <c r="AE1414" t="s">
        <v>3731</v>
      </c>
    </row>
    <row r="1415" spans="1:31" x14ac:dyDescent="0.3">
      <c r="A1415">
        <v>-73.958051309680002</v>
      </c>
      <c r="B1415">
        <v>40.799096415320001</v>
      </c>
      <c r="C1415" t="s">
        <v>3732</v>
      </c>
      <c r="D1415" t="s">
        <v>367</v>
      </c>
      <c r="E1415" t="s">
        <v>38</v>
      </c>
      <c r="F1415">
        <v>10102018</v>
      </c>
      <c r="G1415">
        <v>2</v>
      </c>
      <c r="H1415" t="s">
        <v>48</v>
      </c>
      <c r="I1415" t="s">
        <v>42</v>
      </c>
      <c r="J1415" t="s">
        <v>59</v>
      </c>
      <c r="K1415" t="s">
        <v>79</v>
      </c>
      <c r="M1415" t="s">
        <v>44</v>
      </c>
      <c r="N1415">
        <v>16</v>
      </c>
      <c r="P1415" t="b">
        <v>0</v>
      </c>
      <c r="Q1415" t="b">
        <v>1</v>
      </c>
      <c r="R1415" t="b">
        <v>0</v>
      </c>
      <c r="S1415" t="b">
        <v>0</v>
      </c>
      <c r="T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E1415" t="s">
        <v>3733</v>
      </c>
    </row>
    <row r="1416" spans="1:31" x14ac:dyDescent="0.3">
      <c r="A1416">
        <v>-73.967856138429994</v>
      </c>
      <c r="B1416">
        <v>40.778287739779998</v>
      </c>
      <c r="C1416" t="s">
        <v>3734</v>
      </c>
      <c r="D1416" t="s">
        <v>256</v>
      </c>
      <c r="E1416" t="s">
        <v>33</v>
      </c>
      <c r="F1416">
        <v>10182018</v>
      </c>
      <c r="G1416">
        <v>2</v>
      </c>
      <c r="H1416" t="s">
        <v>105</v>
      </c>
      <c r="I1416" t="s">
        <v>53</v>
      </c>
      <c r="J1416" t="s">
        <v>42</v>
      </c>
      <c r="K1416" t="s">
        <v>89</v>
      </c>
      <c r="M1416" t="s">
        <v>65</v>
      </c>
      <c r="N1416" t="b">
        <v>0</v>
      </c>
      <c r="P1416" t="b">
        <v>0</v>
      </c>
      <c r="Q1416" t="b">
        <v>1</v>
      </c>
      <c r="R1416" t="b">
        <v>0</v>
      </c>
      <c r="S1416" t="b">
        <v>0</v>
      </c>
      <c r="T1416" t="b">
        <v>0</v>
      </c>
      <c r="V1416" t="b">
        <v>0</v>
      </c>
      <c r="W1416" t="b">
        <v>0</v>
      </c>
      <c r="X1416" t="b">
        <v>0</v>
      </c>
      <c r="Y1416" t="b">
        <v>1</v>
      </c>
      <c r="Z1416" t="b">
        <v>0</v>
      </c>
      <c r="AA1416" t="b">
        <v>0</v>
      </c>
      <c r="AB1416" t="b">
        <v>0</v>
      </c>
      <c r="AC1416" t="b">
        <v>0</v>
      </c>
      <c r="AD1416" t="s">
        <v>3735</v>
      </c>
      <c r="AE1416" t="s">
        <v>3736</v>
      </c>
    </row>
    <row r="1417" spans="1:31" x14ac:dyDescent="0.3">
      <c r="A1417">
        <v>-73.9757313482</v>
      </c>
      <c r="B1417">
        <v>40.775470405139998</v>
      </c>
      <c r="C1417" t="s">
        <v>3737</v>
      </c>
      <c r="D1417" t="s">
        <v>1635</v>
      </c>
      <c r="E1417" t="s">
        <v>33</v>
      </c>
      <c r="F1417">
        <v>10132018</v>
      </c>
      <c r="G1417">
        <v>4</v>
      </c>
      <c r="H1417" t="s">
        <v>48</v>
      </c>
      <c r="I1417" t="s">
        <v>53</v>
      </c>
      <c r="J1417" t="s">
        <v>42</v>
      </c>
      <c r="K1417" t="s">
        <v>89</v>
      </c>
      <c r="M1417" t="s">
        <v>65</v>
      </c>
      <c r="N1417" t="b">
        <v>0</v>
      </c>
      <c r="P1417" t="b">
        <v>1</v>
      </c>
      <c r="Q1417" t="b">
        <v>0</v>
      </c>
      <c r="R1417" t="b">
        <v>0</v>
      </c>
      <c r="S1417" t="b">
        <v>1</v>
      </c>
      <c r="T1417" t="b">
        <v>1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E1417" t="s">
        <v>3738</v>
      </c>
    </row>
    <row r="1418" spans="1:31" x14ac:dyDescent="0.3">
      <c r="A1418">
        <v>-73.974828939899993</v>
      </c>
      <c r="B1418">
        <v>40.766888612190002</v>
      </c>
      <c r="C1418" t="s">
        <v>3739</v>
      </c>
      <c r="D1418" t="s">
        <v>471</v>
      </c>
      <c r="E1418" t="s">
        <v>33</v>
      </c>
      <c r="F1418">
        <v>10142018</v>
      </c>
      <c r="G1418">
        <v>11</v>
      </c>
      <c r="H1418" t="s">
        <v>48</v>
      </c>
      <c r="I1418" t="s">
        <v>42</v>
      </c>
      <c r="K1418" t="s">
        <v>43</v>
      </c>
      <c r="M1418" t="s">
        <v>65</v>
      </c>
      <c r="N1418" t="b">
        <v>0</v>
      </c>
      <c r="P1418" t="b">
        <v>0</v>
      </c>
      <c r="Q1418" t="b">
        <v>1</v>
      </c>
      <c r="R1418" t="b">
        <v>0</v>
      </c>
      <c r="S1418" t="b">
        <v>0</v>
      </c>
      <c r="T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1</v>
      </c>
      <c r="AC1418" t="b">
        <v>0</v>
      </c>
      <c r="AE1418" t="s">
        <v>3740</v>
      </c>
    </row>
    <row r="1419" spans="1:31" x14ac:dyDescent="0.3">
      <c r="A1419">
        <v>-73.967392406040005</v>
      </c>
      <c r="B1419">
        <v>40.778878185170001</v>
      </c>
      <c r="C1419" t="s">
        <v>3741</v>
      </c>
      <c r="D1419" t="s">
        <v>111</v>
      </c>
      <c r="E1419" t="s">
        <v>38</v>
      </c>
      <c r="F1419">
        <v>10072018</v>
      </c>
      <c r="G1419">
        <v>3</v>
      </c>
      <c r="H1419" t="s">
        <v>48</v>
      </c>
      <c r="I1419" t="s">
        <v>53</v>
      </c>
      <c r="J1419" t="s">
        <v>59</v>
      </c>
      <c r="K1419" t="s">
        <v>60</v>
      </c>
      <c r="M1419" t="s">
        <v>65</v>
      </c>
      <c r="N1419" t="b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1</v>
      </c>
      <c r="AC1419" t="b">
        <v>0</v>
      </c>
      <c r="AE1419" t="s">
        <v>3742</v>
      </c>
    </row>
    <row r="1420" spans="1:31" x14ac:dyDescent="0.3">
      <c r="A1420">
        <v>-73.975601758929997</v>
      </c>
      <c r="B1420">
        <v>40.768033599650003</v>
      </c>
      <c r="C1420" t="s">
        <v>3743</v>
      </c>
      <c r="D1420" t="s">
        <v>215</v>
      </c>
      <c r="E1420" t="s">
        <v>33</v>
      </c>
      <c r="F1420">
        <v>10082018</v>
      </c>
      <c r="G1420">
        <v>6</v>
      </c>
      <c r="H1420" t="s">
        <v>48</v>
      </c>
      <c r="I1420" t="s">
        <v>42</v>
      </c>
      <c r="J1420" t="s">
        <v>53</v>
      </c>
      <c r="K1420" t="s">
        <v>54</v>
      </c>
      <c r="M1420" t="s">
        <v>65</v>
      </c>
      <c r="N1420" t="b">
        <v>0</v>
      </c>
      <c r="P1420" t="b">
        <v>0</v>
      </c>
      <c r="Q1420" t="b">
        <v>0</v>
      </c>
      <c r="R1420" t="b">
        <v>0</v>
      </c>
      <c r="S1420" t="b">
        <v>1</v>
      </c>
      <c r="T1420" t="b">
        <v>1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E1420" t="s">
        <v>3744</v>
      </c>
    </row>
    <row r="1421" spans="1:31" x14ac:dyDescent="0.3">
      <c r="A1421">
        <v>-73.964760512129999</v>
      </c>
      <c r="B1421">
        <v>40.780396153150001</v>
      </c>
      <c r="C1421" t="s">
        <v>3745</v>
      </c>
      <c r="D1421" t="s">
        <v>2203</v>
      </c>
      <c r="E1421" t="s">
        <v>38</v>
      </c>
      <c r="F1421">
        <v>10182018</v>
      </c>
      <c r="G1421">
        <v>3</v>
      </c>
      <c r="H1421" t="s">
        <v>48</v>
      </c>
      <c r="I1421" t="s">
        <v>42</v>
      </c>
      <c r="K1421" t="s">
        <v>43</v>
      </c>
      <c r="M1421" t="s">
        <v>44</v>
      </c>
      <c r="N1421">
        <v>12</v>
      </c>
      <c r="O1421" t="s">
        <v>456</v>
      </c>
      <c r="P1421" t="b">
        <v>1</v>
      </c>
      <c r="Q1421" t="b">
        <v>0</v>
      </c>
      <c r="R1421" t="b">
        <v>0</v>
      </c>
      <c r="S1421" t="b">
        <v>0</v>
      </c>
      <c r="T1421" t="b">
        <v>0</v>
      </c>
      <c r="V1421" t="b">
        <v>1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E1421" t="s">
        <v>3746</v>
      </c>
    </row>
    <row r="1422" spans="1:31" x14ac:dyDescent="0.3">
      <c r="A1422">
        <v>-73.959502229029994</v>
      </c>
      <c r="B1422">
        <v>40.78311513301</v>
      </c>
      <c r="C1422" t="s">
        <v>3747</v>
      </c>
      <c r="D1422" t="s">
        <v>2573</v>
      </c>
      <c r="E1422" t="s">
        <v>33</v>
      </c>
      <c r="F1422">
        <v>10072018</v>
      </c>
      <c r="G1422">
        <v>2</v>
      </c>
      <c r="H1422" t="s">
        <v>48</v>
      </c>
      <c r="I1422" t="s">
        <v>42</v>
      </c>
      <c r="J1422" t="s">
        <v>59</v>
      </c>
      <c r="K1422" t="s">
        <v>79</v>
      </c>
      <c r="L1422" t="s">
        <v>2637</v>
      </c>
      <c r="M1422" t="s">
        <v>65</v>
      </c>
      <c r="N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1</v>
      </c>
      <c r="V1422" t="b">
        <v>0</v>
      </c>
      <c r="W1422" t="b">
        <v>0</v>
      </c>
      <c r="X1422" t="b">
        <v>0</v>
      </c>
      <c r="Y1422" t="b">
        <v>1</v>
      </c>
      <c r="Z1422" t="b">
        <v>1</v>
      </c>
      <c r="AA1422" t="b">
        <v>0</v>
      </c>
      <c r="AB1422" t="b">
        <v>0</v>
      </c>
      <c r="AC1422" t="b">
        <v>1</v>
      </c>
      <c r="AE1422" t="s">
        <v>3748</v>
      </c>
    </row>
    <row r="1423" spans="1:31" x14ac:dyDescent="0.3">
      <c r="A1423">
        <v>-73.953735614579998</v>
      </c>
      <c r="B1423">
        <v>40.79172737735</v>
      </c>
      <c r="C1423" t="s">
        <v>3749</v>
      </c>
      <c r="D1423" t="s">
        <v>3750</v>
      </c>
      <c r="E1423" t="s">
        <v>33</v>
      </c>
      <c r="F1423">
        <v>10062018</v>
      </c>
      <c r="G1423">
        <v>2</v>
      </c>
      <c r="H1423" t="s">
        <v>48</v>
      </c>
      <c r="I1423" t="s">
        <v>42</v>
      </c>
      <c r="K1423" t="s">
        <v>43</v>
      </c>
      <c r="M1423" t="s">
        <v>44</v>
      </c>
      <c r="N1423">
        <v>6</v>
      </c>
      <c r="P1423" t="b">
        <v>0</v>
      </c>
      <c r="Q1423" t="b">
        <v>0</v>
      </c>
      <c r="R1423" t="b">
        <v>1</v>
      </c>
      <c r="S1423" t="b">
        <v>1</v>
      </c>
      <c r="T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1</v>
      </c>
      <c r="AC1423" t="b">
        <v>0</v>
      </c>
      <c r="AE1423" t="s">
        <v>3751</v>
      </c>
    </row>
    <row r="1424" spans="1:31" x14ac:dyDescent="0.3">
      <c r="A1424">
        <v>-73.960020432820002</v>
      </c>
      <c r="B1424">
        <v>40.782877291360002</v>
      </c>
      <c r="C1424" t="s">
        <v>3752</v>
      </c>
      <c r="D1424" t="s">
        <v>3753</v>
      </c>
      <c r="E1424" t="s">
        <v>38</v>
      </c>
      <c r="F1424">
        <v>10192018</v>
      </c>
      <c r="G1424">
        <v>1</v>
      </c>
      <c r="H1424" t="s">
        <v>48</v>
      </c>
      <c r="I1424" t="s">
        <v>42</v>
      </c>
      <c r="J1424" t="s">
        <v>59</v>
      </c>
      <c r="K1424" t="s">
        <v>79</v>
      </c>
      <c r="M1424" t="s">
        <v>44</v>
      </c>
      <c r="N1424">
        <v>10</v>
      </c>
      <c r="P1424" t="b">
        <v>0</v>
      </c>
      <c r="Q1424" t="b">
        <v>0</v>
      </c>
      <c r="R1424" t="b">
        <v>0</v>
      </c>
      <c r="S1424" t="b">
        <v>1</v>
      </c>
      <c r="T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E1424" t="s">
        <v>3754</v>
      </c>
    </row>
    <row r="1425" spans="1:31" x14ac:dyDescent="0.3">
      <c r="A1425">
        <v>-73.970972222379999</v>
      </c>
      <c r="B1425">
        <v>40.77673296463</v>
      </c>
      <c r="C1425" t="s">
        <v>3755</v>
      </c>
      <c r="D1425" t="s">
        <v>729</v>
      </c>
      <c r="E1425" t="s">
        <v>38</v>
      </c>
      <c r="F1425">
        <v>10142018</v>
      </c>
      <c r="G1425">
        <v>6</v>
      </c>
      <c r="H1425" t="s">
        <v>48</v>
      </c>
      <c r="I1425" t="s">
        <v>42</v>
      </c>
      <c r="J1425" t="s">
        <v>96</v>
      </c>
      <c r="K1425" t="s">
        <v>97</v>
      </c>
      <c r="M1425" t="s">
        <v>65</v>
      </c>
      <c r="N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1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1</v>
      </c>
      <c r="AC1425" t="b">
        <v>0</v>
      </c>
      <c r="AE1425" t="s">
        <v>3756</v>
      </c>
    </row>
    <row r="1426" spans="1:31" x14ac:dyDescent="0.3">
      <c r="A1426">
        <v>-73.958625287589996</v>
      </c>
      <c r="B1426">
        <v>40.785202758620002</v>
      </c>
      <c r="C1426" t="s">
        <v>3757</v>
      </c>
      <c r="D1426" t="s">
        <v>1083</v>
      </c>
      <c r="E1426" t="s">
        <v>38</v>
      </c>
      <c r="F1426">
        <v>10072018</v>
      </c>
      <c r="G1426">
        <v>3</v>
      </c>
      <c r="H1426" t="s">
        <v>48</v>
      </c>
      <c r="I1426" t="s">
        <v>42</v>
      </c>
      <c r="J1426" t="s">
        <v>53</v>
      </c>
      <c r="K1426" t="s">
        <v>54</v>
      </c>
      <c r="L1426" t="s">
        <v>3758</v>
      </c>
      <c r="M1426" t="s">
        <v>44</v>
      </c>
      <c r="N1426">
        <v>20</v>
      </c>
      <c r="P1426" t="b">
        <v>0</v>
      </c>
      <c r="Q1426" t="b">
        <v>0</v>
      </c>
      <c r="R1426" t="b">
        <v>1</v>
      </c>
      <c r="S1426" t="b">
        <v>0</v>
      </c>
      <c r="T1426" t="b">
        <v>1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1</v>
      </c>
      <c r="AC1426" t="b">
        <v>0</v>
      </c>
      <c r="AE1426" t="s">
        <v>3759</v>
      </c>
    </row>
    <row r="1427" spans="1:31" x14ac:dyDescent="0.3">
      <c r="A1427">
        <v>-73.966498644629993</v>
      </c>
      <c r="B1427">
        <v>40.778308334320002</v>
      </c>
      <c r="C1427" t="s">
        <v>3760</v>
      </c>
      <c r="D1427" t="s">
        <v>2217</v>
      </c>
      <c r="E1427" t="s">
        <v>33</v>
      </c>
      <c r="F1427">
        <v>10172018</v>
      </c>
      <c r="G1427">
        <v>2</v>
      </c>
      <c r="H1427" t="s">
        <v>48</v>
      </c>
      <c r="I1427" t="s">
        <v>42</v>
      </c>
      <c r="K1427" t="s">
        <v>43</v>
      </c>
      <c r="M1427" t="s">
        <v>44</v>
      </c>
      <c r="N1427">
        <v>15</v>
      </c>
      <c r="P1427" t="b">
        <v>1</v>
      </c>
      <c r="Q1427" t="b">
        <v>0</v>
      </c>
      <c r="R1427" t="b">
        <v>1</v>
      </c>
      <c r="S1427" t="b">
        <v>0</v>
      </c>
      <c r="T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1</v>
      </c>
      <c r="AE1427" t="s">
        <v>3761</v>
      </c>
    </row>
    <row r="1428" spans="1:31" x14ac:dyDescent="0.3">
      <c r="A1428">
        <v>-73.975532199849994</v>
      </c>
      <c r="B1428">
        <v>40.766831157600002</v>
      </c>
      <c r="C1428" t="s">
        <v>3762</v>
      </c>
      <c r="D1428" t="s">
        <v>471</v>
      </c>
      <c r="E1428" t="s">
        <v>33</v>
      </c>
      <c r="F1428">
        <v>10142018</v>
      </c>
      <c r="G1428">
        <v>1</v>
      </c>
      <c r="H1428" t="s">
        <v>48</v>
      </c>
      <c r="I1428" t="s">
        <v>42</v>
      </c>
      <c r="K1428" t="s">
        <v>43</v>
      </c>
      <c r="M1428" t="s">
        <v>65</v>
      </c>
      <c r="N1428" t="b">
        <v>0</v>
      </c>
      <c r="P1428" t="b">
        <v>1</v>
      </c>
      <c r="Q1428" t="b">
        <v>0</v>
      </c>
      <c r="R1428" t="b">
        <v>0</v>
      </c>
      <c r="S1428" t="b">
        <v>0</v>
      </c>
      <c r="T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1</v>
      </c>
      <c r="AC1428" t="b">
        <v>0</v>
      </c>
      <c r="AE1428" t="s">
        <v>3763</v>
      </c>
    </row>
    <row r="1429" spans="1:31" x14ac:dyDescent="0.3">
      <c r="A1429">
        <v>-73.966611359859996</v>
      </c>
      <c r="B1429">
        <v>40.775266255029997</v>
      </c>
      <c r="C1429" t="s">
        <v>3764</v>
      </c>
      <c r="D1429" t="s">
        <v>1320</v>
      </c>
      <c r="E1429" t="s">
        <v>33</v>
      </c>
      <c r="F1429">
        <v>10122018</v>
      </c>
      <c r="G1429">
        <v>5</v>
      </c>
      <c r="H1429" t="s">
        <v>48</v>
      </c>
      <c r="I1429" t="s">
        <v>42</v>
      </c>
      <c r="K1429" t="s">
        <v>43</v>
      </c>
      <c r="M1429" t="s">
        <v>65</v>
      </c>
      <c r="N1429" t="b">
        <v>0</v>
      </c>
      <c r="P1429" t="b">
        <v>0</v>
      </c>
      <c r="Q1429" t="b">
        <v>0</v>
      </c>
      <c r="R1429" t="b">
        <v>0</v>
      </c>
      <c r="S1429" t="b">
        <v>1</v>
      </c>
      <c r="T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1</v>
      </c>
      <c r="AB1429" t="b">
        <v>0</v>
      </c>
      <c r="AC1429" t="b">
        <v>0</v>
      </c>
      <c r="AD1429" t="s">
        <v>3765</v>
      </c>
      <c r="AE1429" t="s">
        <v>3766</v>
      </c>
    </row>
    <row r="1430" spans="1:31" x14ac:dyDescent="0.3">
      <c r="A1430">
        <v>-73.970653313110006</v>
      </c>
      <c r="B1430">
        <v>40.768902033819998</v>
      </c>
      <c r="C1430" t="s">
        <v>3767</v>
      </c>
      <c r="D1430" t="s">
        <v>228</v>
      </c>
      <c r="E1430" t="s">
        <v>38</v>
      </c>
      <c r="F1430">
        <v>10062018</v>
      </c>
      <c r="G1430">
        <v>1</v>
      </c>
      <c r="H1430" t="s">
        <v>48</v>
      </c>
      <c r="I1430" t="s">
        <v>42</v>
      </c>
      <c r="J1430" t="s">
        <v>53</v>
      </c>
      <c r="K1430" t="s">
        <v>54</v>
      </c>
      <c r="M1430" t="s">
        <v>44</v>
      </c>
      <c r="P1430" t="b">
        <v>1</v>
      </c>
      <c r="Q1430" t="b">
        <v>0</v>
      </c>
      <c r="R1430" t="b">
        <v>1</v>
      </c>
      <c r="S1430" t="b">
        <v>1</v>
      </c>
      <c r="T1430" t="b">
        <v>1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1</v>
      </c>
      <c r="AD1430" t="s">
        <v>3768</v>
      </c>
      <c r="AE1430" t="s">
        <v>3769</v>
      </c>
    </row>
    <row r="1431" spans="1:31" x14ac:dyDescent="0.3">
      <c r="A1431">
        <v>-73.970804709440003</v>
      </c>
      <c r="B1431">
        <v>40.775861111120001</v>
      </c>
      <c r="C1431" t="s">
        <v>3770</v>
      </c>
      <c r="D1431" t="s">
        <v>52</v>
      </c>
      <c r="E1431" t="s">
        <v>33</v>
      </c>
      <c r="F1431">
        <v>10082018</v>
      </c>
      <c r="G1431">
        <v>1</v>
      </c>
      <c r="H1431" t="s">
        <v>48</v>
      </c>
      <c r="I1431" t="s">
        <v>42</v>
      </c>
      <c r="J1431" t="s">
        <v>59</v>
      </c>
      <c r="K1431" t="s">
        <v>79</v>
      </c>
      <c r="M1431" t="s">
        <v>65</v>
      </c>
      <c r="N1431" t="b">
        <v>0</v>
      </c>
      <c r="P1431" t="b">
        <v>0</v>
      </c>
      <c r="Q1431" t="b">
        <v>0</v>
      </c>
      <c r="R1431" t="b">
        <v>0</v>
      </c>
      <c r="S1431" t="b">
        <v>1</v>
      </c>
      <c r="T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1</v>
      </c>
      <c r="AA1431" t="b">
        <v>0</v>
      </c>
      <c r="AB1431" t="b">
        <v>1</v>
      </c>
      <c r="AC1431" t="b">
        <v>0</v>
      </c>
      <c r="AE1431" t="s">
        <v>3771</v>
      </c>
    </row>
    <row r="1432" spans="1:31" x14ac:dyDescent="0.3">
      <c r="A1432">
        <v>-73.960191893070004</v>
      </c>
      <c r="B1432">
        <v>40.794413468339997</v>
      </c>
      <c r="C1432" t="s">
        <v>3772</v>
      </c>
      <c r="D1432" t="s">
        <v>195</v>
      </c>
      <c r="E1432" t="s">
        <v>38</v>
      </c>
      <c r="F1432">
        <v>10072018</v>
      </c>
      <c r="G1432">
        <v>1</v>
      </c>
      <c r="H1432" t="s">
        <v>105</v>
      </c>
      <c r="I1432" t="s">
        <v>42</v>
      </c>
      <c r="J1432" t="s">
        <v>53</v>
      </c>
      <c r="K1432" t="s">
        <v>54</v>
      </c>
      <c r="M1432" t="s">
        <v>44</v>
      </c>
      <c r="N1432">
        <v>20</v>
      </c>
      <c r="O1432" t="s">
        <v>3773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s">
        <v>630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E1432" t="s">
        <v>3774</v>
      </c>
    </row>
    <row r="1433" spans="1:31" x14ac:dyDescent="0.3">
      <c r="A1433">
        <v>-73.963257785020005</v>
      </c>
      <c r="B1433">
        <v>40.793112839019997</v>
      </c>
      <c r="C1433" t="s">
        <v>3775</v>
      </c>
      <c r="D1433" t="s">
        <v>2440</v>
      </c>
      <c r="E1433" t="s">
        <v>38</v>
      </c>
      <c r="F1433">
        <v>10082018</v>
      </c>
      <c r="G1433">
        <v>1</v>
      </c>
      <c r="H1433" t="s">
        <v>48</v>
      </c>
      <c r="I1433" t="s">
        <v>42</v>
      </c>
      <c r="J1433" t="s">
        <v>96</v>
      </c>
      <c r="K1433" t="s">
        <v>97</v>
      </c>
      <c r="M1433" t="s">
        <v>65</v>
      </c>
      <c r="N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1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s">
        <v>3776</v>
      </c>
      <c r="AE1433" t="s">
        <v>3777</v>
      </c>
    </row>
    <row r="1434" spans="1:31" x14ac:dyDescent="0.3">
      <c r="A1434">
        <v>-73.957407749759994</v>
      </c>
      <c r="B1434">
        <v>40.800118518490002</v>
      </c>
      <c r="C1434" t="s">
        <v>3778</v>
      </c>
      <c r="D1434" t="s">
        <v>1460</v>
      </c>
      <c r="E1434" t="s">
        <v>38</v>
      </c>
      <c r="F1434">
        <v>10142018</v>
      </c>
      <c r="G1434">
        <v>1</v>
      </c>
      <c r="H1434" t="s">
        <v>48</v>
      </c>
      <c r="I1434" t="s">
        <v>42</v>
      </c>
      <c r="K1434" t="s">
        <v>43</v>
      </c>
      <c r="M1434" t="s">
        <v>44</v>
      </c>
      <c r="N1434">
        <v>3</v>
      </c>
      <c r="P1434" t="b">
        <v>0</v>
      </c>
      <c r="Q1434" t="b">
        <v>0</v>
      </c>
      <c r="R1434" t="b">
        <v>1</v>
      </c>
      <c r="S1434" t="b">
        <v>0</v>
      </c>
      <c r="T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1</v>
      </c>
      <c r="AC1434" t="b">
        <v>0</v>
      </c>
      <c r="AE1434" t="s">
        <v>3779</v>
      </c>
    </row>
    <row r="1435" spans="1:31" x14ac:dyDescent="0.3">
      <c r="A1435">
        <v>-73.976074975290004</v>
      </c>
      <c r="B1435">
        <v>40.770328489439997</v>
      </c>
      <c r="C1435" t="s">
        <v>3780</v>
      </c>
      <c r="D1435" t="s">
        <v>574</v>
      </c>
      <c r="E1435" t="s">
        <v>33</v>
      </c>
      <c r="F1435">
        <v>10182018</v>
      </c>
      <c r="G1435">
        <v>2</v>
      </c>
      <c r="H1435" t="s">
        <v>48</v>
      </c>
      <c r="I1435" t="s">
        <v>42</v>
      </c>
      <c r="K1435" t="s">
        <v>43</v>
      </c>
      <c r="M1435" t="s">
        <v>44</v>
      </c>
      <c r="N1435">
        <v>2</v>
      </c>
      <c r="O1435" t="s">
        <v>3781</v>
      </c>
      <c r="P1435" t="b">
        <v>0</v>
      </c>
      <c r="Q1435" t="b">
        <v>0</v>
      </c>
      <c r="R1435" t="b">
        <v>0</v>
      </c>
      <c r="S1435" t="b">
        <v>1</v>
      </c>
      <c r="T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1</v>
      </c>
      <c r="AE1435" t="s">
        <v>3782</v>
      </c>
    </row>
    <row r="1436" spans="1:31" x14ac:dyDescent="0.3">
      <c r="A1436">
        <v>-73.958253443290005</v>
      </c>
      <c r="B1436">
        <v>40.791777229680001</v>
      </c>
      <c r="C1436" t="s">
        <v>3783</v>
      </c>
      <c r="D1436" t="s">
        <v>186</v>
      </c>
      <c r="E1436" t="s">
        <v>33</v>
      </c>
      <c r="F1436">
        <v>10122018</v>
      </c>
      <c r="G1436">
        <v>1</v>
      </c>
      <c r="H1436" t="s">
        <v>48</v>
      </c>
      <c r="I1436" t="s">
        <v>42</v>
      </c>
      <c r="J1436" t="s">
        <v>59</v>
      </c>
      <c r="K1436" t="s">
        <v>79</v>
      </c>
      <c r="M1436" t="s">
        <v>65</v>
      </c>
      <c r="N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1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1</v>
      </c>
      <c r="AC1436" t="b">
        <v>0</v>
      </c>
      <c r="AE1436" t="s">
        <v>3784</v>
      </c>
    </row>
    <row r="1437" spans="1:31" x14ac:dyDescent="0.3">
      <c r="A1437">
        <v>-73.976677958569994</v>
      </c>
      <c r="B1437">
        <v>40.766967377809998</v>
      </c>
      <c r="C1437" t="s">
        <v>3785</v>
      </c>
      <c r="D1437" t="s">
        <v>879</v>
      </c>
      <c r="E1437" t="s">
        <v>38</v>
      </c>
      <c r="F1437">
        <v>10102018</v>
      </c>
      <c r="G1437">
        <v>4</v>
      </c>
      <c r="H1437" t="s">
        <v>105</v>
      </c>
      <c r="I1437" t="s">
        <v>42</v>
      </c>
      <c r="J1437" t="s">
        <v>96</v>
      </c>
      <c r="K1437" t="s">
        <v>97</v>
      </c>
      <c r="M1437" t="s">
        <v>65</v>
      </c>
      <c r="N1437" t="b">
        <v>0</v>
      </c>
      <c r="P1437" t="b">
        <v>0</v>
      </c>
      <c r="Q1437" t="b">
        <v>0</v>
      </c>
      <c r="R1437" t="b">
        <v>0</v>
      </c>
      <c r="S1437" t="b">
        <v>1</v>
      </c>
      <c r="T1437" t="b">
        <v>0</v>
      </c>
      <c r="V1437" t="b">
        <v>1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1</v>
      </c>
      <c r="AC1437" t="b">
        <v>0</v>
      </c>
      <c r="AE1437" t="s">
        <v>3786</v>
      </c>
    </row>
    <row r="1438" spans="1:31" x14ac:dyDescent="0.3">
      <c r="A1438">
        <v>-73.972127980869999</v>
      </c>
      <c r="B1438">
        <v>40.766115866390003</v>
      </c>
      <c r="C1438" t="s">
        <v>3787</v>
      </c>
      <c r="D1438" t="s">
        <v>985</v>
      </c>
      <c r="E1438" t="s">
        <v>33</v>
      </c>
      <c r="F1438">
        <v>10132018</v>
      </c>
      <c r="G1438">
        <v>2</v>
      </c>
      <c r="H1438" t="s">
        <v>48</v>
      </c>
      <c r="I1438" t="s">
        <v>53</v>
      </c>
      <c r="J1438" t="s">
        <v>42</v>
      </c>
      <c r="K1438" t="s">
        <v>89</v>
      </c>
      <c r="M1438" t="s">
        <v>65</v>
      </c>
      <c r="N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1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1</v>
      </c>
      <c r="AC1438" t="b">
        <v>0</v>
      </c>
      <c r="AE1438" t="s">
        <v>3788</v>
      </c>
    </row>
    <row r="1439" spans="1:31" x14ac:dyDescent="0.3">
      <c r="A1439">
        <v>-73.971685475219999</v>
      </c>
      <c r="B1439">
        <v>40.770666846589997</v>
      </c>
      <c r="C1439" t="s">
        <v>3789</v>
      </c>
      <c r="D1439" t="s">
        <v>402</v>
      </c>
      <c r="E1439" t="s">
        <v>33</v>
      </c>
      <c r="F1439">
        <v>10182018</v>
      </c>
      <c r="G1439">
        <v>7</v>
      </c>
      <c r="H1439" t="s">
        <v>48</v>
      </c>
      <c r="I1439" t="s">
        <v>42</v>
      </c>
      <c r="K1439" t="s">
        <v>43</v>
      </c>
      <c r="M1439" t="s">
        <v>65</v>
      </c>
      <c r="N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1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1</v>
      </c>
      <c r="AC1439" t="b">
        <v>0</v>
      </c>
      <c r="AE1439" t="s">
        <v>3790</v>
      </c>
    </row>
    <row r="1440" spans="1:31" x14ac:dyDescent="0.3">
      <c r="A1440">
        <v>-73.972964519040005</v>
      </c>
      <c r="B1440">
        <v>40.772331015079999</v>
      </c>
      <c r="C1440" t="s">
        <v>3791</v>
      </c>
      <c r="D1440" t="s">
        <v>1920</v>
      </c>
      <c r="E1440" t="s">
        <v>38</v>
      </c>
      <c r="F1440">
        <v>10082018</v>
      </c>
      <c r="G1440">
        <v>2</v>
      </c>
      <c r="H1440" t="s">
        <v>48</v>
      </c>
      <c r="I1440" t="s">
        <v>42</v>
      </c>
      <c r="J1440" t="s">
        <v>59</v>
      </c>
      <c r="K1440" t="s">
        <v>79</v>
      </c>
      <c r="M1440" t="s">
        <v>65</v>
      </c>
      <c r="N1440" t="b">
        <v>0</v>
      </c>
      <c r="P1440" t="b">
        <v>0</v>
      </c>
      <c r="Q1440" t="b">
        <v>0</v>
      </c>
      <c r="R1440" t="b">
        <v>0</v>
      </c>
      <c r="S1440" t="b">
        <v>1</v>
      </c>
      <c r="T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1</v>
      </c>
      <c r="AC1440" t="b">
        <v>0</v>
      </c>
      <c r="AE1440" t="s">
        <v>3792</v>
      </c>
    </row>
    <row r="1441" spans="1:31" x14ac:dyDescent="0.3">
      <c r="A1441">
        <v>-73.97486692052</v>
      </c>
      <c r="B1441">
        <v>40.774387923200003</v>
      </c>
      <c r="C1441" t="s">
        <v>3793</v>
      </c>
      <c r="D1441" t="s">
        <v>462</v>
      </c>
      <c r="E1441" t="s">
        <v>38</v>
      </c>
      <c r="F1441">
        <v>10062018</v>
      </c>
      <c r="G1441">
        <v>1</v>
      </c>
      <c r="H1441" t="s">
        <v>48</v>
      </c>
      <c r="I1441" t="s">
        <v>42</v>
      </c>
      <c r="J1441" t="s">
        <v>53</v>
      </c>
      <c r="K1441" t="s">
        <v>54</v>
      </c>
      <c r="M1441" t="s">
        <v>65</v>
      </c>
      <c r="N1441" t="b">
        <v>0</v>
      </c>
      <c r="P1441" t="b">
        <v>1</v>
      </c>
      <c r="Q1441" t="b">
        <v>0</v>
      </c>
      <c r="R1441" t="b">
        <v>0</v>
      </c>
      <c r="S1441" t="b">
        <v>0</v>
      </c>
      <c r="T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1</v>
      </c>
      <c r="AE1441" t="s">
        <v>3794</v>
      </c>
    </row>
    <row r="1442" spans="1:31" x14ac:dyDescent="0.3">
      <c r="A1442">
        <v>-73.961335649739993</v>
      </c>
      <c r="B1442">
        <v>40.781887686780003</v>
      </c>
      <c r="C1442" t="s">
        <v>3795</v>
      </c>
      <c r="D1442" t="s">
        <v>3796</v>
      </c>
      <c r="E1442" t="s">
        <v>33</v>
      </c>
      <c r="F1442">
        <v>10192018</v>
      </c>
      <c r="G1442">
        <v>1</v>
      </c>
      <c r="H1442" t="s">
        <v>48</v>
      </c>
      <c r="I1442" t="s">
        <v>42</v>
      </c>
      <c r="K1442" t="s">
        <v>43</v>
      </c>
      <c r="M1442" t="s">
        <v>65</v>
      </c>
      <c r="N1442" t="b">
        <v>0</v>
      </c>
      <c r="P1442" t="b">
        <v>1</v>
      </c>
      <c r="Q1442" t="b">
        <v>0</v>
      </c>
      <c r="R1442" t="b">
        <v>0</v>
      </c>
      <c r="S1442" t="b">
        <v>0</v>
      </c>
      <c r="T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E1442" t="s">
        <v>3797</v>
      </c>
    </row>
    <row r="1443" spans="1:31" x14ac:dyDescent="0.3">
      <c r="A1443">
        <v>-73.96124195342</v>
      </c>
      <c r="B1443">
        <v>40.794167711299998</v>
      </c>
      <c r="C1443" t="s">
        <v>3798</v>
      </c>
      <c r="D1443" t="s">
        <v>423</v>
      </c>
      <c r="E1443" t="s">
        <v>33</v>
      </c>
      <c r="F1443">
        <v>10132018</v>
      </c>
      <c r="G1443">
        <v>7</v>
      </c>
      <c r="H1443" t="s">
        <v>48</v>
      </c>
      <c r="I1443" t="s">
        <v>42</v>
      </c>
      <c r="K1443" t="s">
        <v>43</v>
      </c>
      <c r="M1443" t="s">
        <v>65</v>
      </c>
      <c r="N1443" t="b">
        <v>0</v>
      </c>
      <c r="P1443" t="b">
        <v>1</v>
      </c>
      <c r="Q1443" t="b">
        <v>0</v>
      </c>
      <c r="R1443" t="b">
        <v>1</v>
      </c>
      <c r="S1443" t="b">
        <v>1</v>
      </c>
      <c r="T1443" t="b">
        <v>0</v>
      </c>
      <c r="U1443" t="s">
        <v>3799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1</v>
      </c>
      <c r="AB1443" t="b">
        <v>1</v>
      </c>
      <c r="AC1443" t="b">
        <v>1</v>
      </c>
      <c r="AD1443" t="s">
        <v>3800</v>
      </c>
      <c r="AE1443" t="s">
        <v>3801</v>
      </c>
    </row>
    <row r="1444" spans="1:31" x14ac:dyDescent="0.3">
      <c r="A1444">
        <v>-73.972851153150003</v>
      </c>
      <c r="B1444">
        <v>40.77826548406</v>
      </c>
      <c r="C1444" t="s">
        <v>3802</v>
      </c>
      <c r="D1444" t="s">
        <v>1759</v>
      </c>
      <c r="E1444" t="s">
        <v>33</v>
      </c>
      <c r="F1444">
        <v>10142018</v>
      </c>
      <c r="G1444">
        <v>3</v>
      </c>
      <c r="H1444" t="s">
        <v>48</v>
      </c>
      <c r="I1444" t="s">
        <v>42</v>
      </c>
      <c r="J1444" t="s">
        <v>53</v>
      </c>
      <c r="K1444" t="s">
        <v>54</v>
      </c>
      <c r="M1444" t="s">
        <v>65</v>
      </c>
      <c r="N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1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1</v>
      </c>
      <c r="AE1444" t="s">
        <v>3803</v>
      </c>
    </row>
    <row r="1445" spans="1:31" x14ac:dyDescent="0.3">
      <c r="A1445">
        <v>-73.976385237239995</v>
      </c>
      <c r="B1445">
        <v>40.768876248559998</v>
      </c>
      <c r="C1445" t="s">
        <v>3804</v>
      </c>
      <c r="D1445" t="s">
        <v>534</v>
      </c>
      <c r="E1445" t="s">
        <v>38</v>
      </c>
      <c r="F1445">
        <v>10122018</v>
      </c>
      <c r="G1445">
        <v>2</v>
      </c>
      <c r="H1445" t="s">
        <v>48</v>
      </c>
      <c r="I1445" t="s">
        <v>42</v>
      </c>
      <c r="J1445" t="s">
        <v>53</v>
      </c>
      <c r="K1445" t="s">
        <v>54</v>
      </c>
      <c r="M1445" t="s">
        <v>65</v>
      </c>
      <c r="N1445" t="b">
        <v>0</v>
      </c>
      <c r="P1445" t="b">
        <v>0</v>
      </c>
      <c r="Q1445" t="b">
        <v>0</v>
      </c>
      <c r="R1445" t="b">
        <v>1</v>
      </c>
      <c r="S1445" t="b">
        <v>1</v>
      </c>
      <c r="T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1</v>
      </c>
      <c r="AC1445" t="b">
        <v>0</v>
      </c>
      <c r="AE1445" t="s">
        <v>3805</v>
      </c>
    </row>
    <row r="1446" spans="1:31" x14ac:dyDescent="0.3">
      <c r="A1446">
        <v>-73.969619684009999</v>
      </c>
      <c r="B1446">
        <v>40.783643109830003</v>
      </c>
      <c r="C1446" t="s">
        <v>3806</v>
      </c>
      <c r="D1446" t="s">
        <v>2011</v>
      </c>
      <c r="E1446" t="s">
        <v>38</v>
      </c>
      <c r="F1446">
        <v>10192018</v>
      </c>
      <c r="G1446">
        <v>9</v>
      </c>
      <c r="H1446" t="s">
        <v>48</v>
      </c>
      <c r="I1446" t="s">
        <v>42</v>
      </c>
      <c r="K1446" t="s">
        <v>43</v>
      </c>
      <c r="M1446" t="s">
        <v>65</v>
      </c>
      <c r="N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1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1</v>
      </c>
      <c r="AC1446" t="b">
        <v>0</v>
      </c>
      <c r="AE1446" t="s">
        <v>3807</v>
      </c>
    </row>
    <row r="1447" spans="1:31" x14ac:dyDescent="0.3">
      <c r="A1447">
        <v>-73.977523884779998</v>
      </c>
      <c r="B1447">
        <v>40.767579268360002</v>
      </c>
      <c r="C1447" t="s">
        <v>3808</v>
      </c>
      <c r="D1447" t="s">
        <v>756</v>
      </c>
      <c r="E1447" t="s">
        <v>38</v>
      </c>
      <c r="F1447">
        <v>10072018</v>
      </c>
      <c r="G1447">
        <v>5</v>
      </c>
      <c r="H1447" t="s">
        <v>48</v>
      </c>
      <c r="I1447" t="s">
        <v>42</v>
      </c>
      <c r="K1447" t="s">
        <v>43</v>
      </c>
      <c r="M1447" t="s">
        <v>44</v>
      </c>
      <c r="N1447">
        <v>100</v>
      </c>
      <c r="P1447" t="b">
        <v>1</v>
      </c>
      <c r="Q1447" t="b">
        <v>0</v>
      </c>
      <c r="R1447" t="b">
        <v>0</v>
      </c>
      <c r="S1447" t="b">
        <v>0</v>
      </c>
      <c r="T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E1447" t="s">
        <v>3809</v>
      </c>
    </row>
    <row r="1448" spans="1:31" x14ac:dyDescent="0.3">
      <c r="A1448">
        <v>-73.960196806499994</v>
      </c>
      <c r="B1448">
        <v>40.79358318365</v>
      </c>
      <c r="C1448" t="s">
        <v>3810</v>
      </c>
      <c r="D1448" t="s">
        <v>3811</v>
      </c>
      <c r="E1448" t="s">
        <v>33</v>
      </c>
      <c r="F1448">
        <v>10122018</v>
      </c>
      <c r="G1448">
        <v>3</v>
      </c>
      <c r="H1448" t="s">
        <v>48</v>
      </c>
      <c r="I1448" t="s">
        <v>42</v>
      </c>
      <c r="J1448" t="s">
        <v>53</v>
      </c>
      <c r="K1448" t="s">
        <v>54</v>
      </c>
      <c r="M1448" t="s">
        <v>65</v>
      </c>
      <c r="N1448" t="b">
        <v>0</v>
      </c>
      <c r="P1448" t="b">
        <v>1</v>
      </c>
      <c r="Q1448" t="b">
        <v>0</v>
      </c>
      <c r="R1448" t="b">
        <v>0</v>
      </c>
      <c r="S1448" t="b">
        <v>0</v>
      </c>
      <c r="T1448" t="b">
        <v>1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1</v>
      </c>
      <c r="AC1448" t="b">
        <v>0</v>
      </c>
      <c r="AE1448" t="s">
        <v>3812</v>
      </c>
    </row>
    <row r="1449" spans="1:31" x14ac:dyDescent="0.3">
      <c r="A1449">
        <v>-73.977281007369996</v>
      </c>
      <c r="B1449">
        <v>40.769357754040001</v>
      </c>
      <c r="C1449" t="s">
        <v>3813</v>
      </c>
      <c r="D1449" t="s">
        <v>1581</v>
      </c>
      <c r="E1449" t="s">
        <v>33</v>
      </c>
      <c r="F1449">
        <v>10102018</v>
      </c>
      <c r="G1449">
        <v>3</v>
      </c>
      <c r="H1449" t="s">
        <v>48</v>
      </c>
      <c r="I1449" t="s">
        <v>53</v>
      </c>
      <c r="J1449" t="s">
        <v>42</v>
      </c>
      <c r="K1449" t="s">
        <v>89</v>
      </c>
      <c r="M1449" t="s">
        <v>65</v>
      </c>
      <c r="N1449" t="b">
        <v>0</v>
      </c>
      <c r="P1449" t="b">
        <v>0</v>
      </c>
      <c r="Q1449" t="b">
        <v>1</v>
      </c>
      <c r="R1449" t="b">
        <v>0</v>
      </c>
      <c r="S1449" t="b">
        <v>0</v>
      </c>
      <c r="T1449" t="b">
        <v>1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1</v>
      </c>
      <c r="AC1449" t="b">
        <v>0</v>
      </c>
      <c r="AE1449" t="s">
        <v>3814</v>
      </c>
    </row>
    <row r="1450" spans="1:31" x14ac:dyDescent="0.3">
      <c r="A1450">
        <v>-73.95611248921</v>
      </c>
      <c r="B1450">
        <v>40.794944064859997</v>
      </c>
      <c r="C1450" t="s">
        <v>3815</v>
      </c>
      <c r="D1450" t="s">
        <v>394</v>
      </c>
      <c r="E1450" t="s">
        <v>38</v>
      </c>
      <c r="F1450">
        <v>10132018</v>
      </c>
      <c r="G1450">
        <v>4</v>
      </c>
      <c r="H1450" t="s">
        <v>48</v>
      </c>
      <c r="I1450" t="s">
        <v>42</v>
      </c>
      <c r="J1450" t="s">
        <v>96</v>
      </c>
      <c r="K1450" t="s">
        <v>97</v>
      </c>
      <c r="M1450" t="s">
        <v>44</v>
      </c>
      <c r="N1450">
        <v>8</v>
      </c>
      <c r="P1450" t="b">
        <v>0</v>
      </c>
      <c r="Q1450" t="b">
        <v>0</v>
      </c>
      <c r="R1450" t="b">
        <v>1</v>
      </c>
      <c r="S1450" t="b">
        <v>1</v>
      </c>
      <c r="T1450" t="b">
        <v>0</v>
      </c>
      <c r="V1450" t="b">
        <v>1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1</v>
      </c>
      <c r="AE1450" t="s">
        <v>3816</v>
      </c>
    </row>
    <row r="1451" spans="1:31" x14ac:dyDescent="0.3">
      <c r="A1451">
        <v>-73.958081311930002</v>
      </c>
      <c r="B1451">
        <v>40.790553823700002</v>
      </c>
      <c r="C1451" t="s">
        <v>3817</v>
      </c>
      <c r="D1451" t="s">
        <v>124</v>
      </c>
      <c r="E1451" t="s">
        <v>33</v>
      </c>
      <c r="F1451">
        <v>10082018</v>
      </c>
      <c r="G1451">
        <v>4</v>
      </c>
      <c r="H1451" t="s">
        <v>48</v>
      </c>
      <c r="I1451" t="s">
        <v>42</v>
      </c>
      <c r="K1451" t="s">
        <v>43</v>
      </c>
      <c r="M1451" t="s">
        <v>65</v>
      </c>
      <c r="N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1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E1451" t="s">
        <v>3818</v>
      </c>
    </row>
    <row r="1452" spans="1:31" x14ac:dyDescent="0.3">
      <c r="A1452">
        <v>-73.964536519549995</v>
      </c>
      <c r="B1452">
        <v>40.778153102129998</v>
      </c>
      <c r="C1452" t="s">
        <v>3819</v>
      </c>
      <c r="D1452" t="s">
        <v>1810</v>
      </c>
      <c r="E1452" t="s">
        <v>38</v>
      </c>
      <c r="F1452">
        <v>10182018</v>
      </c>
      <c r="G1452">
        <v>2</v>
      </c>
      <c r="H1452" t="s">
        <v>48</v>
      </c>
      <c r="I1452" t="s">
        <v>42</v>
      </c>
      <c r="J1452" t="s">
        <v>53</v>
      </c>
      <c r="K1452" t="s">
        <v>54</v>
      </c>
      <c r="M1452" t="s">
        <v>44</v>
      </c>
      <c r="O1452" t="s">
        <v>2865</v>
      </c>
      <c r="P1452" t="b">
        <v>1</v>
      </c>
      <c r="Q1452" t="b">
        <v>1</v>
      </c>
      <c r="R1452" t="b">
        <v>0</v>
      </c>
      <c r="S1452" t="b">
        <v>0</v>
      </c>
      <c r="T1452" t="b">
        <v>0</v>
      </c>
      <c r="U1452" t="s">
        <v>3820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E1452" t="s">
        <v>3821</v>
      </c>
    </row>
    <row r="1453" spans="1:31" x14ac:dyDescent="0.3">
      <c r="A1453">
        <v>-73.964198991459995</v>
      </c>
      <c r="B1453">
        <v>40.789081044509999</v>
      </c>
      <c r="C1453" t="s">
        <v>3822</v>
      </c>
      <c r="D1453" t="s">
        <v>3642</v>
      </c>
      <c r="E1453" t="s">
        <v>38</v>
      </c>
      <c r="F1453">
        <v>10072018</v>
      </c>
      <c r="G1453">
        <v>1</v>
      </c>
      <c r="H1453" t="s">
        <v>48</v>
      </c>
      <c r="I1453" t="s">
        <v>42</v>
      </c>
      <c r="J1453" t="s">
        <v>53</v>
      </c>
      <c r="K1453" t="s">
        <v>54</v>
      </c>
      <c r="M1453" t="s">
        <v>65</v>
      </c>
      <c r="N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1</v>
      </c>
      <c r="U1453" t="s">
        <v>3823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E1453" t="s">
        <v>3824</v>
      </c>
    </row>
    <row r="1454" spans="1:31" x14ac:dyDescent="0.3">
      <c r="A1454">
        <v>-73.955585607410001</v>
      </c>
      <c r="B1454">
        <v>40.796945768569998</v>
      </c>
      <c r="C1454" t="s">
        <v>3825</v>
      </c>
      <c r="D1454" t="s">
        <v>627</v>
      </c>
      <c r="E1454" t="s">
        <v>38</v>
      </c>
      <c r="F1454">
        <v>10142018</v>
      </c>
      <c r="G1454">
        <v>4</v>
      </c>
      <c r="H1454" t="s">
        <v>48</v>
      </c>
      <c r="I1454" t="s">
        <v>42</v>
      </c>
      <c r="J1454" t="s">
        <v>59</v>
      </c>
      <c r="K1454" t="s">
        <v>79</v>
      </c>
      <c r="M1454" t="s">
        <v>65</v>
      </c>
      <c r="N1454" t="b">
        <v>0</v>
      </c>
      <c r="O1454" t="s">
        <v>3826</v>
      </c>
      <c r="P1454" t="b">
        <v>1</v>
      </c>
      <c r="Q1454" t="b">
        <v>0</v>
      </c>
      <c r="R1454" t="b">
        <v>0</v>
      </c>
      <c r="S1454" t="b">
        <v>0</v>
      </c>
      <c r="T1454" t="b">
        <v>0</v>
      </c>
      <c r="U1454" t="s">
        <v>3827</v>
      </c>
      <c r="V1454" t="b">
        <v>0</v>
      </c>
      <c r="W1454" t="b">
        <v>1</v>
      </c>
      <c r="X1454" t="b">
        <v>0</v>
      </c>
      <c r="Y1454" t="b">
        <v>0</v>
      </c>
      <c r="Z1454" t="b">
        <v>1</v>
      </c>
      <c r="AA1454" t="b">
        <v>0</v>
      </c>
      <c r="AB1454" t="b">
        <v>1</v>
      </c>
      <c r="AC1454" t="b">
        <v>0</v>
      </c>
      <c r="AE1454" t="s">
        <v>3828</v>
      </c>
    </row>
    <row r="1455" spans="1:31" x14ac:dyDescent="0.3">
      <c r="A1455">
        <v>-73.975381882990007</v>
      </c>
      <c r="B1455">
        <v>40.769784098620001</v>
      </c>
      <c r="C1455" t="s">
        <v>3829</v>
      </c>
      <c r="D1455" t="s">
        <v>574</v>
      </c>
      <c r="E1455" t="s">
        <v>33</v>
      </c>
      <c r="F1455">
        <v>10182018</v>
      </c>
      <c r="G1455">
        <v>6</v>
      </c>
      <c r="H1455" t="s">
        <v>48</v>
      </c>
      <c r="I1455" t="s">
        <v>42</v>
      </c>
      <c r="K1455" t="s">
        <v>43</v>
      </c>
      <c r="M1455" t="s">
        <v>65</v>
      </c>
      <c r="N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1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1</v>
      </c>
      <c r="AC1455" t="b">
        <v>0</v>
      </c>
      <c r="AE1455" t="s">
        <v>3830</v>
      </c>
    </row>
    <row r="1456" spans="1:31" x14ac:dyDescent="0.3">
      <c r="A1456">
        <v>-73.971562113459996</v>
      </c>
      <c r="B1456">
        <v>40.769591871750002</v>
      </c>
      <c r="C1456" t="s">
        <v>3831</v>
      </c>
      <c r="D1456" t="s">
        <v>92</v>
      </c>
      <c r="E1456" t="s">
        <v>38</v>
      </c>
      <c r="F1456">
        <v>10062018</v>
      </c>
      <c r="G1456">
        <v>2</v>
      </c>
      <c r="H1456" t="s">
        <v>48</v>
      </c>
      <c r="I1456" t="s">
        <v>42</v>
      </c>
      <c r="J1456" t="s">
        <v>53</v>
      </c>
      <c r="K1456" t="s">
        <v>54</v>
      </c>
      <c r="M1456" t="s">
        <v>65</v>
      </c>
      <c r="N1456" t="b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1</v>
      </c>
      <c r="U1456" t="s">
        <v>3832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1</v>
      </c>
      <c r="AC1456" t="b">
        <v>0</v>
      </c>
      <c r="AE1456" t="s">
        <v>3833</v>
      </c>
    </row>
    <row r="1457" spans="1:31" x14ac:dyDescent="0.3">
      <c r="A1457">
        <v>-73.971424242650002</v>
      </c>
      <c r="B1457">
        <v>40.77445357981</v>
      </c>
      <c r="C1457" t="s">
        <v>3834</v>
      </c>
      <c r="D1457" t="s">
        <v>1112</v>
      </c>
      <c r="E1457" t="s">
        <v>33</v>
      </c>
      <c r="F1457">
        <v>10122018</v>
      </c>
      <c r="G1457">
        <v>5</v>
      </c>
      <c r="H1457" t="s">
        <v>48</v>
      </c>
      <c r="I1457" t="s">
        <v>42</v>
      </c>
      <c r="J1457" t="s">
        <v>59</v>
      </c>
      <c r="K1457" t="s">
        <v>79</v>
      </c>
      <c r="M1457" t="s">
        <v>65</v>
      </c>
      <c r="N1457" t="b">
        <v>0</v>
      </c>
      <c r="P1457" t="b">
        <v>1</v>
      </c>
      <c r="Q1457" t="b">
        <v>0</v>
      </c>
      <c r="R1457" t="b">
        <v>0</v>
      </c>
      <c r="S1457" t="b">
        <v>1</v>
      </c>
      <c r="T1457" t="b">
        <v>1</v>
      </c>
      <c r="U1457" t="s">
        <v>3835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1</v>
      </c>
      <c r="AC1457" t="b">
        <v>0</v>
      </c>
      <c r="AE1457" t="s">
        <v>3836</v>
      </c>
    </row>
    <row r="1458" spans="1:31" x14ac:dyDescent="0.3">
      <c r="A1458">
        <v>-73.969774466280001</v>
      </c>
      <c r="B1458">
        <v>40.775595042900001</v>
      </c>
      <c r="C1458" t="s">
        <v>3837</v>
      </c>
      <c r="D1458" t="s">
        <v>260</v>
      </c>
      <c r="E1458" t="s">
        <v>38</v>
      </c>
      <c r="F1458">
        <v>10072018</v>
      </c>
      <c r="G1458">
        <v>4</v>
      </c>
      <c r="H1458" t="s">
        <v>48</v>
      </c>
      <c r="I1458" t="s">
        <v>53</v>
      </c>
      <c r="J1458" t="s">
        <v>42</v>
      </c>
      <c r="K1458" t="s">
        <v>89</v>
      </c>
      <c r="M1458" t="s">
        <v>65</v>
      </c>
      <c r="N1458" t="b">
        <v>0</v>
      </c>
      <c r="P1458" t="b">
        <v>0</v>
      </c>
      <c r="Q1458" t="b">
        <v>0</v>
      </c>
      <c r="R1458" t="b">
        <v>0</v>
      </c>
      <c r="S1458" t="b">
        <v>1</v>
      </c>
      <c r="T1458" t="b">
        <v>1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1</v>
      </c>
      <c r="AC1458" t="b">
        <v>0</v>
      </c>
      <c r="AE1458" t="s">
        <v>3838</v>
      </c>
    </row>
    <row r="1459" spans="1:31" x14ac:dyDescent="0.3">
      <c r="A1459">
        <v>-73.954503719339996</v>
      </c>
      <c r="B1459">
        <v>40.790022505540001</v>
      </c>
      <c r="C1459" t="s">
        <v>3839</v>
      </c>
      <c r="D1459" t="s">
        <v>921</v>
      </c>
      <c r="E1459" t="s">
        <v>33</v>
      </c>
      <c r="F1459">
        <v>10062018</v>
      </c>
      <c r="G1459">
        <v>4</v>
      </c>
      <c r="H1459" t="s">
        <v>48</v>
      </c>
      <c r="I1459" t="s">
        <v>42</v>
      </c>
      <c r="K1459" t="s">
        <v>43</v>
      </c>
      <c r="M1459" t="s">
        <v>65</v>
      </c>
      <c r="N1459" t="b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1</v>
      </c>
      <c r="AC1459" t="b">
        <v>0</v>
      </c>
      <c r="AE1459" t="s">
        <v>3840</v>
      </c>
    </row>
    <row r="1460" spans="1:31" x14ac:dyDescent="0.3">
      <c r="A1460">
        <v>-73.956384786729998</v>
      </c>
      <c r="B1460">
        <v>40.790601226120003</v>
      </c>
      <c r="C1460" t="s">
        <v>3841</v>
      </c>
      <c r="D1460" t="s">
        <v>523</v>
      </c>
      <c r="E1460" t="s">
        <v>38</v>
      </c>
      <c r="F1460">
        <v>10132018</v>
      </c>
      <c r="G1460">
        <v>3</v>
      </c>
      <c r="H1460" t="s">
        <v>3842</v>
      </c>
      <c r="K1460" t="s">
        <v>34</v>
      </c>
      <c r="L1460" t="s">
        <v>3843</v>
      </c>
      <c r="M1460" t="s">
        <v>44</v>
      </c>
      <c r="N1460">
        <v>13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s">
        <v>3844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E1460" t="s">
        <v>3845</v>
      </c>
    </row>
    <row r="1461" spans="1:31" x14ac:dyDescent="0.3">
      <c r="A1461">
        <v>-73.971432997929995</v>
      </c>
      <c r="B1461">
        <v>40.774187338890002</v>
      </c>
      <c r="C1461" t="s">
        <v>3846</v>
      </c>
      <c r="D1461" t="s">
        <v>1112</v>
      </c>
      <c r="E1461" t="s">
        <v>33</v>
      </c>
      <c r="F1461">
        <v>10122018</v>
      </c>
      <c r="G1461">
        <v>4</v>
      </c>
      <c r="H1461" t="s">
        <v>48</v>
      </c>
      <c r="I1461" t="s">
        <v>42</v>
      </c>
      <c r="J1461" t="s">
        <v>59</v>
      </c>
      <c r="K1461" t="s">
        <v>79</v>
      </c>
      <c r="M1461" t="s">
        <v>65</v>
      </c>
      <c r="N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1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1</v>
      </c>
      <c r="AC1461" t="b">
        <v>0</v>
      </c>
      <c r="AE1461" t="s">
        <v>3847</v>
      </c>
    </row>
    <row r="1462" spans="1:31" x14ac:dyDescent="0.3">
      <c r="A1462">
        <v>-73.956926909339998</v>
      </c>
      <c r="B1462">
        <v>40.796532326250002</v>
      </c>
      <c r="C1462" t="s">
        <v>3848</v>
      </c>
      <c r="D1462" t="s">
        <v>1945</v>
      </c>
      <c r="E1462" t="s">
        <v>33</v>
      </c>
      <c r="F1462">
        <v>10122018</v>
      </c>
      <c r="G1462">
        <v>3</v>
      </c>
      <c r="H1462" t="s">
        <v>48</v>
      </c>
      <c r="I1462" t="s">
        <v>42</v>
      </c>
      <c r="J1462" t="s">
        <v>59</v>
      </c>
      <c r="K1462" t="s">
        <v>79</v>
      </c>
      <c r="M1462" t="s">
        <v>65</v>
      </c>
      <c r="N1462" t="b">
        <v>0</v>
      </c>
      <c r="P1462" t="b">
        <v>1</v>
      </c>
      <c r="Q1462" t="b">
        <v>0</v>
      </c>
      <c r="R1462" t="b">
        <v>0</v>
      </c>
      <c r="S1462" t="b">
        <v>0</v>
      </c>
      <c r="T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1</v>
      </c>
      <c r="AE1462" t="s">
        <v>3849</v>
      </c>
    </row>
    <row r="1463" spans="1:31" x14ac:dyDescent="0.3">
      <c r="A1463">
        <v>-73.958406420380001</v>
      </c>
      <c r="B1463">
        <v>40.791227245549997</v>
      </c>
      <c r="C1463" t="s">
        <v>3850</v>
      </c>
      <c r="D1463" t="s">
        <v>68</v>
      </c>
      <c r="E1463" t="s">
        <v>33</v>
      </c>
      <c r="F1463">
        <v>10122018</v>
      </c>
      <c r="G1463">
        <v>4</v>
      </c>
      <c r="H1463" t="s">
        <v>48</v>
      </c>
      <c r="I1463" t="s">
        <v>42</v>
      </c>
      <c r="J1463" t="s">
        <v>96</v>
      </c>
      <c r="K1463" t="s">
        <v>97</v>
      </c>
      <c r="M1463" t="s">
        <v>65</v>
      </c>
      <c r="N1463" t="b">
        <v>0</v>
      </c>
      <c r="P1463" t="b">
        <v>1</v>
      </c>
      <c r="Q1463" t="b">
        <v>0</v>
      </c>
      <c r="R1463" t="b">
        <v>0</v>
      </c>
      <c r="S1463" t="b">
        <v>1</v>
      </c>
      <c r="T1463" t="b">
        <v>1</v>
      </c>
      <c r="V1463" t="b">
        <v>0</v>
      </c>
      <c r="W1463" t="b">
        <v>0</v>
      </c>
      <c r="X1463" t="b">
        <v>0</v>
      </c>
      <c r="Y1463" t="b">
        <v>0</v>
      </c>
      <c r="Z1463" t="b">
        <v>1</v>
      </c>
      <c r="AA1463" t="b">
        <v>0</v>
      </c>
      <c r="AB1463" t="b">
        <v>0</v>
      </c>
      <c r="AC1463" t="b">
        <v>1</v>
      </c>
      <c r="AE1463" t="s">
        <v>3851</v>
      </c>
    </row>
    <row r="1464" spans="1:31" x14ac:dyDescent="0.3">
      <c r="A1464">
        <v>-73.963009727639999</v>
      </c>
      <c r="B1464">
        <v>40.793665844629999</v>
      </c>
      <c r="C1464" t="s">
        <v>3852</v>
      </c>
      <c r="D1464" t="s">
        <v>2440</v>
      </c>
      <c r="E1464" t="s">
        <v>33</v>
      </c>
      <c r="F1464">
        <v>10182018</v>
      </c>
      <c r="G1464">
        <v>4</v>
      </c>
      <c r="H1464" t="s">
        <v>48</v>
      </c>
      <c r="I1464" t="s">
        <v>42</v>
      </c>
      <c r="J1464" t="s">
        <v>53</v>
      </c>
      <c r="K1464" t="s">
        <v>54</v>
      </c>
      <c r="M1464" t="s">
        <v>65</v>
      </c>
      <c r="N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1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1</v>
      </c>
      <c r="AC1464" t="b">
        <v>0</v>
      </c>
      <c r="AE1464" t="s">
        <v>3853</v>
      </c>
    </row>
    <row r="1465" spans="1:31" x14ac:dyDescent="0.3">
      <c r="A1465">
        <v>-73.95320745731</v>
      </c>
      <c r="B1465">
        <v>40.79346694649</v>
      </c>
      <c r="C1465" t="s">
        <v>3854</v>
      </c>
      <c r="D1465" t="s">
        <v>863</v>
      </c>
      <c r="E1465" t="s">
        <v>33</v>
      </c>
      <c r="F1465">
        <v>10062018</v>
      </c>
      <c r="G1465">
        <v>6</v>
      </c>
      <c r="H1465" t="s">
        <v>48</v>
      </c>
      <c r="I1465" t="s">
        <v>42</v>
      </c>
      <c r="J1465" t="s">
        <v>53</v>
      </c>
      <c r="K1465" t="s">
        <v>54</v>
      </c>
      <c r="M1465" t="s">
        <v>44</v>
      </c>
      <c r="N1465">
        <v>40</v>
      </c>
      <c r="O1465" t="s">
        <v>190</v>
      </c>
      <c r="P1465" t="b">
        <v>1</v>
      </c>
      <c r="Q1465" t="b">
        <v>0</v>
      </c>
      <c r="R1465" t="b">
        <v>1</v>
      </c>
      <c r="S1465" t="b">
        <v>0</v>
      </c>
      <c r="T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E1465" t="s">
        <v>3855</v>
      </c>
    </row>
    <row r="1466" spans="1:31" x14ac:dyDescent="0.3">
      <c r="A1466">
        <v>-73.972028986370006</v>
      </c>
      <c r="B1466">
        <v>40.776374956159998</v>
      </c>
      <c r="C1466" t="s">
        <v>3856</v>
      </c>
      <c r="D1466" t="s">
        <v>604</v>
      </c>
      <c r="E1466" t="s">
        <v>33</v>
      </c>
      <c r="F1466">
        <v>10192018</v>
      </c>
      <c r="G1466">
        <v>3</v>
      </c>
      <c r="H1466" t="s">
        <v>48</v>
      </c>
      <c r="I1466" t="s">
        <v>42</v>
      </c>
      <c r="J1466" t="s">
        <v>59</v>
      </c>
      <c r="K1466" t="s">
        <v>79</v>
      </c>
      <c r="M1466" t="s">
        <v>65</v>
      </c>
      <c r="N1466" t="b">
        <v>0</v>
      </c>
      <c r="P1466" t="b">
        <v>1</v>
      </c>
      <c r="Q1466" t="b">
        <v>0</v>
      </c>
      <c r="R1466" t="b">
        <v>0</v>
      </c>
      <c r="S1466" t="b">
        <v>1</v>
      </c>
      <c r="T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1</v>
      </c>
      <c r="AE1466" t="s">
        <v>3857</v>
      </c>
    </row>
    <row r="1467" spans="1:31" x14ac:dyDescent="0.3">
      <c r="A1467">
        <v>-73.965117765770003</v>
      </c>
      <c r="B1467">
        <v>40.781240810379998</v>
      </c>
      <c r="C1467" t="s">
        <v>3858</v>
      </c>
      <c r="D1467" t="s">
        <v>564</v>
      </c>
      <c r="E1467" t="s">
        <v>33</v>
      </c>
      <c r="F1467">
        <v>10072018</v>
      </c>
      <c r="G1467">
        <v>5</v>
      </c>
      <c r="H1467" t="s">
        <v>105</v>
      </c>
      <c r="I1467" t="s">
        <v>42</v>
      </c>
      <c r="J1467" t="s">
        <v>59</v>
      </c>
      <c r="K1467" t="s">
        <v>79</v>
      </c>
      <c r="L1467" t="s">
        <v>3859</v>
      </c>
      <c r="M1467" t="s">
        <v>44</v>
      </c>
      <c r="N1467">
        <v>20</v>
      </c>
      <c r="P1467" t="b">
        <v>0</v>
      </c>
      <c r="Q1467" t="b">
        <v>0</v>
      </c>
      <c r="R1467" t="b">
        <v>1</v>
      </c>
      <c r="S1467" t="b">
        <v>0</v>
      </c>
      <c r="T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1</v>
      </c>
      <c r="AE1467" t="s">
        <v>3860</v>
      </c>
    </row>
    <row r="1468" spans="1:31" x14ac:dyDescent="0.3">
      <c r="A1468">
        <v>-73.968465728550001</v>
      </c>
      <c r="B1468">
        <v>40.784011357369998</v>
      </c>
      <c r="C1468" t="s">
        <v>3861</v>
      </c>
      <c r="D1468" t="s">
        <v>320</v>
      </c>
      <c r="E1468" t="s">
        <v>38</v>
      </c>
      <c r="F1468">
        <v>10132018</v>
      </c>
      <c r="G1468">
        <v>5</v>
      </c>
      <c r="H1468" t="s">
        <v>48</v>
      </c>
      <c r="I1468" t="s">
        <v>42</v>
      </c>
      <c r="J1468" t="s">
        <v>53</v>
      </c>
      <c r="K1468" t="s">
        <v>54</v>
      </c>
      <c r="M1468" t="s">
        <v>44</v>
      </c>
      <c r="O1468" t="s">
        <v>190</v>
      </c>
      <c r="P1468" t="b">
        <v>0</v>
      </c>
      <c r="Q1468" t="b">
        <v>0</v>
      </c>
      <c r="R1468" t="b">
        <v>1</v>
      </c>
      <c r="S1468" t="b">
        <v>0</v>
      </c>
      <c r="T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s">
        <v>3862</v>
      </c>
      <c r="AE1468" t="s">
        <v>3863</v>
      </c>
    </row>
    <row r="1469" spans="1:31" x14ac:dyDescent="0.3">
      <c r="A1469">
        <v>-73.964058891939999</v>
      </c>
      <c r="B1469">
        <v>40.790044098460001</v>
      </c>
      <c r="C1469" t="s">
        <v>3864</v>
      </c>
      <c r="D1469" t="s">
        <v>1133</v>
      </c>
      <c r="E1469" t="s">
        <v>33</v>
      </c>
      <c r="F1469">
        <v>10102018</v>
      </c>
      <c r="G1469">
        <v>4</v>
      </c>
      <c r="H1469" t="s">
        <v>48</v>
      </c>
      <c r="I1469" t="s">
        <v>42</v>
      </c>
      <c r="J1469" t="s">
        <v>96</v>
      </c>
      <c r="K1469" t="s">
        <v>97</v>
      </c>
      <c r="M1469" t="s">
        <v>65</v>
      </c>
      <c r="N1469" t="b">
        <v>0</v>
      </c>
      <c r="P1469" t="b">
        <v>0</v>
      </c>
      <c r="Q1469" t="b">
        <v>0</v>
      </c>
      <c r="R1469" t="b">
        <v>0</v>
      </c>
      <c r="S1469" t="b">
        <v>1</v>
      </c>
      <c r="T1469" t="b">
        <v>1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1</v>
      </c>
      <c r="AC1469" t="b">
        <v>0</v>
      </c>
      <c r="AE1469" t="s">
        <v>3865</v>
      </c>
    </row>
    <row r="1470" spans="1:31" x14ac:dyDescent="0.3">
      <c r="A1470">
        <v>-73.970483117699999</v>
      </c>
      <c r="B1470">
        <v>40.769987899569998</v>
      </c>
      <c r="C1470" t="s">
        <v>3866</v>
      </c>
      <c r="D1470" t="s">
        <v>92</v>
      </c>
      <c r="E1470" t="s">
        <v>38</v>
      </c>
      <c r="F1470">
        <v>10062018</v>
      </c>
      <c r="G1470">
        <v>10</v>
      </c>
      <c r="H1470" t="s">
        <v>48</v>
      </c>
      <c r="I1470" t="s">
        <v>42</v>
      </c>
      <c r="J1470" t="s">
        <v>53</v>
      </c>
      <c r="K1470" t="s">
        <v>54</v>
      </c>
      <c r="M1470" t="s">
        <v>65</v>
      </c>
      <c r="N1470" t="b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1</v>
      </c>
      <c r="AC1470" t="b">
        <v>0</v>
      </c>
      <c r="AE1470" t="s">
        <v>3867</v>
      </c>
    </row>
    <row r="1471" spans="1:31" x14ac:dyDescent="0.3">
      <c r="A1471">
        <v>-73.972480658059993</v>
      </c>
      <c r="B1471">
        <v>40.771007720610001</v>
      </c>
      <c r="C1471" t="s">
        <v>3868</v>
      </c>
      <c r="D1471" t="s">
        <v>353</v>
      </c>
      <c r="E1471" t="s">
        <v>38</v>
      </c>
      <c r="F1471">
        <v>10082018</v>
      </c>
      <c r="G1471">
        <v>15</v>
      </c>
      <c r="H1471" t="s">
        <v>105</v>
      </c>
      <c r="I1471" t="s">
        <v>42</v>
      </c>
      <c r="K1471" t="s">
        <v>43</v>
      </c>
      <c r="M1471" t="s">
        <v>65</v>
      </c>
      <c r="N1471" t="b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1</v>
      </c>
      <c r="AC1471" t="b">
        <v>0</v>
      </c>
      <c r="AE1471" t="s">
        <v>3869</v>
      </c>
    </row>
    <row r="1472" spans="1:31" x14ac:dyDescent="0.3">
      <c r="A1472">
        <v>-73.961490242929997</v>
      </c>
      <c r="B1472">
        <v>40.789128201760001</v>
      </c>
      <c r="C1472" t="s">
        <v>3870</v>
      </c>
      <c r="D1472" t="s">
        <v>1254</v>
      </c>
      <c r="E1472" t="s">
        <v>38</v>
      </c>
      <c r="F1472">
        <v>10172018</v>
      </c>
      <c r="G1472">
        <v>1</v>
      </c>
      <c r="H1472" t="s">
        <v>48</v>
      </c>
      <c r="I1472" t="s">
        <v>42</v>
      </c>
      <c r="K1472" t="s">
        <v>43</v>
      </c>
      <c r="M1472" t="s">
        <v>65</v>
      </c>
      <c r="N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1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1</v>
      </c>
      <c r="AC1472" t="b">
        <v>0</v>
      </c>
      <c r="AE1472" t="s">
        <v>3871</v>
      </c>
    </row>
    <row r="1473" spans="1:31" x14ac:dyDescent="0.3">
      <c r="A1473">
        <v>-73.969861197119997</v>
      </c>
      <c r="B1473">
        <v>40.775391555200002</v>
      </c>
      <c r="C1473" t="s">
        <v>3872</v>
      </c>
      <c r="D1473" t="s">
        <v>260</v>
      </c>
      <c r="E1473" t="s">
        <v>33</v>
      </c>
      <c r="F1473">
        <v>10082018</v>
      </c>
      <c r="G1473">
        <v>2</v>
      </c>
      <c r="H1473" t="s">
        <v>48</v>
      </c>
      <c r="I1473" t="s">
        <v>42</v>
      </c>
      <c r="J1473" t="s">
        <v>53</v>
      </c>
      <c r="K1473" t="s">
        <v>54</v>
      </c>
      <c r="M1473" t="s">
        <v>65</v>
      </c>
      <c r="N1473" t="b">
        <v>0</v>
      </c>
      <c r="P1473" t="b">
        <v>0</v>
      </c>
      <c r="Q1473" t="b">
        <v>0</v>
      </c>
      <c r="R1473" t="b">
        <v>0</v>
      </c>
      <c r="S1473" t="b">
        <v>1</v>
      </c>
      <c r="T1473" t="b">
        <v>1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1</v>
      </c>
      <c r="AE1473" t="s">
        <v>3873</v>
      </c>
    </row>
    <row r="1474" spans="1:31" x14ac:dyDescent="0.3">
      <c r="A1474">
        <v>-73.958406419089997</v>
      </c>
      <c r="B1474">
        <v>40.791299285240001</v>
      </c>
      <c r="C1474" t="s">
        <v>3874</v>
      </c>
      <c r="D1474" t="s">
        <v>68</v>
      </c>
      <c r="E1474" t="s">
        <v>33</v>
      </c>
      <c r="F1474">
        <v>10122018</v>
      </c>
      <c r="G1474">
        <v>3</v>
      </c>
      <c r="H1474" t="s">
        <v>48</v>
      </c>
      <c r="I1474" t="s">
        <v>176</v>
      </c>
      <c r="J1474" t="s">
        <v>42</v>
      </c>
      <c r="K1474" t="s">
        <v>1233</v>
      </c>
      <c r="M1474" t="s">
        <v>65</v>
      </c>
      <c r="N1474" t="b">
        <v>0</v>
      </c>
      <c r="P1474" t="b">
        <v>0</v>
      </c>
      <c r="Q1474" t="b">
        <v>0</v>
      </c>
      <c r="R1474" t="b">
        <v>0</v>
      </c>
      <c r="S1474" t="b">
        <v>1</v>
      </c>
      <c r="T1474" t="b">
        <v>1</v>
      </c>
      <c r="V1474" t="b">
        <v>0</v>
      </c>
      <c r="W1474" t="b">
        <v>0</v>
      </c>
      <c r="X1474" t="b">
        <v>0</v>
      </c>
      <c r="Y1474" t="b">
        <v>0</v>
      </c>
      <c r="Z1474" t="b">
        <v>1</v>
      </c>
      <c r="AA1474" t="b">
        <v>0</v>
      </c>
      <c r="AB1474" t="b">
        <v>1</v>
      </c>
      <c r="AC1474" t="b">
        <v>0</v>
      </c>
      <c r="AE1474" t="s">
        <v>3875</v>
      </c>
    </row>
    <row r="1475" spans="1:31" x14ac:dyDescent="0.3">
      <c r="A1475">
        <v>-73.980197146560002</v>
      </c>
      <c r="B1475">
        <v>40.769708174980003</v>
      </c>
      <c r="C1475" t="s">
        <v>3876</v>
      </c>
      <c r="D1475" t="s">
        <v>239</v>
      </c>
      <c r="E1475" t="s">
        <v>33</v>
      </c>
      <c r="F1475">
        <v>10172018</v>
      </c>
      <c r="G1475">
        <v>4</v>
      </c>
      <c r="H1475" t="s">
        <v>48</v>
      </c>
      <c r="I1475" t="s">
        <v>42</v>
      </c>
      <c r="J1475" t="s">
        <v>53</v>
      </c>
      <c r="K1475" t="s">
        <v>54</v>
      </c>
      <c r="M1475" t="s">
        <v>65</v>
      </c>
      <c r="N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1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1</v>
      </c>
      <c r="AB1475" t="b">
        <v>0</v>
      </c>
      <c r="AC1475" t="b">
        <v>0</v>
      </c>
      <c r="AE1475" t="s">
        <v>3877</v>
      </c>
    </row>
    <row r="1476" spans="1:31" x14ac:dyDescent="0.3">
      <c r="A1476">
        <v>-73.968677816750002</v>
      </c>
      <c r="B1476">
        <v>40.776562525689997</v>
      </c>
      <c r="C1476" t="s">
        <v>3878</v>
      </c>
      <c r="D1476" t="s">
        <v>225</v>
      </c>
      <c r="E1476" t="s">
        <v>33</v>
      </c>
      <c r="F1476">
        <v>10122018</v>
      </c>
      <c r="G1476">
        <v>4</v>
      </c>
      <c r="K1476" t="s">
        <v>34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V1476" t="b">
        <v>1</v>
      </c>
      <c r="W1476" t="b">
        <v>1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E1476" t="s">
        <v>3879</v>
      </c>
    </row>
    <row r="1477" spans="1:31" x14ac:dyDescent="0.3">
      <c r="A1477">
        <v>-73.976609486499996</v>
      </c>
      <c r="B1477">
        <v>40.771783292249999</v>
      </c>
      <c r="C1477" t="s">
        <v>3880</v>
      </c>
      <c r="D1477" t="s">
        <v>2803</v>
      </c>
      <c r="E1477" t="s">
        <v>33</v>
      </c>
      <c r="F1477">
        <v>10202018</v>
      </c>
      <c r="G1477">
        <v>4</v>
      </c>
      <c r="H1477" t="s">
        <v>48</v>
      </c>
      <c r="I1477" t="s">
        <v>42</v>
      </c>
      <c r="K1477" t="s">
        <v>43</v>
      </c>
      <c r="M1477" t="s">
        <v>44</v>
      </c>
      <c r="N1477">
        <v>1</v>
      </c>
      <c r="P1477" t="b">
        <v>0</v>
      </c>
      <c r="Q1477" t="b">
        <v>0</v>
      </c>
      <c r="R1477" t="b">
        <v>1</v>
      </c>
      <c r="S1477" t="b">
        <v>0</v>
      </c>
      <c r="T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1</v>
      </c>
      <c r="AE1477" t="s">
        <v>3881</v>
      </c>
    </row>
    <row r="1478" spans="1:31" x14ac:dyDescent="0.3">
      <c r="A1478">
        <v>-73.958963532639999</v>
      </c>
      <c r="B1478">
        <v>40.795174867379998</v>
      </c>
      <c r="C1478" t="s">
        <v>3882</v>
      </c>
      <c r="D1478" t="s">
        <v>925</v>
      </c>
      <c r="E1478" t="s">
        <v>38</v>
      </c>
      <c r="F1478">
        <v>10122018</v>
      </c>
      <c r="G1478">
        <v>2</v>
      </c>
      <c r="H1478" t="s">
        <v>48</v>
      </c>
      <c r="I1478" t="s">
        <v>42</v>
      </c>
      <c r="J1478" t="s">
        <v>53</v>
      </c>
      <c r="K1478" t="s">
        <v>54</v>
      </c>
      <c r="L1478" t="s">
        <v>3883</v>
      </c>
      <c r="M1478" t="s">
        <v>65</v>
      </c>
      <c r="N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1</v>
      </c>
      <c r="U1478" t="s">
        <v>3884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1</v>
      </c>
      <c r="AC1478" t="b">
        <v>0</v>
      </c>
      <c r="AE1478" t="s">
        <v>3885</v>
      </c>
    </row>
    <row r="1479" spans="1:31" x14ac:dyDescent="0.3">
      <c r="A1479">
        <v>-73.967637098520001</v>
      </c>
      <c r="B1479">
        <v>40.786988863940003</v>
      </c>
      <c r="C1479" t="s">
        <v>3886</v>
      </c>
      <c r="D1479" t="s">
        <v>127</v>
      </c>
      <c r="E1479" t="s">
        <v>38</v>
      </c>
      <c r="F1479">
        <v>10132018</v>
      </c>
      <c r="G1479">
        <v>1</v>
      </c>
      <c r="I1479" t="s">
        <v>42</v>
      </c>
      <c r="J1479" t="s">
        <v>59</v>
      </c>
      <c r="K1479" t="s">
        <v>79</v>
      </c>
      <c r="L1479" t="s">
        <v>3887</v>
      </c>
      <c r="M1479" t="s">
        <v>65</v>
      </c>
      <c r="N1479" t="b">
        <v>0</v>
      </c>
      <c r="P1479" t="b">
        <v>0</v>
      </c>
      <c r="Q1479" t="b">
        <v>0</v>
      </c>
      <c r="R1479" t="b">
        <v>0</v>
      </c>
      <c r="S1479" t="b">
        <v>1</v>
      </c>
      <c r="T1479" t="b">
        <v>0</v>
      </c>
      <c r="U1479" t="s">
        <v>3888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1</v>
      </c>
      <c r="AC1479" t="b">
        <v>0</v>
      </c>
      <c r="AE1479" t="s">
        <v>3889</v>
      </c>
    </row>
    <row r="1480" spans="1:31" x14ac:dyDescent="0.3">
      <c r="A1480">
        <v>-73.970749843039997</v>
      </c>
      <c r="B1480">
        <v>40.7723724481</v>
      </c>
      <c r="C1480" t="s">
        <v>3890</v>
      </c>
      <c r="D1480" t="s">
        <v>600</v>
      </c>
      <c r="E1480" t="s">
        <v>33</v>
      </c>
      <c r="F1480">
        <v>10172018</v>
      </c>
      <c r="G1480">
        <v>9</v>
      </c>
      <c r="H1480" t="s">
        <v>48</v>
      </c>
      <c r="I1480" t="s">
        <v>42</v>
      </c>
      <c r="K1480" t="s">
        <v>43</v>
      </c>
      <c r="M1480" t="s">
        <v>65</v>
      </c>
      <c r="N1480" t="b">
        <v>0</v>
      </c>
      <c r="P1480" t="b">
        <v>0</v>
      </c>
      <c r="Q1480" t="b">
        <v>1</v>
      </c>
      <c r="R1480" t="b">
        <v>0</v>
      </c>
      <c r="S1480" t="b">
        <v>0</v>
      </c>
      <c r="T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1</v>
      </c>
      <c r="AC1480" t="b">
        <v>0</v>
      </c>
      <c r="AE1480" t="s">
        <v>3891</v>
      </c>
    </row>
    <row r="1481" spans="1:31" x14ac:dyDescent="0.3">
      <c r="A1481">
        <v>-73.962852553380003</v>
      </c>
      <c r="B1481">
        <v>40.793844934500001</v>
      </c>
      <c r="C1481" t="s">
        <v>3892</v>
      </c>
      <c r="D1481" t="s">
        <v>2662</v>
      </c>
      <c r="E1481" t="s">
        <v>33</v>
      </c>
      <c r="F1481">
        <v>10132018</v>
      </c>
      <c r="G1481">
        <v>2</v>
      </c>
      <c r="H1481" t="s">
        <v>48</v>
      </c>
      <c r="I1481" t="s">
        <v>42</v>
      </c>
      <c r="J1481" t="s">
        <v>53</v>
      </c>
      <c r="K1481" t="s">
        <v>54</v>
      </c>
      <c r="M1481" t="s">
        <v>65</v>
      </c>
      <c r="N1481" t="b">
        <v>0</v>
      </c>
      <c r="P1481" t="b">
        <v>0</v>
      </c>
      <c r="Q1481" t="b">
        <v>0</v>
      </c>
      <c r="R1481" t="b">
        <v>1</v>
      </c>
      <c r="S1481" t="b">
        <v>1</v>
      </c>
      <c r="T1481" t="b">
        <v>1</v>
      </c>
      <c r="U1481" t="s">
        <v>3893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E1481" t="s">
        <v>3894</v>
      </c>
    </row>
    <row r="1482" spans="1:31" x14ac:dyDescent="0.3">
      <c r="A1482">
        <v>-73.953886718640007</v>
      </c>
      <c r="B1482">
        <v>40.794140943400002</v>
      </c>
      <c r="C1482" t="s">
        <v>3895</v>
      </c>
      <c r="D1482" t="s">
        <v>278</v>
      </c>
      <c r="E1482" t="s">
        <v>33</v>
      </c>
      <c r="F1482">
        <v>10202018</v>
      </c>
      <c r="G1482">
        <v>3</v>
      </c>
      <c r="H1482" t="s">
        <v>48</v>
      </c>
      <c r="I1482" t="s">
        <v>42</v>
      </c>
      <c r="J1482" t="s">
        <v>53</v>
      </c>
      <c r="K1482" t="s">
        <v>54</v>
      </c>
      <c r="M1482" t="s">
        <v>65</v>
      </c>
      <c r="N1482" t="b">
        <v>0</v>
      </c>
      <c r="P1482" t="b">
        <v>1</v>
      </c>
      <c r="Q1482" t="b">
        <v>0</v>
      </c>
      <c r="R1482" t="b">
        <v>0</v>
      </c>
      <c r="S1482" t="b">
        <v>0</v>
      </c>
      <c r="T1482" t="b">
        <v>0</v>
      </c>
      <c r="V1482" t="b">
        <v>0</v>
      </c>
      <c r="W1482" t="b">
        <v>0</v>
      </c>
      <c r="X1482" t="b">
        <v>0</v>
      </c>
      <c r="Y1482" t="b">
        <v>1</v>
      </c>
      <c r="Z1482" t="b">
        <v>0</v>
      </c>
      <c r="AA1482" t="b">
        <v>0</v>
      </c>
      <c r="AB1482" t="b">
        <v>1</v>
      </c>
      <c r="AC1482" t="b">
        <v>0</v>
      </c>
      <c r="AE1482" t="s">
        <v>3896</v>
      </c>
    </row>
    <row r="1483" spans="1:31" x14ac:dyDescent="0.3">
      <c r="A1483">
        <v>-73.958861019569994</v>
      </c>
      <c r="B1483">
        <v>40.79452699366</v>
      </c>
      <c r="C1483" t="s">
        <v>3897</v>
      </c>
      <c r="D1483" t="s">
        <v>1262</v>
      </c>
      <c r="E1483" t="s">
        <v>38</v>
      </c>
      <c r="F1483">
        <v>10142018</v>
      </c>
      <c r="G1483">
        <v>2</v>
      </c>
      <c r="H1483" t="s">
        <v>105</v>
      </c>
      <c r="I1483" t="s">
        <v>42</v>
      </c>
      <c r="J1483" t="s">
        <v>59</v>
      </c>
      <c r="K1483" t="s">
        <v>79</v>
      </c>
      <c r="M1483" t="s">
        <v>65</v>
      </c>
      <c r="N1483" t="b">
        <v>0</v>
      </c>
      <c r="O1483" t="s">
        <v>3898</v>
      </c>
      <c r="P1483" t="b">
        <v>0</v>
      </c>
      <c r="Q1483" t="b">
        <v>0</v>
      </c>
      <c r="R1483" t="b">
        <v>0</v>
      </c>
      <c r="S1483" t="b">
        <v>1</v>
      </c>
      <c r="T1483" t="b">
        <v>1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1</v>
      </c>
      <c r="AC1483" t="b">
        <v>0</v>
      </c>
      <c r="AE1483" t="s">
        <v>3899</v>
      </c>
    </row>
    <row r="1484" spans="1:31" x14ac:dyDescent="0.3">
      <c r="A1484">
        <v>-73.954577357909997</v>
      </c>
      <c r="B1484">
        <v>40.789868463570002</v>
      </c>
      <c r="C1484" t="s">
        <v>3900</v>
      </c>
      <c r="D1484" t="s">
        <v>921</v>
      </c>
      <c r="E1484" t="s">
        <v>38</v>
      </c>
      <c r="F1484">
        <v>10082018</v>
      </c>
      <c r="G1484">
        <v>5</v>
      </c>
      <c r="H1484" t="s">
        <v>48</v>
      </c>
      <c r="K1484" t="s">
        <v>34</v>
      </c>
      <c r="M1484" t="s">
        <v>44</v>
      </c>
      <c r="N1484">
        <v>100</v>
      </c>
      <c r="P1484" t="b">
        <v>0</v>
      </c>
      <c r="Q1484" t="b">
        <v>0</v>
      </c>
      <c r="R1484" t="b">
        <v>1</v>
      </c>
      <c r="S1484" t="b">
        <v>0</v>
      </c>
      <c r="T1484" t="b">
        <v>1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1</v>
      </c>
      <c r="AC1484" t="b">
        <v>0</v>
      </c>
      <c r="AD1484" t="s">
        <v>3901</v>
      </c>
      <c r="AE1484" t="s">
        <v>3902</v>
      </c>
    </row>
    <row r="1485" spans="1:31" x14ac:dyDescent="0.3">
      <c r="A1485">
        <v>-73.971673655740005</v>
      </c>
      <c r="B1485">
        <v>40.77493334943</v>
      </c>
      <c r="C1485" t="s">
        <v>3903</v>
      </c>
      <c r="D1485" t="s">
        <v>726</v>
      </c>
      <c r="E1485" t="s">
        <v>38</v>
      </c>
      <c r="F1485">
        <v>10172018</v>
      </c>
      <c r="G1485">
        <v>7</v>
      </c>
      <c r="H1485" t="s">
        <v>48</v>
      </c>
      <c r="I1485" t="s">
        <v>42</v>
      </c>
      <c r="J1485" t="s">
        <v>53</v>
      </c>
      <c r="K1485" t="s">
        <v>54</v>
      </c>
      <c r="M1485" t="s">
        <v>65</v>
      </c>
      <c r="N1485" t="b">
        <v>0</v>
      </c>
      <c r="P1485" t="b">
        <v>1</v>
      </c>
      <c r="Q1485" t="b">
        <v>0</v>
      </c>
      <c r="R1485" t="b">
        <v>1</v>
      </c>
      <c r="S1485" t="b">
        <v>0</v>
      </c>
      <c r="T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1</v>
      </c>
      <c r="AA1485" t="b">
        <v>0</v>
      </c>
      <c r="AB1485" t="b">
        <v>0</v>
      </c>
      <c r="AC1485" t="b">
        <v>1</v>
      </c>
      <c r="AE1485" t="s">
        <v>3904</v>
      </c>
    </row>
    <row r="1486" spans="1:31" x14ac:dyDescent="0.3">
      <c r="A1486">
        <v>-73.979108534999995</v>
      </c>
      <c r="B1486">
        <v>40.767702534260003</v>
      </c>
      <c r="C1486" t="s">
        <v>3905</v>
      </c>
      <c r="D1486" t="s">
        <v>1232</v>
      </c>
      <c r="E1486" t="s">
        <v>33</v>
      </c>
      <c r="F1486">
        <v>10132018</v>
      </c>
      <c r="G1486">
        <v>12</v>
      </c>
      <c r="H1486" t="s">
        <v>48</v>
      </c>
      <c r="I1486" t="s">
        <v>42</v>
      </c>
      <c r="J1486" t="s">
        <v>59</v>
      </c>
      <c r="K1486" t="s">
        <v>79</v>
      </c>
      <c r="M1486" t="s">
        <v>65</v>
      </c>
      <c r="N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1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1</v>
      </c>
      <c r="AB1486" t="b">
        <v>0</v>
      </c>
      <c r="AC1486" t="b">
        <v>0</v>
      </c>
      <c r="AE1486" t="s">
        <v>3906</v>
      </c>
    </row>
    <row r="1487" spans="1:31" x14ac:dyDescent="0.3">
      <c r="A1487">
        <v>-73.954580774990006</v>
      </c>
      <c r="B1487">
        <v>40.790050753759999</v>
      </c>
      <c r="C1487" t="s">
        <v>3907</v>
      </c>
      <c r="D1487" t="s">
        <v>921</v>
      </c>
      <c r="E1487" t="s">
        <v>33</v>
      </c>
      <c r="F1487">
        <v>10062018</v>
      </c>
      <c r="G1487">
        <v>2</v>
      </c>
      <c r="H1487" t="s">
        <v>48</v>
      </c>
      <c r="I1487" t="s">
        <v>176</v>
      </c>
      <c r="K1487" t="s">
        <v>177</v>
      </c>
      <c r="M1487" t="s">
        <v>65</v>
      </c>
      <c r="N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1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1</v>
      </c>
      <c r="AE1487" t="s">
        <v>3908</v>
      </c>
    </row>
    <row r="1488" spans="1:31" x14ac:dyDescent="0.3">
      <c r="A1488">
        <v>-73.965394655959997</v>
      </c>
      <c r="B1488">
        <v>40.776313679170002</v>
      </c>
      <c r="C1488" t="s">
        <v>3909</v>
      </c>
      <c r="D1488" t="s">
        <v>408</v>
      </c>
      <c r="E1488" t="s">
        <v>33</v>
      </c>
      <c r="F1488">
        <v>10122018</v>
      </c>
      <c r="G1488">
        <v>5</v>
      </c>
      <c r="H1488" t="s">
        <v>48</v>
      </c>
      <c r="I1488" t="s">
        <v>42</v>
      </c>
      <c r="K1488" t="s">
        <v>43</v>
      </c>
      <c r="M1488" t="s">
        <v>44</v>
      </c>
      <c r="N1488">
        <v>2</v>
      </c>
      <c r="P1488" t="b">
        <v>1</v>
      </c>
      <c r="Q1488" t="b">
        <v>0</v>
      </c>
      <c r="R1488" t="b">
        <v>1</v>
      </c>
      <c r="S1488" t="b">
        <v>0</v>
      </c>
      <c r="T1488" t="b">
        <v>1</v>
      </c>
      <c r="U1488" t="s">
        <v>3910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s">
        <v>3911</v>
      </c>
      <c r="AE1488" t="s">
        <v>3912</v>
      </c>
    </row>
    <row r="1489" spans="1:31" x14ac:dyDescent="0.3">
      <c r="A1489">
        <v>-73.967669277249996</v>
      </c>
      <c r="B1489">
        <v>40.776472668890001</v>
      </c>
      <c r="C1489" t="s">
        <v>3913</v>
      </c>
      <c r="D1489" t="s">
        <v>311</v>
      </c>
      <c r="E1489" t="s">
        <v>38</v>
      </c>
      <c r="F1489">
        <v>10082018</v>
      </c>
      <c r="G1489">
        <v>3</v>
      </c>
      <c r="H1489" t="s">
        <v>48</v>
      </c>
      <c r="I1489" t="s">
        <v>42</v>
      </c>
      <c r="K1489" t="s">
        <v>43</v>
      </c>
      <c r="M1489" t="s">
        <v>65</v>
      </c>
      <c r="N1489" t="b">
        <v>0</v>
      </c>
      <c r="P1489" t="b">
        <v>0</v>
      </c>
      <c r="Q1489" t="b">
        <v>1</v>
      </c>
      <c r="R1489" t="b">
        <v>0</v>
      </c>
      <c r="S1489" t="b">
        <v>0</v>
      </c>
      <c r="T1489" t="b">
        <v>0</v>
      </c>
      <c r="V1489" t="b">
        <v>1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E1489" t="s">
        <v>3914</v>
      </c>
    </row>
    <row r="1490" spans="1:31" x14ac:dyDescent="0.3">
      <c r="A1490">
        <v>-73.969007264710001</v>
      </c>
      <c r="B1490">
        <v>40.77377122675</v>
      </c>
      <c r="C1490" t="s">
        <v>3915</v>
      </c>
      <c r="D1490" t="s">
        <v>988</v>
      </c>
      <c r="E1490" t="s">
        <v>38</v>
      </c>
      <c r="F1490">
        <v>10122018</v>
      </c>
      <c r="G1490">
        <v>2</v>
      </c>
      <c r="H1490" t="s">
        <v>48</v>
      </c>
      <c r="I1490" t="s">
        <v>42</v>
      </c>
      <c r="K1490" t="s">
        <v>43</v>
      </c>
      <c r="M1490" t="s">
        <v>65</v>
      </c>
      <c r="N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1</v>
      </c>
      <c r="V1490" t="b">
        <v>0</v>
      </c>
      <c r="W1490" t="b">
        <v>0</v>
      </c>
      <c r="X1490" t="b">
        <v>0</v>
      </c>
      <c r="Y1490" t="b">
        <v>0</v>
      </c>
      <c r="Z1490" t="b">
        <v>1</v>
      </c>
      <c r="AA1490" t="b">
        <v>0</v>
      </c>
      <c r="AB1490" t="b">
        <v>1</v>
      </c>
      <c r="AC1490" t="b">
        <v>0</v>
      </c>
      <c r="AE1490" t="s">
        <v>3916</v>
      </c>
    </row>
    <row r="1491" spans="1:31" x14ac:dyDescent="0.3">
      <c r="A1491">
        <v>-73.950176252749998</v>
      </c>
      <c r="B1491">
        <v>40.79755340861</v>
      </c>
      <c r="C1491" t="s">
        <v>3917</v>
      </c>
      <c r="D1491" t="s">
        <v>677</v>
      </c>
      <c r="E1491" t="s">
        <v>33</v>
      </c>
      <c r="F1491">
        <v>10142018</v>
      </c>
      <c r="G1491">
        <v>5</v>
      </c>
      <c r="H1491" t="s">
        <v>48</v>
      </c>
      <c r="I1491" t="s">
        <v>42</v>
      </c>
      <c r="J1491" t="s">
        <v>59</v>
      </c>
      <c r="K1491" t="s">
        <v>79</v>
      </c>
      <c r="M1491" t="s">
        <v>44</v>
      </c>
      <c r="N1491">
        <v>15</v>
      </c>
      <c r="P1491" t="b">
        <v>1</v>
      </c>
      <c r="Q1491" t="b">
        <v>1</v>
      </c>
      <c r="R1491" t="b">
        <v>0</v>
      </c>
      <c r="S1491" t="b">
        <v>0</v>
      </c>
      <c r="T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1</v>
      </c>
      <c r="AE1491" t="s">
        <v>3918</v>
      </c>
    </row>
    <row r="1492" spans="1:31" x14ac:dyDescent="0.3">
      <c r="A1492">
        <v>-73.972740567949998</v>
      </c>
      <c r="B1492">
        <v>40.778267755450003</v>
      </c>
      <c r="C1492" t="s">
        <v>3919</v>
      </c>
      <c r="D1492" t="s">
        <v>1759</v>
      </c>
      <c r="E1492" t="s">
        <v>33</v>
      </c>
      <c r="F1492">
        <v>10142018</v>
      </c>
      <c r="G1492">
        <v>1</v>
      </c>
      <c r="H1492" t="s">
        <v>48</v>
      </c>
      <c r="I1492" t="s">
        <v>42</v>
      </c>
      <c r="J1492" t="s">
        <v>53</v>
      </c>
      <c r="K1492" t="s">
        <v>54</v>
      </c>
      <c r="M1492" t="s">
        <v>65</v>
      </c>
      <c r="N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1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E1492" t="s">
        <v>3920</v>
      </c>
    </row>
    <row r="1493" spans="1:31" x14ac:dyDescent="0.3">
      <c r="A1493">
        <v>-73.971307021710004</v>
      </c>
      <c r="B1493">
        <v>40.775379501480003</v>
      </c>
      <c r="C1493" t="s">
        <v>3921</v>
      </c>
      <c r="D1493" t="s">
        <v>726</v>
      </c>
      <c r="E1493" t="s">
        <v>38</v>
      </c>
      <c r="F1493">
        <v>10172018</v>
      </c>
      <c r="G1493">
        <v>5</v>
      </c>
      <c r="H1493" t="s">
        <v>48</v>
      </c>
      <c r="I1493" t="s">
        <v>42</v>
      </c>
      <c r="J1493" t="s">
        <v>53</v>
      </c>
      <c r="K1493" t="s">
        <v>54</v>
      </c>
      <c r="M1493" t="s">
        <v>65</v>
      </c>
      <c r="N1493" t="b">
        <v>0</v>
      </c>
      <c r="P1493" t="b">
        <v>0</v>
      </c>
      <c r="Q1493" t="b">
        <v>0</v>
      </c>
      <c r="R1493" t="b">
        <v>0</v>
      </c>
      <c r="S1493" t="b">
        <v>1</v>
      </c>
      <c r="T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1</v>
      </c>
      <c r="AC1493" t="b">
        <v>0</v>
      </c>
      <c r="AE1493" t="s">
        <v>3922</v>
      </c>
    </row>
    <row r="1494" spans="1:31" x14ac:dyDescent="0.3">
      <c r="A1494">
        <v>-73.980707851519995</v>
      </c>
      <c r="B1494">
        <v>40.768333529259998</v>
      </c>
      <c r="C1494" t="s">
        <v>3923</v>
      </c>
      <c r="D1494" t="s">
        <v>1906</v>
      </c>
      <c r="E1494" t="s">
        <v>38</v>
      </c>
      <c r="F1494">
        <v>10102018</v>
      </c>
      <c r="G1494">
        <v>4</v>
      </c>
      <c r="H1494" t="s">
        <v>48</v>
      </c>
      <c r="I1494" t="s">
        <v>53</v>
      </c>
      <c r="J1494" t="s">
        <v>42</v>
      </c>
      <c r="K1494" t="s">
        <v>89</v>
      </c>
      <c r="M1494" t="s">
        <v>65</v>
      </c>
      <c r="N1494" t="b">
        <v>0</v>
      </c>
      <c r="P1494" t="b">
        <v>0</v>
      </c>
      <c r="Q1494" t="b">
        <v>0</v>
      </c>
      <c r="R1494" t="b">
        <v>0</v>
      </c>
      <c r="S1494" t="b">
        <v>1</v>
      </c>
      <c r="T1494" t="b">
        <v>1</v>
      </c>
      <c r="V1494" t="b">
        <v>0</v>
      </c>
      <c r="W1494" t="b">
        <v>0</v>
      </c>
      <c r="X1494" t="b">
        <v>0</v>
      </c>
      <c r="Y1494" t="b">
        <v>0</v>
      </c>
      <c r="Z1494" t="b">
        <v>1</v>
      </c>
      <c r="AA1494" t="b">
        <v>0</v>
      </c>
      <c r="AB1494" t="b">
        <v>1</v>
      </c>
      <c r="AC1494" t="b">
        <v>0</v>
      </c>
      <c r="AE1494" t="s">
        <v>3924</v>
      </c>
    </row>
    <row r="1495" spans="1:31" x14ac:dyDescent="0.3">
      <c r="A1495">
        <v>-73.968479065790007</v>
      </c>
      <c r="B1495">
        <v>40.783881871790001</v>
      </c>
      <c r="C1495" t="s">
        <v>3925</v>
      </c>
      <c r="D1495" t="s">
        <v>320</v>
      </c>
      <c r="E1495" t="s">
        <v>38</v>
      </c>
      <c r="F1495">
        <v>10132018</v>
      </c>
      <c r="G1495">
        <v>1</v>
      </c>
      <c r="H1495" t="s">
        <v>48</v>
      </c>
      <c r="I1495" t="s">
        <v>42</v>
      </c>
      <c r="J1495" t="s">
        <v>53</v>
      </c>
      <c r="K1495" t="s">
        <v>54</v>
      </c>
      <c r="M1495" t="s">
        <v>65</v>
      </c>
      <c r="N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1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s">
        <v>3926</v>
      </c>
      <c r="AE1495" t="s">
        <v>3927</v>
      </c>
    </row>
    <row r="1496" spans="1:31" x14ac:dyDescent="0.3">
      <c r="A1496">
        <v>-73.952575240819996</v>
      </c>
      <c r="B1496">
        <v>40.795491541760001</v>
      </c>
      <c r="C1496" t="s">
        <v>3928</v>
      </c>
      <c r="D1496" t="s">
        <v>549</v>
      </c>
      <c r="E1496" t="s">
        <v>38</v>
      </c>
      <c r="F1496">
        <v>10072018</v>
      </c>
      <c r="G1496">
        <v>3</v>
      </c>
      <c r="H1496" t="s">
        <v>105</v>
      </c>
      <c r="I1496" t="s">
        <v>42</v>
      </c>
      <c r="J1496" t="s">
        <v>59</v>
      </c>
      <c r="K1496" t="s">
        <v>79</v>
      </c>
      <c r="M1496" t="s">
        <v>65</v>
      </c>
      <c r="N1496" t="b">
        <v>0</v>
      </c>
      <c r="P1496" t="b">
        <v>0</v>
      </c>
      <c r="Q1496" t="b">
        <v>0</v>
      </c>
      <c r="R1496" t="b">
        <v>0</v>
      </c>
      <c r="S1496" t="b">
        <v>1</v>
      </c>
      <c r="T1496" t="b">
        <v>1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E1496" t="s">
        <v>3929</v>
      </c>
    </row>
    <row r="1497" spans="1:31" x14ac:dyDescent="0.3">
      <c r="A1497">
        <v>-73.973513717840007</v>
      </c>
      <c r="B1497">
        <v>40.769109895290001</v>
      </c>
      <c r="C1497" t="s">
        <v>3930</v>
      </c>
      <c r="D1497" t="s">
        <v>250</v>
      </c>
      <c r="E1497" t="s">
        <v>38</v>
      </c>
      <c r="F1497">
        <v>10072018</v>
      </c>
      <c r="G1497">
        <v>6</v>
      </c>
      <c r="H1497" t="s">
        <v>48</v>
      </c>
      <c r="I1497" t="s">
        <v>42</v>
      </c>
      <c r="K1497" t="s">
        <v>43</v>
      </c>
      <c r="M1497" t="s">
        <v>44</v>
      </c>
      <c r="N1497">
        <v>2</v>
      </c>
      <c r="O1497" t="s">
        <v>3931</v>
      </c>
      <c r="P1497" t="b">
        <v>0</v>
      </c>
      <c r="Q1497" t="b">
        <v>0</v>
      </c>
      <c r="R1497" t="b">
        <v>0</v>
      </c>
      <c r="S1497" t="b">
        <v>1</v>
      </c>
      <c r="T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E1497" t="s">
        <v>3932</v>
      </c>
    </row>
    <row r="1498" spans="1:31" x14ac:dyDescent="0.3">
      <c r="A1498">
        <v>-73.961550051000003</v>
      </c>
      <c r="B1498">
        <v>40.79207992637</v>
      </c>
      <c r="C1498" t="s">
        <v>3933</v>
      </c>
      <c r="D1498" t="s">
        <v>607</v>
      </c>
      <c r="E1498" t="s">
        <v>33</v>
      </c>
      <c r="F1498">
        <v>10132018</v>
      </c>
      <c r="G1498">
        <v>5</v>
      </c>
      <c r="H1498" t="s">
        <v>48</v>
      </c>
      <c r="I1498" t="s">
        <v>42</v>
      </c>
      <c r="K1498" t="s">
        <v>43</v>
      </c>
      <c r="M1498" t="s">
        <v>65</v>
      </c>
      <c r="N1498" t="b">
        <v>0</v>
      </c>
      <c r="P1498" t="b">
        <v>1</v>
      </c>
      <c r="Q1498" t="b">
        <v>0</v>
      </c>
      <c r="R1498" t="b">
        <v>0</v>
      </c>
      <c r="S1498" t="b">
        <v>0</v>
      </c>
      <c r="T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E1498" t="s">
        <v>3934</v>
      </c>
    </row>
    <row r="1499" spans="1:31" x14ac:dyDescent="0.3">
      <c r="A1499">
        <v>-73.972226149560001</v>
      </c>
      <c r="B1499">
        <v>40.769054207259998</v>
      </c>
      <c r="C1499" t="s">
        <v>3935</v>
      </c>
      <c r="D1499" t="s">
        <v>221</v>
      </c>
      <c r="E1499" t="s">
        <v>33</v>
      </c>
      <c r="F1499">
        <v>10202018</v>
      </c>
      <c r="G1499">
        <v>3</v>
      </c>
      <c r="H1499" t="s">
        <v>48</v>
      </c>
      <c r="I1499" t="s">
        <v>42</v>
      </c>
      <c r="K1499" t="s">
        <v>43</v>
      </c>
      <c r="M1499" t="s">
        <v>65</v>
      </c>
      <c r="N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1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1</v>
      </c>
      <c r="AC1499" t="b">
        <v>0</v>
      </c>
      <c r="AE1499" t="s">
        <v>3936</v>
      </c>
    </row>
    <row r="1500" spans="1:31" x14ac:dyDescent="0.3">
      <c r="A1500">
        <v>-73.976506416909999</v>
      </c>
      <c r="B1500">
        <v>40.773721142669999</v>
      </c>
      <c r="C1500" t="s">
        <v>3937</v>
      </c>
      <c r="D1500" t="s">
        <v>235</v>
      </c>
      <c r="E1500" t="s">
        <v>38</v>
      </c>
      <c r="F1500">
        <v>10072018</v>
      </c>
      <c r="G1500">
        <v>6</v>
      </c>
      <c r="H1500" t="s">
        <v>48</v>
      </c>
      <c r="I1500" t="s">
        <v>42</v>
      </c>
      <c r="J1500" t="s">
        <v>59</v>
      </c>
      <c r="K1500" t="s">
        <v>79</v>
      </c>
      <c r="M1500" t="s">
        <v>65</v>
      </c>
      <c r="N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1</v>
      </c>
      <c r="V1500" t="b">
        <v>0</v>
      </c>
      <c r="W1500" t="b">
        <v>0</v>
      </c>
      <c r="X1500" t="b">
        <v>0</v>
      </c>
      <c r="Y1500" t="b">
        <v>0</v>
      </c>
      <c r="Z1500" t="b">
        <v>1</v>
      </c>
      <c r="AA1500" t="b">
        <v>0</v>
      </c>
      <c r="AB1500" t="b">
        <v>1</v>
      </c>
      <c r="AC1500" t="b">
        <v>0</v>
      </c>
      <c r="AE1500" t="s">
        <v>3938</v>
      </c>
    </row>
    <row r="1501" spans="1:31" x14ac:dyDescent="0.3">
      <c r="A1501">
        <v>-73.962520553819999</v>
      </c>
      <c r="B1501">
        <v>40.781078505510003</v>
      </c>
      <c r="C1501" t="s">
        <v>3939</v>
      </c>
      <c r="D1501" t="s">
        <v>1657</v>
      </c>
      <c r="E1501" t="s">
        <v>38</v>
      </c>
      <c r="F1501">
        <v>10172018</v>
      </c>
      <c r="G1501">
        <v>1</v>
      </c>
      <c r="H1501" t="s">
        <v>48</v>
      </c>
      <c r="I1501" t="s">
        <v>42</v>
      </c>
      <c r="J1501" t="s">
        <v>53</v>
      </c>
      <c r="K1501" t="s">
        <v>54</v>
      </c>
      <c r="M1501" t="s">
        <v>65</v>
      </c>
      <c r="N1501" t="b">
        <v>0</v>
      </c>
      <c r="P1501" t="b">
        <v>0</v>
      </c>
      <c r="Q1501" t="b">
        <v>0</v>
      </c>
      <c r="R1501" t="b">
        <v>0</v>
      </c>
      <c r="S1501" t="b">
        <v>1</v>
      </c>
      <c r="T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1</v>
      </c>
      <c r="AE1501" t="s">
        <v>3940</v>
      </c>
    </row>
    <row r="1502" spans="1:31" x14ac:dyDescent="0.3">
      <c r="A1502">
        <v>-73.976996954800001</v>
      </c>
      <c r="B1502">
        <v>40.771071126519999</v>
      </c>
      <c r="C1502" t="s">
        <v>3941</v>
      </c>
      <c r="D1502" t="s">
        <v>2798</v>
      </c>
      <c r="E1502" t="s">
        <v>38</v>
      </c>
      <c r="F1502">
        <v>10072018</v>
      </c>
      <c r="G1502">
        <v>1</v>
      </c>
      <c r="H1502" t="s">
        <v>48</v>
      </c>
      <c r="I1502" t="s">
        <v>42</v>
      </c>
      <c r="J1502" t="s">
        <v>59</v>
      </c>
      <c r="K1502" t="s">
        <v>79</v>
      </c>
      <c r="L1502" t="s">
        <v>3942</v>
      </c>
      <c r="M1502" t="s">
        <v>44</v>
      </c>
      <c r="N1502">
        <v>15</v>
      </c>
      <c r="P1502" t="b">
        <v>0</v>
      </c>
      <c r="Q1502" t="b">
        <v>0</v>
      </c>
      <c r="R1502" t="b">
        <v>1</v>
      </c>
      <c r="S1502" t="b">
        <v>0</v>
      </c>
      <c r="T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1</v>
      </c>
      <c r="AA1502" t="b">
        <v>0</v>
      </c>
      <c r="AB1502" t="b">
        <v>0</v>
      </c>
      <c r="AC1502" t="b">
        <v>0</v>
      </c>
      <c r="AD1502" t="s">
        <v>3943</v>
      </c>
      <c r="AE1502" t="s">
        <v>3944</v>
      </c>
    </row>
    <row r="1503" spans="1:31" x14ac:dyDescent="0.3">
      <c r="A1503">
        <v>-73.960816730009995</v>
      </c>
      <c r="B1503">
        <v>40.79543486883</v>
      </c>
      <c r="C1503" t="s">
        <v>3945</v>
      </c>
      <c r="D1503" t="s">
        <v>372</v>
      </c>
      <c r="E1503" t="s">
        <v>33</v>
      </c>
      <c r="F1503">
        <v>10132018</v>
      </c>
      <c r="G1503">
        <v>5</v>
      </c>
      <c r="I1503" t="s">
        <v>42</v>
      </c>
      <c r="J1503" t="s">
        <v>53</v>
      </c>
      <c r="K1503" t="s">
        <v>54</v>
      </c>
      <c r="M1503" t="s">
        <v>65</v>
      </c>
      <c r="N1503" t="b">
        <v>0</v>
      </c>
      <c r="O1503" t="s">
        <v>2304</v>
      </c>
      <c r="P1503" t="b">
        <v>0</v>
      </c>
      <c r="Q1503" t="b">
        <v>0</v>
      </c>
      <c r="R1503" t="b">
        <v>0</v>
      </c>
      <c r="S1503" t="b">
        <v>0</v>
      </c>
      <c r="T1503" t="b">
        <v>1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1</v>
      </c>
      <c r="AE1503" t="s">
        <v>3946</v>
      </c>
    </row>
    <row r="1504" spans="1:31" x14ac:dyDescent="0.3">
      <c r="A1504">
        <v>-73.970525480099994</v>
      </c>
      <c r="B1504">
        <v>40.776360649430003</v>
      </c>
      <c r="C1504" t="s">
        <v>3947</v>
      </c>
      <c r="D1504" t="s">
        <v>52</v>
      </c>
      <c r="E1504" t="s">
        <v>38</v>
      </c>
      <c r="F1504">
        <v>10172018</v>
      </c>
      <c r="G1504">
        <v>3</v>
      </c>
      <c r="H1504" t="s">
        <v>48</v>
      </c>
      <c r="I1504" t="s">
        <v>42</v>
      </c>
      <c r="J1504" t="s">
        <v>59</v>
      </c>
      <c r="K1504" t="s">
        <v>79</v>
      </c>
      <c r="M1504" t="s">
        <v>65</v>
      </c>
      <c r="N1504" t="b">
        <v>0</v>
      </c>
      <c r="P1504" t="b">
        <v>0</v>
      </c>
      <c r="Q1504" t="b">
        <v>0</v>
      </c>
      <c r="R1504" t="b">
        <v>0</v>
      </c>
      <c r="S1504" t="b">
        <v>1</v>
      </c>
      <c r="T1504" t="b">
        <v>1</v>
      </c>
      <c r="V1504" t="b">
        <v>1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1</v>
      </c>
      <c r="AD1504" t="s">
        <v>3948</v>
      </c>
      <c r="AE1504" t="s">
        <v>3949</v>
      </c>
    </row>
    <row r="1505" spans="1:31" x14ac:dyDescent="0.3">
      <c r="A1505">
        <v>-73.973219329060001</v>
      </c>
      <c r="B1505">
        <v>40.774879144769997</v>
      </c>
      <c r="C1505" t="s">
        <v>3950</v>
      </c>
      <c r="D1505" t="s">
        <v>74</v>
      </c>
      <c r="E1505" t="s">
        <v>33</v>
      </c>
      <c r="F1505">
        <v>10062018</v>
      </c>
      <c r="G1505">
        <v>1</v>
      </c>
      <c r="H1505" t="s">
        <v>48</v>
      </c>
      <c r="I1505" t="s">
        <v>42</v>
      </c>
      <c r="J1505" t="s">
        <v>53</v>
      </c>
      <c r="K1505" t="s">
        <v>54</v>
      </c>
      <c r="M1505" t="s">
        <v>44</v>
      </c>
      <c r="N1505">
        <v>20</v>
      </c>
      <c r="P1505" t="b">
        <v>0</v>
      </c>
      <c r="Q1505" t="b">
        <v>0</v>
      </c>
      <c r="R1505" t="b">
        <v>1</v>
      </c>
      <c r="S1505" t="b">
        <v>0</v>
      </c>
      <c r="T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b">
        <v>1</v>
      </c>
      <c r="AC1505" t="b">
        <v>0</v>
      </c>
      <c r="AE1505" t="s">
        <v>3951</v>
      </c>
    </row>
    <row r="1506" spans="1:31" x14ac:dyDescent="0.3">
      <c r="A1506">
        <v>-73.970658610800001</v>
      </c>
      <c r="B1506">
        <v>40.779635744449998</v>
      </c>
      <c r="C1506" t="s">
        <v>3952</v>
      </c>
      <c r="D1506" t="s">
        <v>143</v>
      </c>
      <c r="E1506" t="s">
        <v>33</v>
      </c>
      <c r="F1506">
        <v>10132018</v>
      </c>
      <c r="G1506">
        <v>2</v>
      </c>
      <c r="H1506" t="s">
        <v>48</v>
      </c>
      <c r="I1506" t="s">
        <v>42</v>
      </c>
      <c r="K1506" t="s">
        <v>43</v>
      </c>
      <c r="M1506" t="s">
        <v>44</v>
      </c>
      <c r="N1506">
        <v>20</v>
      </c>
      <c r="O1506" t="s">
        <v>3098</v>
      </c>
      <c r="P1506" t="b">
        <v>0</v>
      </c>
      <c r="Q1506" t="b">
        <v>0</v>
      </c>
      <c r="R1506" t="b">
        <v>0</v>
      </c>
      <c r="S1506" t="b">
        <v>1</v>
      </c>
      <c r="T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1</v>
      </c>
      <c r="AC1506" t="b">
        <v>0</v>
      </c>
      <c r="AE1506" t="s">
        <v>3953</v>
      </c>
    </row>
    <row r="1507" spans="1:31" x14ac:dyDescent="0.3">
      <c r="A1507">
        <v>-73.973346133500002</v>
      </c>
      <c r="B1507">
        <v>40.768431428520003</v>
      </c>
      <c r="C1507" t="s">
        <v>3954</v>
      </c>
      <c r="D1507" t="s">
        <v>1663</v>
      </c>
      <c r="E1507" t="s">
        <v>33</v>
      </c>
      <c r="F1507">
        <v>10102018</v>
      </c>
      <c r="G1507">
        <v>1</v>
      </c>
      <c r="H1507" t="s">
        <v>48</v>
      </c>
      <c r="I1507" t="s">
        <v>53</v>
      </c>
      <c r="J1507" t="s">
        <v>42</v>
      </c>
      <c r="K1507" t="s">
        <v>89</v>
      </c>
      <c r="M1507" t="s">
        <v>65</v>
      </c>
      <c r="N1507" t="b">
        <v>0</v>
      </c>
      <c r="P1507" t="b">
        <v>0</v>
      </c>
      <c r="Q1507" t="b">
        <v>0</v>
      </c>
      <c r="R1507" t="b">
        <v>0</v>
      </c>
      <c r="S1507" t="b">
        <v>1</v>
      </c>
      <c r="T1507" t="b">
        <v>1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1</v>
      </c>
      <c r="AC1507" t="b">
        <v>0</v>
      </c>
      <c r="AE1507" t="s">
        <v>3955</v>
      </c>
    </row>
    <row r="1508" spans="1:31" x14ac:dyDescent="0.3">
      <c r="A1508">
        <v>-73.972833975729998</v>
      </c>
      <c r="B1508">
        <v>40.778289120799997</v>
      </c>
      <c r="C1508" t="s">
        <v>3956</v>
      </c>
      <c r="D1508" t="s">
        <v>1759</v>
      </c>
      <c r="E1508" t="s">
        <v>33</v>
      </c>
      <c r="F1508">
        <v>10142018</v>
      </c>
      <c r="G1508">
        <v>4</v>
      </c>
      <c r="H1508" t="s">
        <v>48</v>
      </c>
      <c r="I1508" t="s">
        <v>42</v>
      </c>
      <c r="J1508" t="s">
        <v>53</v>
      </c>
      <c r="K1508" t="s">
        <v>54</v>
      </c>
      <c r="M1508" t="s">
        <v>44</v>
      </c>
      <c r="N1508">
        <v>20</v>
      </c>
      <c r="O1508" t="s">
        <v>3957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E1508" t="s">
        <v>3958</v>
      </c>
    </row>
    <row r="1509" spans="1:31" x14ac:dyDescent="0.3">
      <c r="A1509">
        <v>-73.969979950150005</v>
      </c>
      <c r="B1509">
        <v>40.773657628620001</v>
      </c>
      <c r="C1509" t="s">
        <v>3959</v>
      </c>
      <c r="D1509" t="s">
        <v>1165</v>
      </c>
      <c r="E1509" t="s">
        <v>38</v>
      </c>
      <c r="F1509">
        <v>10132018</v>
      </c>
      <c r="G1509">
        <v>2</v>
      </c>
      <c r="H1509" t="s">
        <v>48</v>
      </c>
      <c r="I1509" t="s">
        <v>42</v>
      </c>
      <c r="K1509" t="s">
        <v>43</v>
      </c>
      <c r="M1509" t="s">
        <v>44</v>
      </c>
      <c r="N1509">
        <v>5</v>
      </c>
      <c r="P1509" t="b">
        <v>0</v>
      </c>
      <c r="Q1509" t="b">
        <v>0</v>
      </c>
      <c r="R1509" t="b">
        <v>1</v>
      </c>
      <c r="S1509" t="b">
        <v>0</v>
      </c>
      <c r="T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1</v>
      </c>
      <c r="AE1509" t="s">
        <v>3960</v>
      </c>
    </row>
    <row r="1510" spans="1:31" x14ac:dyDescent="0.3">
      <c r="A1510">
        <v>-73.969389430579994</v>
      </c>
      <c r="B1510">
        <v>40.775690674800003</v>
      </c>
      <c r="C1510" t="s">
        <v>3961</v>
      </c>
      <c r="D1510" t="s">
        <v>260</v>
      </c>
      <c r="E1510" t="s">
        <v>33</v>
      </c>
      <c r="F1510">
        <v>10082018</v>
      </c>
      <c r="G1510">
        <v>4</v>
      </c>
      <c r="H1510" t="s">
        <v>48</v>
      </c>
      <c r="I1510" t="s">
        <v>42</v>
      </c>
      <c r="J1510" t="s">
        <v>53</v>
      </c>
      <c r="K1510" t="s">
        <v>54</v>
      </c>
      <c r="M1510" t="s">
        <v>44</v>
      </c>
      <c r="N1510">
        <v>20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V1510" t="b">
        <v>1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b">
        <v>0</v>
      </c>
      <c r="AE1510" t="s">
        <v>3962</v>
      </c>
    </row>
    <row r="1511" spans="1:31" x14ac:dyDescent="0.3">
      <c r="A1511">
        <v>-73.955645001570005</v>
      </c>
      <c r="B1511">
        <v>40.796718805799998</v>
      </c>
      <c r="C1511" t="s">
        <v>3963</v>
      </c>
      <c r="D1511" t="s">
        <v>3964</v>
      </c>
      <c r="E1511" t="s">
        <v>38</v>
      </c>
      <c r="F1511">
        <v>10182018</v>
      </c>
      <c r="G1511">
        <v>4</v>
      </c>
      <c r="H1511" t="s">
        <v>48</v>
      </c>
      <c r="I1511" t="s">
        <v>42</v>
      </c>
      <c r="K1511" t="s">
        <v>43</v>
      </c>
      <c r="M1511" t="s">
        <v>65</v>
      </c>
      <c r="N1511" t="b">
        <v>0</v>
      </c>
      <c r="P1511" t="b">
        <v>0</v>
      </c>
      <c r="Q1511" t="b">
        <v>1</v>
      </c>
      <c r="R1511" t="b">
        <v>0</v>
      </c>
      <c r="S1511" t="b">
        <v>0</v>
      </c>
      <c r="T1511" t="b">
        <v>0</v>
      </c>
      <c r="V1511" t="b">
        <v>0</v>
      </c>
      <c r="W1511" t="b">
        <v>0</v>
      </c>
      <c r="X1511" t="b">
        <v>0</v>
      </c>
      <c r="Y1511" t="b">
        <v>1</v>
      </c>
      <c r="Z1511" t="b">
        <v>0</v>
      </c>
      <c r="AA1511" t="b">
        <v>0</v>
      </c>
      <c r="AB1511" t="b">
        <v>1</v>
      </c>
      <c r="AC1511" t="b">
        <v>0</v>
      </c>
      <c r="AE1511" t="s">
        <v>3965</v>
      </c>
    </row>
    <row r="1512" spans="1:31" x14ac:dyDescent="0.3">
      <c r="A1512">
        <v>-73.965567088499995</v>
      </c>
      <c r="B1512">
        <v>40.776372889059999</v>
      </c>
      <c r="C1512" t="s">
        <v>3966</v>
      </c>
      <c r="D1512" t="s">
        <v>1525</v>
      </c>
      <c r="E1512" t="s">
        <v>33</v>
      </c>
      <c r="F1512">
        <v>10142018</v>
      </c>
      <c r="G1512">
        <v>3</v>
      </c>
      <c r="H1512" t="s">
        <v>48</v>
      </c>
      <c r="I1512" t="s">
        <v>42</v>
      </c>
      <c r="J1512" t="s">
        <v>59</v>
      </c>
      <c r="K1512" t="s">
        <v>79</v>
      </c>
      <c r="M1512" t="s">
        <v>65</v>
      </c>
      <c r="N1512" t="b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1</v>
      </c>
      <c r="AB1512" t="b">
        <v>0</v>
      </c>
      <c r="AC1512" t="b">
        <v>0</v>
      </c>
      <c r="AD1512" t="s">
        <v>3967</v>
      </c>
      <c r="AE1512" t="s">
        <v>3968</v>
      </c>
    </row>
    <row r="1513" spans="1:31" x14ac:dyDescent="0.3">
      <c r="A1513">
        <v>-73.972164250990005</v>
      </c>
      <c r="B1513">
        <v>40.770117939009999</v>
      </c>
      <c r="C1513" t="s">
        <v>3969</v>
      </c>
      <c r="D1513" t="s">
        <v>402</v>
      </c>
      <c r="E1513" t="s">
        <v>38</v>
      </c>
      <c r="F1513">
        <v>10102018</v>
      </c>
      <c r="G1513">
        <v>1</v>
      </c>
      <c r="H1513" t="s">
        <v>48</v>
      </c>
      <c r="I1513" t="s">
        <v>42</v>
      </c>
      <c r="J1513" t="s">
        <v>53</v>
      </c>
      <c r="K1513" t="s">
        <v>54</v>
      </c>
      <c r="M1513" t="s">
        <v>65</v>
      </c>
      <c r="N1513" t="b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1</v>
      </c>
      <c r="AA1513" t="b">
        <v>0</v>
      </c>
      <c r="AB1513" t="b">
        <v>1</v>
      </c>
      <c r="AC1513" t="b">
        <v>0</v>
      </c>
      <c r="AE1513" t="s">
        <v>3970</v>
      </c>
    </row>
    <row r="1514" spans="1:31" x14ac:dyDescent="0.3">
      <c r="A1514">
        <v>-73.973388236459996</v>
      </c>
      <c r="B1514">
        <v>40.768307870660003</v>
      </c>
      <c r="C1514" t="s">
        <v>3971</v>
      </c>
      <c r="D1514" t="s">
        <v>1663</v>
      </c>
      <c r="E1514" t="s">
        <v>38</v>
      </c>
      <c r="F1514">
        <v>10062018</v>
      </c>
      <c r="G1514">
        <v>1</v>
      </c>
      <c r="H1514" t="s">
        <v>48</v>
      </c>
      <c r="I1514" t="s">
        <v>42</v>
      </c>
      <c r="J1514" t="s">
        <v>176</v>
      </c>
      <c r="K1514" t="s">
        <v>339</v>
      </c>
      <c r="M1514" t="s">
        <v>44</v>
      </c>
      <c r="N1514">
        <v>20</v>
      </c>
      <c r="P1514" t="b">
        <v>0</v>
      </c>
      <c r="Q1514" t="b">
        <v>0</v>
      </c>
      <c r="R1514" t="b">
        <v>1</v>
      </c>
      <c r="S1514" t="b">
        <v>0</v>
      </c>
      <c r="T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s">
        <v>3972</v>
      </c>
      <c r="AE1514" t="s">
        <v>3973</v>
      </c>
    </row>
    <row r="1515" spans="1:31" x14ac:dyDescent="0.3">
      <c r="A1515">
        <v>-73.966240999760004</v>
      </c>
      <c r="B1515">
        <v>40.789104293539999</v>
      </c>
      <c r="C1515" t="s">
        <v>3974</v>
      </c>
      <c r="D1515" t="s">
        <v>154</v>
      </c>
      <c r="E1515" t="s">
        <v>33</v>
      </c>
      <c r="F1515">
        <v>10072018</v>
      </c>
      <c r="G1515">
        <v>3</v>
      </c>
      <c r="H1515" t="s">
        <v>48</v>
      </c>
      <c r="I1515" t="s">
        <v>53</v>
      </c>
      <c r="J1515" t="s">
        <v>42</v>
      </c>
      <c r="K1515" t="s">
        <v>89</v>
      </c>
      <c r="M1515" t="s">
        <v>65</v>
      </c>
      <c r="N1515" t="b">
        <v>0</v>
      </c>
      <c r="P1515" t="b">
        <v>0</v>
      </c>
      <c r="Q1515" t="b">
        <v>1</v>
      </c>
      <c r="R1515" t="b">
        <v>0</v>
      </c>
      <c r="S1515" t="b">
        <v>1</v>
      </c>
      <c r="T1515" t="b">
        <v>1</v>
      </c>
      <c r="U1515" t="s">
        <v>3975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1</v>
      </c>
      <c r="AC1515" t="b">
        <v>0</v>
      </c>
      <c r="AE1515" t="s">
        <v>3976</v>
      </c>
    </row>
    <row r="1516" spans="1:31" x14ac:dyDescent="0.3">
      <c r="A1516">
        <v>-73.954800616170004</v>
      </c>
      <c r="B1516">
        <v>40.794550334100002</v>
      </c>
      <c r="C1516" t="s">
        <v>3977</v>
      </c>
      <c r="D1516" t="s">
        <v>278</v>
      </c>
      <c r="E1516" t="s">
        <v>33</v>
      </c>
      <c r="F1516">
        <v>10202018</v>
      </c>
      <c r="G1516">
        <v>8</v>
      </c>
      <c r="H1516" t="s">
        <v>48</v>
      </c>
      <c r="I1516" t="s">
        <v>42</v>
      </c>
      <c r="J1516" t="s">
        <v>96</v>
      </c>
      <c r="K1516" t="s">
        <v>97</v>
      </c>
      <c r="M1516" t="s">
        <v>65</v>
      </c>
      <c r="N1516" t="b">
        <v>0</v>
      </c>
      <c r="P1516" t="b">
        <v>0</v>
      </c>
      <c r="Q1516" t="b">
        <v>0</v>
      </c>
      <c r="R1516" t="b">
        <v>0</v>
      </c>
      <c r="S1516" t="b">
        <v>1</v>
      </c>
      <c r="T1516" t="b">
        <v>1</v>
      </c>
      <c r="V1516" t="b">
        <v>1</v>
      </c>
      <c r="W1516" t="b">
        <v>0</v>
      </c>
      <c r="X1516" t="b">
        <v>0</v>
      </c>
      <c r="Y1516" t="b">
        <v>1</v>
      </c>
      <c r="Z1516" t="b">
        <v>0</v>
      </c>
      <c r="AA1516" t="b">
        <v>0</v>
      </c>
      <c r="AB1516" t="b">
        <v>1</v>
      </c>
      <c r="AC1516" t="b">
        <v>0</v>
      </c>
      <c r="AE1516" t="s">
        <v>3978</v>
      </c>
    </row>
    <row r="1517" spans="1:31" x14ac:dyDescent="0.3">
      <c r="A1517">
        <v>-73.953032657730006</v>
      </c>
      <c r="B1517">
        <v>40.795692238640001</v>
      </c>
      <c r="C1517" t="s">
        <v>3979</v>
      </c>
      <c r="D1517" t="s">
        <v>133</v>
      </c>
      <c r="E1517" t="s">
        <v>33</v>
      </c>
      <c r="F1517">
        <v>10132018</v>
      </c>
      <c r="G1517">
        <v>2</v>
      </c>
      <c r="H1517" t="s">
        <v>48</v>
      </c>
      <c r="I1517" t="s">
        <v>42</v>
      </c>
      <c r="J1517" t="s">
        <v>53</v>
      </c>
      <c r="K1517" t="s">
        <v>54</v>
      </c>
      <c r="M1517" t="s">
        <v>65</v>
      </c>
      <c r="N1517" t="b">
        <v>0</v>
      </c>
      <c r="P1517" t="b">
        <v>1</v>
      </c>
      <c r="Q1517" t="b">
        <v>0</v>
      </c>
      <c r="R1517" t="b">
        <v>0</v>
      </c>
      <c r="S1517" t="b">
        <v>0</v>
      </c>
      <c r="T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E1517" t="s">
        <v>3980</v>
      </c>
    </row>
    <row r="1518" spans="1:31" x14ac:dyDescent="0.3">
      <c r="A1518">
        <v>-73.962538379530002</v>
      </c>
      <c r="B1518">
        <v>40.788386233170002</v>
      </c>
      <c r="C1518" t="s">
        <v>3981</v>
      </c>
      <c r="D1518" t="s">
        <v>1049</v>
      </c>
      <c r="E1518" t="s">
        <v>38</v>
      </c>
      <c r="F1518">
        <v>10122018</v>
      </c>
      <c r="G1518">
        <v>3</v>
      </c>
      <c r="H1518" t="s">
        <v>48</v>
      </c>
      <c r="I1518" t="s">
        <v>176</v>
      </c>
      <c r="K1518" t="s">
        <v>177</v>
      </c>
      <c r="M1518" t="s">
        <v>44</v>
      </c>
      <c r="N1518">
        <v>30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1</v>
      </c>
      <c r="AC1518" t="b">
        <v>0</v>
      </c>
      <c r="AE1518" t="s">
        <v>3982</v>
      </c>
    </row>
    <row r="1519" spans="1:31" x14ac:dyDescent="0.3">
      <c r="A1519">
        <v>-73.970041085190005</v>
      </c>
      <c r="B1519">
        <v>40.783442758029999</v>
      </c>
      <c r="C1519" t="s">
        <v>3983</v>
      </c>
      <c r="D1519" t="s">
        <v>2011</v>
      </c>
      <c r="E1519" t="s">
        <v>38</v>
      </c>
      <c r="F1519">
        <v>10192018</v>
      </c>
      <c r="G1519">
        <v>7</v>
      </c>
      <c r="H1519" t="s">
        <v>48</v>
      </c>
      <c r="I1519" t="s">
        <v>42</v>
      </c>
      <c r="K1519" t="s">
        <v>43</v>
      </c>
      <c r="M1519" t="s">
        <v>44</v>
      </c>
      <c r="N1519">
        <v>25</v>
      </c>
      <c r="P1519" t="b">
        <v>1</v>
      </c>
      <c r="Q1519" t="b">
        <v>0</v>
      </c>
      <c r="R1519" t="b">
        <v>1</v>
      </c>
      <c r="S1519" t="b">
        <v>0</v>
      </c>
      <c r="T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1</v>
      </c>
      <c r="AC1519" t="b">
        <v>0</v>
      </c>
      <c r="AE1519" t="s">
        <v>3984</v>
      </c>
    </row>
    <row r="1520" spans="1:31" x14ac:dyDescent="0.3">
      <c r="A1520">
        <v>-73.963226583259996</v>
      </c>
      <c r="B1520">
        <v>40.781691447550003</v>
      </c>
      <c r="C1520" t="s">
        <v>3985</v>
      </c>
      <c r="D1520" t="s">
        <v>1287</v>
      </c>
      <c r="E1520" t="s">
        <v>38</v>
      </c>
      <c r="F1520">
        <v>10182018</v>
      </c>
      <c r="G1520">
        <v>4</v>
      </c>
      <c r="H1520" t="s">
        <v>48</v>
      </c>
      <c r="I1520" t="s">
        <v>42</v>
      </c>
      <c r="J1520" t="s">
        <v>53</v>
      </c>
      <c r="K1520" t="s">
        <v>54</v>
      </c>
      <c r="M1520" t="s">
        <v>44</v>
      </c>
      <c r="N1520">
        <v>3</v>
      </c>
      <c r="P1520" t="b">
        <v>0</v>
      </c>
      <c r="Q1520" t="b">
        <v>0</v>
      </c>
      <c r="R1520" t="b">
        <v>1</v>
      </c>
      <c r="S1520" t="b">
        <v>0</v>
      </c>
      <c r="T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E1520" t="s">
        <v>3986</v>
      </c>
    </row>
    <row r="1521" spans="1:31" x14ac:dyDescent="0.3">
      <c r="A1521">
        <v>-73.971730277299997</v>
      </c>
      <c r="B1521">
        <v>40.77488054394</v>
      </c>
      <c r="C1521" t="s">
        <v>3987</v>
      </c>
      <c r="D1521" t="s">
        <v>74</v>
      </c>
      <c r="E1521" t="s">
        <v>33</v>
      </c>
      <c r="F1521">
        <v>10062018</v>
      </c>
      <c r="G1521">
        <v>5</v>
      </c>
      <c r="H1521" t="s">
        <v>48</v>
      </c>
      <c r="I1521" t="s">
        <v>42</v>
      </c>
      <c r="J1521" t="s">
        <v>96</v>
      </c>
      <c r="K1521" t="s">
        <v>97</v>
      </c>
      <c r="M1521" t="s">
        <v>65</v>
      </c>
      <c r="N1521" t="b">
        <v>0</v>
      </c>
      <c r="P1521" t="b">
        <v>0</v>
      </c>
      <c r="Q1521" t="b">
        <v>0</v>
      </c>
      <c r="R1521" t="b">
        <v>0</v>
      </c>
      <c r="S1521" t="b">
        <v>1</v>
      </c>
      <c r="T1521" t="b">
        <v>1</v>
      </c>
      <c r="V1521" t="b">
        <v>0</v>
      </c>
      <c r="W1521" t="b">
        <v>0</v>
      </c>
      <c r="X1521" t="b">
        <v>0</v>
      </c>
      <c r="Y1521" t="b">
        <v>0</v>
      </c>
      <c r="Z1521" t="b">
        <v>1</v>
      </c>
      <c r="AA1521" t="b">
        <v>0</v>
      </c>
      <c r="AB1521" t="b">
        <v>1</v>
      </c>
      <c r="AC1521" t="b">
        <v>0</v>
      </c>
      <c r="AE1521" t="s">
        <v>3988</v>
      </c>
    </row>
    <row r="1522" spans="1:31" x14ac:dyDescent="0.3">
      <c r="A1522">
        <v>-73.968021326949994</v>
      </c>
      <c r="B1522">
        <v>40.777880769239999</v>
      </c>
      <c r="C1522" t="s">
        <v>3989</v>
      </c>
      <c r="D1522" t="s">
        <v>957</v>
      </c>
      <c r="E1522" t="s">
        <v>33</v>
      </c>
      <c r="F1522">
        <v>10132018</v>
      </c>
      <c r="G1522">
        <v>6</v>
      </c>
      <c r="H1522" t="s">
        <v>48</v>
      </c>
      <c r="I1522" t="s">
        <v>42</v>
      </c>
      <c r="J1522" t="s">
        <v>53</v>
      </c>
      <c r="K1522" t="s">
        <v>54</v>
      </c>
      <c r="M1522" t="s">
        <v>65</v>
      </c>
      <c r="N1522" t="b">
        <v>0</v>
      </c>
      <c r="O1522" t="s">
        <v>3990</v>
      </c>
      <c r="P1522" t="b">
        <v>0</v>
      </c>
      <c r="Q1522" t="b">
        <v>0</v>
      </c>
      <c r="R1522" t="b">
        <v>0</v>
      </c>
      <c r="S1522" t="b">
        <v>0</v>
      </c>
      <c r="T1522" t="b">
        <v>1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1</v>
      </c>
      <c r="AE1522" t="s">
        <v>3991</v>
      </c>
    </row>
    <row r="1523" spans="1:31" x14ac:dyDescent="0.3">
      <c r="A1523">
        <v>-73.972392290409999</v>
      </c>
      <c r="B1523">
        <v>40.772916483300001</v>
      </c>
      <c r="C1523" t="s">
        <v>3992</v>
      </c>
      <c r="D1523" t="s">
        <v>1920</v>
      </c>
      <c r="E1523" t="s">
        <v>38</v>
      </c>
      <c r="F1523">
        <v>10082018</v>
      </c>
      <c r="G1523">
        <v>1</v>
      </c>
      <c r="H1523" t="s">
        <v>48</v>
      </c>
      <c r="I1523" t="s">
        <v>42</v>
      </c>
      <c r="J1523" t="s">
        <v>53</v>
      </c>
      <c r="K1523" t="s">
        <v>54</v>
      </c>
      <c r="M1523" t="s">
        <v>65</v>
      </c>
      <c r="N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1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1</v>
      </c>
      <c r="AB1523" t="b">
        <v>0</v>
      </c>
      <c r="AC1523" t="b">
        <v>0</v>
      </c>
      <c r="AE1523" t="s">
        <v>3993</v>
      </c>
    </row>
    <row r="1524" spans="1:31" x14ac:dyDescent="0.3">
      <c r="A1524">
        <v>-73.95389705545</v>
      </c>
      <c r="B1524">
        <v>40.795519679350001</v>
      </c>
      <c r="C1524" t="s">
        <v>3994</v>
      </c>
      <c r="D1524" t="s">
        <v>133</v>
      </c>
      <c r="E1524" t="s">
        <v>33</v>
      </c>
      <c r="F1524">
        <v>10132018</v>
      </c>
      <c r="G1524">
        <v>3</v>
      </c>
      <c r="H1524" t="s">
        <v>48</v>
      </c>
      <c r="I1524" t="s">
        <v>42</v>
      </c>
      <c r="J1524" t="s">
        <v>53</v>
      </c>
      <c r="K1524" t="s">
        <v>54</v>
      </c>
      <c r="M1524" t="s">
        <v>44</v>
      </c>
      <c r="N1524">
        <v>15</v>
      </c>
      <c r="P1524" t="b">
        <v>0</v>
      </c>
      <c r="Q1524" t="b">
        <v>0</v>
      </c>
      <c r="R1524" t="b">
        <v>1</v>
      </c>
      <c r="S1524" t="b">
        <v>0</v>
      </c>
      <c r="T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E1524" t="s">
        <v>3995</v>
      </c>
    </row>
    <row r="1525" spans="1:31" x14ac:dyDescent="0.3">
      <c r="A1525">
        <v>-73.967310388149997</v>
      </c>
      <c r="B1525">
        <v>40.787426740960001</v>
      </c>
      <c r="C1525" t="s">
        <v>3996</v>
      </c>
      <c r="D1525" t="s">
        <v>478</v>
      </c>
      <c r="E1525" t="s">
        <v>33</v>
      </c>
      <c r="F1525">
        <v>10062018</v>
      </c>
      <c r="G1525">
        <v>1</v>
      </c>
      <c r="H1525" t="s">
        <v>105</v>
      </c>
      <c r="I1525" t="s">
        <v>42</v>
      </c>
      <c r="J1525" t="s">
        <v>53</v>
      </c>
      <c r="K1525" t="s">
        <v>54</v>
      </c>
      <c r="M1525" t="s">
        <v>65</v>
      </c>
      <c r="N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1</v>
      </c>
      <c r="V1525" t="b">
        <v>0</v>
      </c>
      <c r="W1525" t="b">
        <v>0</v>
      </c>
      <c r="X1525" t="b">
        <v>0</v>
      </c>
      <c r="Y1525" t="b">
        <v>1</v>
      </c>
      <c r="Z1525" t="b">
        <v>0</v>
      </c>
      <c r="AA1525" t="b">
        <v>0</v>
      </c>
      <c r="AB1525" t="b">
        <v>0</v>
      </c>
      <c r="AC1525" t="b">
        <v>1</v>
      </c>
      <c r="AE1525" t="s">
        <v>3997</v>
      </c>
    </row>
    <row r="1526" spans="1:31" x14ac:dyDescent="0.3">
      <c r="A1526">
        <v>-73.97259615083</v>
      </c>
      <c r="B1526">
        <v>40.7795720445</v>
      </c>
      <c r="C1526" t="s">
        <v>3998</v>
      </c>
      <c r="D1526" t="s">
        <v>1103</v>
      </c>
      <c r="E1526" t="s">
        <v>33</v>
      </c>
      <c r="F1526">
        <v>10192018</v>
      </c>
      <c r="G1526">
        <v>6</v>
      </c>
      <c r="H1526" t="s">
        <v>105</v>
      </c>
      <c r="I1526" t="s">
        <v>42</v>
      </c>
      <c r="K1526" t="s">
        <v>43</v>
      </c>
      <c r="M1526" t="s">
        <v>65</v>
      </c>
      <c r="N1526" t="b">
        <v>0</v>
      </c>
      <c r="P1526" t="b">
        <v>1</v>
      </c>
      <c r="Q1526" t="b">
        <v>0</v>
      </c>
      <c r="R1526" t="b">
        <v>0</v>
      </c>
      <c r="S1526" t="b">
        <v>0</v>
      </c>
      <c r="T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1</v>
      </c>
      <c r="AA1526" t="b">
        <v>0</v>
      </c>
      <c r="AB1526" t="b">
        <v>0</v>
      </c>
      <c r="AC1526" t="b">
        <v>1</v>
      </c>
      <c r="AE1526" t="s">
        <v>3999</v>
      </c>
    </row>
    <row r="1527" spans="1:31" x14ac:dyDescent="0.3">
      <c r="A1527">
        <v>-73.972711591540005</v>
      </c>
      <c r="B1527">
        <v>40.778292932059998</v>
      </c>
      <c r="C1527" t="s">
        <v>4000</v>
      </c>
      <c r="D1527" t="s">
        <v>1759</v>
      </c>
      <c r="E1527" t="s">
        <v>33</v>
      </c>
      <c r="F1527">
        <v>10142018</v>
      </c>
      <c r="G1527">
        <v>2</v>
      </c>
      <c r="H1527" t="s">
        <v>48</v>
      </c>
      <c r="I1527" t="s">
        <v>42</v>
      </c>
      <c r="J1527" t="s">
        <v>53</v>
      </c>
      <c r="K1527" t="s">
        <v>54</v>
      </c>
      <c r="M1527" t="s">
        <v>65</v>
      </c>
      <c r="N1527" t="b">
        <v>0</v>
      </c>
      <c r="P1527" t="b">
        <v>0</v>
      </c>
      <c r="Q1527" t="b">
        <v>1</v>
      </c>
      <c r="R1527" t="b">
        <v>0</v>
      </c>
      <c r="S1527" t="b">
        <v>0</v>
      </c>
      <c r="T1527" t="b">
        <v>1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E1527" t="s">
        <v>4001</v>
      </c>
    </row>
    <row r="1528" spans="1:31" x14ac:dyDescent="0.3">
      <c r="A1528">
        <v>-73.962096457650006</v>
      </c>
      <c r="B1528">
        <v>40.79173320017</v>
      </c>
      <c r="C1528" t="s">
        <v>4002</v>
      </c>
      <c r="D1528" t="s">
        <v>607</v>
      </c>
      <c r="E1528" t="s">
        <v>33</v>
      </c>
      <c r="F1528">
        <v>10132018</v>
      </c>
      <c r="G1528">
        <v>1</v>
      </c>
      <c r="H1528" t="s">
        <v>48</v>
      </c>
      <c r="I1528" t="s">
        <v>42</v>
      </c>
      <c r="K1528" t="s">
        <v>43</v>
      </c>
      <c r="M1528" t="s">
        <v>65</v>
      </c>
      <c r="N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1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E1528" t="s">
        <v>4003</v>
      </c>
    </row>
    <row r="1529" spans="1:31" x14ac:dyDescent="0.3">
      <c r="A1529">
        <v>-73.97021660515</v>
      </c>
      <c r="B1529">
        <v>40.770296066729998</v>
      </c>
      <c r="C1529" t="s">
        <v>4004</v>
      </c>
      <c r="D1529" t="s">
        <v>183</v>
      </c>
      <c r="E1529" t="s">
        <v>33</v>
      </c>
      <c r="F1529">
        <v>10142018</v>
      </c>
      <c r="G1529">
        <v>8</v>
      </c>
      <c r="H1529" t="s">
        <v>48</v>
      </c>
      <c r="I1529" t="s">
        <v>42</v>
      </c>
      <c r="K1529" t="s">
        <v>43</v>
      </c>
      <c r="M1529" t="s">
        <v>44</v>
      </c>
      <c r="N1529">
        <v>5</v>
      </c>
      <c r="P1529" t="b">
        <v>0</v>
      </c>
      <c r="Q1529" t="b">
        <v>1</v>
      </c>
      <c r="R1529" t="b">
        <v>0</v>
      </c>
      <c r="S1529" t="b">
        <v>0</v>
      </c>
      <c r="T1529" t="b">
        <v>0</v>
      </c>
      <c r="U1529" t="s">
        <v>4005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1</v>
      </c>
      <c r="AC1529" t="b">
        <v>0</v>
      </c>
      <c r="AE1529" t="s">
        <v>4006</v>
      </c>
    </row>
    <row r="1530" spans="1:31" x14ac:dyDescent="0.3">
      <c r="A1530">
        <v>-73.969010424510003</v>
      </c>
      <c r="B1530">
        <v>40.785335819369998</v>
      </c>
      <c r="C1530" t="s">
        <v>4007</v>
      </c>
      <c r="D1530" t="s">
        <v>2864</v>
      </c>
      <c r="E1530" t="s">
        <v>38</v>
      </c>
      <c r="F1530">
        <v>10182018</v>
      </c>
      <c r="G1530">
        <v>2</v>
      </c>
      <c r="H1530" t="s">
        <v>105</v>
      </c>
      <c r="I1530" t="s">
        <v>176</v>
      </c>
      <c r="K1530" t="s">
        <v>177</v>
      </c>
      <c r="M1530" t="s">
        <v>65</v>
      </c>
      <c r="N1530" t="b">
        <v>0</v>
      </c>
      <c r="P1530" t="b">
        <v>0</v>
      </c>
      <c r="Q1530" t="b">
        <v>0</v>
      </c>
      <c r="R1530" t="b">
        <v>0</v>
      </c>
      <c r="S1530" t="b">
        <v>1</v>
      </c>
      <c r="T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1</v>
      </c>
      <c r="AC1530" t="b">
        <v>0</v>
      </c>
      <c r="AE1530" t="s">
        <v>4008</v>
      </c>
    </row>
    <row r="1531" spans="1:31" x14ac:dyDescent="0.3">
      <c r="A1531">
        <v>-73.969240142109996</v>
      </c>
      <c r="B1531">
        <v>40.77071288957</v>
      </c>
      <c r="C1531" t="s">
        <v>4009</v>
      </c>
      <c r="D1531" t="s">
        <v>1326</v>
      </c>
      <c r="E1531" t="s">
        <v>38</v>
      </c>
      <c r="F1531">
        <v>10062018</v>
      </c>
      <c r="G1531">
        <v>4</v>
      </c>
      <c r="H1531" t="s">
        <v>48</v>
      </c>
      <c r="I1531" t="s">
        <v>42</v>
      </c>
      <c r="J1531" t="s">
        <v>59</v>
      </c>
      <c r="K1531" t="s">
        <v>79</v>
      </c>
      <c r="M1531" t="s">
        <v>65</v>
      </c>
      <c r="N1531" t="b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1</v>
      </c>
      <c r="V1531" t="b">
        <v>0</v>
      </c>
      <c r="W1531" t="b">
        <v>0</v>
      </c>
      <c r="X1531" t="b">
        <v>0</v>
      </c>
      <c r="Y1531" t="b">
        <v>1</v>
      </c>
      <c r="Z1531" t="b">
        <v>0</v>
      </c>
      <c r="AA1531" t="b">
        <v>0</v>
      </c>
      <c r="AB1531" t="b">
        <v>1</v>
      </c>
      <c r="AC1531" t="b">
        <v>0</v>
      </c>
      <c r="AE1531" t="s">
        <v>4010</v>
      </c>
    </row>
    <row r="1532" spans="1:31" x14ac:dyDescent="0.3">
      <c r="A1532">
        <v>-73.968930597880004</v>
      </c>
      <c r="B1532">
        <v>40.78181524963</v>
      </c>
      <c r="C1532" t="s">
        <v>4011</v>
      </c>
      <c r="D1532" t="s">
        <v>304</v>
      </c>
      <c r="E1532" t="s">
        <v>33</v>
      </c>
      <c r="F1532">
        <v>10182018</v>
      </c>
      <c r="G1532">
        <v>6</v>
      </c>
      <c r="H1532" t="s">
        <v>48</v>
      </c>
      <c r="I1532" t="s">
        <v>42</v>
      </c>
      <c r="J1532" t="s">
        <v>53</v>
      </c>
      <c r="K1532" t="s">
        <v>54</v>
      </c>
      <c r="M1532" t="s">
        <v>44</v>
      </c>
      <c r="N1532">
        <v>2</v>
      </c>
      <c r="O1532" t="s">
        <v>4012</v>
      </c>
      <c r="P1532" t="b">
        <v>1</v>
      </c>
      <c r="Q1532" t="b">
        <v>0</v>
      </c>
      <c r="R1532" t="b">
        <v>1</v>
      </c>
      <c r="S1532" t="b">
        <v>0</v>
      </c>
      <c r="T1532" t="b">
        <v>0</v>
      </c>
      <c r="U1532" t="s">
        <v>4013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b">
        <v>1</v>
      </c>
      <c r="AC1532" t="b">
        <v>0</v>
      </c>
      <c r="AE1532" t="s">
        <v>4014</v>
      </c>
    </row>
    <row r="1533" spans="1:31" x14ac:dyDescent="0.3">
      <c r="A1533">
        <v>-73.963038140009999</v>
      </c>
      <c r="B1533">
        <v>40.780757182729999</v>
      </c>
      <c r="C1533" t="s">
        <v>4015</v>
      </c>
      <c r="D1533" t="s">
        <v>1657</v>
      </c>
      <c r="E1533" t="s">
        <v>33</v>
      </c>
      <c r="F1533">
        <v>10182018</v>
      </c>
      <c r="G1533">
        <v>2</v>
      </c>
      <c r="H1533" t="s">
        <v>105</v>
      </c>
      <c r="I1533" t="s">
        <v>42</v>
      </c>
      <c r="J1533" t="s">
        <v>53</v>
      </c>
      <c r="K1533" t="s">
        <v>54</v>
      </c>
      <c r="M1533" t="s">
        <v>65</v>
      </c>
      <c r="N1533" t="b">
        <v>0</v>
      </c>
      <c r="P1533" t="b">
        <v>0</v>
      </c>
      <c r="Q1533" t="b">
        <v>1</v>
      </c>
      <c r="R1533" t="b">
        <v>0</v>
      </c>
      <c r="S1533" t="b">
        <v>0</v>
      </c>
      <c r="T1533" t="b">
        <v>0</v>
      </c>
      <c r="V1533" t="b">
        <v>0</v>
      </c>
      <c r="W1533" t="b">
        <v>0</v>
      </c>
      <c r="X1533" t="b">
        <v>0</v>
      </c>
      <c r="Y1533" t="b">
        <v>1</v>
      </c>
      <c r="Z1533" t="b">
        <v>0</v>
      </c>
      <c r="AA1533" t="b">
        <v>0</v>
      </c>
      <c r="AB1533" t="b">
        <v>1</v>
      </c>
      <c r="AC1533" t="b">
        <v>0</v>
      </c>
      <c r="AE1533" t="s">
        <v>4016</v>
      </c>
    </row>
    <row r="1534" spans="1:31" x14ac:dyDescent="0.3">
      <c r="A1534">
        <v>-73.977926311459996</v>
      </c>
      <c r="B1534">
        <v>40.768268185540002</v>
      </c>
      <c r="C1534" t="s">
        <v>4017</v>
      </c>
      <c r="D1534" t="s">
        <v>502</v>
      </c>
      <c r="E1534" t="s">
        <v>33</v>
      </c>
      <c r="F1534">
        <v>10102018</v>
      </c>
      <c r="G1534">
        <v>8</v>
      </c>
      <c r="H1534" t="s">
        <v>48</v>
      </c>
      <c r="I1534" t="s">
        <v>42</v>
      </c>
      <c r="J1534" t="s">
        <v>59</v>
      </c>
      <c r="K1534" t="s">
        <v>79</v>
      </c>
      <c r="M1534" t="s">
        <v>65</v>
      </c>
      <c r="N1534" t="b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1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E1534" t="s">
        <v>4018</v>
      </c>
    </row>
    <row r="1535" spans="1:31" x14ac:dyDescent="0.3">
      <c r="A1535">
        <v>-73.952002465459998</v>
      </c>
      <c r="B1535">
        <v>40.794732982820001</v>
      </c>
      <c r="C1535" t="s">
        <v>4019</v>
      </c>
      <c r="D1535" t="s">
        <v>3073</v>
      </c>
      <c r="E1535" t="s">
        <v>33</v>
      </c>
      <c r="F1535">
        <v>10132018</v>
      </c>
      <c r="G1535">
        <v>4</v>
      </c>
      <c r="H1535" t="s">
        <v>48</v>
      </c>
      <c r="I1535" t="s">
        <v>42</v>
      </c>
      <c r="J1535" t="s">
        <v>53</v>
      </c>
      <c r="K1535" t="s">
        <v>54</v>
      </c>
      <c r="L1535" t="s">
        <v>4020</v>
      </c>
      <c r="M1535" t="s">
        <v>65</v>
      </c>
      <c r="N1535" t="b">
        <v>0</v>
      </c>
      <c r="P1535" t="b">
        <v>0</v>
      </c>
      <c r="Q1535" t="b">
        <v>0</v>
      </c>
      <c r="R1535" t="b">
        <v>0</v>
      </c>
      <c r="S1535" t="b">
        <v>1</v>
      </c>
      <c r="T1535" t="b">
        <v>0</v>
      </c>
      <c r="U1535" t="s">
        <v>1367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1</v>
      </c>
      <c r="AB1535" t="b">
        <v>0</v>
      </c>
      <c r="AC1535" t="b">
        <v>0</v>
      </c>
      <c r="AE1535" t="s">
        <v>4021</v>
      </c>
    </row>
    <row r="1536" spans="1:31" x14ac:dyDescent="0.3">
      <c r="A1536">
        <v>-73.969522602370006</v>
      </c>
      <c r="B1536">
        <v>40.779752777580001</v>
      </c>
      <c r="C1536" t="s">
        <v>4022</v>
      </c>
      <c r="D1536" t="s">
        <v>1995</v>
      </c>
      <c r="E1536" t="s">
        <v>38</v>
      </c>
      <c r="F1536">
        <v>10082018</v>
      </c>
      <c r="G1536">
        <v>1</v>
      </c>
      <c r="H1536" t="s">
        <v>48</v>
      </c>
      <c r="I1536" t="s">
        <v>42</v>
      </c>
      <c r="J1536" t="s">
        <v>59</v>
      </c>
      <c r="K1536" t="s">
        <v>79</v>
      </c>
      <c r="M1536" t="s">
        <v>65</v>
      </c>
      <c r="N1536" t="b">
        <v>0</v>
      </c>
      <c r="P1536" t="b">
        <v>0</v>
      </c>
      <c r="Q1536" t="b">
        <v>0</v>
      </c>
      <c r="R1536" t="b">
        <v>1</v>
      </c>
      <c r="S1536" t="b">
        <v>0</v>
      </c>
      <c r="T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1</v>
      </c>
      <c r="AE1536" t="s">
        <v>4023</v>
      </c>
    </row>
    <row r="1537" spans="1:31" x14ac:dyDescent="0.3">
      <c r="A1537">
        <v>-73.970392127140002</v>
      </c>
      <c r="B1537">
        <v>40.770027611529997</v>
      </c>
      <c r="C1537" t="s">
        <v>4024</v>
      </c>
      <c r="D1537" t="s">
        <v>92</v>
      </c>
      <c r="E1537" t="s">
        <v>33</v>
      </c>
      <c r="F1537">
        <v>10062018</v>
      </c>
      <c r="G1537">
        <v>6</v>
      </c>
      <c r="H1537" t="s">
        <v>48</v>
      </c>
      <c r="I1537" t="s">
        <v>42</v>
      </c>
      <c r="K1537" t="s">
        <v>43</v>
      </c>
      <c r="M1537" t="s">
        <v>44</v>
      </c>
      <c r="N1537">
        <v>15</v>
      </c>
      <c r="P1537" t="b">
        <v>0</v>
      </c>
      <c r="Q1537" t="b">
        <v>1</v>
      </c>
      <c r="R1537" t="b">
        <v>1</v>
      </c>
      <c r="S1537" t="b">
        <v>0</v>
      </c>
      <c r="T1537" t="b">
        <v>0</v>
      </c>
      <c r="U1537" t="s">
        <v>4025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1</v>
      </c>
      <c r="AC1537" t="b">
        <v>0</v>
      </c>
      <c r="AE1537" t="s">
        <v>4026</v>
      </c>
    </row>
    <row r="1538" spans="1:31" x14ac:dyDescent="0.3">
      <c r="A1538">
        <v>-73.974612845129997</v>
      </c>
      <c r="B1538">
        <v>40.770095704669998</v>
      </c>
      <c r="C1538" t="s">
        <v>4027</v>
      </c>
      <c r="D1538" t="s">
        <v>3049</v>
      </c>
      <c r="E1538" t="s">
        <v>33</v>
      </c>
      <c r="F1538">
        <v>10102018</v>
      </c>
      <c r="G1538">
        <v>2</v>
      </c>
      <c r="H1538" t="s">
        <v>48</v>
      </c>
      <c r="I1538" t="s">
        <v>53</v>
      </c>
      <c r="J1538" t="s">
        <v>59</v>
      </c>
      <c r="K1538" t="s">
        <v>60</v>
      </c>
      <c r="L1538" t="s">
        <v>3050</v>
      </c>
      <c r="M1538" t="s">
        <v>65</v>
      </c>
      <c r="N1538" t="b">
        <v>0</v>
      </c>
      <c r="O1538" t="s">
        <v>3424</v>
      </c>
      <c r="P1538" t="b">
        <v>0</v>
      </c>
      <c r="Q1538" t="b">
        <v>0</v>
      </c>
      <c r="R1538" t="b">
        <v>0</v>
      </c>
      <c r="S1538" t="b">
        <v>0</v>
      </c>
      <c r="T1538" t="b">
        <v>1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1</v>
      </c>
      <c r="AC1538" t="b">
        <v>0</v>
      </c>
      <c r="AE1538" t="s">
        <v>4028</v>
      </c>
    </row>
    <row r="1539" spans="1:31" x14ac:dyDescent="0.3">
      <c r="A1539">
        <v>-73.976722017970005</v>
      </c>
      <c r="B1539">
        <v>40.775326210309998</v>
      </c>
      <c r="C1539" t="s">
        <v>4029</v>
      </c>
      <c r="D1539" t="s">
        <v>147</v>
      </c>
      <c r="E1539" t="s">
        <v>33</v>
      </c>
      <c r="F1539">
        <v>10142018</v>
      </c>
      <c r="G1539">
        <v>3</v>
      </c>
      <c r="H1539" t="s">
        <v>48</v>
      </c>
      <c r="I1539" t="s">
        <v>42</v>
      </c>
      <c r="J1539" t="s">
        <v>148</v>
      </c>
      <c r="K1539" t="s">
        <v>149</v>
      </c>
      <c r="M1539" t="s">
        <v>44</v>
      </c>
      <c r="O1539" t="s">
        <v>4030</v>
      </c>
      <c r="P1539" t="b">
        <v>0</v>
      </c>
      <c r="Q1539" t="b">
        <v>0</v>
      </c>
      <c r="R1539" t="b">
        <v>0</v>
      </c>
      <c r="S1539" t="b">
        <v>1</v>
      </c>
      <c r="T1539" t="b">
        <v>0</v>
      </c>
      <c r="U1539" t="s">
        <v>4031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b">
        <v>1</v>
      </c>
      <c r="AC1539" t="b">
        <v>0</v>
      </c>
      <c r="AD1539" t="s">
        <v>4032</v>
      </c>
      <c r="AE1539" t="s">
        <v>4033</v>
      </c>
    </row>
    <row r="1540" spans="1:31" x14ac:dyDescent="0.3">
      <c r="A1540">
        <v>-73.969808359889996</v>
      </c>
      <c r="B1540">
        <v>40.772009939290001</v>
      </c>
      <c r="C1540" t="s">
        <v>4034</v>
      </c>
      <c r="D1540" t="s">
        <v>1251</v>
      </c>
      <c r="E1540" t="s">
        <v>38</v>
      </c>
      <c r="F1540">
        <v>10142018</v>
      </c>
      <c r="G1540">
        <v>1</v>
      </c>
      <c r="H1540" t="s">
        <v>48</v>
      </c>
      <c r="I1540" t="s">
        <v>42</v>
      </c>
      <c r="J1540" t="s">
        <v>53</v>
      </c>
      <c r="K1540" t="s">
        <v>54</v>
      </c>
      <c r="M1540" t="s">
        <v>65</v>
      </c>
      <c r="N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1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E1540" t="s">
        <v>4035</v>
      </c>
    </row>
    <row r="1541" spans="1:31" x14ac:dyDescent="0.3">
      <c r="A1541">
        <v>-73.968187403689996</v>
      </c>
      <c r="B1541">
        <v>40.781794869099997</v>
      </c>
      <c r="C1541" t="s">
        <v>4036</v>
      </c>
      <c r="D1541" t="s">
        <v>1035</v>
      </c>
      <c r="E1541" t="s">
        <v>33</v>
      </c>
      <c r="F1541">
        <v>10182018</v>
      </c>
      <c r="G1541">
        <v>2</v>
      </c>
      <c r="H1541" t="s">
        <v>48</v>
      </c>
      <c r="I1541" t="s">
        <v>42</v>
      </c>
      <c r="K1541" t="s">
        <v>43</v>
      </c>
      <c r="M1541" t="s">
        <v>65</v>
      </c>
      <c r="N1541" t="b">
        <v>0</v>
      </c>
      <c r="P1541" t="b">
        <v>1</v>
      </c>
      <c r="Q1541" t="b">
        <v>1</v>
      </c>
      <c r="R1541" t="b">
        <v>0</v>
      </c>
      <c r="S1541" t="b">
        <v>0</v>
      </c>
      <c r="T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E1541" t="s">
        <v>4037</v>
      </c>
    </row>
    <row r="1542" spans="1:31" x14ac:dyDescent="0.3">
      <c r="A1542">
        <v>-73.9577109759</v>
      </c>
      <c r="B1542">
        <v>40.798405561400003</v>
      </c>
      <c r="C1542" t="s">
        <v>4038</v>
      </c>
      <c r="D1542" t="s">
        <v>212</v>
      </c>
      <c r="E1542" t="s">
        <v>38</v>
      </c>
      <c r="F1542">
        <v>10192018</v>
      </c>
      <c r="G1542">
        <v>6</v>
      </c>
      <c r="H1542" t="s">
        <v>105</v>
      </c>
      <c r="I1542" t="s">
        <v>42</v>
      </c>
      <c r="J1542" t="s">
        <v>59</v>
      </c>
      <c r="K1542" t="s">
        <v>79</v>
      </c>
      <c r="M1542" t="s">
        <v>65</v>
      </c>
      <c r="N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1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1</v>
      </c>
      <c r="AE1542" t="s">
        <v>4039</v>
      </c>
    </row>
    <row r="1543" spans="1:31" x14ac:dyDescent="0.3">
      <c r="A1543">
        <v>-73.971161799780006</v>
      </c>
      <c r="B1543">
        <v>40.77612128781</v>
      </c>
      <c r="C1543" t="s">
        <v>4040</v>
      </c>
      <c r="D1543" t="s">
        <v>415</v>
      </c>
      <c r="E1543" t="s">
        <v>33</v>
      </c>
      <c r="F1543">
        <v>10182018</v>
      </c>
      <c r="G1543">
        <v>4</v>
      </c>
      <c r="H1543" t="s">
        <v>48</v>
      </c>
      <c r="I1543" t="s">
        <v>42</v>
      </c>
      <c r="J1543" t="s">
        <v>59</v>
      </c>
      <c r="K1543" t="s">
        <v>79</v>
      </c>
      <c r="M1543" t="s">
        <v>65</v>
      </c>
      <c r="N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1</v>
      </c>
      <c r="U1543" t="s">
        <v>340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1</v>
      </c>
      <c r="AC1543" t="b">
        <v>0</v>
      </c>
      <c r="AE1543" t="s">
        <v>4041</v>
      </c>
    </row>
    <row r="1544" spans="1:31" x14ac:dyDescent="0.3">
      <c r="A1544">
        <v>-73.960876728049996</v>
      </c>
      <c r="B1544">
        <v>40.790357245369997</v>
      </c>
      <c r="C1544" t="s">
        <v>4042</v>
      </c>
      <c r="D1544" t="s">
        <v>612</v>
      </c>
      <c r="E1544" t="s">
        <v>33</v>
      </c>
      <c r="F1544">
        <v>10062018</v>
      </c>
      <c r="G1544">
        <v>3</v>
      </c>
      <c r="H1544" t="s">
        <v>48</v>
      </c>
      <c r="I1544" t="s">
        <v>42</v>
      </c>
      <c r="J1544" t="s">
        <v>53</v>
      </c>
      <c r="K1544" t="s">
        <v>54</v>
      </c>
      <c r="M1544" t="s">
        <v>65</v>
      </c>
      <c r="N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1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1</v>
      </c>
      <c r="AC1544" t="b">
        <v>0</v>
      </c>
      <c r="AE1544" t="s">
        <v>4043</v>
      </c>
    </row>
    <row r="1545" spans="1:31" x14ac:dyDescent="0.3">
      <c r="A1545">
        <v>-73.971390649279996</v>
      </c>
      <c r="B1545">
        <v>40.775006131010002</v>
      </c>
      <c r="C1545" t="s">
        <v>4044</v>
      </c>
      <c r="D1545" t="s">
        <v>726</v>
      </c>
      <c r="E1545" t="s">
        <v>33</v>
      </c>
      <c r="F1545">
        <v>10182018</v>
      </c>
      <c r="G1545">
        <v>3</v>
      </c>
      <c r="H1545" t="s">
        <v>48</v>
      </c>
      <c r="I1545" t="s">
        <v>53</v>
      </c>
      <c r="K1545" t="s">
        <v>155</v>
      </c>
      <c r="M1545" t="s">
        <v>65</v>
      </c>
      <c r="N1545" t="b">
        <v>0</v>
      </c>
      <c r="P1545" t="b">
        <v>0</v>
      </c>
      <c r="Q1545" t="b">
        <v>0</v>
      </c>
      <c r="R1545" t="b">
        <v>1</v>
      </c>
      <c r="S1545" t="b">
        <v>0</v>
      </c>
      <c r="T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1</v>
      </c>
      <c r="AE1545" t="s">
        <v>4045</v>
      </c>
    </row>
    <row r="1546" spans="1:31" x14ac:dyDescent="0.3">
      <c r="A1546">
        <v>-73.964211128309998</v>
      </c>
      <c r="B1546">
        <v>40.77777139853</v>
      </c>
      <c r="C1546" t="s">
        <v>4046</v>
      </c>
      <c r="D1546" t="s">
        <v>1141</v>
      </c>
      <c r="E1546" t="s">
        <v>33</v>
      </c>
      <c r="F1546">
        <v>10072018</v>
      </c>
      <c r="G1546">
        <v>7</v>
      </c>
      <c r="H1546" t="s">
        <v>48</v>
      </c>
      <c r="I1546" t="s">
        <v>42</v>
      </c>
      <c r="J1546" t="s">
        <v>53</v>
      </c>
      <c r="K1546" t="s">
        <v>54</v>
      </c>
      <c r="M1546" t="s">
        <v>65</v>
      </c>
      <c r="N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1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1</v>
      </c>
      <c r="AC1546" t="b">
        <v>0</v>
      </c>
      <c r="AE1546" t="s">
        <v>4047</v>
      </c>
    </row>
    <row r="1547" spans="1:31" x14ac:dyDescent="0.3">
      <c r="A1547">
        <v>-73.966920780910002</v>
      </c>
      <c r="B1547">
        <v>40.779276785009998</v>
      </c>
      <c r="C1547" t="s">
        <v>4048</v>
      </c>
      <c r="D1547" t="s">
        <v>1521</v>
      </c>
      <c r="E1547" t="s">
        <v>33</v>
      </c>
      <c r="F1547">
        <v>10082018</v>
      </c>
      <c r="G1547">
        <v>1</v>
      </c>
      <c r="H1547" t="s">
        <v>48</v>
      </c>
      <c r="I1547" t="s">
        <v>42</v>
      </c>
      <c r="J1547" t="s">
        <v>59</v>
      </c>
      <c r="K1547" t="s">
        <v>79</v>
      </c>
      <c r="M1547" t="s">
        <v>65</v>
      </c>
      <c r="N1547" t="b">
        <v>0</v>
      </c>
      <c r="P1547" t="b">
        <v>0</v>
      </c>
      <c r="Q1547" t="b">
        <v>0</v>
      </c>
      <c r="R1547" t="b">
        <v>0</v>
      </c>
      <c r="S1547" t="b">
        <v>1</v>
      </c>
      <c r="T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1</v>
      </c>
      <c r="AA1547" t="b">
        <v>0</v>
      </c>
      <c r="AB1547" t="b">
        <v>1</v>
      </c>
      <c r="AC1547" t="b">
        <v>0</v>
      </c>
      <c r="AE1547" t="s">
        <v>4049</v>
      </c>
    </row>
    <row r="1548" spans="1:31" x14ac:dyDescent="0.3">
      <c r="A1548">
        <v>-73.976422624920005</v>
      </c>
      <c r="B1548">
        <v>40.773581838730003</v>
      </c>
      <c r="C1548" t="s">
        <v>4050</v>
      </c>
      <c r="D1548" t="s">
        <v>235</v>
      </c>
      <c r="E1548" t="s">
        <v>38</v>
      </c>
      <c r="F1548">
        <v>10072018</v>
      </c>
      <c r="G1548">
        <v>8</v>
      </c>
      <c r="H1548" t="s">
        <v>48</v>
      </c>
      <c r="I1548" t="s">
        <v>42</v>
      </c>
      <c r="K1548" t="s">
        <v>43</v>
      </c>
      <c r="M1548" t="s">
        <v>44</v>
      </c>
      <c r="N1548">
        <v>6</v>
      </c>
      <c r="P1548" t="b">
        <v>0</v>
      </c>
      <c r="Q1548" t="b">
        <v>0</v>
      </c>
      <c r="R1548" t="b">
        <v>0</v>
      </c>
      <c r="S1548" t="b">
        <v>1</v>
      </c>
      <c r="T1548" t="b">
        <v>0</v>
      </c>
      <c r="U1548" t="s">
        <v>3274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b">
        <v>0</v>
      </c>
      <c r="AB1548" t="b">
        <v>1</v>
      </c>
      <c r="AC1548" t="b">
        <v>0</v>
      </c>
      <c r="AE1548" t="s">
        <v>4051</v>
      </c>
    </row>
    <row r="1549" spans="1:31" x14ac:dyDescent="0.3">
      <c r="A1549">
        <v>-73.958939037549996</v>
      </c>
      <c r="B1549">
        <v>40.791319393119998</v>
      </c>
      <c r="C1549" t="s">
        <v>4052</v>
      </c>
      <c r="D1549" t="s">
        <v>1211</v>
      </c>
      <c r="E1549" t="s">
        <v>33</v>
      </c>
      <c r="F1549">
        <v>10122018</v>
      </c>
      <c r="G1549">
        <v>4</v>
      </c>
      <c r="H1549" t="s">
        <v>48</v>
      </c>
      <c r="I1549" t="s">
        <v>42</v>
      </c>
      <c r="J1549" t="s">
        <v>59</v>
      </c>
      <c r="K1549" t="s">
        <v>79</v>
      </c>
      <c r="M1549" t="s">
        <v>65</v>
      </c>
      <c r="N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1</v>
      </c>
      <c r="U1549" t="s">
        <v>1367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E1549" t="s">
        <v>4053</v>
      </c>
    </row>
    <row r="1550" spans="1:31" x14ac:dyDescent="0.3">
      <c r="A1550">
        <v>-73.979004450649995</v>
      </c>
      <c r="B1550">
        <v>40.76894694792</v>
      </c>
      <c r="C1550" t="s">
        <v>4054</v>
      </c>
      <c r="D1550" t="s">
        <v>455</v>
      </c>
      <c r="E1550" t="s">
        <v>38</v>
      </c>
      <c r="F1550">
        <v>10102018</v>
      </c>
      <c r="G1550">
        <v>3</v>
      </c>
      <c r="H1550" t="s">
        <v>105</v>
      </c>
      <c r="I1550" t="s">
        <v>42</v>
      </c>
      <c r="J1550" t="s">
        <v>53</v>
      </c>
      <c r="K1550" t="s">
        <v>54</v>
      </c>
      <c r="M1550" t="s">
        <v>65</v>
      </c>
      <c r="N1550" t="b">
        <v>0</v>
      </c>
      <c r="P1550" t="b">
        <v>0</v>
      </c>
      <c r="Q1550" t="b">
        <v>1</v>
      </c>
      <c r="R1550" t="b">
        <v>0</v>
      </c>
      <c r="S1550" t="b">
        <v>0</v>
      </c>
      <c r="T1550" t="b">
        <v>0</v>
      </c>
      <c r="U1550" t="s">
        <v>4055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b">
        <v>1</v>
      </c>
      <c r="AE1550" t="s">
        <v>4056</v>
      </c>
    </row>
    <row r="1551" spans="1:31" x14ac:dyDescent="0.3">
      <c r="A1551">
        <v>-73.977797849789994</v>
      </c>
      <c r="B1551">
        <v>40.766862078430002</v>
      </c>
      <c r="C1551" t="s">
        <v>4057</v>
      </c>
      <c r="D1551" t="s">
        <v>1278</v>
      </c>
      <c r="E1551" t="s">
        <v>38</v>
      </c>
      <c r="F1551">
        <v>10062018</v>
      </c>
      <c r="G1551">
        <v>1</v>
      </c>
      <c r="H1551" t="s">
        <v>105</v>
      </c>
      <c r="I1551" t="s">
        <v>42</v>
      </c>
      <c r="J1551" t="s">
        <v>59</v>
      </c>
      <c r="K1551" t="s">
        <v>79</v>
      </c>
      <c r="M1551" t="s">
        <v>65</v>
      </c>
      <c r="N1551" t="b">
        <v>0</v>
      </c>
      <c r="P1551" t="b">
        <v>1</v>
      </c>
      <c r="Q1551" t="b">
        <v>0</v>
      </c>
      <c r="R1551" t="b">
        <v>1</v>
      </c>
      <c r="S1551" t="b">
        <v>0</v>
      </c>
      <c r="T1551" t="b">
        <v>1</v>
      </c>
      <c r="V1551" t="b">
        <v>0</v>
      </c>
      <c r="W1551" t="b">
        <v>0</v>
      </c>
      <c r="X1551" t="b">
        <v>0</v>
      </c>
      <c r="Y1551" t="b">
        <v>0</v>
      </c>
      <c r="Z1551" t="b">
        <v>1</v>
      </c>
      <c r="AA1551" t="b">
        <v>0</v>
      </c>
      <c r="AB1551" t="b">
        <v>0</v>
      </c>
      <c r="AC1551" t="b">
        <v>0</v>
      </c>
      <c r="AE1551" t="s">
        <v>4058</v>
      </c>
    </row>
    <row r="1552" spans="1:31" x14ac:dyDescent="0.3">
      <c r="A1552">
        <v>-73.969864266889999</v>
      </c>
      <c r="B1552">
        <v>40.778466931650001</v>
      </c>
      <c r="C1552" t="s">
        <v>4059</v>
      </c>
      <c r="D1552" t="s">
        <v>709</v>
      </c>
      <c r="E1552" t="s">
        <v>33</v>
      </c>
      <c r="F1552">
        <v>10102018</v>
      </c>
      <c r="G1552">
        <v>10</v>
      </c>
      <c r="H1552" t="s">
        <v>48</v>
      </c>
      <c r="I1552" t="s">
        <v>42</v>
      </c>
      <c r="K1552" t="s">
        <v>43</v>
      </c>
      <c r="M1552" t="s">
        <v>65</v>
      </c>
      <c r="N1552" t="b">
        <v>0</v>
      </c>
      <c r="P1552" t="b">
        <v>0</v>
      </c>
      <c r="Q1552" t="b">
        <v>0</v>
      </c>
      <c r="R1552" t="b">
        <v>0</v>
      </c>
      <c r="S1552" t="b">
        <v>1</v>
      </c>
      <c r="T1552" t="b">
        <v>1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1</v>
      </c>
      <c r="AC1552" t="b">
        <v>0</v>
      </c>
      <c r="AE1552" t="s">
        <v>4060</v>
      </c>
    </row>
    <row r="1553" spans="1:31" x14ac:dyDescent="0.3">
      <c r="A1553">
        <v>-73.978511429129995</v>
      </c>
      <c r="B1553">
        <v>40.771977958939999</v>
      </c>
      <c r="C1553" t="s">
        <v>4061</v>
      </c>
      <c r="D1553" t="s">
        <v>870</v>
      </c>
      <c r="E1553" t="s">
        <v>33</v>
      </c>
      <c r="F1553">
        <v>10122018</v>
      </c>
      <c r="G1553">
        <v>3</v>
      </c>
      <c r="H1553" t="s">
        <v>48</v>
      </c>
      <c r="I1553" t="s">
        <v>53</v>
      </c>
      <c r="J1553" t="s">
        <v>59</v>
      </c>
      <c r="K1553" t="s">
        <v>60</v>
      </c>
      <c r="M1553" t="s">
        <v>65</v>
      </c>
      <c r="N1553" t="b">
        <v>0</v>
      </c>
      <c r="P1553" t="b">
        <v>1</v>
      </c>
      <c r="Q1553" t="b">
        <v>1</v>
      </c>
      <c r="R1553" t="b">
        <v>1</v>
      </c>
      <c r="S1553" t="b">
        <v>0</v>
      </c>
      <c r="T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E1553" t="s">
        <v>4062</v>
      </c>
    </row>
    <row r="1554" spans="1:31" x14ac:dyDescent="0.3">
      <c r="A1554">
        <v>-73.969565523140005</v>
      </c>
      <c r="B1554">
        <v>40.769832465950003</v>
      </c>
      <c r="C1554" t="s">
        <v>4063</v>
      </c>
      <c r="D1554" t="s">
        <v>1326</v>
      </c>
      <c r="E1554" t="s">
        <v>33</v>
      </c>
      <c r="F1554">
        <v>10132018</v>
      </c>
      <c r="G1554">
        <v>2</v>
      </c>
      <c r="H1554" t="s">
        <v>48</v>
      </c>
      <c r="I1554" t="s">
        <v>42</v>
      </c>
      <c r="J1554" t="s">
        <v>96</v>
      </c>
      <c r="K1554" t="s">
        <v>97</v>
      </c>
      <c r="M1554" t="s">
        <v>65</v>
      </c>
      <c r="N1554" t="b">
        <v>0</v>
      </c>
      <c r="P1554" t="b">
        <v>0</v>
      </c>
      <c r="Q1554" t="b">
        <v>0</v>
      </c>
      <c r="R1554" t="b">
        <v>0</v>
      </c>
      <c r="S1554" t="b">
        <v>1</v>
      </c>
      <c r="T1554" t="b">
        <v>1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b">
        <v>1</v>
      </c>
      <c r="AC1554" t="b">
        <v>0</v>
      </c>
      <c r="AE1554" t="s">
        <v>4064</v>
      </c>
    </row>
    <row r="1555" spans="1:31" x14ac:dyDescent="0.3">
      <c r="A1555">
        <v>-73.969064532600001</v>
      </c>
      <c r="B1555">
        <v>40.777382211610004</v>
      </c>
      <c r="C1555" t="s">
        <v>4065</v>
      </c>
      <c r="D1555" t="s">
        <v>130</v>
      </c>
      <c r="E1555" t="s">
        <v>38</v>
      </c>
      <c r="F1555">
        <v>10132018</v>
      </c>
      <c r="G1555">
        <v>3</v>
      </c>
      <c r="H1555" t="s">
        <v>48</v>
      </c>
      <c r="I1555" t="s">
        <v>42</v>
      </c>
      <c r="K1555" t="s">
        <v>43</v>
      </c>
      <c r="M1555" t="s">
        <v>44</v>
      </c>
      <c r="N1555">
        <v>2</v>
      </c>
      <c r="O1555" t="s">
        <v>4066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1</v>
      </c>
      <c r="AA1555" t="b">
        <v>0</v>
      </c>
      <c r="AB1555" t="b">
        <v>0</v>
      </c>
      <c r="AC1555" t="b">
        <v>1</v>
      </c>
      <c r="AE1555" t="s">
        <v>4067</v>
      </c>
    </row>
    <row r="1556" spans="1:31" x14ac:dyDescent="0.3">
      <c r="A1556">
        <v>-73.95974626121</v>
      </c>
      <c r="B1556">
        <v>40.783280114530001</v>
      </c>
      <c r="C1556" t="s">
        <v>4068</v>
      </c>
      <c r="D1556" t="s">
        <v>2573</v>
      </c>
      <c r="E1556" t="s">
        <v>33</v>
      </c>
      <c r="F1556">
        <v>10072018</v>
      </c>
      <c r="G1556">
        <v>6</v>
      </c>
      <c r="K1556" t="s">
        <v>34</v>
      </c>
      <c r="L1556" t="s">
        <v>4069</v>
      </c>
      <c r="M1556" t="s">
        <v>44</v>
      </c>
      <c r="N1556">
        <v>20</v>
      </c>
      <c r="O1556" t="s">
        <v>4070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V1556" t="b">
        <v>0</v>
      </c>
      <c r="W1556" t="b">
        <v>1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E1556" t="s">
        <v>4071</v>
      </c>
    </row>
    <row r="1557" spans="1:31" x14ac:dyDescent="0.3">
      <c r="A1557">
        <v>-73.978494252600001</v>
      </c>
      <c r="B1557">
        <v>40.767260000370001</v>
      </c>
      <c r="C1557" t="s">
        <v>4072</v>
      </c>
      <c r="D1557" t="s">
        <v>1278</v>
      </c>
      <c r="E1557" t="s">
        <v>38</v>
      </c>
      <c r="F1557">
        <v>10062018</v>
      </c>
      <c r="G1557">
        <v>6</v>
      </c>
      <c r="H1557" t="s">
        <v>105</v>
      </c>
      <c r="I1557" t="s">
        <v>42</v>
      </c>
      <c r="J1557" t="s">
        <v>96</v>
      </c>
      <c r="K1557" t="s">
        <v>97</v>
      </c>
      <c r="L1557" t="s">
        <v>1381</v>
      </c>
      <c r="M1557" t="s">
        <v>65</v>
      </c>
      <c r="N1557" t="b">
        <v>0</v>
      </c>
      <c r="P1557" t="b">
        <v>1</v>
      </c>
      <c r="Q1557" t="b">
        <v>0</v>
      </c>
      <c r="R1557" t="b">
        <v>0</v>
      </c>
      <c r="S1557" t="b">
        <v>0</v>
      </c>
      <c r="T1557" t="b">
        <v>0</v>
      </c>
      <c r="U1557" t="s">
        <v>4073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E1557" t="s">
        <v>4074</v>
      </c>
    </row>
    <row r="1558" spans="1:31" x14ac:dyDescent="0.3">
      <c r="A1558">
        <v>-73.974623828009996</v>
      </c>
      <c r="B1558">
        <v>40.767149196280002</v>
      </c>
      <c r="C1558" t="s">
        <v>4075</v>
      </c>
      <c r="D1558" t="s">
        <v>1701</v>
      </c>
      <c r="E1558" t="s">
        <v>38</v>
      </c>
      <c r="F1558">
        <v>10062018</v>
      </c>
      <c r="G1558">
        <v>6</v>
      </c>
      <c r="H1558" t="s">
        <v>48</v>
      </c>
      <c r="I1558" t="s">
        <v>42</v>
      </c>
      <c r="J1558" t="s">
        <v>53</v>
      </c>
      <c r="K1558" t="s">
        <v>54</v>
      </c>
      <c r="L1558" t="s">
        <v>1012</v>
      </c>
      <c r="M1558" t="s">
        <v>65</v>
      </c>
      <c r="N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1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1</v>
      </c>
      <c r="AC1558" t="b">
        <v>0</v>
      </c>
      <c r="AE1558" t="s">
        <v>4076</v>
      </c>
    </row>
    <row r="1559" spans="1:31" x14ac:dyDescent="0.3">
      <c r="A1559">
        <v>-73.970533180839993</v>
      </c>
      <c r="B1559">
        <v>40.769994357130003</v>
      </c>
      <c r="C1559" t="s">
        <v>4077</v>
      </c>
      <c r="D1559" t="s">
        <v>92</v>
      </c>
      <c r="E1559" t="s">
        <v>38</v>
      </c>
      <c r="F1559">
        <v>10062018</v>
      </c>
      <c r="G1559">
        <v>9</v>
      </c>
      <c r="H1559" t="s">
        <v>48</v>
      </c>
      <c r="I1559" t="s">
        <v>42</v>
      </c>
      <c r="J1559" t="s">
        <v>53</v>
      </c>
      <c r="K1559" t="s">
        <v>54</v>
      </c>
      <c r="P1559" t="b">
        <v>0</v>
      </c>
      <c r="Q1559" t="b">
        <v>0</v>
      </c>
      <c r="R1559" t="b">
        <v>0</v>
      </c>
      <c r="S1559" t="b">
        <v>0</v>
      </c>
      <c r="T1559" t="b">
        <v>1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1</v>
      </c>
      <c r="AB1559" t="b">
        <v>0</v>
      </c>
      <c r="AC1559" t="b">
        <v>0</v>
      </c>
      <c r="AE1559" t="s">
        <v>4078</v>
      </c>
    </row>
    <row r="1560" spans="1:31" x14ac:dyDescent="0.3">
      <c r="A1560">
        <v>-73.968200390980002</v>
      </c>
      <c r="B1560">
        <v>40.783709576950002</v>
      </c>
      <c r="C1560" t="s">
        <v>4079</v>
      </c>
      <c r="D1560" t="s">
        <v>320</v>
      </c>
      <c r="E1560" t="s">
        <v>38</v>
      </c>
      <c r="F1560">
        <v>10132018</v>
      </c>
      <c r="G1560">
        <v>2</v>
      </c>
      <c r="H1560" t="s">
        <v>48</v>
      </c>
      <c r="I1560" t="s">
        <v>53</v>
      </c>
      <c r="K1560" t="s">
        <v>155</v>
      </c>
      <c r="M1560" t="s">
        <v>65</v>
      </c>
      <c r="N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1</v>
      </c>
      <c r="U1560" t="s">
        <v>1432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1</v>
      </c>
      <c r="AC1560" t="b">
        <v>0</v>
      </c>
      <c r="AE1560" t="s">
        <v>4080</v>
      </c>
    </row>
    <row r="1561" spans="1:31" x14ac:dyDescent="0.3">
      <c r="A1561">
        <v>-73.963164867410001</v>
      </c>
      <c r="B1561">
        <v>40.792652961740004</v>
      </c>
      <c r="C1561" t="s">
        <v>4081</v>
      </c>
      <c r="D1561" t="s">
        <v>104</v>
      </c>
      <c r="E1561" t="s">
        <v>33</v>
      </c>
      <c r="F1561">
        <v>10132018</v>
      </c>
      <c r="G1561">
        <v>8</v>
      </c>
      <c r="H1561" t="s">
        <v>48</v>
      </c>
      <c r="I1561" t="s">
        <v>42</v>
      </c>
      <c r="J1561" t="s">
        <v>59</v>
      </c>
      <c r="K1561" t="s">
        <v>79</v>
      </c>
      <c r="M1561" t="s">
        <v>65</v>
      </c>
      <c r="N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1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b">
        <v>1</v>
      </c>
      <c r="AC1561" t="b">
        <v>0</v>
      </c>
      <c r="AE1561" t="s">
        <v>4082</v>
      </c>
    </row>
    <row r="1562" spans="1:31" x14ac:dyDescent="0.3">
      <c r="A1562">
        <v>-73.958707276400006</v>
      </c>
      <c r="B1562">
        <v>40.785025621940001</v>
      </c>
      <c r="C1562" t="s">
        <v>4083</v>
      </c>
      <c r="D1562" t="s">
        <v>1083</v>
      </c>
      <c r="E1562" t="s">
        <v>38</v>
      </c>
      <c r="F1562">
        <v>10072018</v>
      </c>
      <c r="G1562">
        <v>1</v>
      </c>
      <c r="H1562" t="s">
        <v>48</v>
      </c>
      <c r="I1562" t="s">
        <v>53</v>
      </c>
      <c r="J1562" t="s">
        <v>42</v>
      </c>
      <c r="K1562" t="s">
        <v>89</v>
      </c>
      <c r="M1562" t="s">
        <v>44</v>
      </c>
      <c r="N1562">
        <v>20</v>
      </c>
      <c r="P1562" t="b">
        <v>0</v>
      </c>
      <c r="Q1562" t="b">
        <v>0</v>
      </c>
      <c r="R1562" t="b">
        <v>1</v>
      </c>
      <c r="S1562" t="b">
        <v>1</v>
      </c>
      <c r="T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1</v>
      </c>
      <c r="AE1562" t="s">
        <v>4084</v>
      </c>
    </row>
    <row r="1563" spans="1:31" x14ac:dyDescent="0.3">
      <c r="A1563">
        <v>-73.964239782950003</v>
      </c>
      <c r="B1563">
        <v>40.791899240660001</v>
      </c>
      <c r="C1563" t="s">
        <v>4085</v>
      </c>
      <c r="D1563" t="s">
        <v>383</v>
      </c>
      <c r="E1563" t="s">
        <v>33</v>
      </c>
      <c r="F1563">
        <v>10172018</v>
      </c>
      <c r="G1563">
        <v>2</v>
      </c>
      <c r="H1563" t="s">
        <v>48</v>
      </c>
      <c r="I1563" t="s">
        <v>53</v>
      </c>
      <c r="J1563" t="s">
        <v>59</v>
      </c>
      <c r="K1563" t="s">
        <v>60</v>
      </c>
      <c r="M1563" t="s">
        <v>65</v>
      </c>
      <c r="N1563" t="b">
        <v>0</v>
      </c>
      <c r="P1563" t="b">
        <v>0</v>
      </c>
      <c r="Q1563" t="b">
        <v>0</v>
      </c>
      <c r="R1563" t="b">
        <v>0</v>
      </c>
      <c r="S1563" t="b">
        <v>1</v>
      </c>
      <c r="T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E1563" t="s">
        <v>4086</v>
      </c>
    </row>
    <row r="1564" spans="1:31" x14ac:dyDescent="0.3">
      <c r="A1564">
        <v>-73.974084681069996</v>
      </c>
      <c r="B1564">
        <v>40.772819713959997</v>
      </c>
      <c r="C1564" t="s">
        <v>4087</v>
      </c>
      <c r="D1564" t="s">
        <v>2085</v>
      </c>
      <c r="E1564" t="s">
        <v>38</v>
      </c>
      <c r="F1564">
        <v>10072018</v>
      </c>
      <c r="G1564">
        <v>6</v>
      </c>
      <c r="H1564" t="s">
        <v>48</v>
      </c>
      <c r="I1564" t="s">
        <v>42</v>
      </c>
      <c r="K1564" t="s">
        <v>43</v>
      </c>
      <c r="M1564" t="s">
        <v>65</v>
      </c>
      <c r="N1564" t="b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E1564" t="s">
        <v>4088</v>
      </c>
    </row>
    <row r="1565" spans="1:31" x14ac:dyDescent="0.3">
      <c r="A1565">
        <v>-73.967627067099997</v>
      </c>
      <c r="B1565">
        <v>40.776391443149997</v>
      </c>
      <c r="C1565" t="s">
        <v>4089</v>
      </c>
      <c r="D1565" t="s">
        <v>311</v>
      </c>
      <c r="E1565" t="s">
        <v>38</v>
      </c>
      <c r="F1565">
        <v>10082018</v>
      </c>
      <c r="G1565">
        <v>4</v>
      </c>
      <c r="H1565" t="s">
        <v>48</v>
      </c>
      <c r="I1565" t="s">
        <v>42</v>
      </c>
      <c r="K1565" t="s">
        <v>43</v>
      </c>
      <c r="M1565" t="s">
        <v>65</v>
      </c>
      <c r="N1565" t="b">
        <v>0</v>
      </c>
      <c r="P1565" t="b">
        <v>0</v>
      </c>
      <c r="Q1565" t="b">
        <v>1</v>
      </c>
      <c r="R1565" t="b">
        <v>0</v>
      </c>
      <c r="S1565" t="b">
        <v>0</v>
      </c>
      <c r="T1565" t="b">
        <v>0</v>
      </c>
      <c r="V1565" t="b">
        <v>1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E1565" t="s">
        <v>4090</v>
      </c>
    </row>
    <row r="1566" spans="1:31" x14ac:dyDescent="0.3">
      <c r="A1566">
        <v>-73.970381611240001</v>
      </c>
      <c r="B1566">
        <v>40.777384606589997</v>
      </c>
      <c r="C1566" t="s">
        <v>4091</v>
      </c>
      <c r="D1566" t="s">
        <v>544</v>
      </c>
      <c r="E1566" t="s">
        <v>33</v>
      </c>
      <c r="F1566">
        <v>10172018</v>
      </c>
      <c r="G1566">
        <v>2</v>
      </c>
      <c r="H1566" t="s">
        <v>48</v>
      </c>
      <c r="I1566" t="s">
        <v>42</v>
      </c>
      <c r="J1566" t="s">
        <v>53</v>
      </c>
      <c r="K1566" t="s">
        <v>54</v>
      </c>
      <c r="M1566" t="s">
        <v>44</v>
      </c>
      <c r="N1566">
        <v>1</v>
      </c>
      <c r="P1566" t="b">
        <v>0</v>
      </c>
      <c r="Q1566" t="b">
        <v>0</v>
      </c>
      <c r="R1566" t="b">
        <v>1</v>
      </c>
      <c r="S1566" t="b">
        <v>0</v>
      </c>
      <c r="T1566" t="b">
        <v>1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b">
        <v>1</v>
      </c>
      <c r="AC1566" t="b">
        <v>0</v>
      </c>
      <c r="AE1566" t="s">
        <v>4092</v>
      </c>
    </row>
    <row r="1567" spans="1:31" x14ac:dyDescent="0.3">
      <c r="A1567">
        <v>-73.980389532239997</v>
      </c>
      <c r="B1567">
        <v>40.76807307899</v>
      </c>
      <c r="C1567" t="s">
        <v>4093</v>
      </c>
      <c r="D1567" t="s">
        <v>851</v>
      </c>
      <c r="E1567" t="s">
        <v>38</v>
      </c>
      <c r="F1567">
        <v>10122018</v>
      </c>
      <c r="G1567">
        <v>13</v>
      </c>
      <c r="H1567" t="s">
        <v>48</v>
      </c>
      <c r="I1567" t="s">
        <v>42</v>
      </c>
      <c r="J1567" t="s">
        <v>53</v>
      </c>
      <c r="K1567" t="s">
        <v>54</v>
      </c>
      <c r="M1567" t="s">
        <v>65</v>
      </c>
      <c r="N1567" t="b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1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1</v>
      </c>
      <c r="AC1567" t="b">
        <v>0</v>
      </c>
      <c r="AE1567" t="s">
        <v>4094</v>
      </c>
    </row>
    <row r="1568" spans="1:31" x14ac:dyDescent="0.3">
      <c r="A1568">
        <v>-73.969513337080002</v>
      </c>
      <c r="B1568">
        <v>40.776500979689999</v>
      </c>
      <c r="C1568" t="s">
        <v>4095</v>
      </c>
      <c r="D1568" t="s">
        <v>100</v>
      </c>
      <c r="E1568" t="s">
        <v>38</v>
      </c>
      <c r="F1568">
        <v>10082018</v>
      </c>
      <c r="G1568">
        <v>16</v>
      </c>
      <c r="H1568" t="s">
        <v>48</v>
      </c>
      <c r="I1568" t="s">
        <v>42</v>
      </c>
      <c r="K1568" t="s">
        <v>43</v>
      </c>
      <c r="M1568" t="s">
        <v>44</v>
      </c>
      <c r="N1568">
        <v>6</v>
      </c>
      <c r="P1568" t="b">
        <v>0</v>
      </c>
      <c r="Q1568" t="b">
        <v>0</v>
      </c>
      <c r="R1568" t="b">
        <v>1</v>
      </c>
      <c r="S1568" t="b">
        <v>1</v>
      </c>
      <c r="T1568" t="b">
        <v>1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b">
        <v>1</v>
      </c>
      <c r="AC1568" t="b">
        <v>0</v>
      </c>
      <c r="AE1568" t="s">
        <v>4096</v>
      </c>
    </row>
    <row r="1569" spans="1:31" x14ac:dyDescent="0.3">
      <c r="A1569">
        <v>-73.977440736259993</v>
      </c>
      <c r="B1569">
        <v>40.769805612959999</v>
      </c>
      <c r="C1569" t="s">
        <v>4097</v>
      </c>
      <c r="D1569" t="s">
        <v>1581</v>
      </c>
      <c r="E1569" t="s">
        <v>33</v>
      </c>
      <c r="F1569">
        <v>10102018</v>
      </c>
      <c r="G1569">
        <v>12</v>
      </c>
      <c r="H1569" t="s">
        <v>48</v>
      </c>
      <c r="I1569" t="s">
        <v>42</v>
      </c>
      <c r="J1569" t="s">
        <v>53</v>
      </c>
      <c r="K1569" t="s">
        <v>54</v>
      </c>
      <c r="M1569" t="s">
        <v>65</v>
      </c>
      <c r="N1569" t="b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1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E1569" t="s">
        <v>4098</v>
      </c>
    </row>
    <row r="1570" spans="1:31" x14ac:dyDescent="0.3">
      <c r="A1570">
        <v>-73.968107986980002</v>
      </c>
      <c r="B1570">
        <v>40.772349408129998</v>
      </c>
      <c r="C1570" t="s">
        <v>4099</v>
      </c>
      <c r="D1570" t="s">
        <v>1270</v>
      </c>
      <c r="E1570" t="s">
        <v>33</v>
      </c>
      <c r="F1570">
        <v>10122018</v>
      </c>
      <c r="G1570">
        <v>5</v>
      </c>
      <c r="H1570" t="s">
        <v>48</v>
      </c>
      <c r="I1570" t="s">
        <v>42</v>
      </c>
      <c r="K1570" t="s">
        <v>43</v>
      </c>
      <c r="M1570" t="s">
        <v>44</v>
      </c>
      <c r="N1570">
        <v>2</v>
      </c>
      <c r="P1570" t="b">
        <v>1</v>
      </c>
      <c r="Q1570" t="b">
        <v>0</v>
      </c>
      <c r="R1570" t="b">
        <v>1</v>
      </c>
      <c r="S1570" t="b">
        <v>0</v>
      </c>
      <c r="T1570" t="b">
        <v>1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E1570" t="s">
        <v>4100</v>
      </c>
    </row>
    <row r="1571" spans="1:31" x14ac:dyDescent="0.3">
      <c r="A1571">
        <v>-73.973047824160005</v>
      </c>
      <c r="B1571">
        <v>40.77008737912</v>
      </c>
      <c r="C1571" t="s">
        <v>4101</v>
      </c>
      <c r="D1571" t="s">
        <v>353</v>
      </c>
      <c r="E1571" t="s">
        <v>38</v>
      </c>
      <c r="F1571">
        <v>10082018</v>
      </c>
      <c r="G1571">
        <v>3</v>
      </c>
      <c r="H1571" t="s">
        <v>48</v>
      </c>
      <c r="I1571" t="s">
        <v>42</v>
      </c>
      <c r="K1571" t="s">
        <v>43</v>
      </c>
      <c r="M1571" t="s">
        <v>44</v>
      </c>
      <c r="N1571">
        <v>10</v>
      </c>
      <c r="P1571" t="b">
        <v>0</v>
      </c>
      <c r="Q1571" t="b">
        <v>0</v>
      </c>
      <c r="R1571" t="b">
        <v>1</v>
      </c>
      <c r="S1571" t="b">
        <v>0</v>
      </c>
      <c r="T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b">
        <v>1</v>
      </c>
      <c r="AC1571" t="b">
        <v>0</v>
      </c>
      <c r="AE1571" t="s">
        <v>4102</v>
      </c>
    </row>
    <row r="1572" spans="1:31" x14ac:dyDescent="0.3">
      <c r="A1572">
        <v>-73.966286488479994</v>
      </c>
      <c r="B1572">
        <v>40.789106233829997</v>
      </c>
      <c r="C1572" t="s">
        <v>4103</v>
      </c>
      <c r="D1572" t="s">
        <v>154</v>
      </c>
      <c r="E1572" t="s">
        <v>33</v>
      </c>
      <c r="F1572">
        <v>10072018</v>
      </c>
      <c r="G1572">
        <v>2</v>
      </c>
      <c r="H1572" t="s">
        <v>48</v>
      </c>
      <c r="I1572" t="s">
        <v>42</v>
      </c>
      <c r="K1572" t="s">
        <v>43</v>
      </c>
      <c r="M1572" t="s">
        <v>65</v>
      </c>
      <c r="N1572" t="b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s">
        <v>4104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1</v>
      </c>
      <c r="AC1572" t="b">
        <v>0</v>
      </c>
      <c r="AE1572" t="s">
        <v>4105</v>
      </c>
    </row>
    <row r="1573" spans="1:31" x14ac:dyDescent="0.3">
      <c r="A1573">
        <v>-73.967312901029999</v>
      </c>
      <c r="B1573">
        <v>40.777816984600001</v>
      </c>
      <c r="C1573" t="s">
        <v>4106</v>
      </c>
      <c r="D1573" t="s">
        <v>957</v>
      </c>
      <c r="E1573" t="s">
        <v>33</v>
      </c>
      <c r="F1573">
        <v>10132018</v>
      </c>
      <c r="G1573">
        <v>5</v>
      </c>
      <c r="H1573" t="s">
        <v>48</v>
      </c>
      <c r="I1573" t="s">
        <v>42</v>
      </c>
      <c r="J1573" t="s">
        <v>53</v>
      </c>
      <c r="K1573" t="s">
        <v>54</v>
      </c>
      <c r="M1573" t="s">
        <v>65</v>
      </c>
      <c r="N1573" t="b">
        <v>0</v>
      </c>
      <c r="O1573" t="s">
        <v>4107</v>
      </c>
      <c r="P1573" t="b">
        <v>0</v>
      </c>
      <c r="Q1573" t="b">
        <v>0</v>
      </c>
      <c r="R1573" t="b">
        <v>0</v>
      </c>
      <c r="S1573" t="b">
        <v>1</v>
      </c>
      <c r="T1573" t="b">
        <v>1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b">
        <v>0</v>
      </c>
      <c r="AB1573" t="b">
        <v>0</v>
      </c>
      <c r="AC1573" t="b">
        <v>1</v>
      </c>
      <c r="AE1573" t="s">
        <v>4108</v>
      </c>
    </row>
    <row r="1574" spans="1:31" x14ac:dyDescent="0.3">
      <c r="A1574">
        <v>-73.954019707960001</v>
      </c>
      <c r="B1574">
        <v>40.798039260979998</v>
      </c>
      <c r="C1574" t="s">
        <v>4109</v>
      </c>
      <c r="D1574" t="s">
        <v>1515</v>
      </c>
      <c r="E1574" t="s">
        <v>33</v>
      </c>
      <c r="F1574">
        <v>10132018</v>
      </c>
      <c r="G1574">
        <v>3</v>
      </c>
      <c r="H1574" t="s">
        <v>48</v>
      </c>
      <c r="I1574" t="s">
        <v>53</v>
      </c>
      <c r="J1574" t="s">
        <v>115</v>
      </c>
      <c r="K1574" t="s">
        <v>116</v>
      </c>
      <c r="L1574" t="s">
        <v>4110</v>
      </c>
      <c r="M1574" t="s">
        <v>44</v>
      </c>
      <c r="N1574">
        <v>20</v>
      </c>
      <c r="P1574" t="b">
        <v>0</v>
      </c>
      <c r="Q1574" t="b">
        <v>0</v>
      </c>
      <c r="R1574" t="b">
        <v>0</v>
      </c>
      <c r="S1574" t="b">
        <v>0</v>
      </c>
      <c r="T1574" t="b">
        <v>1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E1574" t="s">
        <v>4111</v>
      </c>
    </row>
    <row r="1575" spans="1:31" x14ac:dyDescent="0.3">
      <c r="A1575">
        <v>-73.959561354879995</v>
      </c>
      <c r="B1575">
        <v>40.783805752729997</v>
      </c>
      <c r="C1575" t="s">
        <v>4112</v>
      </c>
      <c r="D1575" t="s">
        <v>2573</v>
      </c>
      <c r="E1575" t="s">
        <v>33</v>
      </c>
      <c r="F1575">
        <v>10072018</v>
      </c>
      <c r="G1575">
        <v>4</v>
      </c>
      <c r="H1575" t="s">
        <v>48</v>
      </c>
      <c r="I1575" t="s">
        <v>42</v>
      </c>
      <c r="K1575" t="s">
        <v>43</v>
      </c>
      <c r="M1575" t="s">
        <v>44</v>
      </c>
      <c r="N1575">
        <v>25</v>
      </c>
      <c r="P1575" t="b">
        <v>0</v>
      </c>
      <c r="Q1575" t="b">
        <v>0</v>
      </c>
      <c r="R1575" t="b">
        <v>1</v>
      </c>
      <c r="S1575" t="b">
        <v>0</v>
      </c>
      <c r="T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b">
        <v>0</v>
      </c>
      <c r="AB1575" t="b">
        <v>0</v>
      </c>
      <c r="AC1575" t="b">
        <v>0</v>
      </c>
      <c r="AE1575" t="s">
        <v>4113</v>
      </c>
    </row>
    <row r="1576" spans="1:31" x14ac:dyDescent="0.3">
      <c r="A1576">
        <v>-73.956184093580006</v>
      </c>
      <c r="B1576">
        <v>40.799203782150002</v>
      </c>
      <c r="C1576" t="s">
        <v>4114</v>
      </c>
      <c r="D1576" t="s">
        <v>335</v>
      </c>
      <c r="E1576" t="s">
        <v>33</v>
      </c>
      <c r="F1576">
        <v>10132018</v>
      </c>
      <c r="G1576">
        <v>5</v>
      </c>
      <c r="H1576" t="s">
        <v>48</v>
      </c>
      <c r="I1576" t="s">
        <v>42</v>
      </c>
      <c r="K1576" t="s">
        <v>43</v>
      </c>
      <c r="M1576" t="s">
        <v>44</v>
      </c>
      <c r="N1576">
        <v>20</v>
      </c>
      <c r="P1576" t="b">
        <v>0</v>
      </c>
      <c r="Q1576" t="b">
        <v>0</v>
      </c>
      <c r="R1576" t="b">
        <v>0</v>
      </c>
      <c r="S1576" t="b">
        <v>1</v>
      </c>
      <c r="T1576" t="b">
        <v>0</v>
      </c>
      <c r="V1576" t="b">
        <v>1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1</v>
      </c>
      <c r="AC1576" t="b">
        <v>0</v>
      </c>
      <c r="AE1576" t="s">
        <v>4115</v>
      </c>
    </row>
    <row r="1577" spans="1:31" x14ac:dyDescent="0.3">
      <c r="A1577">
        <v>-73.970316937389995</v>
      </c>
      <c r="B1577">
        <v>40.77006588239</v>
      </c>
      <c r="C1577" t="s">
        <v>4116</v>
      </c>
      <c r="D1577" t="s">
        <v>92</v>
      </c>
      <c r="E1577" t="s">
        <v>38</v>
      </c>
      <c r="F1577">
        <v>10062018</v>
      </c>
      <c r="G1577">
        <v>13</v>
      </c>
      <c r="H1577" t="s">
        <v>48</v>
      </c>
      <c r="I1577" t="s">
        <v>42</v>
      </c>
      <c r="K1577" t="s">
        <v>43</v>
      </c>
      <c r="M1577" t="s">
        <v>44</v>
      </c>
      <c r="N1577">
        <v>10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s">
        <v>4117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1</v>
      </c>
      <c r="AC1577" t="b">
        <v>0</v>
      </c>
      <c r="AE1577" t="s">
        <v>4118</v>
      </c>
    </row>
    <row r="1578" spans="1:31" x14ac:dyDescent="0.3">
      <c r="A1578">
        <v>-73.961998518759998</v>
      </c>
      <c r="B1578">
        <v>40.794327774350002</v>
      </c>
      <c r="C1578" t="s">
        <v>4119</v>
      </c>
      <c r="D1578" t="s">
        <v>2662</v>
      </c>
      <c r="E1578" t="s">
        <v>38</v>
      </c>
      <c r="F1578">
        <v>10122018</v>
      </c>
      <c r="G1578">
        <v>2</v>
      </c>
      <c r="H1578" t="s">
        <v>48</v>
      </c>
      <c r="I1578" t="s">
        <v>42</v>
      </c>
      <c r="J1578" t="s">
        <v>96</v>
      </c>
      <c r="K1578" t="s">
        <v>97</v>
      </c>
      <c r="M1578" t="s">
        <v>44</v>
      </c>
      <c r="N1578">
        <v>10</v>
      </c>
      <c r="O1578" t="s">
        <v>4120</v>
      </c>
      <c r="P1578" t="b">
        <v>1</v>
      </c>
      <c r="Q1578" t="b">
        <v>1</v>
      </c>
      <c r="R1578" t="b">
        <v>1</v>
      </c>
      <c r="S1578" t="b">
        <v>0</v>
      </c>
      <c r="T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b">
        <v>1</v>
      </c>
      <c r="AC1578" t="b">
        <v>0</v>
      </c>
      <c r="AE1578" t="s">
        <v>4121</v>
      </c>
    </row>
    <row r="1579" spans="1:31" x14ac:dyDescent="0.3">
      <c r="A1579">
        <v>-73.965390623700003</v>
      </c>
      <c r="B1579">
        <v>40.780773136379999</v>
      </c>
      <c r="C1579" t="s">
        <v>4122</v>
      </c>
      <c r="D1579" t="s">
        <v>564</v>
      </c>
      <c r="E1579" t="s">
        <v>33</v>
      </c>
      <c r="F1579">
        <v>10072018</v>
      </c>
      <c r="G1579">
        <v>8</v>
      </c>
      <c r="H1579" t="s">
        <v>48</v>
      </c>
      <c r="I1579" t="s">
        <v>53</v>
      </c>
      <c r="J1579" t="s">
        <v>59</v>
      </c>
      <c r="K1579" t="s">
        <v>60</v>
      </c>
      <c r="L1579" t="s">
        <v>4123</v>
      </c>
      <c r="M1579" t="s">
        <v>65</v>
      </c>
      <c r="N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1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b">
        <v>0</v>
      </c>
      <c r="AC1579" t="b">
        <v>1</v>
      </c>
      <c r="AE1579" t="s">
        <v>4124</v>
      </c>
    </row>
    <row r="1580" spans="1:31" x14ac:dyDescent="0.3">
      <c r="A1580">
        <v>-73.973529894329999</v>
      </c>
      <c r="B1580">
        <v>40.771493999359997</v>
      </c>
      <c r="C1580" t="s">
        <v>4125</v>
      </c>
      <c r="D1580" t="s">
        <v>1206</v>
      </c>
      <c r="E1580" t="s">
        <v>38</v>
      </c>
      <c r="F1580">
        <v>10132018</v>
      </c>
      <c r="G1580">
        <v>2</v>
      </c>
      <c r="H1580" t="s">
        <v>48</v>
      </c>
      <c r="I1580" t="s">
        <v>42</v>
      </c>
      <c r="J1580" t="s">
        <v>53</v>
      </c>
      <c r="K1580" t="s">
        <v>54</v>
      </c>
      <c r="M1580" t="s">
        <v>65</v>
      </c>
      <c r="N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1</v>
      </c>
      <c r="V1580" t="b">
        <v>0</v>
      </c>
      <c r="W1580" t="b">
        <v>0</v>
      </c>
      <c r="X1580" t="b">
        <v>0</v>
      </c>
      <c r="Y1580" t="b">
        <v>0</v>
      </c>
      <c r="Z1580" t="b">
        <v>1</v>
      </c>
      <c r="AA1580" t="b">
        <v>0</v>
      </c>
      <c r="AB1580" t="b">
        <v>1</v>
      </c>
      <c r="AC1580" t="b">
        <v>0</v>
      </c>
      <c r="AE1580" t="s">
        <v>4126</v>
      </c>
    </row>
    <row r="1581" spans="1:31" x14ac:dyDescent="0.3">
      <c r="A1581">
        <v>-73.976830955609998</v>
      </c>
      <c r="B1581">
        <v>40.771780370610003</v>
      </c>
      <c r="C1581" t="s">
        <v>4127</v>
      </c>
      <c r="D1581" t="s">
        <v>796</v>
      </c>
      <c r="E1581" t="s">
        <v>38</v>
      </c>
      <c r="F1581">
        <v>10122018</v>
      </c>
      <c r="G1581">
        <v>1</v>
      </c>
      <c r="H1581" t="s">
        <v>48</v>
      </c>
      <c r="I1581" t="s">
        <v>42</v>
      </c>
      <c r="J1581" t="s">
        <v>53</v>
      </c>
      <c r="K1581" t="s">
        <v>54</v>
      </c>
      <c r="M1581" t="s">
        <v>65</v>
      </c>
      <c r="N1581" t="b">
        <v>0</v>
      </c>
      <c r="O1581" t="s">
        <v>4128</v>
      </c>
      <c r="P1581" t="b">
        <v>1</v>
      </c>
      <c r="Q1581" t="b">
        <v>0</v>
      </c>
      <c r="R1581" t="b">
        <v>0</v>
      </c>
      <c r="S1581" t="b">
        <v>0</v>
      </c>
      <c r="T1581" t="b">
        <v>1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1</v>
      </c>
      <c r="AC1581" t="b">
        <v>0</v>
      </c>
      <c r="AE1581" t="s">
        <v>4129</v>
      </c>
    </row>
    <row r="1582" spans="1:31" x14ac:dyDescent="0.3">
      <c r="A1582">
        <v>-73.977507967289995</v>
      </c>
      <c r="B1582">
        <v>40.769150035739997</v>
      </c>
      <c r="C1582" t="s">
        <v>4130</v>
      </c>
      <c r="D1582" t="s">
        <v>1581</v>
      </c>
      <c r="E1582" t="s">
        <v>33</v>
      </c>
      <c r="F1582">
        <v>10102018</v>
      </c>
      <c r="G1582">
        <v>7</v>
      </c>
      <c r="H1582" t="s">
        <v>48</v>
      </c>
      <c r="I1582" t="s">
        <v>42</v>
      </c>
      <c r="J1582" t="s">
        <v>59</v>
      </c>
      <c r="K1582" t="s">
        <v>79</v>
      </c>
      <c r="M1582" t="s">
        <v>65</v>
      </c>
      <c r="N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1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b">
        <v>1</v>
      </c>
      <c r="AC1582" t="b">
        <v>0</v>
      </c>
      <c r="AE1582" t="s">
        <v>4131</v>
      </c>
    </row>
    <row r="1583" spans="1:31" x14ac:dyDescent="0.3">
      <c r="A1583">
        <v>-73.971577541079995</v>
      </c>
      <c r="B1583">
        <v>40.7776249964</v>
      </c>
      <c r="C1583" t="s">
        <v>4132</v>
      </c>
      <c r="D1583" t="s">
        <v>1652</v>
      </c>
      <c r="E1583" t="s">
        <v>33</v>
      </c>
      <c r="F1583">
        <v>10062018</v>
      </c>
      <c r="G1583">
        <v>1</v>
      </c>
      <c r="H1583" t="s">
        <v>48</v>
      </c>
      <c r="I1583" t="s">
        <v>42</v>
      </c>
      <c r="J1583" t="s">
        <v>53</v>
      </c>
      <c r="K1583" t="s">
        <v>54</v>
      </c>
      <c r="M1583" t="s">
        <v>44</v>
      </c>
      <c r="N1583">
        <v>10</v>
      </c>
      <c r="P1583" t="b">
        <v>0</v>
      </c>
      <c r="Q1583" t="b">
        <v>0</v>
      </c>
      <c r="R1583" t="b">
        <v>1</v>
      </c>
      <c r="S1583" t="b">
        <v>0</v>
      </c>
      <c r="T1583" t="b">
        <v>0</v>
      </c>
      <c r="V1583" t="b">
        <v>0</v>
      </c>
      <c r="W1583" t="b">
        <v>1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1</v>
      </c>
      <c r="AE1583" t="s">
        <v>4133</v>
      </c>
    </row>
    <row r="1584" spans="1:31" x14ac:dyDescent="0.3">
      <c r="A1584">
        <v>-73.980406525419994</v>
      </c>
      <c r="B1584">
        <v>40.768148118329997</v>
      </c>
      <c r="C1584" t="s">
        <v>4134</v>
      </c>
      <c r="D1584" t="s">
        <v>851</v>
      </c>
      <c r="E1584" t="s">
        <v>33</v>
      </c>
      <c r="F1584">
        <v>10192018</v>
      </c>
      <c r="G1584">
        <v>8</v>
      </c>
      <c r="H1584" t="s">
        <v>48</v>
      </c>
      <c r="I1584" t="s">
        <v>42</v>
      </c>
      <c r="J1584" t="s">
        <v>59</v>
      </c>
      <c r="K1584" t="s">
        <v>79</v>
      </c>
      <c r="M1584" t="s">
        <v>65</v>
      </c>
      <c r="N1584" t="b">
        <v>0</v>
      </c>
      <c r="P1584" t="b">
        <v>0</v>
      </c>
      <c r="Q1584" t="b">
        <v>0</v>
      </c>
      <c r="R1584" t="b">
        <v>0</v>
      </c>
      <c r="S1584" t="b">
        <v>1</v>
      </c>
      <c r="T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1</v>
      </c>
      <c r="AC1584" t="b">
        <v>0</v>
      </c>
      <c r="AE1584" t="s">
        <v>4135</v>
      </c>
    </row>
    <row r="1585" spans="1:31" x14ac:dyDescent="0.3">
      <c r="A1585">
        <v>-73.970103039349993</v>
      </c>
      <c r="B1585">
        <v>40.783895306360002</v>
      </c>
      <c r="C1585" t="s">
        <v>4136</v>
      </c>
      <c r="D1585" t="s">
        <v>2011</v>
      </c>
      <c r="E1585" t="s">
        <v>38</v>
      </c>
      <c r="F1585">
        <v>10192018</v>
      </c>
      <c r="G1585">
        <v>4</v>
      </c>
      <c r="H1585" t="s">
        <v>105</v>
      </c>
      <c r="I1585" t="s">
        <v>42</v>
      </c>
      <c r="J1585" t="s">
        <v>176</v>
      </c>
      <c r="K1585" t="s">
        <v>339</v>
      </c>
      <c r="M1585" t="s">
        <v>65</v>
      </c>
      <c r="N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1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b">
        <v>1</v>
      </c>
      <c r="AC1585" t="b">
        <v>0</v>
      </c>
      <c r="AE1585" t="s">
        <v>4137</v>
      </c>
    </row>
    <row r="1586" spans="1:31" x14ac:dyDescent="0.3">
      <c r="A1586">
        <v>-73.958131060249997</v>
      </c>
      <c r="B1586">
        <v>40.796021472699998</v>
      </c>
      <c r="C1586" t="s">
        <v>4138</v>
      </c>
      <c r="D1586" t="s">
        <v>175</v>
      </c>
      <c r="E1586" t="s">
        <v>33</v>
      </c>
      <c r="F1586">
        <v>10142018</v>
      </c>
      <c r="G1586">
        <v>5</v>
      </c>
      <c r="H1586" t="s">
        <v>48</v>
      </c>
      <c r="I1586" t="s">
        <v>42</v>
      </c>
      <c r="J1586" t="s">
        <v>96</v>
      </c>
      <c r="K1586" t="s">
        <v>97</v>
      </c>
      <c r="M1586" t="s">
        <v>65</v>
      </c>
      <c r="N1586" t="b">
        <v>0</v>
      </c>
      <c r="P1586" t="b">
        <v>0</v>
      </c>
      <c r="Q1586" t="b">
        <v>1</v>
      </c>
      <c r="R1586" t="b">
        <v>0</v>
      </c>
      <c r="S1586" t="b">
        <v>0</v>
      </c>
      <c r="T1586" t="b">
        <v>0</v>
      </c>
      <c r="U1586" t="s">
        <v>4139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b">
        <v>0</v>
      </c>
      <c r="AB1586" t="b">
        <v>0</v>
      </c>
      <c r="AC1586" t="b">
        <v>1</v>
      </c>
      <c r="AE1586" t="s">
        <v>4140</v>
      </c>
    </row>
    <row r="1587" spans="1:31" x14ac:dyDescent="0.3">
      <c r="A1587">
        <v>-73.961131235530004</v>
      </c>
      <c r="B1587">
        <v>40.79501308639</v>
      </c>
      <c r="C1587" t="s">
        <v>4141</v>
      </c>
      <c r="D1587" t="s">
        <v>372</v>
      </c>
      <c r="E1587" t="s">
        <v>33</v>
      </c>
      <c r="F1587">
        <v>10132018</v>
      </c>
      <c r="G1587">
        <v>4</v>
      </c>
      <c r="I1587" t="s">
        <v>42</v>
      </c>
      <c r="J1587" t="s">
        <v>59</v>
      </c>
      <c r="K1587" t="s">
        <v>79</v>
      </c>
      <c r="M1587" t="s">
        <v>65</v>
      </c>
      <c r="N1587" t="b">
        <v>0</v>
      </c>
      <c r="O1587" t="s">
        <v>4142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s">
        <v>121</v>
      </c>
      <c r="V1587" t="b">
        <v>0</v>
      </c>
      <c r="W1587" t="b">
        <v>0</v>
      </c>
      <c r="X1587" t="b">
        <v>0</v>
      </c>
      <c r="Y1587" t="b">
        <v>0</v>
      </c>
      <c r="Z1587" t="b">
        <v>1</v>
      </c>
      <c r="AA1587" t="b">
        <v>0</v>
      </c>
      <c r="AB1587" t="b">
        <v>1</v>
      </c>
      <c r="AC1587" t="b">
        <v>0</v>
      </c>
      <c r="AE1587" t="s">
        <v>4143</v>
      </c>
    </row>
    <row r="1588" spans="1:31" x14ac:dyDescent="0.3">
      <c r="A1588">
        <v>-73.971415009040001</v>
      </c>
      <c r="B1588">
        <v>40.777497642390003</v>
      </c>
      <c r="C1588" t="s">
        <v>4144</v>
      </c>
      <c r="D1588" t="s">
        <v>1652</v>
      </c>
      <c r="E1588" t="s">
        <v>33</v>
      </c>
      <c r="F1588">
        <v>10062018</v>
      </c>
      <c r="G1588">
        <v>3</v>
      </c>
      <c r="H1588" t="s">
        <v>48</v>
      </c>
      <c r="I1588" t="s">
        <v>42</v>
      </c>
      <c r="J1588" t="s">
        <v>53</v>
      </c>
      <c r="K1588" t="s">
        <v>54</v>
      </c>
      <c r="M1588" t="s">
        <v>65</v>
      </c>
      <c r="N1588" t="b">
        <v>0</v>
      </c>
      <c r="P1588" t="b">
        <v>0</v>
      </c>
      <c r="Q1588" t="b">
        <v>0</v>
      </c>
      <c r="R1588" t="b">
        <v>0</v>
      </c>
      <c r="S1588" t="b">
        <v>1</v>
      </c>
      <c r="T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1</v>
      </c>
      <c r="AA1588" t="b">
        <v>0</v>
      </c>
      <c r="AB1588" t="b">
        <v>1</v>
      </c>
      <c r="AC1588" t="b">
        <v>0</v>
      </c>
      <c r="AE1588" t="s">
        <v>4145</v>
      </c>
    </row>
    <row r="1589" spans="1:31" x14ac:dyDescent="0.3">
      <c r="A1589">
        <v>-73.980551776550001</v>
      </c>
      <c r="B1589">
        <v>40.76830446932</v>
      </c>
      <c r="C1589" t="s">
        <v>4146</v>
      </c>
      <c r="D1589" t="s">
        <v>204</v>
      </c>
      <c r="E1589" t="s">
        <v>33</v>
      </c>
      <c r="F1589">
        <v>10132018</v>
      </c>
      <c r="G1589">
        <v>5</v>
      </c>
      <c r="H1589" t="s">
        <v>48</v>
      </c>
      <c r="I1589" t="s">
        <v>42</v>
      </c>
      <c r="J1589" t="s">
        <v>59</v>
      </c>
      <c r="K1589" t="s">
        <v>79</v>
      </c>
      <c r="M1589" t="s">
        <v>65</v>
      </c>
      <c r="N1589" t="b">
        <v>0</v>
      </c>
      <c r="P1589" t="b">
        <v>1</v>
      </c>
      <c r="Q1589" t="b">
        <v>0</v>
      </c>
      <c r="R1589" t="b">
        <v>1</v>
      </c>
      <c r="S1589" t="b">
        <v>0</v>
      </c>
      <c r="T1589" t="b">
        <v>0</v>
      </c>
      <c r="U1589" t="s">
        <v>4147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b">
        <v>0</v>
      </c>
      <c r="AB1589" t="b">
        <v>0</v>
      </c>
      <c r="AC1589" t="b">
        <v>0</v>
      </c>
      <c r="AD1589" t="s">
        <v>4148</v>
      </c>
      <c r="AE1589" t="s">
        <v>4149</v>
      </c>
    </row>
    <row r="1590" spans="1:31" x14ac:dyDescent="0.3">
      <c r="A1590">
        <v>-73.969320985189995</v>
      </c>
      <c r="B1590">
        <v>40.770745004280002</v>
      </c>
      <c r="C1590" t="s">
        <v>4150</v>
      </c>
      <c r="D1590" t="s">
        <v>1326</v>
      </c>
      <c r="E1590" t="s">
        <v>38</v>
      </c>
      <c r="F1590">
        <v>10062018</v>
      </c>
      <c r="G1590">
        <v>1</v>
      </c>
      <c r="H1590" t="s">
        <v>48</v>
      </c>
      <c r="I1590" t="s">
        <v>42</v>
      </c>
      <c r="J1590" t="s">
        <v>59</v>
      </c>
      <c r="K1590" t="s">
        <v>79</v>
      </c>
      <c r="M1590" t="s">
        <v>65</v>
      </c>
      <c r="N1590" t="b">
        <v>0</v>
      </c>
      <c r="P1590" t="b">
        <v>1</v>
      </c>
      <c r="Q1590" t="b">
        <v>1</v>
      </c>
      <c r="R1590" t="b">
        <v>0</v>
      </c>
      <c r="S1590" t="b">
        <v>0</v>
      </c>
      <c r="T1590" t="b">
        <v>0</v>
      </c>
      <c r="V1590" t="b">
        <v>1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b">
        <v>1</v>
      </c>
      <c r="AC1590" t="b">
        <v>0</v>
      </c>
      <c r="AE1590" t="s">
        <v>4151</v>
      </c>
    </row>
    <row r="1591" spans="1:31" x14ac:dyDescent="0.3">
      <c r="A1591">
        <v>-73.956706202340001</v>
      </c>
      <c r="B1591">
        <v>40.797482865200003</v>
      </c>
      <c r="C1591" t="s">
        <v>4152</v>
      </c>
      <c r="D1591" t="s">
        <v>1245</v>
      </c>
      <c r="E1591" t="s">
        <v>33</v>
      </c>
      <c r="F1591">
        <v>10062018</v>
      </c>
      <c r="G1591">
        <v>2</v>
      </c>
      <c r="H1591" t="s">
        <v>48</v>
      </c>
      <c r="I1591" t="s">
        <v>42</v>
      </c>
      <c r="K1591" t="s">
        <v>43</v>
      </c>
      <c r="M1591" t="s">
        <v>65</v>
      </c>
      <c r="N1591" t="b">
        <v>0</v>
      </c>
      <c r="P1591" t="b">
        <v>0</v>
      </c>
      <c r="Q1591" t="b">
        <v>0</v>
      </c>
      <c r="R1591" t="b">
        <v>1</v>
      </c>
      <c r="S1591" t="b">
        <v>0</v>
      </c>
      <c r="T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b">
        <v>0</v>
      </c>
      <c r="AC1591" t="b">
        <v>0</v>
      </c>
      <c r="AE1591" t="s">
        <v>4153</v>
      </c>
    </row>
    <row r="1592" spans="1:31" x14ac:dyDescent="0.3">
      <c r="A1592">
        <v>-73.961038805919998</v>
      </c>
      <c r="B1592">
        <v>40.793952935839997</v>
      </c>
      <c r="C1592" t="s">
        <v>4154</v>
      </c>
      <c r="D1592" t="s">
        <v>2399</v>
      </c>
      <c r="E1592" t="s">
        <v>33</v>
      </c>
      <c r="F1592">
        <v>10072018</v>
      </c>
      <c r="G1592">
        <v>1</v>
      </c>
      <c r="H1592" t="s">
        <v>48</v>
      </c>
      <c r="I1592" t="s">
        <v>42</v>
      </c>
      <c r="J1592" t="s">
        <v>59</v>
      </c>
      <c r="K1592" t="s">
        <v>79</v>
      </c>
      <c r="M1592" t="s">
        <v>65</v>
      </c>
      <c r="N1592" t="b">
        <v>0</v>
      </c>
      <c r="P1592" t="b">
        <v>1</v>
      </c>
      <c r="Q1592" t="b">
        <v>0</v>
      </c>
      <c r="R1592" t="b">
        <v>0</v>
      </c>
      <c r="S1592" t="b">
        <v>0</v>
      </c>
      <c r="T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b">
        <v>1</v>
      </c>
      <c r="AC1592" t="b">
        <v>0</v>
      </c>
      <c r="AE1592" t="s">
        <v>4155</v>
      </c>
    </row>
    <row r="1593" spans="1:31" x14ac:dyDescent="0.3">
      <c r="A1593">
        <v>-73.957622339010001</v>
      </c>
      <c r="B1593">
        <v>40.797974663959998</v>
      </c>
      <c r="C1593" t="s">
        <v>4156</v>
      </c>
      <c r="D1593" t="s">
        <v>212</v>
      </c>
      <c r="E1593" t="s">
        <v>38</v>
      </c>
      <c r="F1593">
        <v>10192018</v>
      </c>
      <c r="G1593">
        <v>4</v>
      </c>
      <c r="H1593" t="s">
        <v>105</v>
      </c>
      <c r="I1593" t="s">
        <v>42</v>
      </c>
      <c r="J1593" t="s">
        <v>96</v>
      </c>
      <c r="K1593" t="s">
        <v>97</v>
      </c>
      <c r="M1593" t="s">
        <v>65</v>
      </c>
      <c r="N1593" t="b">
        <v>0</v>
      </c>
      <c r="P1593" t="b">
        <v>0</v>
      </c>
      <c r="Q1593" t="b">
        <v>0</v>
      </c>
      <c r="R1593" t="b">
        <v>1</v>
      </c>
      <c r="S1593" t="b">
        <v>0</v>
      </c>
      <c r="T1593" t="b">
        <v>1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b">
        <v>1</v>
      </c>
      <c r="AB1593" t="b">
        <v>1</v>
      </c>
      <c r="AC1593" t="b">
        <v>0</v>
      </c>
      <c r="AE1593" t="s">
        <v>4157</v>
      </c>
    </row>
    <row r="1594" spans="1:31" x14ac:dyDescent="0.3">
      <c r="A1594">
        <v>-73.957551791239993</v>
      </c>
      <c r="B1594">
        <v>40.788915826820002</v>
      </c>
      <c r="C1594" t="s">
        <v>4158</v>
      </c>
      <c r="D1594" t="s">
        <v>180</v>
      </c>
      <c r="E1594" t="s">
        <v>33</v>
      </c>
      <c r="F1594">
        <v>10082018</v>
      </c>
      <c r="G1594">
        <v>5</v>
      </c>
      <c r="H1594" t="s">
        <v>48</v>
      </c>
      <c r="I1594" t="s">
        <v>42</v>
      </c>
      <c r="J1594" t="s">
        <v>96</v>
      </c>
      <c r="K1594" t="s">
        <v>97</v>
      </c>
      <c r="M1594" t="s">
        <v>44</v>
      </c>
      <c r="P1594" t="b">
        <v>0</v>
      </c>
      <c r="Q1594" t="b">
        <v>0</v>
      </c>
      <c r="R1594" t="b">
        <v>1</v>
      </c>
      <c r="S1594" t="b">
        <v>0</v>
      </c>
      <c r="T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b">
        <v>0</v>
      </c>
      <c r="AB1594" t="b">
        <v>0</v>
      </c>
      <c r="AC1594" t="b">
        <v>1</v>
      </c>
      <c r="AE1594" t="s">
        <v>4159</v>
      </c>
    </row>
    <row r="1595" spans="1:31" x14ac:dyDescent="0.3">
      <c r="A1595">
        <v>-73.967653968869996</v>
      </c>
      <c r="B1595">
        <v>40.777722993410002</v>
      </c>
      <c r="C1595" t="s">
        <v>4160</v>
      </c>
      <c r="D1595" t="s">
        <v>957</v>
      </c>
      <c r="E1595" t="s">
        <v>38</v>
      </c>
      <c r="F1595">
        <v>10082018</v>
      </c>
      <c r="G1595">
        <v>2</v>
      </c>
      <c r="H1595" t="s">
        <v>48</v>
      </c>
      <c r="I1595" t="s">
        <v>42</v>
      </c>
      <c r="J1595" t="s">
        <v>96</v>
      </c>
      <c r="K1595" t="s">
        <v>97</v>
      </c>
      <c r="M1595" t="s">
        <v>65</v>
      </c>
      <c r="N1595" t="b">
        <v>0</v>
      </c>
      <c r="O1595" t="s">
        <v>2700</v>
      </c>
      <c r="P1595" t="b">
        <v>0</v>
      </c>
      <c r="Q1595" t="b">
        <v>0</v>
      </c>
      <c r="R1595" t="b">
        <v>0</v>
      </c>
      <c r="S1595" t="b">
        <v>0</v>
      </c>
      <c r="T1595" t="b">
        <v>1</v>
      </c>
      <c r="V1595" t="b">
        <v>0</v>
      </c>
      <c r="W1595" t="b">
        <v>0</v>
      </c>
      <c r="X1595" t="b">
        <v>0</v>
      </c>
      <c r="Y1595" t="b">
        <v>0</v>
      </c>
      <c r="Z1595" t="b">
        <v>1</v>
      </c>
      <c r="AA1595" t="b">
        <v>0</v>
      </c>
      <c r="AB1595" t="b">
        <v>0</v>
      </c>
      <c r="AC1595" t="b">
        <v>0</v>
      </c>
      <c r="AE1595" t="s">
        <v>4161</v>
      </c>
    </row>
    <row r="1596" spans="1:31" x14ac:dyDescent="0.3">
      <c r="A1596">
        <v>-73.9778730763</v>
      </c>
      <c r="B1596">
        <v>40.770827251550003</v>
      </c>
      <c r="C1596" t="s">
        <v>4162</v>
      </c>
      <c r="D1596" t="s">
        <v>2861</v>
      </c>
      <c r="E1596" t="s">
        <v>33</v>
      </c>
      <c r="F1596">
        <v>10132018</v>
      </c>
      <c r="G1596">
        <v>5</v>
      </c>
      <c r="H1596" t="s">
        <v>48</v>
      </c>
      <c r="I1596" t="s">
        <v>42</v>
      </c>
      <c r="K1596" t="s">
        <v>43</v>
      </c>
      <c r="M1596" t="s">
        <v>44</v>
      </c>
      <c r="N1596">
        <v>3</v>
      </c>
      <c r="P1596" t="b">
        <v>1</v>
      </c>
      <c r="Q1596" t="b">
        <v>0</v>
      </c>
      <c r="R1596" t="b">
        <v>1</v>
      </c>
      <c r="S1596" t="b">
        <v>0</v>
      </c>
      <c r="T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b">
        <v>0</v>
      </c>
      <c r="AB1596" t="b">
        <v>0</v>
      </c>
      <c r="AC1596" t="b">
        <v>1</v>
      </c>
      <c r="AE1596" t="s">
        <v>4163</v>
      </c>
    </row>
    <row r="1597" spans="1:31" x14ac:dyDescent="0.3">
      <c r="A1597">
        <v>-73.975469631219994</v>
      </c>
      <c r="B1597">
        <v>40.768191647089999</v>
      </c>
      <c r="C1597" t="s">
        <v>4164</v>
      </c>
      <c r="D1597" t="s">
        <v>782</v>
      </c>
      <c r="E1597" t="s">
        <v>38</v>
      </c>
      <c r="F1597">
        <v>10202018</v>
      </c>
      <c r="G1597">
        <v>2</v>
      </c>
      <c r="H1597" t="s">
        <v>48</v>
      </c>
      <c r="I1597" t="s">
        <v>42</v>
      </c>
      <c r="J1597" t="s">
        <v>96</v>
      </c>
      <c r="K1597" t="s">
        <v>97</v>
      </c>
      <c r="L1597" t="s">
        <v>809</v>
      </c>
      <c r="M1597" t="s">
        <v>44</v>
      </c>
      <c r="N1597">
        <v>15</v>
      </c>
      <c r="P1597" t="b">
        <v>0</v>
      </c>
      <c r="Q1597" t="b">
        <v>0</v>
      </c>
      <c r="R1597" t="b">
        <v>1</v>
      </c>
      <c r="S1597" t="b">
        <v>0</v>
      </c>
      <c r="T1597" t="b">
        <v>1</v>
      </c>
      <c r="U1597" t="s">
        <v>4165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b">
        <v>1</v>
      </c>
      <c r="AC1597" t="b">
        <v>0</v>
      </c>
      <c r="AE1597" t="s">
        <v>4166</v>
      </c>
    </row>
    <row r="1598" spans="1:31" x14ac:dyDescent="0.3">
      <c r="A1598">
        <v>-73.966694512390006</v>
      </c>
      <c r="B1598">
        <v>40.783995649319998</v>
      </c>
      <c r="C1598" t="s">
        <v>4167</v>
      </c>
      <c r="D1598" t="s">
        <v>689</v>
      </c>
      <c r="E1598" t="s">
        <v>33</v>
      </c>
      <c r="F1598">
        <v>10062018</v>
      </c>
      <c r="G1598">
        <v>11</v>
      </c>
      <c r="H1598" t="s">
        <v>105</v>
      </c>
      <c r="I1598" t="s">
        <v>42</v>
      </c>
      <c r="K1598" t="s">
        <v>43</v>
      </c>
      <c r="M1598" t="s">
        <v>44</v>
      </c>
      <c r="N1598">
        <v>13</v>
      </c>
      <c r="P1598" t="b">
        <v>0</v>
      </c>
      <c r="Q1598" t="b">
        <v>0</v>
      </c>
      <c r="R1598" t="b">
        <v>1</v>
      </c>
      <c r="S1598" t="b">
        <v>0</v>
      </c>
      <c r="T1598" t="b">
        <v>0</v>
      </c>
      <c r="V1598" t="b">
        <v>1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E1598" t="s">
        <v>4168</v>
      </c>
    </row>
    <row r="1599" spans="1:31" x14ac:dyDescent="0.3">
      <c r="A1599">
        <v>-73.978940144860005</v>
      </c>
      <c r="B1599">
        <v>40.769737314149999</v>
      </c>
      <c r="C1599" t="s">
        <v>4169</v>
      </c>
      <c r="D1599" t="s">
        <v>886</v>
      </c>
      <c r="E1599" t="s">
        <v>38</v>
      </c>
      <c r="F1599">
        <v>10102018</v>
      </c>
      <c r="G1599">
        <v>4</v>
      </c>
      <c r="H1599" t="s">
        <v>48</v>
      </c>
      <c r="I1599" t="s">
        <v>42</v>
      </c>
      <c r="J1599" t="s">
        <v>53</v>
      </c>
      <c r="K1599" t="s">
        <v>54</v>
      </c>
      <c r="M1599" t="s">
        <v>65</v>
      </c>
      <c r="N1599" t="b">
        <v>0</v>
      </c>
      <c r="P1599" t="b">
        <v>0</v>
      </c>
      <c r="Q1599" t="b">
        <v>0</v>
      </c>
      <c r="R1599" t="b">
        <v>0</v>
      </c>
      <c r="S1599" t="b">
        <v>1</v>
      </c>
      <c r="T1599" t="b">
        <v>1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b">
        <v>1</v>
      </c>
      <c r="AB1599" t="b">
        <v>0</v>
      </c>
      <c r="AC1599" t="b">
        <v>0</v>
      </c>
      <c r="AE1599" t="s">
        <v>4170</v>
      </c>
    </row>
    <row r="1600" spans="1:31" x14ac:dyDescent="0.3">
      <c r="A1600">
        <v>-73.972682846010002</v>
      </c>
      <c r="B1600">
        <v>40.770570769480003</v>
      </c>
      <c r="C1600" t="s">
        <v>4171</v>
      </c>
      <c r="D1600" t="s">
        <v>353</v>
      </c>
      <c r="E1600" t="s">
        <v>38</v>
      </c>
      <c r="F1600">
        <v>10082018</v>
      </c>
      <c r="G1600">
        <v>8</v>
      </c>
      <c r="H1600" t="s">
        <v>48</v>
      </c>
      <c r="I1600" t="s">
        <v>42</v>
      </c>
      <c r="K1600" t="s">
        <v>43</v>
      </c>
      <c r="M1600" t="s">
        <v>44</v>
      </c>
      <c r="N1600">
        <v>20</v>
      </c>
      <c r="P1600" t="b">
        <v>0</v>
      </c>
      <c r="Q1600" t="b">
        <v>0</v>
      </c>
      <c r="R1600" t="b">
        <v>1</v>
      </c>
      <c r="S1600" t="b">
        <v>0</v>
      </c>
      <c r="T1600" t="b">
        <v>0</v>
      </c>
      <c r="U1600" t="s">
        <v>4172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b">
        <v>1</v>
      </c>
      <c r="AC1600" t="b">
        <v>0</v>
      </c>
      <c r="AE1600" t="s">
        <v>4173</v>
      </c>
    </row>
    <row r="1601" spans="1:31" x14ac:dyDescent="0.3">
      <c r="A1601">
        <v>-73.978260334870001</v>
      </c>
      <c r="B1601">
        <v>40.770579025799996</v>
      </c>
      <c r="C1601" t="s">
        <v>4174</v>
      </c>
      <c r="D1601" t="s">
        <v>2861</v>
      </c>
      <c r="E1601" t="s">
        <v>33</v>
      </c>
      <c r="F1601">
        <v>10132018</v>
      </c>
      <c r="G1601">
        <v>6</v>
      </c>
      <c r="H1601" t="s">
        <v>48</v>
      </c>
      <c r="I1601" t="s">
        <v>42</v>
      </c>
      <c r="K1601" t="s">
        <v>43</v>
      </c>
      <c r="M1601" t="s">
        <v>44</v>
      </c>
      <c r="N1601">
        <v>5</v>
      </c>
      <c r="P1601" t="b">
        <v>1</v>
      </c>
      <c r="Q1601" t="b">
        <v>0</v>
      </c>
      <c r="R1601" t="b">
        <v>1</v>
      </c>
      <c r="S1601" t="b">
        <v>0</v>
      </c>
      <c r="T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b">
        <v>0</v>
      </c>
      <c r="AB1601" t="b">
        <v>0</v>
      </c>
      <c r="AC1601" t="b">
        <v>0</v>
      </c>
      <c r="AE1601" t="s">
        <v>4175</v>
      </c>
    </row>
    <row r="1602" spans="1:31" x14ac:dyDescent="0.3">
      <c r="A1602">
        <v>-73.9753093777</v>
      </c>
      <c r="B1602">
        <v>40.766667389760002</v>
      </c>
      <c r="C1602" t="s">
        <v>4176</v>
      </c>
      <c r="D1602" t="s">
        <v>471</v>
      </c>
      <c r="E1602" t="s">
        <v>38</v>
      </c>
      <c r="F1602">
        <v>10062018</v>
      </c>
      <c r="G1602">
        <v>4</v>
      </c>
      <c r="H1602" t="s">
        <v>48</v>
      </c>
      <c r="I1602" t="s">
        <v>42</v>
      </c>
      <c r="J1602" t="s">
        <v>96</v>
      </c>
      <c r="K1602" t="s">
        <v>97</v>
      </c>
      <c r="L1602" t="s">
        <v>4177</v>
      </c>
      <c r="M1602" t="s">
        <v>65</v>
      </c>
      <c r="N1602" t="b">
        <v>0</v>
      </c>
      <c r="P1602" t="b">
        <v>1</v>
      </c>
      <c r="Q1602" t="b">
        <v>0</v>
      </c>
      <c r="R1602" t="b">
        <v>0</v>
      </c>
      <c r="S1602" t="b">
        <v>0</v>
      </c>
      <c r="T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1</v>
      </c>
      <c r="AA1602" t="b">
        <v>0</v>
      </c>
      <c r="AB1602" t="b">
        <v>1</v>
      </c>
      <c r="AC1602" t="b">
        <v>0</v>
      </c>
      <c r="AE1602" t="s">
        <v>4178</v>
      </c>
    </row>
    <row r="1603" spans="1:31" x14ac:dyDescent="0.3">
      <c r="A1603">
        <v>-73.954427827019998</v>
      </c>
      <c r="B1603">
        <v>40.79878273165</v>
      </c>
      <c r="C1603" t="s">
        <v>4179</v>
      </c>
      <c r="D1603" t="s">
        <v>1424</v>
      </c>
      <c r="E1603" t="s">
        <v>33</v>
      </c>
      <c r="F1603">
        <v>10132018</v>
      </c>
      <c r="G1603">
        <v>2</v>
      </c>
      <c r="H1603" t="s">
        <v>48</v>
      </c>
      <c r="I1603" t="s">
        <v>53</v>
      </c>
      <c r="J1603" t="s">
        <v>42</v>
      </c>
      <c r="K1603" t="s">
        <v>89</v>
      </c>
      <c r="L1603" t="s">
        <v>4180</v>
      </c>
      <c r="M1603" t="s">
        <v>65</v>
      </c>
      <c r="N1603" t="b">
        <v>0</v>
      </c>
      <c r="P1603" t="b">
        <v>0</v>
      </c>
      <c r="Q1603" t="b">
        <v>1</v>
      </c>
      <c r="R1603" t="b">
        <v>0</v>
      </c>
      <c r="S1603" t="b">
        <v>0</v>
      </c>
      <c r="T1603" t="b">
        <v>1</v>
      </c>
      <c r="U1603" t="s">
        <v>4181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b">
        <v>0</v>
      </c>
      <c r="AB1603" t="b">
        <v>1</v>
      </c>
      <c r="AC1603" t="b">
        <v>0</v>
      </c>
      <c r="AE1603" t="s">
        <v>4182</v>
      </c>
    </row>
    <row r="1604" spans="1:31" x14ac:dyDescent="0.3">
      <c r="A1604">
        <v>-73.972883672730006</v>
      </c>
      <c r="B1604">
        <v>40.770815850600002</v>
      </c>
      <c r="C1604" t="s">
        <v>4183</v>
      </c>
      <c r="D1604" t="s">
        <v>353</v>
      </c>
      <c r="E1604" t="s">
        <v>38</v>
      </c>
      <c r="F1604">
        <v>10082018</v>
      </c>
      <c r="G1604">
        <v>10</v>
      </c>
      <c r="H1604" t="s">
        <v>48</v>
      </c>
      <c r="I1604" t="s">
        <v>42</v>
      </c>
      <c r="K1604" t="s">
        <v>43</v>
      </c>
      <c r="M1604" t="s">
        <v>65</v>
      </c>
      <c r="N1604" t="b">
        <v>0</v>
      </c>
      <c r="P1604" t="b">
        <v>1</v>
      </c>
      <c r="Q1604" t="b">
        <v>0</v>
      </c>
      <c r="R1604" t="b">
        <v>0</v>
      </c>
      <c r="S1604" t="b">
        <v>0</v>
      </c>
      <c r="T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b">
        <v>0</v>
      </c>
      <c r="AB1604" t="b">
        <v>1</v>
      </c>
      <c r="AC1604" t="b">
        <v>0</v>
      </c>
      <c r="AE1604" t="s">
        <v>4184</v>
      </c>
    </row>
    <row r="1605" spans="1:31" x14ac:dyDescent="0.3">
      <c r="A1605">
        <v>-73.954592924219995</v>
      </c>
      <c r="B1605">
        <v>40.798694016870002</v>
      </c>
      <c r="C1605" t="s">
        <v>4185</v>
      </c>
      <c r="D1605" t="s">
        <v>1424</v>
      </c>
      <c r="E1605" t="s">
        <v>38</v>
      </c>
      <c r="F1605">
        <v>10142018</v>
      </c>
      <c r="G1605">
        <v>2</v>
      </c>
      <c r="H1605" t="s">
        <v>48</v>
      </c>
      <c r="I1605" t="s">
        <v>42</v>
      </c>
      <c r="J1605" t="s">
        <v>96</v>
      </c>
      <c r="K1605" t="s">
        <v>97</v>
      </c>
      <c r="L1605" t="s">
        <v>1381</v>
      </c>
      <c r="M1605" t="s">
        <v>65</v>
      </c>
      <c r="N1605" t="b">
        <v>0</v>
      </c>
      <c r="P1605" t="b">
        <v>0</v>
      </c>
      <c r="Q1605" t="b">
        <v>0</v>
      </c>
      <c r="R1605" t="b">
        <v>0</v>
      </c>
      <c r="S1605" t="b">
        <v>1</v>
      </c>
      <c r="T1605" t="b">
        <v>1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b">
        <v>1</v>
      </c>
      <c r="AC1605" t="b">
        <v>0</v>
      </c>
      <c r="AE1605" t="s">
        <v>4186</v>
      </c>
    </row>
    <row r="1606" spans="1:31" x14ac:dyDescent="0.3">
      <c r="A1606">
        <v>-73.973464447080005</v>
      </c>
      <c r="B1606">
        <v>40.778276648690003</v>
      </c>
      <c r="C1606" t="s">
        <v>4187</v>
      </c>
      <c r="D1606" t="s">
        <v>785</v>
      </c>
      <c r="E1606" t="s">
        <v>33</v>
      </c>
      <c r="F1606">
        <v>10142018</v>
      </c>
      <c r="G1606">
        <v>5</v>
      </c>
      <c r="H1606" t="s">
        <v>48</v>
      </c>
      <c r="I1606" t="s">
        <v>42</v>
      </c>
      <c r="J1606" t="s">
        <v>59</v>
      </c>
      <c r="K1606" t="s">
        <v>79</v>
      </c>
      <c r="M1606" t="s">
        <v>65</v>
      </c>
      <c r="N1606" t="b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b">
        <v>0</v>
      </c>
      <c r="AB1606" t="b">
        <v>1</v>
      </c>
      <c r="AC1606" t="b">
        <v>0</v>
      </c>
      <c r="AE1606" t="s">
        <v>4188</v>
      </c>
    </row>
    <row r="1607" spans="1:31" x14ac:dyDescent="0.3">
      <c r="A1607">
        <v>-73.969036238460006</v>
      </c>
      <c r="B1607">
        <v>40.776716282439999</v>
      </c>
      <c r="C1607" t="s">
        <v>4189</v>
      </c>
      <c r="D1607" t="s">
        <v>225</v>
      </c>
      <c r="E1607" t="s">
        <v>33</v>
      </c>
      <c r="F1607">
        <v>10122018</v>
      </c>
      <c r="G1607">
        <v>9</v>
      </c>
      <c r="H1607" t="s">
        <v>48</v>
      </c>
      <c r="I1607" t="s">
        <v>53</v>
      </c>
      <c r="J1607" t="s">
        <v>115</v>
      </c>
      <c r="K1607" t="s">
        <v>116</v>
      </c>
      <c r="M1607" t="s">
        <v>65</v>
      </c>
      <c r="N1607" t="b">
        <v>0</v>
      </c>
      <c r="P1607" t="b">
        <v>0</v>
      </c>
      <c r="Q1607" t="b">
        <v>0</v>
      </c>
      <c r="R1607" t="b">
        <v>0</v>
      </c>
      <c r="S1607" t="b">
        <v>1</v>
      </c>
      <c r="T1607" t="b">
        <v>1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b">
        <v>0</v>
      </c>
      <c r="AB1607" t="b">
        <v>1</v>
      </c>
      <c r="AC1607" t="b">
        <v>0</v>
      </c>
      <c r="AE1607" t="s">
        <v>4190</v>
      </c>
    </row>
    <row r="1608" spans="1:31" x14ac:dyDescent="0.3">
      <c r="A1608">
        <v>-73.962893279789995</v>
      </c>
      <c r="B1608">
        <v>40.792311639639998</v>
      </c>
      <c r="C1608" t="s">
        <v>4191</v>
      </c>
      <c r="D1608" t="s">
        <v>773</v>
      </c>
      <c r="E1608" t="s">
        <v>33</v>
      </c>
      <c r="F1608">
        <v>10102018</v>
      </c>
      <c r="G1608">
        <v>5</v>
      </c>
      <c r="H1608" t="s">
        <v>48</v>
      </c>
      <c r="I1608" t="s">
        <v>42</v>
      </c>
      <c r="K1608" t="s">
        <v>43</v>
      </c>
      <c r="M1608" t="s">
        <v>65</v>
      </c>
      <c r="N1608" t="b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1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E1608" t="s">
        <v>4192</v>
      </c>
    </row>
    <row r="1609" spans="1:31" x14ac:dyDescent="0.3">
      <c r="A1609">
        <v>-73.977050858499993</v>
      </c>
      <c r="B1609">
        <v>40.77107693013</v>
      </c>
      <c r="C1609" t="s">
        <v>4193</v>
      </c>
      <c r="D1609" t="s">
        <v>2798</v>
      </c>
      <c r="E1609" t="s">
        <v>38</v>
      </c>
      <c r="F1609">
        <v>10072018</v>
      </c>
      <c r="G1609">
        <v>2</v>
      </c>
      <c r="H1609" t="s">
        <v>48</v>
      </c>
      <c r="K1609" t="s">
        <v>34</v>
      </c>
      <c r="M1609" t="s">
        <v>44</v>
      </c>
      <c r="N1609">
        <v>15</v>
      </c>
      <c r="P1609" t="b">
        <v>0</v>
      </c>
      <c r="Q1609" t="b">
        <v>0</v>
      </c>
      <c r="R1609" t="b">
        <v>1</v>
      </c>
      <c r="S1609" t="b">
        <v>0</v>
      </c>
      <c r="T1609" t="b">
        <v>0</v>
      </c>
      <c r="U1609" t="s">
        <v>4194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  <c r="AE1609" t="s">
        <v>4195</v>
      </c>
    </row>
    <row r="1610" spans="1:31" x14ac:dyDescent="0.3">
      <c r="A1610">
        <v>-73.954542552090004</v>
      </c>
      <c r="B1610">
        <v>40.795685341599999</v>
      </c>
      <c r="C1610" t="s">
        <v>4196</v>
      </c>
      <c r="D1610" t="s">
        <v>1063</v>
      </c>
      <c r="E1610" t="s">
        <v>33</v>
      </c>
      <c r="F1610">
        <v>10062018</v>
      </c>
      <c r="G1610">
        <v>4</v>
      </c>
      <c r="H1610" t="s">
        <v>48</v>
      </c>
      <c r="I1610" t="s">
        <v>42</v>
      </c>
      <c r="J1610" t="s">
        <v>53</v>
      </c>
      <c r="K1610" t="s">
        <v>54</v>
      </c>
      <c r="M1610" t="s">
        <v>44</v>
      </c>
      <c r="N1610">
        <v>35</v>
      </c>
      <c r="O1610" t="s">
        <v>456</v>
      </c>
      <c r="P1610" t="b">
        <v>0</v>
      </c>
      <c r="Q1610" t="b">
        <v>0</v>
      </c>
      <c r="R1610" t="b">
        <v>1</v>
      </c>
      <c r="S1610" t="b">
        <v>0</v>
      </c>
      <c r="T1610" t="b">
        <v>0</v>
      </c>
      <c r="U1610" t="s">
        <v>4197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b">
        <v>0</v>
      </c>
      <c r="AC1610" t="b">
        <v>1</v>
      </c>
      <c r="AD1610" t="s">
        <v>4198</v>
      </c>
      <c r="AE1610" t="s">
        <v>4199</v>
      </c>
    </row>
    <row r="1611" spans="1:31" x14ac:dyDescent="0.3">
      <c r="A1611">
        <v>-73.96390249881</v>
      </c>
      <c r="B1611">
        <v>40.77769530658</v>
      </c>
      <c r="C1611" t="s">
        <v>4200</v>
      </c>
      <c r="D1611" t="s">
        <v>1141</v>
      </c>
      <c r="E1611" t="s">
        <v>33</v>
      </c>
      <c r="F1611">
        <v>10072018</v>
      </c>
      <c r="G1611">
        <v>1</v>
      </c>
      <c r="H1611" t="s">
        <v>48</v>
      </c>
      <c r="I1611" t="s">
        <v>42</v>
      </c>
      <c r="J1611" t="s">
        <v>53</v>
      </c>
      <c r="K1611" t="s">
        <v>54</v>
      </c>
      <c r="M1611" t="s">
        <v>44</v>
      </c>
      <c r="N1611">
        <v>25</v>
      </c>
      <c r="P1611" t="b">
        <v>0</v>
      </c>
      <c r="Q1611" t="b">
        <v>0</v>
      </c>
      <c r="R1611" t="b">
        <v>1</v>
      </c>
      <c r="S1611" t="b">
        <v>1</v>
      </c>
      <c r="T1611" t="b">
        <v>1</v>
      </c>
      <c r="U1611" t="s">
        <v>4201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b">
        <v>0</v>
      </c>
      <c r="AB1611" t="b">
        <v>1</v>
      </c>
      <c r="AC1611" t="b">
        <v>0</v>
      </c>
      <c r="AE1611" t="s">
        <v>4202</v>
      </c>
    </row>
    <row r="1612" spans="1:31" x14ac:dyDescent="0.3">
      <c r="A1612">
        <v>-73.960705661150001</v>
      </c>
      <c r="B1612">
        <v>40.788978610389997</v>
      </c>
      <c r="C1612" t="s">
        <v>4203</v>
      </c>
      <c r="D1612" t="s">
        <v>1099</v>
      </c>
      <c r="E1612" t="s">
        <v>38</v>
      </c>
      <c r="F1612">
        <v>10082018</v>
      </c>
      <c r="G1612">
        <v>3</v>
      </c>
      <c r="H1612" t="s">
        <v>48</v>
      </c>
      <c r="I1612" t="s">
        <v>42</v>
      </c>
      <c r="K1612" t="s">
        <v>43</v>
      </c>
      <c r="M1612" t="s">
        <v>44</v>
      </c>
      <c r="N1612">
        <v>6</v>
      </c>
      <c r="P1612" t="b">
        <v>0</v>
      </c>
      <c r="Q1612" t="b">
        <v>0</v>
      </c>
      <c r="R1612" t="b">
        <v>1</v>
      </c>
      <c r="S1612" t="b">
        <v>0</v>
      </c>
      <c r="T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b">
        <v>0</v>
      </c>
      <c r="AB1612" t="b">
        <v>1</v>
      </c>
      <c r="AC1612" t="b">
        <v>0</v>
      </c>
      <c r="AE1612" t="s">
        <v>4204</v>
      </c>
    </row>
    <row r="1613" spans="1:31" x14ac:dyDescent="0.3">
      <c r="A1613">
        <v>-73.965523853980002</v>
      </c>
      <c r="B1613">
        <v>40.781563394769996</v>
      </c>
      <c r="C1613" t="s">
        <v>4205</v>
      </c>
      <c r="D1613" t="s">
        <v>1056</v>
      </c>
      <c r="E1613" t="s">
        <v>38</v>
      </c>
      <c r="F1613">
        <v>10172018</v>
      </c>
      <c r="G1613">
        <v>3</v>
      </c>
      <c r="H1613" t="s">
        <v>48</v>
      </c>
      <c r="I1613" t="s">
        <v>42</v>
      </c>
      <c r="K1613" t="s">
        <v>43</v>
      </c>
      <c r="M1613" t="s">
        <v>44</v>
      </c>
      <c r="N1613">
        <v>7</v>
      </c>
      <c r="P1613" t="b">
        <v>0</v>
      </c>
      <c r="Q1613" t="b">
        <v>1</v>
      </c>
      <c r="R1613" t="b">
        <v>0</v>
      </c>
      <c r="S1613" t="b">
        <v>0</v>
      </c>
      <c r="T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 t="b">
        <v>1</v>
      </c>
      <c r="AC1613" t="b">
        <v>0</v>
      </c>
      <c r="AE1613" t="s">
        <v>4206</v>
      </c>
    </row>
    <row r="1614" spans="1:31" x14ac:dyDescent="0.3">
      <c r="A1614">
        <v>-73.974604908849997</v>
      </c>
      <c r="B1614">
        <v>40.772877688740003</v>
      </c>
      <c r="C1614" t="s">
        <v>4207</v>
      </c>
      <c r="D1614" t="s">
        <v>793</v>
      </c>
      <c r="E1614" t="s">
        <v>38</v>
      </c>
      <c r="F1614">
        <v>10072018</v>
      </c>
      <c r="G1614">
        <v>1</v>
      </c>
      <c r="H1614" t="s">
        <v>48</v>
      </c>
      <c r="I1614" t="s">
        <v>42</v>
      </c>
      <c r="K1614" t="s">
        <v>43</v>
      </c>
      <c r="M1614" t="s">
        <v>65</v>
      </c>
      <c r="N1614" t="b">
        <v>0</v>
      </c>
      <c r="O1614" t="s">
        <v>4208</v>
      </c>
      <c r="P1614" t="b">
        <v>1</v>
      </c>
      <c r="Q1614" t="b">
        <v>0</v>
      </c>
      <c r="R1614" t="b">
        <v>0</v>
      </c>
      <c r="S1614" t="b">
        <v>0</v>
      </c>
      <c r="T1614" t="b">
        <v>1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b">
        <v>0</v>
      </c>
      <c r="AB1614" t="b">
        <v>1</v>
      </c>
      <c r="AC1614" t="b">
        <v>0</v>
      </c>
      <c r="AE1614" t="s">
        <v>4209</v>
      </c>
    </row>
    <row r="1615" spans="1:31" x14ac:dyDescent="0.3">
      <c r="A1615">
        <v>-73.959920223349997</v>
      </c>
      <c r="B1615">
        <v>40.797259993019999</v>
      </c>
      <c r="C1615" t="s">
        <v>4210</v>
      </c>
      <c r="D1615" t="s">
        <v>680</v>
      </c>
      <c r="E1615" t="s">
        <v>38</v>
      </c>
      <c r="F1615">
        <v>10192018</v>
      </c>
      <c r="G1615">
        <v>2</v>
      </c>
      <c r="H1615" t="s">
        <v>48</v>
      </c>
      <c r="I1615" t="s">
        <v>42</v>
      </c>
      <c r="K1615" t="s">
        <v>43</v>
      </c>
      <c r="M1615" t="s">
        <v>44</v>
      </c>
      <c r="N1615">
        <v>3</v>
      </c>
      <c r="P1615" t="b">
        <v>1</v>
      </c>
      <c r="Q1615" t="b">
        <v>1</v>
      </c>
      <c r="R1615" t="b">
        <v>1</v>
      </c>
      <c r="S1615" t="b">
        <v>0</v>
      </c>
      <c r="T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b">
        <v>0</v>
      </c>
      <c r="AB1615" t="b">
        <v>1</v>
      </c>
      <c r="AC1615" t="b">
        <v>0</v>
      </c>
      <c r="AE1615" t="s">
        <v>4211</v>
      </c>
    </row>
    <row r="1616" spans="1:31" x14ac:dyDescent="0.3">
      <c r="A1616">
        <v>-73.980671825840005</v>
      </c>
      <c r="B1616">
        <v>40.769277689699997</v>
      </c>
      <c r="C1616" t="s">
        <v>4212</v>
      </c>
      <c r="D1616" t="s">
        <v>1906</v>
      </c>
      <c r="E1616" t="s">
        <v>38</v>
      </c>
      <c r="F1616">
        <v>10102018</v>
      </c>
      <c r="G1616">
        <v>7</v>
      </c>
      <c r="H1616" t="s">
        <v>48</v>
      </c>
      <c r="I1616" t="s">
        <v>42</v>
      </c>
      <c r="J1616" t="s">
        <v>53</v>
      </c>
      <c r="K1616" t="s">
        <v>54</v>
      </c>
      <c r="M1616" t="s">
        <v>65</v>
      </c>
      <c r="N1616" t="b">
        <v>0</v>
      </c>
      <c r="P1616" t="b">
        <v>0</v>
      </c>
      <c r="Q1616" t="b">
        <v>0</v>
      </c>
      <c r="R1616" t="b">
        <v>0</v>
      </c>
      <c r="S1616" t="b">
        <v>1</v>
      </c>
      <c r="T1616" t="b">
        <v>1</v>
      </c>
      <c r="V1616" t="b">
        <v>0</v>
      </c>
      <c r="W1616" t="b">
        <v>0</v>
      </c>
      <c r="X1616" t="b">
        <v>0</v>
      </c>
      <c r="Y1616" t="b">
        <v>0</v>
      </c>
      <c r="Z1616" t="b">
        <v>1</v>
      </c>
      <c r="AA1616" t="b">
        <v>0</v>
      </c>
      <c r="AB1616" t="b">
        <v>0</v>
      </c>
      <c r="AC1616" t="b">
        <v>0</v>
      </c>
      <c r="AD1616" t="s">
        <v>4213</v>
      </c>
      <c r="AE1616" t="s">
        <v>4214</v>
      </c>
    </row>
    <row r="1617" spans="1:31" x14ac:dyDescent="0.3">
      <c r="A1617">
        <v>-73.956421568980005</v>
      </c>
      <c r="B1617">
        <v>40.795753944410002</v>
      </c>
      <c r="C1617" t="s">
        <v>4215</v>
      </c>
      <c r="D1617" t="s">
        <v>520</v>
      </c>
      <c r="E1617" t="s">
        <v>38</v>
      </c>
      <c r="F1617">
        <v>10102018</v>
      </c>
      <c r="G1617">
        <v>1</v>
      </c>
      <c r="H1617" t="s">
        <v>48</v>
      </c>
      <c r="I1617" t="s">
        <v>42</v>
      </c>
      <c r="J1617" t="s">
        <v>53</v>
      </c>
      <c r="K1617" t="s">
        <v>54</v>
      </c>
      <c r="M1617" t="s">
        <v>65</v>
      </c>
      <c r="N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1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b">
        <v>0</v>
      </c>
      <c r="AB1617" t="b">
        <v>1</v>
      </c>
      <c r="AC1617" t="b">
        <v>0</v>
      </c>
      <c r="AE1617" t="s">
        <v>4216</v>
      </c>
    </row>
    <row r="1618" spans="1:31" x14ac:dyDescent="0.3">
      <c r="A1618">
        <v>-73.964266601320006</v>
      </c>
      <c r="B1618">
        <v>40.781038486740002</v>
      </c>
      <c r="C1618" t="s">
        <v>4217</v>
      </c>
      <c r="D1618" t="s">
        <v>343</v>
      </c>
      <c r="E1618" t="s">
        <v>33</v>
      </c>
      <c r="F1618">
        <v>10072018</v>
      </c>
      <c r="G1618">
        <v>3</v>
      </c>
      <c r="H1618" t="s">
        <v>48</v>
      </c>
      <c r="I1618" t="s">
        <v>42</v>
      </c>
      <c r="J1618" t="s">
        <v>53</v>
      </c>
      <c r="K1618" t="s">
        <v>54</v>
      </c>
      <c r="M1618" t="s">
        <v>65</v>
      </c>
      <c r="N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1</v>
      </c>
      <c r="V1618" t="b">
        <v>0</v>
      </c>
      <c r="W1618" t="b">
        <v>0</v>
      </c>
      <c r="X1618" t="b">
        <v>0</v>
      </c>
      <c r="Y1618" t="b">
        <v>1</v>
      </c>
      <c r="Z1618" t="b">
        <v>0</v>
      </c>
      <c r="AA1618" t="b">
        <v>0</v>
      </c>
      <c r="AB1618" t="b">
        <v>1</v>
      </c>
      <c r="AC1618" t="b">
        <v>0</v>
      </c>
      <c r="AE1618" t="s">
        <v>4218</v>
      </c>
    </row>
    <row r="1619" spans="1:31" x14ac:dyDescent="0.3">
      <c r="A1619">
        <v>-73.975202951360004</v>
      </c>
      <c r="B1619">
        <v>40.767173466739997</v>
      </c>
      <c r="C1619" t="s">
        <v>4219</v>
      </c>
      <c r="D1619" t="s">
        <v>1701</v>
      </c>
      <c r="E1619" t="s">
        <v>38</v>
      </c>
      <c r="F1619">
        <v>10062018</v>
      </c>
      <c r="G1619">
        <v>4</v>
      </c>
      <c r="H1619" t="s">
        <v>48</v>
      </c>
      <c r="I1619" t="s">
        <v>53</v>
      </c>
      <c r="J1619" t="s">
        <v>59</v>
      </c>
      <c r="K1619" t="s">
        <v>60</v>
      </c>
      <c r="M1619" t="s">
        <v>65</v>
      </c>
      <c r="N1619" t="b">
        <v>0</v>
      </c>
      <c r="O1619" t="s">
        <v>2423</v>
      </c>
      <c r="P1619" t="b">
        <v>0</v>
      </c>
      <c r="Q1619" t="b">
        <v>0</v>
      </c>
      <c r="R1619" t="b">
        <v>0</v>
      </c>
      <c r="S1619" t="b">
        <v>0</v>
      </c>
      <c r="T1619" t="b">
        <v>1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b">
        <v>0</v>
      </c>
      <c r="AB1619" t="b">
        <v>0</v>
      </c>
      <c r="AC1619" t="b">
        <v>1</v>
      </c>
      <c r="AE1619" t="s">
        <v>4220</v>
      </c>
    </row>
    <row r="1620" spans="1:31" x14ac:dyDescent="0.3">
      <c r="A1620">
        <v>-73.975583682800007</v>
      </c>
      <c r="B1620">
        <v>40.767023932800001</v>
      </c>
      <c r="C1620" t="s">
        <v>4221</v>
      </c>
      <c r="D1620" t="s">
        <v>471</v>
      </c>
      <c r="E1620" t="s">
        <v>33</v>
      </c>
      <c r="F1620">
        <v>10142018</v>
      </c>
      <c r="G1620">
        <v>2</v>
      </c>
      <c r="H1620" t="s">
        <v>48</v>
      </c>
      <c r="I1620" t="s">
        <v>42</v>
      </c>
      <c r="K1620" t="s">
        <v>43</v>
      </c>
      <c r="M1620" t="s">
        <v>65</v>
      </c>
      <c r="N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1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b">
        <v>1</v>
      </c>
      <c r="AC1620" t="b">
        <v>0</v>
      </c>
      <c r="AE1620" t="s">
        <v>4222</v>
      </c>
    </row>
    <row r="1621" spans="1:31" x14ac:dyDescent="0.3">
      <c r="A1621">
        <v>-73.974455534849994</v>
      </c>
      <c r="B1621">
        <v>40.772849810639997</v>
      </c>
      <c r="C1621" t="s">
        <v>4223</v>
      </c>
      <c r="D1621" t="s">
        <v>2085</v>
      </c>
      <c r="E1621" t="s">
        <v>33</v>
      </c>
      <c r="F1621">
        <v>10072018</v>
      </c>
      <c r="G1621">
        <v>3</v>
      </c>
      <c r="H1621" t="s">
        <v>48</v>
      </c>
      <c r="I1621" t="s">
        <v>53</v>
      </c>
      <c r="J1621" t="s">
        <v>42</v>
      </c>
      <c r="K1621" t="s">
        <v>89</v>
      </c>
      <c r="P1621" t="b">
        <v>0</v>
      </c>
      <c r="Q1621" t="b">
        <v>0</v>
      </c>
      <c r="R1621" t="b">
        <v>0</v>
      </c>
      <c r="S1621" t="b">
        <v>0</v>
      </c>
      <c r="T1621" t="b">
        <v>1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b">
        <v>0</v>
      </c>
      <c r="AC1621" t="b">
        <v>1</v>
      </c>
      <c r="AE1621" t="s">
        <v>4224</v>
      </c>
    </row>
    <row r="1622" spans="1:31" x14ac:dyDescent="0.3">
      <c r="A1622">
        <v>-73.963560619980001</v>
      </c>
      <c r="B1622">
        <v>40.782206970620003</v>
      </c>
      <c r="C1622" t="s">
        <v>4225</v>
      </c>
      <c r="D1622" t="s">
        <v>1287</v>
      </c>
      <c r="E1622" t="s">
        <v>38</v>
      </c>
      <c r="F1622">
        <v>10182018</v>
      </c>
      <c r="G1622">
        <v>3</v>
      </c>
      <c r="H1622" t="s">
        <v>105</v>
      </c>
      <c r="I1622" t="s">
        <v>42</v>
      </c>
      <c r="J1622" t="s">
        <v>53</v>
      </c>
      <c r="K1622" t="s">
        <v>54</v>
      </c>
      <c r="M1622" t="s">
        <v>65</v>
      </c>
      <c r="N1622" t="b">
        <v>0</v>
      </c>
      <c r="P1622" t="b">
        <v>0</v>
      </c>
      <c r="Q1622" t="b">
        <v>0</v>
      </c>
      <c r="R1622" t="b">
        <v>0</v>
      </c>
      <c r="S1622" t="b">
        <v>1</v>
      </c>
      <c r="T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b">
        <v>0</v>
      </c>
      <c r="AB1622" t="b">
        <v>0</v>
      </c>
      <c r="AC1622" t="b">
        <v>1</v>
      </c>
      <c r="AE1622" t="s">
        <v>4226</v>
      </c>
    </row>
    <row r="1623" spans="1:31" x14ac:dyDescent="0.3">
      <c r="A1623">
        <v>-73.973496932090001</v>
      </c>
      <c r="B1623">
        <v>40.772275459989999</v>
      </c>
      <c r="C1623" t="s">
        <v>4227</v>
      </c>
      <c r="D1623" t="s">
        <v>1206</v>
      </c>
      <c r="E1623" t="s">
        <v>38</v>
      </c>
      <c r="F1623">
        <v>10132018</v>
      </c>
      <c r="G1623">
        <v>1</v>
      </c>
      <c r="H1623" t="s">
        <v>48</v>
      </c>
      <c r="I1623" t="s">
        <v>42</v>
      </c>
      <c r="J1623" t="s">
        <v>53</v>
      </c>
      <c r="K1623" t="s">
        <v>54</v>
      </c>
      <c r="M1623" t="s">
        <v>65</v>
      </c>
      <c r="N1623" t="b">
        <v>0</v>
      </c>
      <c r="P1623" t="b">
        <v>0</v>
      </c>
      <c r="Q1623" t="b">
        <v>0</v>
      </c>
      <c r="R1623" t="b">
        <v>0</v>
      </c>
      <c r="S1623" t="b">
        <v>1</v>
      </c>
      <c r="T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1</v>
      </c>
      <c r="AE1623" t="s">
        <v>4228</v>
      </c>
    </row>
    <row r="1624" spans="1:31" x14ac:dyDescent="0.3">
      <c r="A1624">
        <v>-73.961509014930002</v>
      </c>
      <c r="B1624">
        <v>40.794515017389998</v>
      </c>
      <c r="C1624" t="s">
        <v>4229</v>
      </c>
      <c r="D1624" t="s">
        <v>286</v>
      </c>
      <c r="E1624" t="s">
        <v>33</v>
      </c>
      <c r="F1624">
        <v>10132018</v>
      </c>
      <c r="G1624">
        <v>9</v>
      </c>
      <c r="I1624" t="s">
        <v>42</v>
      </c>
      <c r="J1624" t="s">
        <v>53</v>
      </c>
      <c r="K1624" t="s">
        <v>54</v>
      </c>
      <c r="M1624" t="s">
        <v>65</v>
      </c>
      <c r="N1624" t="b">
        <v>0</v>
      </c>
      <c r="P1624" t="b">
        <v>0</v>
      </c>
      <c r="Q1624" t="b">
        <v>0</v>
      </c>
      <c r="R1624" t="b">
        <v>0</v>
      </c>
      <c r="S1624" t="b">
        <v>1</v>
      </c>
      <c r="T1624" t="b">
        <v>1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b">
        <v>0</v>
      </c>
      <c r="AB1624" t="b">
        <v>0</v>
      </c>
      <c r="AC1624" t="b">
        <v>1</v>
      </c>
      <c r="AE1624" t="s">
        <v>4230</v>
      </c>
    </row>
    <row r="1625" spans="1:31" x14ac:dyDescent="0.3">
      <c r="A1625">
        <v>-73.977011913300004</v>
      </c>
      <c r="B1625">
        <v>40.773294909000001</v>
      </c>
      <c r="C1625" t="s">
        <v>4231</v>
      </c>
      <c r="D1625" t="s">
        <v>741</v>
      </c>
      <c r="E1625" t="s">
        <v>38</v>
      </c>
      <c r="F1625">
        <v>10132018</v>
      </c>
      <c r="G1625">
        <v>4</v>
      </c>
      <c r="H1625" t="s">
        <v>105</v>
      </c>
      <c r="K1625" t="s">
        <v>34</v>
      </c>
      <c r="M1625" t="s">
        <v>44</v>
      </c>
      <c r="N1625">
        <v>4</v>
      </c>
      <c r="O1625" t="s">
        <v>742</v>
      </c>
      <c r="P1625" t="b">
        <v>1</v>
      </c>
      <c r="Q1625" t="b">
        <v>1</v>
      </c>
      <c r="R1625" t="b">
        <v>0</v>
      </c>
      <c r="S1625" t="b">
        <v>1</v>
      </c>
      <c r="T1625" t="b">
        <v>1</v>
      </c>
      <c r="U1625" t="s">
        <v>743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b">
        <v>1</v>
      </c>
      <c r="AB1625" t="b">
        <v>0</v>
      </c>
      <c r="AC1625" t="b">
        <v>0</v>
      </c>
      <c r="AE1625" t="s">
        <v>4232</v>
      </c>
    </row>
    <row r="1626" spans="1:31" x14ac:dyDescent="0.3">
      <c r="A1626">
        <v>-73.9737060044</v>
      </c>
      <c r="B1626">
        <v>40.772566022500001</v>
      </c>
      <c r="C1626" t="s">
        <v>4233</v>
      </c>
      <c r="D1626" t="s">
        <v>2085</v>
      </c>
      <c r="E1626" t="s">
        <v>38</v>
      </c>
      <c r="F1626">
        <v>10072018</v>
      </c>
      <c r="G1626">
        <v>5</v>
      </c>
      <c r="H1626" t="s">
        <v>48</v>
      </c>
      <c r="I1626" t="s">
        <v>42</v>
      </c>
      <c r="K1626" t="s">
        <v>43</v>
      </c>
      <c r="M1626" t="s">
        <v>44</v>
      </c>
      <c r="N1626">
        <v>15</v>
      </c>
      <c r="P1626" t="b">
        <v>0</v>
      </c>
      <c r="Q1626" t="b">
        <v>0</v>
      </c>
      <c r="R1626" t="b">
        <v>0</v>
      </c>
      <c r="S1626" t="b">
        <v>1</v>
      </c>
      <c r="T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b">
        <v>0</v>
      </c>
      <c r="AB1626" t="b">
        <v>0</v>
      </c>
      <c r="AC1626" t="b">
        <v>0</v>
      </c>
      <c r="AE1626" t="s">
        <v>4234</v>
      </c>
    </row>
    <row r="1627" spans="1:31" x14ac:dyDescent="0.3">
      <c r="A1627">
        <v>-73.973687301799998</v>
      </c>
      <c r="B1627">
        <v>40.764910667709998</v>
      </c>
      <c r="C1627" t="s">
        <v>4235</v>
      </c>
      <c r="D1627" t="s">
        <v>4236</v>
      </c>
      <c r="E1627" t="s">
        <v>33</v>
      </c>
      <c r="F1627">
        <v>10122018</v>
      </c>
      <c r="G1627">
        <v>2</v>
      </c>
      <c r="H1627" t="s">
        <v>105</v>
      </c>
      <c r="I1627" t="s">
        <v>42</v>
      </c>
      <c r="J1627" t="s">
        <v>148</v>
      </c>
      <c r="K1627" t="s">
        <v>149</v>
      </c>
      <c r="L1627" t="s">
        <v>4237</v>
      </c>
      <c r="M1627" t="s">
        <v>44</v>
      </c>
      <c r="N1627">
        <v>1</v>
      </c>
      <c r="O1627" t="s">
        <v>190</v>
      </c>
      <c r="P1627" t="b">
        <v>0</v>
      </c>
      <c r="Q1627" t="b">
        <v>0</v>
      </c>
      <c r="R1627" t="b">
        <v>1</v>
      </c>
      <c r="S1627" t="b">
        <v>0</v>
      </c>
      <c r="T1627" t="b">
        <v>0</v>
      </c>
      <c r="V1627" t="b">
        <v>1</v>
      </c>
      <c r="W1627" t="b">
        <v>0</v>
      </c>
      <c r="X1627" t="b">
        <v>0</v>
      </c>
      <c r="Y1627" t="b">
        <v>0</v>
      </c>
      <c r="Z1627" t="b">
        <v>0</v>
      </c>
      <c r="AA1627" t="b">
        <v>0</v>
      </c>
      <c r="AB1627" t="b">
        <v>0</v>
      </c>
      <c r="AC1627" t="b">
        <v>1</v>
      </c>
      <c r="AE1627" t="s">
        <v>4238</v>
      </c>
    </row>
    <row r="1628" spans="1:31" x14ac:dyDescent="0.3">
      <c r="A1628">
        <v>-73.961751909529994</v>
      </c>
      <c r="B1628">
        <v>40.794717907139997</v>
      </c>
      <c r="C1628" t="s">
        <v>4239</v>
      </c>
      <c r="D1628" t="s">
        <v>286</v>
      </c>
      <c r="E1628" t="s">
        <v>33</v>
      </c>
      <c r="F1628">
        <v>10132018</v>
      </c>
      <c r="G1628">
        <v>4</v>
      </c>
      <c r="H1628" t="s">
        <v>48</v>
      </c>
      <c r="I1628" t="s">
        <v>42</v>
      </c>
      <c r="K1628" t="s">
        <v>43</v>
      </c>
      <c r="M1628" t="s">
        <v>65</v>
      </c>
      <c r="N1628" t="b">
        <v>0</v>
      </c>
      <c r="O1628" t="s">
        <v>4240</v>
      </c>
      <c r="P1628" t="b">
        <v>0</v>
      </c>
      <c r="Q1628" t="b">
        <v>0</v>
      </c>
      <c r="R1628" t="b">
        <v>0</v>
      </c>
      <c r="S1628" t="b">
        <v>0</v>
      </c>
      <c r="T1628" t="b">
        <v>1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b">
        <v>0</v>
      </c>
      <c r="AB1628" t="b">
        <v>0</v>
      </c>
      <c r="AC1628" t="b">
        <v>1</v>
      </c>
      <c r="AE1628" t="s">
        <v>4241</v>
      </c>
    </row>
    <row r="1629" spans="1:31" x14ac:dyDescent="0.3">
      <c r="A1629">
        <v>-73.959439175910006</v>
      </c>
      <c r="B1629">
        <v>40.784115697670003</v>
      </c>
      <c r="C1629" t="s">
        <v>4242</v>
      </c>
      <c r="D1629" t="s">
        <v>844</v>
      </c>
      <c r="E1629" t="s">
        <v>33</v>
      </c>
      <c r="F1629">
        <v>10102018</v>
      </c>
      <c r="G1629">
        <v>3</v>
      </c>
      <c r="H1629" t="s">
        <v>48</v>
      </c>
      <c r="I1629" t="s">
        <v>42</v>
      </c>
      <c r="J1629" t="s">
        <v>148</v>
      </c>
      <c r="K1629" t="s">
        <v>149</v>
      </c>
      <c r="L1629" t="s">
        <v>4243</v>
      </c>
      <c r="M1629" t="s">
        <v>44</v>
      </c>
      <c r="N1629">
        <v>15</v>
      </c>
      <c r="O1629" t="s">
        <v>190</v>
      </c>
      <c r="P1629" t="b">
        <v>0</v>
      </c>
      <c r="Q1629" t="b">
        <v>0</v>
      </c>
      <c r="R1629" t="b">
        <v>1</v>
      </c>
      <c r="S1629" t="b">
        <v>1</v>
      </c>
      <c r="T1629" t="b">
        <v>1</v>
      </c>
      <c r="V1629" t="b">
        <v>0</v>
      </c>
      <c r="W1629" t="b">
        <v>0</v>
      </c>
      <c r="X1629" t="b">
        <v>0</v>
      </c>
      <c r="Y1629" t="b">
        <v>0</v>
      </c>
      <c r="Z1629" t="b">
        <v>1</v>
      </c>
      <c r="AA1629" t="b">
        <v>0</v>
      </c>
      <c r="AB1629" t="b">
        <v>1</v>
      </c>
      <c r="AC1629" t="b">
        <v>0</v>
      </c>
      <c r="AE1629" t="s">
        <v>4244</v>
      </c>
    </row>
    <row r="1630" spans="1:31" x14ac:dyDescent="0.3">
      <c r="A1630">
        <v>-73.971366524960004</v>
      </c>
      <c r="B1630">
        <v>40.7697178648</v>
      </c>
      <c r="C1630" t="s">
        <v>4245</v>
      </c>
      <c r="D1630" t="s">
        <v>92</v>
      </c>
      <c r="E1630" t="s">
        <v>38</v>
      </c>
      <c r="F1630">
        <v>10062018</v>
      </c>
      <c r="G1630">
        <v>1</v>
      </c>
      <c r="H1630" t="s">
        <v>48</v>
      </c>
      <c r="I1630" t="s">
        <v>42</v>
      </c>
      <c r="J1630" t="s">
        <v>53</v>
      </c>
      <c r="K1630" t="s">
        <v>54</v>
      </c>
      <c r="M1630" t="s">
        <v>65</v>
      </c>
      <c r="N1630" t="b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s">
        <v>2552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b">
        <v>0</v>
      </c>
      <c r="AB1630" t="b">
        <v>1</v>
      </c>
      <c r="AC1630" t="b">
        <v>0</v>
      </c>
      <c r="AE1630" t="s">
        <v>4246</v>
      </c>
    </row>
    <row r="1631" spans="1:31" x14ac:dyDescent="0.3">
      <c r="A1631">
        <v>-73.975942800620004</v>
      </c>
      <c r="B1631">
        <v>40.771508181729999</v>
      </c>
      <c r="C1631" t="s">
        <v>4247</v>
      </c>
      <c r="D1631" t="s">
        <v>2803</v>
      </c>
      <c r="E1631" t="s">
        <v>33</v>
      </c>
      <c r="F1631">
        <v>10202018</v>
      </c>
      <c r="G1631">
        <v>6</v>
      </c>
      <c r="H1631" t="s">
        <v>48</v>
      </c>
      <c r="I1631" t="s">
        <v>42</v>
      </c>
      <c r="K1631" t="s">
        <v>43</v>
      </c>
      <c r="M1631" t="s">
        <v>65</v>
      </c>
      <c r="N1631" t="b">
        <v>0</v>
      </c>
      <c r="P1631" t="b">
        <v>0</v>
      </c>
      <c r="Q1631" t="b">
        <v>1</v>
      </c>
      <c r="R1631" t="b">
        <v>0</v>
      </c>
      <c r="S1631" t="b">
        <v>0</v>
      </c>
      <c r="T1631" t="b">
        <v>0</v>
      </c>
      <c r="V1631" t="b">
        <v>0</v>
      </c>
      <c r="W1631" t="b">
        <v>1</v>
      </c>
      <c r="X1631" t="b">
        <v>0</v>
      </c>
      <c r="Y1631" t="b">
        <v>0</v>
      </c>
      <c r="Z1631" t="b">
        <v>0</v>
      </c>
      <c r="AA1631" t="b">
        <v>0</v>
      </c>
      <c r="AB1631" t="b">
        <v>0</v>
      </c>
      <c r="AC1631" t="b">
        <v>0</v>
      </c>
      <c r="AE1631" t="s">
        <v>4248</v>
      </c>
    </row>
    <row r="1632" spans="1:31" x14ac:dyDescent="0.3">
      <c r="A1632">
        <v>-73.971002548450002</v>
      </c>
      <c r="B1632">
        <v>40.779252948900002</v>
      </c>
      <c r="C1632" t="s">
        <v>4249</v>
      </c>
      <c r="D1632" t="s">
        <v>95</v>
      </c>
      <c r="E1632" t="s">
        <v>38</v>
      </c>
      <c r="F1632">
        <v>10142018</v>
      </c>
      <c r="G1632">
        <v>1</v>
      </c>
      <c r="H1632" t="s">
        <v>105</v>
      </c>
      <c r="I1632" t="s">
        <v>42</v>
      </c>
      <c r="K1632" t="s">
        <v>43</v>
      </c>
      <c r="M1632" t="s">
        <v>44</v>
      </c>
      <c r="N1632">
        <v>40</v>
      </c>
      <c r="P1632" t="b">
        <v>0</v>
      </c>
      <c r="Q1632" t="b">
        <v>0</v>
      </c>
      <c r="R1632" t="b">
        <v>1</v>
      </c>
      <c r="S1632" t="b">
        <v>0</v>
      </c>
      <c r="T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b">
        <v>0</v>
      </c>
      <c r="AB1632" t="b">
        <v>1</v>
      </c>
      <c r="AC1632" t="b">
        <v>0</v>
      </c>
      <c r="AE1632" t="s">
        <v>4250</v>
      </c>
    </row>
    <row r="1633" spans="1:31" x14ac:dyDescent="0.3">
      <c r="A1633">
        <v>-73.952719671660006</v>
      </c>
      <c r="B1633">
        <v>40.792363826829998</v>
      </c>
      <c r="C1633" t="s">
        <v>4251</v>
      </c>
      <c r="D1633" t="s">
        <v>85</v>
      </c>
      <c r="E1633" t="s">
        <v>33</v>
      </c>
      <c r="F1633">
        <v>10072018</v>
      </c>
      <c r="G1633">
        <v>11</v>
      </c>
      <c r="H1633" t="s">
        <v>105</v>
      </c>
      <c r="I1633" t="s">
        <v>53</v>
      </c>
      <c r="J1633" t="s">
        <v>42</v>
      </c>
      <c r="K1633" t="s">
        <v>89</v>
      </c>
      <c r="M1633" t="s">
        <v>44</v>
      </c>
      <c r="N1633">
        <v>3</v>
      </c>
      <c r="P1633" t="b">
        <v>0</v>
      </c>
      <c r="Q1633" t="b">
        <v>0</v>
      </c>
      <c r="R1633" t="b">
        <v>1</v>
      </c>
      <c r="S1633" t="b">
        <v>0</v>
      </c>
      <c r="T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b">
        <v>0</v>
      </c>
      <c r="AB1633" t="b">
        <v>0</v>
      </c>
      <c r="AC1633" t="b">
        <v>1</v>
      </c>
      <c r="AD1633" t="s">
        <v>4252</v>
      </c>
      <c r="AE1633" t="s">
        <v>4253</v>
      </c>
    </row>
    <row r="1634" spans="1:31" x14ac:dyDescent="0.3">
      <c r="A1634">
        <v>-73.959239269250006</v>
      </c>
      <c r="B1634">
        <v>40.796186995180001</v>
      </c>
      <c r="C1634" t="s">
        <v>4254</v>
      </c>
      <c r="D1634" t="s">
        <v>969</v>
      </c>
      <c r="E1634" t="s">
        <v>38</v>
      </c>
      <c r="F1634">
        <v>10182018</v>
      </c>
      <c r="G1634">
        <v>2</v>
      </c>
      <c r="H1634" t="s">
        <v>48</v>
      </c>
      <c r="I1634" t="s">
        <v>42</v>
      </c>
      <c r="K1634" t="s">
        <v>43</v>
      </c>
      <c r="M1634" t="s">
        <v>65</v>
      </c>
      <c r="N1634" t="b">
        <v>0</v>
      </c>
      <c r="P1634" t="b">
        <v>0</v>
      </c>
      <c r="Q1634" t="b">
        <v>0</v>
      </c>
      <c r="R1634" t="b">
        <v>0</v>
      </c>
      <c r="S1634" t="b">
        <v>1</v>
      </c>
      <c r="T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 t="b">
        <v>0</v>
      </c>
      <c r="AC1634" t="b">
        <v>1</v>
      </c>
      <c r="AE1634" t="s">
        <v>4255</v>
      </c>
    </row>
    <row r="1635" spans="1:31" x14ac:dyDescent="0.3">
      <c r="A1635">
        <v>-73.97470601437</v>
      </c>
      <c r="B1635">
        <v>40.772852816490001</v>
      </c>
      <c r="C1635" t="s">
        <v>4256</v>
      </c>
      <c r="D1635" t="s">
        <v>793</v>
      </c>
      <c r="E1635" t="s">
        <v>38</v>
      </c>
      <c r="F1635">
        <v>10072018</v>
      </c>
      <c r="G1635">
        <v>2</v>
      </c>
      <c r="H1635" t="s">
        <v>48</v>
      </c>
      <c r="I1635" t="s">
        <v>42</v>
      </c>
      <c r="K1635" t="s">
        <v>43</v>
      </c>
      <c r="M1635" t="s">
        <v>65</v>
      </c>
      <c r="N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1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b">
        <v>0</v>
      </c>
      <c r="AB1635" t="b">
        <v>0</v>
      </c>
      <c r="AC1635" t="b">
        <v>0</v>
      </c>
      <c r="AD1635" t="s">
        <v>4257</v>
      </c>
      <c r="AE1635" t="s">
        <v>4258</v>
      </c>
    </row>
    <row r="1636" spans="1:31" x14ac:dyDescent="0.3">
      <c r="A1636">
        <v>-73.972645977400006</v>
      </c>
      <c r="B1636">
        <v>40.765635743369998</v>
      </c>
      <c r="C1636" t="s">
        <v>4259</v>
      </c>
      <c r="D1636" t="s">
        <v>2244</v>
      </c>
      <c r="E1636" t="s">
        <v>38</v>
      </c>
      <c r="F1636">
        <v>10062018</v>
      </c>
      <c r="G1636">
        <v>2</v>
      </c>
      <c r="H1636" t="s">
        <v>48</v>
      </c>
      <c r="I1636" t="s">
        <v>42</v>
      </c>
      <c r="K1636" t="s">
        <v>43</v>
      </c>
      <c r="M1636" t="s">
        <v>65</v>
      </c>
      <c r="N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1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b">
        <v>0</v>
      </c>
      <c r="AB1636" t="b">
        <v>1</v>
      </c>
      <c r="AC1636" t="b">
        <v>0</v>
      </c>
      <c r="AE1636" t="s">
        <v>4260</v>
      </c>
    </row>
    <row r="1637" spans="1:31" x14ac:dyDescent="0.3">
      <c r="A1637">
        <v>-73.956073173869996</v>
      </c>
      <c r="B1637">
        <v>40.798033601859998</v>
      </c>
      <c r="C1637" t="s">
        <v>4261</v>
      </c>
      <c r="D1637" t="s">
        <v>338</v>
      </c>
      <c r="E1637" t="s">
        <v>33</v>
      </c>
      <c r="F1637">
        <v>10142018</v>
      </c>
      <c r="G1637">
        <v>2</v>
      </c>
      <c r="H1637" t="s">
        <v>48</v>
      </c>
      <c r="I1637" t="s">
        <v>42</v>
      </c>
      <c r="J1637" t="s">
        <v>53</v>
      </c>
      <c r="K1637" t="s">
        <v>54</v>
      </c>
      <c r="M1637" t="s">
        <v>65</v>
      </c>
      <c r="N1637" t="b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b">
        <v>0</v>
      </c>
      <c r="AB1637" t="b">
        <v>0</v>
      </c>
      <c r="AC1637" t="b">
        <v>1</v>
      </c>
      <c r="AE1637" t="s">
        <v>4262</v>
      </c>
    </row>
    <row r="1638" spans="1:31" x14ac:dyDescent="0.3">
      <c r="A1638">
        <v>-73.970140862310004</v>
      </c>
      <c r="B1638">
        <v>40.769551171849997</v>
      </c>
      <c r="C1638" t="s">
        <v>4263</v>
      </c>
      <c r="D1638" t="s">
        <v>1310</v>
      </c>
      <c r="E1638" t="s">
        <v>33</v>
      </c>
      <c r="F1638">
        <v>10132018</v>
      </c>
      <c r="G1638">
        <v>4</v>
      </c>
      <c r="H1638" t="s">
        <v>48</v>
      </c>
      <c r="I1638" t="s">
        <v>53</v>
      </c>
      <c r="J1638" t="s">
        <v>42</v>
      </c>
      <c r="K1638" t="s">
        <v>89</v>
      </c>
      <c r="M1638" t="s">
        <v>65</v>
      </c>
      <c r="N1638" t="b">
        <v>0</v>
      </c>
      <c r="O1638" t="s">
        <v>3458</v>
      </c>
      <c r="P1638" t="b">
        <v>1</v>
      </c>
      <c r="Q1638" t="b">
        <v>0</v>
      </c>
      <c r="R1638" t="b">
        <v>0</v>
      </c>
      <c r="S1638" t="b">
        <v>1</v>
      </c>
      <c r="T1638" t="b">
        <v>0</v>
      </c>
      <c r="V1638" t="b">
        <v>0</v>
      </c>
      <c r="W1638" t="b">
        <v>0</v>
      </c>
      <c r="X1638" t="b">
        <v>0</v>
      </c>
      <c r="Y1638" t="b">
        <v>1</v>
      </c>
      <c r="Z1638" t="b">
        <v>0</v>
      </c>
      <c r="AA1638" t="b">
        <v>0</v>
      </c>
      <c r="AB1638" t="b">
        <v>0</v>
      </c>
      <c r="AC1638" t="b">
        <v>0</v>
      </c>
      <c r="AE1638" t="s">
        <v>4264</v>
      </c>
    </row>
    <row r="1639" spans="1:31" x14ac:dyDescent="0.3">
      <c r="A1639">
        <v>-73.969951315179998</v>
      </c>
      <c r="B1639">
        <v>40.772206299099999</v>
      </c>
      <c r="C1639" t="s">
        <v>4265</v>
      </c>
      <c r="D1639" t="s">
        <v>600</v>
      </c>
      <c r="E1639" t="s">
        <v>33</v>
      </c>
      <c r="F1639">
        <v>10172018</v>
      </c>
      <c r="G1639">
        <v>5</v>
      </c>
      <c r="H1639" t="s">
        <v>105</v>
      </c>
      <c r="I1639" t="s">
        <v>42</v>
      </c>
      <c r="K1639" t="s">
        <v>43</v>
      </c>
      <c r="M1639" t="s">
        <v>65</v>
      </c>
      <c r="N1639" t="b">
        <v>0</v>
      </c>
      <c r="P1639" t="b">
        <v>0</v>
      </c>
      <c r="Q1639" t="b">
        <v>0</v>
      </c>
      <c r="R1639" t="b">
        <v>0</v>
      </c>
      <c r="S1639" t="b">
        <v>1</v>
      </c>
      <c r="T1639" t="b">
        <v>1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b">
        <v>1</v>
      </c>
      <c r="AC1639" t="b">
        <v>0</v>
      </c>
      <c r="AE1639" t="s">
        <v>4266</v>
      </c>
    </row>
    <row r="1640" spans="1:31" x14ac:dyDescent="0.3">
      <c r="A1640">
        <v>-73.977062833299996</v>
      </c>
      <c r="B1640">
        <v>40.772856736489999</v>
      </c>
      <c r="C1640" t="s">
        <v>4267</v>
      </c>
      <c r="D1640" t="s">
        <v>439</v>
      </c>
      <c r="E1640" t="s">
        <v>38</v>
      </c>
      <c r="F1640">
        <v>10082018</v>
      </c>
      <c r="G1640">
        <v>6</v>
      </c>
      <c r="H1640" t="s">
        <v>48</v>
      </c>
      <c r="I1640" t="s">
        <v>42</v>
      </c>
      <c r="K1640" t="s">
        <v>43</v>
      </c>
      <c r="M1640" t="s">
        <v>65</v>
      </c>
      <c r="N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1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b">
        <v>0</v>
      </c>
      <c r="AB1640" t="b">
        <v>1</v>
      </c>
      <c r="AC1640" t="b">
        <v>0</v>
      </c>
      <c r="AE1640" t="s">
        <v>4268</v>
      </c>
    </row>
    <row r="1641" spans="1:31" x14ac:dyDescent="0.3">
      <c r="A1641">
        <v>-73.973680057560003</v>
      </c>
      <c r="B1641">
        <v>40.778306973580001</v>
      </c>
      <c r="C1641" t="s">
        <v>4269</v>
      </c>
      <c r="D1641" t="s">
        <v>785</v>
      </c>
      <c r="E1641" t="s">
        <v>33</v>
      </c>
      <c r="F1641">
        <v>10142018</v>
      </c>
      <c r="G1641">
        <v>4</v>
      </c>
      <c r="H1641" t="s">
        <v>48</v>
      </c>
      <c r="I1641" t="s">
        <v>42</v>
      </c>
      <c r="J1641" t="s">
        <v>96</v>
      </c>
      <c r="K1641" t="s">
        <v>97</v>
      </c>
      <c r="M1641" t="s">
        <v>65</v>
      </c>
      <c r="N1641" t="b">
        <v>0</v>
      </c>
      <c r="P1641" t="b">
        <v>0</v>
      </c>
      <c r="Q1641" t="b">
        <v>1</v>
      </c>
      <c r="R1641" t="b">
        <v>0</v>
      </c>
      <c r="S1641" t="b">
        <v>0</v>
      </c>
      <c r="T1641" t="b">
        <v>0</v>
      </c>
      <c r="U1641" t="s">
        <v>3474</v>
      </c>
      <c r="V1641" t="b">
        <v>0</v>
      </c>
      <c r="W1641" t="b">
        <v>0</v>
      </c>
      <c r="X1641" t="b">
        <v>0</v>
      </c>
      <c r="Y1641" t="b">
        <v>0</v>
      </c>
      <c r="Z1641" t="b">
        <v>1</v>
      </c>
      <c r="AA1641" t="b">
        <v>0</v>
      </c>
      <c r="AB1641" t="b">
        <v>1</v>
      </c>
      <c r="AC1641" t="b">
        <v>0</v>
      </c>
      <c r="AE1641" t="s">
        <v>4270</v>
      </c>
    </row>
    <row r="1642" spans="1:31" x14ac:dyDescent="0.3">
      <c r="A1642">
        <v>-73.956463223940005</v>
      </c>
      <c r="B1642">
        <v>40.7904807428</v>
      </c>
      <c r="C1642" t="s">
        <v>4271</v>
      </c>
      <c r="D1642" t="s">
        <v>523</v>
      </c>
      <c r="E1642" t="s">
        <v>38</v>
      </c>
      <c r="F1642">
        <v>10132018</v>
      </c>
      <c r="G1642">
        <v>1</v>
      </c>
      <c r="H1642" t="s">
        <v>48</v>
      </c>
      <c r="I1642" t="s">
        <v>53</v>
      </c>
      <c r="K1642" t="s">
        <v>155</v>
      </c>
      <c r="M1642" t="s">
        <v>44</v>
      </c>
      <c r="N1642">
        <v>13</v>
      </c>
      <c r="O1642" t="s">
        <v>524</v>
      </c>
      <c r="P1642" t="b">
        <v>0</v>
      </c>
      <c r="Q1642" t="b">
        <v>0</v>
      </c>
      <c r="R1642" t="b">
        <v>1</v>
      </c>
      <c r="S1642" t="b">
        <v>0</v>
      </c>
      <c r="T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b">
        <v>0</v>
      </c>
      <c r="AB1642" t="b">
        <v>1</v>
      </c>
      <c r="AC1642" t="b">
        <v>1</v>
      </c>
      <c r="AE1642" t="s">
        <v>4272</v>
      </c>
    </row>
    <row r="1643" spans="1:31" x14ac:dyDescent="0.3">
      <c r="A1643">
        <v>-73.965313527709995</v>
      </c>
      <c r="B1643">
        <v>40.781743407020002</v>
      </c>
      <c r="C1643" t="s">
        <v>4273</v>
      </c>
      <c r="D1643" t="s">
        <v>1056</v>
      </c>
      <c r="E1643" t="s">
        <v>33</v>
      </c>
      <c r="F1643">
        <v>10122018</v>
      </c>
      <c r="G1643">
        <v>1</v>
      </c>
      <c r="H1643" t="s">
        <v>48</v>
      </c>
      <c r="I1643" t="s">
        <v>42</v>
      </c>
      <c r="K1643" t="s">
        <v>43</v>
      </c>
      <c r="M1643" t="s">
        <v>44</v>
      </c>
      <c r="N1643">
        <v>20</v>
      </c>
      <c r="O1643" t="s">
        <v>456</v>
      </c>
      <c r="P1643" t="b">
        <v>0</v>
      </c>
      <c r="Q1643" t="b">
        <v>0</v>
      </c>
      <c r="R1643" t="b">
        <v>1</v>
      </c>
      <c r="S1643" t="b">
        <v>0</v>
      </c>
      <c r="T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E1643" t="s">
        <v>4274</v>
      </c>
    </row>
    <row r="1644" spans="1:31" x14ac:dyDescent="0.3">
      <c r="A1644">
        <v>-73.970886087950007</v>
      </c>
      <c r="B1644">
        <v>40.776837665610003</v>
      </c>
      <c r="C1644" t="s">
        <v>4275</v>
      </c>
      <c r="D1644" t="s">
        <v>729</v>
      </c>
      <c r="E1644" t="s">
        <v>33</v>
      </c>
      <c r="F1644">
        <v>10192018</v>
      </c>
      <c r="G1644">
        <v>15</v>
      </c>
      <c r="H1644" t="s">
        <v>48</v>
      </c>
      <c r="I1644" t="s">
        <v>42</v>
      </c>
      <c r="K1644" t="s">
        <v>43</v>
      </c>
      <c r="M1644" t="s">
        <v>65</v>
      </c>
      <c r="N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1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E1644" t="s">
        <v>4276</v>
      </c>
    </row>
    <row r="1645" spans="1:31" x14ac:dyDescent="0.3">
      <c r="A1645">
        <v>-73.953053562479994</v>
      </c>
      <c r="B1645">
        <v>40.792980914429997</v>
      </c>
      <c r="C1645" t="s">
        <v>4277</v>
      </c>
      <c r="D1645" t="s">
        <v>933</v>
      </c>
      <c r="E1645" t="s">
        <v>38</v>
      </c>
      <c r="F1645">
        <v>10102018</v>
      </c>
      <c r="G1645">
        <v>2</v>
      </c>
      <c r="H1645" t="s">
        <v>48</v>
      </c>
      <c r="I1645" t="s">
        <v>42</v>
      </c>
      <c r="K1645" t="s">
        <v>43</v>
      </c>
      <c r="M1645" t="s">
        <v>65</v>
      </c>
      <c r="N1645" t="b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b">
        <v>1</v>
      </c>
      <c r="AE1645" t="s">
        <v>4278</v>
      </c>
    </row>
    <row r="1646" spans="1:31" x14ac:dyDescent="0.3">
      <c r="A1646">
        <v>-73.973465467099999</v>
      </c>
      <c r="B1646">
        <v>40.771598871169999</v>
      </c>
      <c r="C1646" t="s">
        <v>4279</v>
      </c>
      <c r="D1646" t="s">
        <v>1206</v>
      </c>
      <c r="E1646" t="s">
        <v>33</v>
      </c>
      <c r="F1646">
        <v>10082018</v>
      </c>
      <c r="G1646">
        <v>6</v>
      </c>
      <c r="H1646" t="s">
        <v>48</v>
      </c>
      <c r="I1646" t="s">
        <v>42</v>
      </c>
      <c r="J1646" t="s">
        <v>59</v>
      </c>
      <c r="K1646" t="s">
        <v>79</v>
      </c>
      <c r="M1646" t="s">
        <v>65</v>
      </c>
      <c r="N1646" t="b">
        <v>0</v>
      </c>
      <c r="O1646" t="s">
        <v>1359</v>
      </c>
      <c r="P1646" t="b">
        <v>0</v>
      </c>
      <c r="Q1646" t="b">
        <v>1</v>
      </c>
      <c r="R1646" t="b">
        <v>1</v>
      </c>
      <c r="S1646" t="b">
        <v>0</v>
      </c>
      <c r="T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b">
        <v>0</v>
      </c>
      <c r="AB1646" t="b">
        <v>0</v>
      </c>
      <c r="AC1646" t="b">
        <v>0</v>
      </c>
      <c r="AE1646" t="s">
        <v>4280</v>
      </c>
    </row>
    <row r="1647" spans="1:31" x14ac:dyDescent="0.3">
      <c r="A1647">
        <v>-73.961967331709999</v>
      </c>
      <c r="B1647">
        <v>40.792417667300001</v>
      </c>
      <c r="C1647" t="s">
        <v>4281</v>
      </c>
      <c r="D1647" t="s">
        <v>928</v>
      </c>
      <c r="E1647" t="s">
        <v>33</v>
      </c>
      <c r="F1647">
        <v>10102018</v>
      </c>
      <c r="G1647">
        <v>8</v>
      </c>
      <c r="H1647" t="s">
        <v>105</v>
      </c>
      <c r="I1647" t="s">
        <v>42</v>
      </c>
      <c r="K1647" t="s">
        <v>43</v>
      </c>
      <c r="M1647" t="s">
        <v>44</v>
      </c>
      <c r="O1647" t="s">
        <v>4282</v>
      </c>
      <c r="P1647" t="b">
        <v>0</v>
      </c>
      <c r="Q1647" t="b">
        <v>0</v>
      </c>
      <c r="R1647" t="b">
        <v>1</v>
      </c>
      <c r="S1647" t="b">
        <v>0</v>
      </c>
      <c r="T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 t="b">
        <v>0</v>
      </c>
      <c r="AC1647" t="b">
        <v>1</v>
      </c>
      <c r="AE1647" t="s">
        <v>4283</v>
      </c>
    </row>
    <row r="1648" spans="1:31" x14ac:dyDescent="0.3">
      <c r="A1648">
        <v>-73.966978283269995</v>
      </c>
      <c r="B1648">
        <v>40.784116672720003</v>
      </c>
      <c r="C1648" t="s">
        <v>4284</v>
      </c>
      <c r="D1648" t="s">
        <v>689</v>
      </c>
      <c r="E1648" t="s">
        <v>33</v>
      </c>
      <c r="F1648">
        <v>10062018</v>
      </c>
      <c r="G1648">
        <v>13</v>
      </c>
      <c r="H1648" t="s">
        <v>105</v>
      </c>
      <c r="I1648" t="s">
        <v>42</v>
      </c>
      <c r="K1648" t="s">
        <v>43</v>
      </c>
      <c r="M1648" t="s">
        <v>65</v>
      </c>
      <c r="N1648" t="b">
        <v>0</v>
      </c>
      <c r="P1648" t="b">
        <v>1</v>
      </c>
      <c r="Q1648" t="b">
        <v>0</v>
      </c>
      <c r="R1648" t="b">
        <v>0</v>
      </c>
      <c r="S1648" t="b">
        <v>0</v>
      </c>
      <c r="T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b">
        <v>0</v>
      </c>
      <c r="AB1648" t="b">
        <v>0</v>
      </c>
      <c r="AC1648" t="b">
        <v>0</v>
      </c>
      <c r="AE1648" t="s">
        <v>4285</v>
      </c>
    </row>
    <row r="1649" spans="1:31" x14ac:dyDescent="0.3">
      <c r="A1649">
        <v>-73.979558533849996</v>
      </c>
      <c r="B1649">
        <v>40.768895893230003</v>
      </c>
      <c r="C1649" t="s">
        <v>4286</v>
      </c>
      <c r="D1649" t="s">
        <v>455</v>
      </c>
      <c r="E1649" t="s">
        <v>33</v>
      </c>
      <c r="F1649">
        <v>10072018</v>
      </c>
      <c r="G1649">
        <v>8</v>
      </c>
      <c r="H1649" t="s">
        <v>105</v>
      </c>
      <c r="I1649" t="s">
        <v>42</v>
      </c>
      <c r="K1649" t="s">
        <v>43</v>
      </c>
      <c r="M1649" t="s">
        <v>65</v>
      </c>
      <c r="N1649" t="b">
        <v>0</v>
      </c>
      <c r="P1649" t="b">
        <v>0</v>
      </c>
      <c r="Q1649" t="b">
        <v>0</v>
      </c>
      <c r="R1649" t="b">
        <v>0</v>
      </c>
      <c r="S1649" t="b">
        <v>1</v>
      </c>
      <c r="T1649" t="b">
        <v>1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b">
        <v>0</v>
      </c>
      <c r="AB1649" t="b">
        <v>1</v>
      </c>
      <c r="AC1649" t="b">
        <v>0</v>
      </c>
      <c r="AE1649" t="s">
        <v>4287</v>
      </c>
    </row>
    <row r="1650" spans="1:31" x14ac:dyDescent="0.3">
      <c r="A1650">
        <v>-73.979026337199997</v>
      </c>
      <c r="B1650">
        <v>40.768351371489999</v>
      </c>
      <c r="C1650" t="s">
        <v>4288</v>
      </c>
      <c r="D1650" t="s">
        <v>1232</v>
      </c>
      <c r="E1650" t="s">
        <v>33</v>
      </c>
      <c r="F1650">
        <v>10132018</v>
      </c>
      <c r="G1650">
        <v>7</v>
      </c>
      <c r="H1650" t="s">
        <v>48</v>
      </c>
      <c r="I1650" t="s">
        <v>42</v>
      </c>
      <c r="J1650" t="s">
        <v>59</v>
      </c>
      <c r="K1650" t="s">
        <v>79</v>
      </c>
      <c r="P1650" t="b">
        <v>1</v>
      </c>
      <c r="Q1650" t="b">
        <v>0</v>
      </c>
      <c r="R1650" t="b">
        <v>0</v>
      </c>
      <c r="S1650" t="b">
        <v>0</v>
      </c>
      <c r="T1650" t="b">
        <v>1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  <c r="AE1650" t="s">
        <v>4289</v>
      </c>
    </row>
    <row r="1651" spans="1:31" x14ac:dyDescent="0.3">
      <c r="A1651">
        <v>-73.969347812690003</v>
      </c>
      <c r="B1651">
        <v>40.774409806340003</v>
      </c>
      <c r="C1651" t="s">
        <v>4290</v>
      </c>
      <c r="D1651" t="s">
        <v>988</v>
      </c>
      <c r="E1651" t="s">
        <v>33</v>
      </c>
      <c r="F1651">
        <v>10072018</v>
      </c>
      <c r="G1651">
        <v>2</v>
      </c>
      <c r="I1651" t="s">
        <v>42</v>
      </c>
      <c r="K1651" t="s">
        <v>43</v>
      </c>
      <c r="M1651" t="s">
        <v>44</v>
      </c>
      <c r="O1651" t="s">
        <v>456</v>
      </c>
      <c r="P1651" t="b">
        <v>0</v>
      </c>
      <c r="Q1651" t="b">
        <v>1</v>
      </c>
      <c r="R1651" t="b">
        <v>0</v>
      </c>
      <c r="S1651" t="b">
        <v>0</v>
      </c>
      <c r="T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b">
        <v>0</v>
      </c>
      <c r="AB1651" t="b">
        <v>0</v>
      </c>
      <c r="AC1651" t="b">
        <v>0</v>
      </c>
      <c r="AE1651" t="s">
        <v>4291</v>
      </c>
    </row>
    <row r="1652" spans="1:31" x14ac:dyDescent="0.3">
      <c r="A1652">
        <v>-73.976249423970003</v>
      </c>
      <c r="B1652">
        <v>40.775017530669999</v>
      </c>
      <c r="C1652" t="s">
        <v>4292</v>
      </c>
      <c r="D1652" t="s">
        <v>147</v>
      </c>
      <c r="E1652" t="s">
        <v>38</v>
      </c>
      <c r="F1652">
        <v>10062018</v>
      </c>
      <c r="G1652">
        <v>1</v>
      </c>
      <c r="H1652" t="s">
        <v>48</v>
      </c>
      <c r="I1652" t="s">
        <v>53</v>
      </c>
      <c r="J1652" t="s">
        <v>59</v>
      </c>
      <c r="K1652" t="s">
        <v>60</v>
      </c>
      <c r="M1652" t="s">
        <v>65</v>
      </c>
      <c r="N1652" t="b">
        <v>0</v>
      </c>
      <c r="O1652" t="s">
        <v>4293</v>
      </c>
      <c r="P1652" t="b">
        <v>0</v>
      </c>
      <c r="Q1652" t="b">
        <v>0</v>
      </c>
      <c r="R1652" t="b">
        <v>0</v>
      </c>
      <c r="S1652" t="b">
        <v>1</v>
      </c>
      <c r="T1652" t="b">
        <v>0</v>
      </c>
      <c r="U1652" t="s">
        <v>4294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b">
        <v>1</v>
      </c>
      <c r="AB1652" t="b">
        <v>0</v>
      </c>
      <c r="AC1652" t="b">
        <v>0</v>
      </c>
      <c r="AE1652" t="s">
        <v>4295</v>
      </c>
    </row>
    <row r="1653" spans="1:31" x14ac:dyDescent="0.3">
      <c r="A1653">
        <v>-73.976337351050006</v>
      </c>
      <c r="B1653">
        <v>40.774116893390001</v>
      </c>
      <c r="C1653" t="s">
        <v>4296</v>
      </c>
      <c r="D1653" t="s">
        <v>790</v>
      </c>
      <c r="E1653" t="s">
        <v>33</v>
      </c>
      <c r="F1653">
        <v>10132018</v>
      </c>
      <c r="G1653">
        <v>9</v>
      </c>
      <c r="H1653" t="s">
        <v>105</v>
      </c>
      <c r="I1653" t="s">
        <v>42</v>
      </c>
      <c r="K1653" t="s">
        <v>43</v>
      </c>
      <c r="M1653" t="s">
        <v>65</v>
      </c>
      <c r="N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1</v>
      </c>
      <c r="V1653" t="b">
        <v>0</v>
      </c>
      <c r="W1653" t="b">
        <v>0</v>
      </c>
      <c r="X1653" t="b">
        <v>0</v>
      </c>
      <c r="Y1653" t="b">
        <v>0</v>
      </c>
      <c r="Z1653" t="b">
        <v>1</v>
      </c>
      <c r="AA1653" t="b">
        <v>0</v>
      </c>
      <c r="AB1653" t="b">
        <v>0</v>
      </c>
      <c r="AC1653" t="b">
        <v>1</v>
      </c>
      <c r="AD1653" t="s">
        <v>4297</v>
      </c>
      <c r="AE1653" t="s">
        <v>4298</v>
      </c>
    </row>
    <row r="1654" spans="1:31" x14ac:dyDescent="0.3">
      <c r="A1654">
        <v>-73.949842174620002</v>
      </c>
      <c r="B1654">
        <v>40.796939742420001</v>
      </c>
      <c r="C1654" t="s">
        <v>4299</v>
      </c>
      <c r="D1654" t="s">
        <v>1718</v>
      </c>
      <c r="E1654" t="s">
        <v>33</v>
      </c>
      <c r="F1654">
        <v>10142018</v>
      </c>
      <c r="G1654">
        <v>2</v>
      </c>
      <c r="H1654" t="s">
        <v>48</v>
      </c>
      <c r="I1654" t="s">
        <v>53</v>
      </c>
      <c r="J1654" t="s">
        <v>59</v>
      </c>
      <c r="K1654" t="s">
        <v>60</v>
      </c>
      <c r="M1654" t="s">
        <v>44</v>
      </c>
      <c r="N1654">
        <v>8</v>
      </c>
      <c r="P1654" t="b">
        <v>1</v>
      </c>
      <c r="Q1654" t="b">
        <v>0</v>
      </c>
      <c r="R1654" t="b">
        <v>0</v>
      </c>
      <c r="S1654" t="b">
        <v>0</v>
      </c>
      <c r="T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b">
        <v>0</v>
      </c>
      <c r="AC1654" t="b">
        <v>1</v>
      </c>
      <c r="AE1654" t="s">
        <v>4300</v>
      </c>
    </row>
    <row r="1655" spans="1:31" x14ac:dyDescent="0.3">
      <c r="A1655">
        <v>-73.969588107510006</v>
      </c>
      <c r="B1655">
        <v>40.784244129199998</v>
      </c>
      <c r="C1655" t="s">
        <v>4301</v>
      </c>
      <c r="D1655" t="s">
        <v>2011</v>
      </c>
      <c r="E1655" t="s">
        <v>38</v>
      </c>
      <c r="F1655">
        <v>10192018</v>
      </c>
      <c r="G1655">
        <v>1</v>
      </c>
      <c r="H1655" t="s">
        <v>105</v>
      </c>
      <c r="I1655" t="s">
        <v>42</v>
      </c>
      <c r="J1655" t="s">
        <v>176</v>
      </c>
      <c r="K1655" t="s">
        <v>339</v>
      </c>
      <c r="M1655" t="s">
        <v>44</v>
      </c>
      <c r="N1655">
        <v>3</v>
      </c>
      <c r="P1655" t="b">
        <v>0</v>
      </c>
      <c r="Q1655" t="b">
        <v>0</v>
      </c>
      <c r="R1655" t="b">
        <v>1</v>
      </c>
      <c r="S1655" t="b">
        <v>0</v>
      </c>
      <c r="T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b">
        <v>0</v>
      </c>
      <c r="AB1655" t="b">
        <v>0</v>
      </c>
      <c r="AC1655" t="b">
        <v>0</v>
      </c>
      <c r="AD1655" t="s">
        <v>4302</v>
      </c>
      <c r="AE1655" t="s">
        <v>4303</v>
      </c>
    </row>
    <row r="1656" spans="1:31" x14ac:dyDescent="0.3">
      <c r="A1656">
        <v>-73.976634212500002</v>
      </c>
      <c r="B1656">
        <v>40.771543714709999</v>
      </c>
      <c r="C1656" t="s">
        <v>4304</v>
      </c>
      <c r="D1656" t="s">
        <v>2798</v>
      </c>
      <c r="E1656" t="s">
        <v>38</v>
      </c>
      <c r="F1656">
        <v>10072018</v>
      </c>
      <c r="G1656">
        <v>8</v>
      </c>
      <c r="H1656" t="s">
        <v>48</v>
      </c>
      <c r="K1656" t="s">
        <v>34</v>
      </c>
      <c r="M1656" t="s">
        <v>44</v>
      </c>
      <c r="N1656">
        <v>35</v>
      </c>
      <c r="P1656" t="b">
        <v>0</v>
      </c>
      <c r="Q1656" t="b">
        <v>0</v>
      </c>
      <c r="R1656" t="b">
        <v>1</v>
      </c>
      <c r="S1656" t="b">
        <v>0</v>
      </c>
      <c r="T1656" t="b">
        <v>0</v>
      </c>
      <c r="U1656" t="s">
        <v>4305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E1656" t="s">
        <v>4306</v>
      </c>
    </row>
    <row r="1657" spans="1:31" x14ac:dyDescent="0.3">
      <c r="A1657">
        <v>-73.969570012719998</v>
      </c>
      <c r="B1657">
        <v>40.781650151690002</v>
      </c>
      <c r="C1657" t="s">
        <v>4307</v>
      </c>
      <c r="D1657" t="s">
        <v>411</v>
      </c>
      <c r="E1657" t="s">
        <v>33</v>
      </c>
      <c r="F1657">
        <v>10182018</v>
      </c>
      <c r="G1657">
        <v>4</v>
      </c>
      <c r="H1657" t="s">
        <v>48</v>
      </c>
      <c r="I1657" t="s">
        <v>42</v>
      </c>
      <c r="J1657" t="s">
        <v>96</v>
      </c>
      <c r="K1657" t="s">
        <v>97</v>
      </c>
      <c r="L1657" t="s">
        <v>4308</v>
      </c>
      <c r="M1657" t="s">
        <v>65</v>
      </c>
      <c r="N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1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b">
        <v>0</v>
      </c>
      <c r="AB1657" t="b">
        <v>0</v>
      </c>
      <c r="AC1657" t="b">
        <v>0</v>
      </c>
      <c r="AE1657" t="s">
        <v>4309</v>
      </c>
    </row>
    <row r="1658" spans="1:31" x14ac:dyDescent="0.3">
      <c r="A1658">
        <v>-73.955739992779996</v>
      </c>
      <c r="B1658">
        <v>40.797156370899998</v>
      </c>
      <c r="C1658" t="s">
        <v>4310</v>
      </c>
      <c r="D1658" t="s">
        <v>428</v>
      </c>
      <c r="E1658" t="s">
        <v>33</v>
      </c>
      <c r="F1658">
        <v>10132018</v>
      </c>
      <c r="G1658">
        <v>7</v>
      </c>
      <c r="H1658" t="s">
        <v>48</v>
      </c>
      <c r="I1658" t="s">
        <v>42</v>
      </c>
      <c r="J1658" t="s">
        <v>53</v>
      </c>
      <c r="K1658" t="s">
        <v>54</v>
      </c>
      <c r="M1658" t="s">
        <v>65</v>
      </c>
      <c r="N1658" t="b">
        <v>0</v>
      </c>
      <c r="P1658" t="b">
        <v>1</v>
      </c>
      <c r="Q1658" t="b">
        <v>1</v>
      </c>
      <c r="R1658" t="b">
        <v>0</v>
      </c>
      <c r="S1658" t="b">
        <v>0</v>
      </c>
      <c r="T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b">
        <v>0</v>
      </c>
      <c r="AB1658" t="b">
        <v>0</v>
      </c>
      <c r="AC1658" t="b">
        <v>1</v>
      </c>
      <c r="AE1658" t="s">
        <v>4311</v>
      </c>
    </row>
    <row r="1659" spans="1:31" x14ac:dyDescent="0.3">
      <c r="A1659">
        <v>-73.976825405870002</v>
      </c>
      <c r="B1659">
        <v>40.771675794529997</v>
      </c>
      <c r="C1659" t="s">
        <v>4312</v>
      </c>
      <c r="D1659" t="s">
        <v>2798</v>
      </c>
      <c r="E1659" t="s">
        <v>33</v>
      </c>
      <c r="F1659">
        <v>10202018</v>
      </c>
      <c r="G1659">
        <v>3</v>
      </c>
      <c r="H1659" t="s">
        <v>48</v>
      </c>
      <c r="I1659" t="s">
        <v>42</v>
      </c>
      <c r="K1659" t="s">
        <v>43</v>
      </c>
      <c r="M1659" t="s">
        <v>65</v>
      </c>
      <c r="N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1</v>
      </c>
      <c r="V1659" t="b">
        <v>0</v>
      </c>
      <c r="W1659" t="b">
        <v>0</v>
      </c>
      <c r="X1659" t="b">
        <v>0</v>
      </c>
      <c r="Y1659" t="b">
        <v>0</v>
      </c>
      <c r="Z1659" t="b">
        <v>1</v>
      </c>
      <c r="AA1659" t="b">
        <v>0</v>
      </c>
      <c r="AB1659" t="b">
        <v>0</v>
      </c>
      <c r="AC1659" t="b">
        <v>1</v>
      </c>
      <c r="AE1659" t="s">
        <v>4313</v>
      </c>
    </row>
    <row r="1660" spans="1:31" x14ac:dyDescent="0.3">
      <c r="A1660">
        <v>-73.973601622969994</v>
      </c>
      <c r="B1660">
        <v>40.772378137670003</v>
      </c>
      <c r="C1660" t="s">
        <v>4314</v>
      </c>
      <c r="D1660" t="s">
        <v>2085</v>
      </c>
      <c r="E1660" t="s">
        <v>38</v>
      </c>
      <c r="F1660">
        <v>10072018</v>
      </c>
      <c r="G1660">
        <v>3</v>
      </c>
      <c r="H1660" t="s">
        <v>48</v>
      </c>
      <c r="I1660" t="s">
        <v>42</v>
      </c>
      <c r="K1660" t="s">
        <v>43</v>
      </c>
      <c r="M1660" t="s">
        <v>65</v>
      </c>
      <c r="N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1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b">
        <v>0</v>
      </c>
      <c r="AB1660" t="b">
        <v>0</v>
      </c>
      <c r="AC1660" t="b">
        <v>1</v>
      </c>
      <c r="AD1660" t="s">
        <v>1065</v>
      </c>
      <c r="AE1660" t="s">
        <v>4315</v>
      </c>
    </row>
    <row r="1661" spans="1:31" x14ac:dyDescent="0.3">
      <c r="A1661">
        <v>-73.969049887690005</v>
      </c>
      <c r="B1661">
        <v>40.770001181879998</v>
      </c>
      <c r="C1661" t="s">
        <v>4316</v>
      </c>
      <c r="D1661" t="s">
        <v>1326</v>
      </c>
      <c r="E1661" t="s">
        <v>38</v>
      </c>
      <c r="F1661">
        <v>10062018</v>
      </c>
      <c r="G1661">
        <v>7</v>
      </c>
      <c r="H1661" t="s">
        <v>48</v>
      </c>
      <c r="I1661" t="s">
        <v>42</v>
      </c>
      <c r="J1661" t="s">
        <v>59</v>
      </c>
      <c r="K1661" t="s">
        <v>79</v>
      </c>
      <c r="L1661" t="s">
        <v>4317</v>
      </c>
      <c r="M1661" t="s">
        <v>44</v>
      </c>
      <c r="N1661">
        <v>20</v>
      </c>
      <c r="P1661" t="b">
        <v>0</v>
      </c>
      <c r="Q1661" t="b">
        <v>0</v>
      </c>
      <c r="R1661" t="b">
        <v>1</v>
      </c>
      <c r="S1661" t="b">
        <v>0</v>
      </c>
      <c r="T1661" t="b">
        <v>1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b">
        <v>0</v>
      </c>
      <c r="AB1661" t="b">
        <v>1</v>
      </c>
      <c r="AC1661" t="b">
        <v>0</v>
      </c>
      <c r="AE1661" t="s">
        <v>4318</v>
      </c>
    </row>
    <row r="1662" spans="1:31" x14ac:dyDescent="0.3">
      <c r="A1662">
        <v>-73.980049949800005</v>
      </c>
      <c r="B1662">
        <v>40.770218109959998</v>
      </c>
      <c r="C1662" t="s">
        <v>4319</v>
      </c>
      <c r="D1662" t="s">
        <v>1362</v>
      </c>
      <c r="E1662" t="s">
        <v>33</v>
      </c>
      <c r="F1662">
        <v>10072018</v>
      </c>
      <c r="G1662">
        <v>5</v>
      </c>
      <c r="H1662" t="s">
        <v>48</v>
      </c>
      <c r="I1662" t="s">
        <v>42</v>
      </c>
      <c r="J1662" t="s">
        <v>59</v>
      </c>
      <c r="K1662" t="s">
        <v>79</v>
      </c>
      <c r="M1662" t="s">
        <v>65</v>
      </c>
      <c r="N1662" t="b">
        <v>0</v>
      </c>
      <c r="O1662" t="s">
        <v>4320</v>
      </c>
      <c r="P1662" t="b">
        <v>0</v>
      </c>
      <c r="Q1662" t="b">
        <v>0</v>
      </c>
      <c r="R1662" t="b">
        <v>0</v>
      </c>
      <c r="S1662" t="b">
        <v>0</v>
      </c>
      <c r="T1662" t="b">
        <v>1</v>
      </c>
      <c r="V1662" t="b">
        <v>0</v>
      </c>
      <c r="W1662" t="b">
        <v>0</v>
      </c>
      <c r="X1662" t="b">
        <v>0</v>
      </c>
      <c r="Y1662" t="b">
        <v>1</v>
      </c>
      <c r="Z1662" t="b">
        <v>1</v>
      </c>
      <c r="AA1662" t="b">
        <v>0</v>
      </c>
      <c r="AB1662" t="b">
        <v>1</v>
      </c>
      <c r="AC1662" t="b">
        <v>0</v>
      </c>
      <c r="AE1662" t="s">
        <v>4321</v>
      </c>
    </row>
    <row r="1663" spans="1:31" x14ac:dyDescent="0.3">
      <c r="A1663">
        <v>-73.974519308020007</v>
      </c>
      <c r="B1663">
        <v>40.769122879439998</v>
      </c>
      <c r="C1663" t="s">
        <v>4322</v>
      </c>
      <c r="D1663" t="s">
        <v>245</v>
      </c>
      <c r="E1663" t="s">
        <v>38</v>
      </c>
      <c r="F1663">
        <v>10082018</v>
      </c>
      <c r="G1663">
        <v>2</v>
      </c>
      <c r="H1663" t="s">
        <v>48</v>
      </c>
      <c r="I1663" t="s">
        <v>42</v>
      </c>
      <c r="J1663" t="s">
        <v>53</v>
      </c>
      <c r="K1663" t="s">
        <v>54</v>
      </c>
      <c r="M1663" t="s">
        <v>44</v>
      </c>
      <c r="N1663">
        <v>8</v>
      </c>
      <c r="O1663" t="s">
        <v>4323</v>
      </c>
      <c r="P1663" t="b">
        <v>1</v>
      </c>
      <c r="Q1663" t="b">
        <v>0</v>
      </c>
      <c r="R1663" t="b">
        <v>0</v>
      </c>
      <c r="S1663" t="b">
        <v>0</v>
      </c>
      <c r="T1663" t="b">
        <v>1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b">
        <v>1</v>
      </c>
      <c r="AB1663" t="b">
        <v>0</v>
      </c>
      <c r="AC1663" t="b">
        <v>0</v>
      </c>
      <c r="AE1663" t="s">
        <v>4324</v>
      </c>
    </row>
    <row r="1664" spans="1:31" x14ac:dyDescent="0.3">
      <c r="A1664">
        <v>-73.956160023730007</v>
      </c>
      <c r="B1664">
        <v>40.795314319669998</v>
      </c>
      <c r="C1664" t="s">
        <v>4325</v>
      </c>
      <c r="D1664" t="s">
        <v>520</v>
      </c>
      <c r="E1664" t="s">
        <v>38</v>
      </c>
      <c r="F1664">
        <v>10102018</v>
      </c>
      <c r="G1664">
        <v>10</v>
      </c>
      <c r="H1664" t="s">
        <v>48</v>
      </c>
      <c r="I1664" t="s">
        <v>42</v>
      </c>
      <c r="J1664" t="s">
        <v>53</v>
      </c>
      <c r="K1664" t="s">
        <v>54</v>
      </c>
      <c r="M1664" t="s">
        <v>44</v>
      </c>
      <c r="N1664">
        <v>1</v>
      </c>
      <c r="O1664" t="s">
        <v>4326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s">
        <v>4327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b">
        <v>0</v>
      </c>
      <c r="AB1664" t="b">
        <v>0</v>
      </c>
      <c r="AC1664" t="b">
        <v>1</v>
      </c>
      <c r="AD1664" t="s">
        <v>4328</v>
      </c>
      <c r="AE1664" t="s">
        <v>4329</v>
      </c>
    </row>
    <row r="1665" spans="1:31" x14ac:dyDescent="0.3">
      <c r="A1665">
        <v>-73.969672036259993</v>
      </c>
      <c r="B1665">
        <v>40.779185159820003</v>
      </c>
      <c r="C1665" t="s">
        <v>4330</v>
      </c>
      <c r="D1665" t="s">
        <v>1995</v>
      </c>
      <c r="E1665" t="s">
        <v>38</v>
      </c>
      <c r="F1665">
        <v>10082018</v>
      </c>
      <c r="G1665">
        <v>4</v>
      </c>
      <c r="H1665" t="s">
        <v>48</v>
      </c>
      <c r="I1665" t="s">
        <v>42</v>
      </c>
      <c r="J1665" t="s">
        <v>59</v>
      </c>
      <c r="K1665" t="s">
        <v>79</v>
      </c>
      <c r="M1665" t="s">
        <v>65</v>
      </c>
      <c r="N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1</v>
      </c>
      <c r="AA1665" t="b">
        <v>0</v>
      </c>
      <c r="AB1665" t="b">
        <v>1</v>
      </c>
      <c r="AC1665" t="b">
        <v>0</v>
      </c>
      <c r="AE1665" t="s">
        <v>4331</v>
      </c>
    </row>
    <row r="1666" spans="1:31" x14ac:dyDescent="0.3">
      <c r="A1666">
        <v>-73.972914291219993</v>
      </c>
      <c r="B1666">
        <v>40.772409114669998</v>
      </c>
      <c r="C1666" t="s">
        <v>4332</v>
      </c>
      <c r="D1666" t="s">
        <v>1920</v>
      </c>
      <c r="E1666" t="s">
        <v>38</v>
      </c>
      <c r="F1666">
        <v>10082018</v>
      </c>
      <c r="G1666">
        <v>3</v>
      </c>
      <c r="H1666" t="s">
        <v>48</v>
      </c>
      <c r="I1666" t="s">
        <v>42</v>
      </c>
      <c r="J1666" t="s">
        <v>53</v>
      </c>
      <c r="K1666" t="s">
        <v>54</v>
      </c>
      <c r="M1666" t="s">
        <v>65</v>
      </c>
      <c r="N1666" t="b">
        <v>0</v>
      </c>
      <c r="P1666" t="b">
        <v>0</v>
      </c>
      <c r="Q1666" t="b">
        <v>0</v>
      </c>
      <c r="R1666" t="b">
        <v>0</v>
      </c>
      <c r="S1666" t="b">
        <v>1</v>
      </c>
      <c r="T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b">
        <v>0</v>
      </c>
      <c r="AB1666" t="b">
        <v>1</v>
      </c>
      <c r="AC1666" t="b">
        <v>0</v>
      </c>
      <c r="AE1666" t="s">
        <v>4333</v>
      </c>
    </row>
    <row r="1667" spans="1:31" x14ac:dyDescent="0.3">
      <c r="A1667">
        <v>-73.958394435339997</v>
      </c>
      <c r="B1667">
        <v>40.797968984679997</v>
      </c>
      <c r="C1667" t="s">
        <v>4334</v>
      </c>
      <c r="D1667" t="s">
        <v>802</v>
      </c>
      <c r="E1667" t="s">
        <v>33</v>
      </c>
      <c r="F1667">
        <v>10142018</v>
      </c>
      <c r="G1667">
        <v>4</v>
      </c>
      <c r="H1667" t="s">
        <v>48</v>
      </c>
      <c r="I1667" t="s">
        <v>42</v>
      </c>
      <c r="K1667" t="s">
        <v>43</v>
      </c>
      <c r="M1667" t="s">
        <v>44</v>
      </c>
      <c r="N1667">
        <v>10</v>
      </c>
      <c r="P1667" t="b">
        <v>0</v>
      </c>
      <c r="Q1667" t="b">
        <v>0</v>
      </c>
      <c r="R1667" t="b">
        <v>1</v>
      </c>
      <c r="S1667" t="b">
        <v>0</v>
      </c>
      <c r="T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b">
        <v>0</v>
      </c>
      <c r="AB1667" t="b">
        <v>1</v>
      </c>
      <c r="AC1667" t="b">
        <v>1</v>
      </c>
      <c r="AD1667" t="s">
        <v>4335</v>
      </c>
      <c r="AE1667" t="s">
        <v>4336</v>
      </c>
    </row>
    <row r="1668" spans="1:31" x14ac:dyDescent="0.3">
      <c r="A1668">
        <v>-73.964946547690005</v>
      </c>
      <c r="B1668">
        <v>40.782270836270001</v>
      </c>
      <c r="C1668" t="s">
        <v>4337</v>
      </c>
      <c r="D1668" t="s">
        <v>82</v>
      </c>
      <c r="E1668" t="s">
        <v>33</v>
      </c>
      <c r="F1668">
        <v>10142018</v>
      </c>
      <c r="G1668">
        <v>7</v>
      </c>
      <c r="H1668" t="s">
        <v>48</v>
      </c>
      <c r="I1668" t="s">
        <v>42</v>
      </c>
      <c r="K1668" t="s">
        <v>43</v>
      </c>
      <c r="M1668" t="s">
        <v>65</v>
      </c>
      <c r="N1668" t="b">
        <v>0</v>
      </c>
      <c r="P1668" t="b">
        <v>0</v>
      </c>
      <c r="Q1668" t="b">
        <v>1</v>
      </c>
      <c r="R1668" t="b">
        <v>0</v>
      </c>
      <c r="S1668" t="b">
        <v>0</v>
      </c>
      <c r="T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b">
        <v>0</v>
      </c>
      <c r="AB1668" t="b">
        <v>1</v>
      </c>
      <c r="AC1668" t="b">
        <v>0</v>
      </c>
      <c r="AE1668" t="s">
        <v>4338</v>
      </c>
    </row>
    <row r="1669" spans="1:31" x14ac:dyDescent="0.3">
      <c r="A1669">
        <v>-73.964598900360002</v>
      </c>
      <c r="B1669">
        <v>40.778215745920001</v>
      </c>
      <c r="C1669" t="s">
        <v>4339</v>
      </c>
      <c r="D1669" t="s">
        <v>1810</v>
      </c>
      <c r="E1669" t="s">
        <v>33</v>
      </c>
      <c r="F1669">
        <v>10142018</v>
      </c>
      <c r="G1669">
        <v>1</v>
      </c>
      <c r="H1669" t="s">
        <v>48</v>
      </c>
      <c r="I1669" t="s">
        <v>42</v>
      </c>
      <c r="J1669" t="s">
        <v>59</v>
      </c>
      <c r="K1669" t="s">
        <v>79</v>
      </c>
      <c r="M1669" t="s">
        <v>65</v>
      </c>
      <c r="N1669" t="b">
        <v>0</v>
      </c>
      <c r="P1669" t="b">
        <v>0</v>
      </c>
      <c r="Q1669" t="b">
        <v>0</v>
      </c>
      <c r="R1669" t="b">
        <v>1</v>
      </c>
      <c r="S1669" t="b">
        <v>1</v>
      </c>
      <c r="T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b">
        <v>0</v>
      </c>
      <c r="AB1669" t="b">
        <v>1</v>
      </c>
      <c r="AC1669" t="b">
        <v>0</v>
      </c>
      <c r="AE1669" t="s">
        <v>4340</v>
      </c>
    </row>
    <row r="1670" spans="1:31" x14ac:dyDescent="0.3">
      <c r="A1670">
        <v>-73.974693481070005</v>
      </c>
      <c r="B1670">
        <v>40.765943188420003</v>
      </c>
      <c r="C1670" t="s">
        <v>4341</v>
      </c>
      <c r="D1670" t="s">
        <v>2889</v>
      </c>
      <c r="E1670" t="s">
        <v>33</v>
      </c>
      <c r="F1670">
        <v>10072018</v>
      </c>
      <c r="G1670">
        <v>2</v>
      </c>
      <c r="H1670" t="s">
        <v>48</v>
      </c>
      <c r="I1670" t="s">
        <v>42</v>
      </c>
      <c r="J1670" t="s">
        <v>53</v>
      </c>
      <c r="K1670" t="s">
        <v>54</v>
      </c>
      <c r="M1670" t="s">
        <v>65</v>
      </c>
      <c r="N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s">
        <v>432</v>
      </c>
      <c r="V1670" t="b">
        <v>0</v>
      </c>
      <c r="W1670" t="b">
        <v>0</v>
      </c>
      <c r="X1670" t="b">
        <v>0</v>
      </c>
      <c r="Y1670" t="b">
        <v>0</v>
      </c>
      <c r="Z1670" t="b">
        <v>1</v>
      </c>
      <c r="AA1670" t="b">
        <v>0</v>
      </c>
      <c r="AB1670" t="b">
        <v>1</v>
      </c>
      <c r="AC1670" t="b">
        <v>0</v>
      </c>
      <c r="AE1670" t="s">
        <v>4342</v>
      </c>
    </row>
    <row r="1671" spans="1:31" x14ac:dyDescent="0.3">
      <c r="A1671">
        <v>-73.969182120689993</v>
      </c>
      <c r="B1671">
        <v>40.776320316430002</v>
      </c>
      <c r="C1671" t="s">
        <v>4343</v>
      </c>
      <c r="D1671" t="s">
        <v>225</v>
      </c>
      <c r="E1671" t="s">
        <v>33</v>
      </c>
      <c r="F1671">
        <v>10122018</v>
      </c>
      <c r="G1671">
        <v>3</v>
      </c>
      <c r="H1671" t="s">
        <v>48</v>
      </c>
      <c r="I1671" t="s">
        <v>42</v>
      </c>
      <c r="J1671" t="s">
        <v>96</v>
      </c>
      <c r="K1671" t="s">
        <v>97</v>
      </c>
      <c r="M1671" t="s">
        <v>65</v>
      </c>
      <c r="N1671" t="b">
        <v>0</v>
      </c>
      <c r="P1671" t="b">
        <v>0</v>
      </c>
      <c r="Q1671" t="b">
        <v>0</v>
      </c>
      <c r="R1671" t="b">
        <v>0</v>
      </c>
      <c r="S1671" t="b">
        <v>1</v>
      </c>
      <c r="T1671" t="b">
        <v>1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b">
        <v>0</v>
      </c>
      <c r="AB1671" t="b">
        <v>0</v>
      </c>
      <c r="AC1671" t="b">
        <v>0</v>
      </c>
      <c r="AE1671" t="s">
        <v>4344</v>
      </c>
    </row>
    <row r="1672" spans="1:31" x14ac:dyDescent="0.3">
      <c r="A1672">
        <v>-73.968268875229995</v>
      </c>
      <c r="B1672">
        <v>40.77119348355</v>
      </c>
      <c r="C1672" t="s">
        <v>4345</v>
      </c>
      <c r="D1672" t="s">
        <v>1780</v>
      </c>
      <c r="E1672" t="s">
        <v>33</v>
      </c>
      <c r="F1672">
        <v>10102018</v>
      </c>
      <c r="G1672">
        <v>6</v>
      </c>
      <c r="H1672" t="s">
        <v>48</v>
      </c>
      <c r="I1672" t="s">
        <v>42</v>
      </c>
      <c r="J1672" t="s">
        <v>53</v>
      </c>
      <c r="K1672" t="s">
        <v>54</v>
      </c>
      <c r="M1672" t="s">
        <v>65</v>
      </c>
      <c r="N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1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b">
        <v>0</v>
      </c>
      <c r="AB1672" t="b">
        <v>1</v>
      </c>
      <c r="AC1672" t="b">
        <v>0</v>
      </c>
      <c r="AE1672" t="s">
        <v>4346</v>
      </c>
    </row>
    <row r="1673" spans="1:31" x14ac:dyDescent="0.3">
      <c r="A1673">
        <v>-73.961139957369994</v>
      </c>
      <c r="B1673">
        <v>40.781130706029998</v>
      </c>
      <c r="C1673" t="s">
        <v>4347</v>
      </c>
      <c r="D1673" t="s">
        <v>1115</v>
      </c>
      <c r="E1673" t="s">
        <v>38</v>
      </c>
      <c r="F1673">
        <v>10072018</v>
      </c>
      <c r="G1673">
        <v>1</v>
      </c>
      <c r="H1673" t="s">
        <v>48</v>
      </c>
      <c r="I1673" t="s">
        <v>42</v>
      </c>
      <c r="J1673" t="s">
        <v>59</v>
      </c>
      <c r="K1673" t="s">
        <v>79</v>
      </c>
      <c r="M1673" t="s">
        <v>65</v>
      </c>
      <c r="N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1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b">
        <v>0</v>
      </c>
      <c r="AB1673" t="b">
        <v>1</v>
      </c>
      <c r="AC1673" t="b">
        <v>0</v>
      </c>
      <c r="AE1673" t="s">
        <v>4348</v>
      </c>
    </row>
    <row r="1674" spans="1:31" x14ac:dyDescent="0.3">
      <c r="A1674">
        <v>-73.964098960300007</v>
      </c>
      <c r="B1674">
        <v>40.78992954393</v>
      </c>
      <c r="C1674" t="s">
        <v>4349</v>
      </c>
      <c r="D1674" t="s">
        <v>1133</v>
      </c>
      <c r="E1674" t="s">
        <v>33</v>
      </c>
      <c r="F1674">
        <v>10102018</v>
      </c>
      <c r="G1674">
        <v>3</v>
      </c>
      <c r="H1674" t="s">
        <v>105</v>
      </c>
      <c r="I1674" t="s">
        <v>42</v>
      </c>
      <c r="J1674" t="s">
        <v>59</v>
      </c>
      <c r="K1674" t="s">
        <v>79</v>
      </c>
      <c r="M1674" t="s">
        <v>65</v>
      </c>
      <c r="N1674" t="b">
        <v>0</v>
      </c>
      <c r="P1674" t="b">
        <v>0</v>
      </c>
      <c r="Q1674" t="b">
        <v>0</v>
      </c>
      <c r="R1674" t="b">
        <v>0</v>
      </c>
      <c r="S1674" t="b">
        <v>1</v>
      </c>
      <c r="T1674" t="b">
        <v>1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b">
        <v>1</v>
      </c>
      <c r="AB1674" t="b">
        <v>0</v>
      </c>
      <c r="AC1674" t="b">
        <v>0</v>
      </c>
      <c r="AE1674" t="s">
        <v>4350</v>
      </c>
    </row>
    <row r="1675" spans="1:31" x14ac:dyDescent="0.3">
      <c r="A1675">
        <v>-73.974694085129997</v>
      </c>
      <c r="B1675">
        <v>40.776096648820001</v>
      </c>
      <c r="C1675" t="s">
        <v>4351</v>
      </c>
      <c r="D1675" t="s">
        <v>41</v>
      </c>
      <c r="E1675" t="s">
        <v>33</v>
      </c>
      <c r="F1675">
        <v>10142018</v>
      </c>
      <c r="G1675">
        <v>2</v>
      </c>
      <c r="H1675" t="s">
        <v>105</v>
      </c>
      <c r="I1675" t="s">
        <v>42</v>
      </c>
      <c r="K1675" t="s">
        <v>43</v>
      </c>
      <c r="M1675" t="s">
        <v>44</v>
      </c>
      <c r="N1675">
        <v>10</v>
      </c>
      <c r="P1675" t="b">
        <v>0</v>
      </c>
      <c r="Q1675" t="b">
        <v>1</v>
      </c>
      <c r="R1675" t="b">
        <v>0</v>
      </c>
      <c r="S1675" t="b">
        <v>0</v>
      </c>
      <c r="T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b">
        <v>0</v>
      </c>
      <c r="AB1675" t="b">
        <v>0</v>
      </c>
      <c r="AC1675" t="b">
        <v>0</v>
      </c>
      <c r="AE1675" t="s">
        <v>4352</v>
      </c>
    </row>
    <row r="1676" spans="1:31" x14ac:dyDescent="0.3">
      <c r="A1676">
        <v>-73.958969868140002</v>
      </c>
      <c r="B1676">
        <v>40.790652052040002</v>
      </c>
      <c r="C1676" t="s">
        <v>4353</v>
      </c>
      <c r="D1676" t="s">
        <v>47</v>
      </c>
      <c r="E1676" t="s">
        <v>33</v>
      </c>
      <c r="F1676">
        <v>10172018</v>
      </c>
      <c r="G1676">
        <v>6</v>
      </c>
      <c r="H1676" t="s">
        <v>48</v>
      </c>
      <c r="I1676" t="s">
        <v>42</v>
      </c>
      <c r="K1676" t="s">
        <v>43</v>
      </c>
      <c r="M1676" t="s">
        <v>65</v>
      </c>
      <c r="N1676" t="b">
        <v>0</v>
      </c>
      <c r="O1676" t="s">
        <v>815</v>
      </c>
      <c r="P1676" t="b">
        <v>0</v>
      </c>
      <c r="Q1676" t="b">
        <v>0</v>
      </c>
      <c r="R1676" t="b">
        <v>0</v>
      </c>
      <c r="S1676" t="b">
        <v>1</v>
      </c>
      <c r="T1676" t="b">
        <v>1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b">
        <v>0</v>
      </c>
      <c r="AB1676" t="b">
        <v>0</v>
      </c>
      <c r="AC1676" t="b">
        <v>1</v>
      </c>
      <c r="AE1676" t="s">
        <v>4354</v>
      </c>
    </row>
    <row r="1677" spans="1:31" x14ac:dyDescent="0.3">
      <c r="A1677">
        <v>-73.977749764579997</v>
      </c>
      <c r="B1677">
        <v>40.767734470919997</v>
      </c>
      <c r="C1677" t="s">
        <v>4355</v>
      </c>
      <c r="D1677" t="s">
        <v>756</v>
      </c>
      <c r="E1677" t="s">
        <v>38</v>
      </c>
      <c r="F1677">
        <v>10072018</v>
      </c>
      <c r="G1677">
        <v>4</v>
      </c>
      <c r="H1677" t="s">
        <v>48</v>
      </c>
      <c r="I1677" t="s">
        <v>42</v>
      </c>
      <c r="K1677" t="s">
        <v>43</v>
      </c>
      <c r="M1677" t="s">
        <v>44</v>
      </c>
      <c r="N1677">
        <v>100</v>
      </c>
      <c r="P1677" t="b">
        <v>0</v>
      </c>
      <c r="Q1677" t="b">
        <v>0</v>
      </c>
      <c r="R1677" t="b">
        <v>1</v>
      </c>
      <c r="S1677" t="b">
        <v>0</v>
      </c>
      <c r="T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b">
        <v>0</v>
      </c>
      <c r="AB1677" t="b">
        <v>0</v>
      </c>
      <c r="AC1677" t="b">
        <v>0</v>
      </c>
      <c r="AE1677" t="s">
        <v>4356</v>
      </c>
    </row>
    <row r="1678" spans="1:31" x14ac:dyDescent="0.3">
      <c r="A1678">
        <v>-73.956668694019996</v>
      </c>
      <c r="B1678">
        <v>40.794924397960003</v>
      </c>
      <c r="C1678" t="s">
        <v>4357</v>
      </c>
      <c r="D1678" t="s">
        <v>394</v>
      </c>
      <c r="E1678" t="s">
        <v>33</v>
      </c>
      <c r="F1678">
        <v>10062018</v>
      </c>
      <c r="G1678">
        <v>5</v>
      </c>
      <c r="H1678" t="s">
        <v>48</v>
      </c>
      <c r="I1678" t="s">
        <v>42</v>
      </c>
      <c r="J1678" t="s">
        <v>53</v>
      </c>
      <c r="K1678" t="s">
        <v>54</v>
      </c>
      <c r="M1678" t="s">
        <v>65</v>
      </c>
      <c r="N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1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b">
        <v>0</v>
      </c>
      <c r="AB1678" t="b">
        <v>1</v>
      </c>
      <c r="AC1678" t="b">
        <v>0</v>
      </c>
      <c r="AE1678" t="s">
        <v>4358</v>
      </c>
    </row>
    <row r="1679" spans="1:31" x14ac:dyDescent="0.3">
      <c r="A1679">
        <v>-73.95943326007</v>
      </c>
      <c r="B1679">
        <v>40.796062244529999</v>
      </c>
      <c r="C1679" t="s">
        <v>4359</v>
      </c>
      <c r="D1679" t="s">
        <v>969</v>
      </c>
      <c r="E1679" t="s">
        <v>33</v>
      </c>
      <c r="F1679">
        <v>10132018</v>
      </c>
      <c r="G1679">
        <v>2</v>
      </c>
      <c r="H1679" t="s">
        <v>48</v>
      </c>
      <c r="I1679" t="s">
        <v>42</v>
      </c>
      <c r="J1679" t="s">
        <v>53</v>
      </c>
      <c r="K1679" t="s">
        <v>54</v>
      </c>
      <c r="M1679" t="s">
        <v>65</v>
      </c>
      <c r="N1679" t="b">
        <v>0</v>
      </c>
      <c r="P1679" t="b">
        <v>0</v>
      </c>
      <c r="Q1679" t="b">
        <v>0</v>
      </c>
      <c r="R1679" t="b">
        <v>0</v>
      </c>
      <c r="S1679" t="b">
        <v>1</v>
      </c>
      <c r="T1679" t="b">
        <v>1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b">
        <v>0</v>
      </c>
      <c r="AB1679" t="b">
        <v>1</v>
      </c>
      <c r="AC1679" t="b">
        <v>0</v>
      </c>
      <c r="AE1679" t="s">
        <v>4360</v>
      </c>
    </row>
    <row r="1680" spans="1:31" x14ac:dyDescent="0.3">
      <c r="A1680">
        <v>-73.956872650850002</v>
      </c>
      <c r="B1680">
        <v>40.787879508129997</v>
      </c>
      <c r="C1680" t="s">
        <v>4361</v>
      </c>
      <c r="D1680" t="s">
        <v>1912</v>
      </c>
      <c r="E1680" t="s">
        <v>33</v>
      </c>
      <c r="F1680">
        <v>10062018</v>
      </c>
      <c r="G1680">
        <v>3</v>
      </c>
      <c r="H1680" t="s">
        <v>48</v>
      </c>
      <c r="I1680" t="s">
        <v>42</v>
      </c>
      <c r="K1680" t="s">
        <v>43</v>
      </c>
      <c r="M1680" t="s">
        <v>65</v>
      </c>
      <c r="N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1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b">
        <v>0</v>
      </c>
      <c r="AB1680" t="b">
        <v>0</v>
      </c>
      <c r="AC1680" t="b">
        <v>1</v>
      </c>
      <c r="AD1680" t="s">
        <v>3281</v>
      </c>
      <c r="AE1680" t="s">
        <v>4362</v>
      </c>
    </row>
    <row r="1681" spans="1:31" x14ac:dyDescent="0.3">
      <c r="A1681">
        <v>-73.954539910240001</v>
      </c>
      <c r="B1681">
        <v>40.789864626769997</v>
      </c>
      <c r="C1681" t="s">
        <v>4363</v>
      </c>
      <c r="D1681" t="s">
        <v>921</v>
      </c>
      <c r="E1681" t="s">
        <v>33</v>
      </c>
      <c r="F1681">
        <v>10062018</v>
      </c>
      <c r="G1681">
        <v>6</v>
      </c>
      <c r="H1681" t="s">
        <v>48</v>
      </c>
      <c r="I1681" t="s">
        <v>42</v>
      </c>
      <c r="K1681" t="s">
        <v>43</v>
      </c>
      <c r="M1681" t="s">
        <v>65</v>
      </c>
      <c r="N1681" t="b">
        <v>0</v>
      </c>
      <c r="P1681" t="b">
        <v>1</v>
      </c>
      <c r="Q1681" t="b">
        <v>0</v>
      </c>
      <c r="R1681" t="b">
        <v>0</v>
      </c>
      <c r="S1681" t="b">
        <v>0</v>
      </c>
      <c r="T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 t="b">
        <v>0</v>
      </c>
      <c r="AC1681" t="b">
        <v>1</v>
      </c>
      <c r="AE1681" t="s">
        <v>4364</v>
      </c>
    </row>
    <row r="1682" spans="1:31" x14ac:dyDescent="0.3">
      <c r="A1682">
        <v>-73.963816724829996</v>
      </c>
      <c r="B1682">
        <v>40.777648567939998</v>
      </c>
      <c r="C1682" t="s">
        <v>4365</v>
      </c>
      <c r="D1682" t="s">
        <v>1141</v>
      </c>
      <c r="E1682" t="s">
        <v>33</v>
      </c>
      <c r="F1682">
        <v>10072018</v>
      </c>
      <c r="G1682">
        <v>3</v>
      </c>
      <c r="H1682" t="s">
        <v>48</v>
      </c>
      <c r="I1682" t="s">
        <v>53</v>
      </c>
      <c r="J1682" t="s">
        <v>42</v>
      </c>
      <c r="K1682" t="s">
        <v>89</v>
      </c>
      <c r="M1682" t="s">
        <v>44</v>
      </c>
      <c r="N1682">
        <v>25</v>
      </c>
      <c r="P1682" t="b">
        <v>0</v>
      </c>
      <c r="Q1682" t="b">
        <v>0</v>
      </c>
      <c r="R1682" t="b">
        <v>1</v>
      </c>
      <c r="S1682" t="b">
        <v>0</v>
      </c>
      <c r="T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b">
        <v>0</v>
      </c>
      <c r="AB1682" t="b">
        <v>0</v>
      </c>
      <c r="AC1682" t="b">
        <v>0</v>
      </c>
      <c r="AD1682" t="s">
        <v>4366</v>
      </c>
      <c r="AE1682" t="s">
        <v>4367</v>
      </c>
    </row>
    <row r="1683" spans="1:31" x14ac:dyDescent="0.3">
      <c r="A1683">
        <v>-73.963814192379999</v>
      </c>
      <c r="B1683">
        <v>40.782922532630003</v>
      </c>
      <c r="C1683" t="s">
        <v>4368</v>
      </c>
      <c r="D1683" t="s">
        <v>579</v>
      </c>
      <c r="E1683" t="s">
        <v>33</v>
      </c>
      <c r="F1683">
        <v>10132018</v>
      </c>
      <c r="G1683">
        <v>3</v>
      </c>
      <c r="H1683" t="s">
        <v>48</v>
      </c>
      <c r="I1683" t="s">
        <v>42</v>
      </c>
      <c r="J1683" t="s">
        <v>96</v>
      </c>
      <c r="K1683" t="s">
        <v>97</v>
      </c>
      <c r="M1683" t="s">
        <v>65</v>
      </c>
      <c r="N1683" t="b">
        <v>0</v>
      </c>
      <c r="P1683" t="b">
        <v>0</v>
      </c>
      <c r="Q1683" t="b">
        <v>0</v>
      </c>
      <c r="R1683" t="b">
        <v>0</v>
      </c>
      <c r="S1683" t="b">
        <v>1</v>
      </c>
      <c r="T1683" t="b">
        <v>1</v>
      </c>
      <c r="V1683" t="b">
        <v>0</v>
      </c>
      <c r="W1683" t="b">
        <v>0</v>
      </c>
      <c r="X1683" t="b">
        <v>0</v>
      </c>
      <c r="Y1683" t="b">
        <v>0</v>
      </c>
      <c r="Z1683" t="b">
        <v>1</v>
      </c>
      <c r="AA1683" t="b">
        <v>0</v>
      </c>
      <c r="AB1683" t="b">
        <v>1</v>
      </c>
      <c r="AC1683" t="b">
        <v>0</v>
      </c>
      <c r="AD1683" t="s">
        <v>4369</v>
      </c>
      <c r="AE1683" t="s">
        <v>4370</v>
      </c>
    </row>
    <row r="1684" spans="1:31" x14ac:dyDescent="0.3">
      <c r="A1684">
        <v>-73.97592584073</v>
      </c>
      <c r="B1684">
        <v>40.766762271109997</v>
      </c>
      <c r="C1684" t="s">
        <v>4371</v>
      </c>
      <c r="D1684" t="s">
        <v>471</v>
      </c>
      <c r="E1684" t="s">
        <v>33</v>
      </c>
      <c r="F1684">
        <v>10142018</v>
      </c>
      <c r="G1684">
        <v>5</v>
      </c>
      <c r="H1684" t="s">
        <v>48</v>
      </c>
      <c r="I1684" t="s">
        <v>42</v>
      </c>
      <c r="K1684" t="s">
        <v>43</v>
      </c>
      <c r="M1684" t="s">
        <v>65</v>
      </c>
      <c r="N1684" t="b">
        <v>0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b">
        <v>0</v>
      </c>
      <c r="AB1684" t="b">
        <v>1</v>
      </c>
      <c r="AC1684" t="b">
        <v>0</v>
      </c>
      <c r="AE1684" t="s">
        <v>4372</v>
      </c>
    </row>
    <row r="1685" spans="1:31" x14ac:dyDescent="0.3">
      <c r="A1685">
        <v>-73.979088900809998</v>
      </c>
      <c r="B1685">
        <v>40.767640278190001</v>
      </c>
      <c r="C1685" t="s">
        <v>4373</v>
      </c>
      <c r="D1685" t="s">
        <v>1301</v>
      </c>
      <c r="E1685" t="s">
        <v>33</v>
      </c>
      <c r="F1685">
        <v>10132018</v>
      </c>
      <c r="G1685">
        <v>1</v>
      </c>
      <c r="H1685" t="s">
        <v>48</v>
      </c>
      <c r="I1685" t="s">
        <v>53</v>
      </c>
      <c r="J1685" t="s">
        <v>115</v>
      </c>
      <c r="K1685" t="s">
        <v>116</v>
      </c>
      <c r="M1685" t="s">
        <v>65</v>
      </c>
      <c r="N1685" t="b">
        <v>0</v>
      </c>
      <c r="P1685" t="b">
        <v>0</v>
      </c>
      <c r="Q1685" t="b">
        <v>0</v>
      </c>
      <c r="R1685" t="b">
        <v>1</v>
      </c>
      <c r="S1685" t="b">
        <v>0</v>
      </c>
      <c r="T1685" t="b">
        <v>1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b">
        <v>1</v>
      </c>
      <c r="AB1685" t="b">
        <v>0</v>
      </c>
      <c r="AC1685" t="b">
        <v>0</v>
      </c>
      <c r="AE1685" t="s">
        <v>4374</v>
      </c>
    </row>
    <row r="1686" spans="1:31" x14ac:dyDescent="0.3">
      <c r="A1686">
        <v>-73.963782475659997</v>
      </c>
      <c r="B1686">
        <v>40.790473711079997</v>
      </c>
      <c r="C1686" t="s">
        <v>4375</v>
      </c>
      <c r="D1686" t="s">
        <v>908</v>
      </c>
      <c r="E1686" t="s">
        <v>38</v>
      </c>
      <c r="F1686">
        <v>10072018</v>
      </c>
      <c r="G1686">
        <v>8</v>
      </c>
      <c r="H1686" t="s">
        <v>48</v>
      </c>
      <c r="I1686" t="s">
        <v>42</v>
      </c>
      <c r="K1686" t="s">
        <v>43</v>
      </c>
      <c r="M1686" t="s">
        <v>44</v>
      </c>
      <c r="N1686">
        <v>40</v>
      </c>
      <c r="P1686" t="b">
        <v>1</v>
      </c>
      <c r="Q1686" t="b">
        <v>0</v>
      </c>
      <c r="R1686" t="b">
        <v>0</v>
      </c>
      <c r="S1686" t="b">
        <v>1</v>
      </c>
      <c r="T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  <c r="AE1686" t="s">
        <v>4376</v>
      </c>
    </row>
    <row r="1687" spans="1:31" x14ac:dyDescent="0.3">
      <c r="A1687">
        <v>-73.967882298329997</v>
      </c>
      <c r="B1687">
        <v>40.780296098560001</v>
      </c>
      <c r="C1687" t="s">
        <v>4377</v>
      </c>
      <c r="D1687" t="s">
        <v>4378</v>
      </c>
      <c r="E1687" t="s">
        <v>33</v>
      </c>
      <c r="F1687">
        <v>10062018</v>
      </c>
      <c r="G1687">
        <v>1</v>
      </c>
      <c r="H1687" t="s">
        <v>105</v>
      </c>
      <c r="I1687" t="s">
        <v>42</v>
      </c>
      <c r="J1687" t="s">
        <v>59</v>
      </c>
      <c r="K1687" t="s">
        <v>79</v>
      </c>
      <c r="M1687" t="s">
        <v>65</v>
      </c>
      <c r="N1687" t="b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1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b">
        <v>0</v>
      </c>
      <c r="AB1687" t="b">
        <v>0</v>
      </c>
      <c r="AC1687" t="b">
        <v>0</v>
      </c>
      <c r="AE1687" t="s">
        <v>4379</v>
      </c>
    </row>
    <row r="1688" spans="1:31" x14ac:dyDescent="0.3">
      <c r="A1688">
        <v>-73.959337309380004</v>
      </c>
      <c r="B1688">
        <v>40.798242850800001</v>
      </c>
      <c r="C1688" t="s">
        <v>4380</v>
      </c>
      <c r="D1688" t="s">
        <v>582</v>
      </c>
      <c r="E1688" t="s">
        <v>33</v>
      </c>
      <c r="F1688">
        <v>10142018</v>
      </c>
      <c r="G1688">
        <v>3</v>
      </c>
      <c r="H1688" t="s">
        <v>48</v>
      </c>
      <c r="I1688" t="s">
        <v>42</v>
      </c>
      <c r="J1688" t="s">
        <v>96</v>
      </c>
      <c r="K1688" t="s">
        <v>97</v>
      </c>
      <c r="L1688" t="s">
        <v>4381</v>
      </c>
      <c r="M1688" t="s">
        <v>44</v>
      </c>
      <c r="N1688">
        <v>6</v>
      </c>
      <c r="O1688" t="s">
        <v>4382</v>
      </c>
      <c r="P1688" t="b">
        <v>0</v>
      </c>
      <c r="Q1688" t="b">
        <v>0</v>
      </c>
      <c r="R1688" t="b">
        <v>0</v>
      </c>
      <c r="S1688" t="b">
        <v>0</v>
      </c>
      <c r="T1688" t="b">
        <v>1</v>
      </c>
      <c r="U1688" t="s">
        <v>4383</v>
      </c>
      <c r="V1688" t="b">
        <v>0</v>
      </c>
      <c r="W1688" t="b">
        <v>0</v>
      </c>
      <c r="X1688" t="b">
        <v>0</v>
      </c>
      <c r="Y1688" t="b">
        <v>0</v>
      </c>
      <c r="Z1688" t="b">
        <v>1</v>
      </c>
      <c r="AA1688" t="b">
        <v>0</v>
      </c>
      <c r="AB1688" t="b">
        <v>1</v>
      </c>
      <c r="AC1688" t="b">
        <v>0</v>
      </c>
      <c r="AE1688" t="s">
        <v>4384</v>
      </c>
    </row>
    <row r="1689" spans="1:31" x14ac:dyDescent="0.3">
      <c r="A1689">
        <v>-73.975479096460006</v>
      </c>
      <c r="B1689">
        <v>40.768336388519998</v>
      </c>
      <c r="C1689" t="s">
        <v>4385</v>
      </c>
      <c r="D1689" t="s">
        <v>782</v>
      </c>
      <c r="E1689" t="s">
        <v>33</v>
      </c>
      <c r="F1689">
        <v>10082018</v>
      </c>
      <c r="G1689">
        <v>7</v>
      </c>
      <c r="H1689" t="s">
        <v>48</v>
      </c>
      <c r="I1689" t="s">
        <v>42</v>
      </c>
      <c r="J1689" t="s">
        <v>53</v>
      </c>
      <c r="K1689" t="s">
        <v>54</v>
      </c>
      <c r="M1689" t="s">
        <v>65</v>
      </c>
      <c r="N1689" t="b">
        <v>0</v>
      </c>
      <c r="P1689" t="b">
        <v>0</v>
      </c>
      <c r="Q1689" t="b">
        <v>0</v>
      </c>
      <c r="R1689" t="b">
        <v>0</v>
      </c>
      <c r="S1689" t="b">
        <v>1</v>
      </c>
      <c r="T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b">
        <v>0</v>
      </c>
      <c r="AB1689" t="b">
        <v>1</v>
      </c>
      <c r="AC1689" t="b">
        <v>0</v>
      </c>
      <c r="AE1689" t="s">
        <v>4386</v>
      </c>
    </row>
    <row r="1690" spans="1:31" x14ac:dyDescent="0.3">
      <c r="A1690">
        <v>-73.967759334470003</v>
      </c>
      <c r="B1690">
        <v>40.776305431319997</v>
      </c>
      <c r="C1690" t="s">
        <v>4387</v>
      </c>
      <c r="D1690" t="s">
        <v>311</v>
      </c>
      <c r="E1690" t="s">
        <v>33</v>
      </c>
      <c r="F1690">
        <v>10192018</v>
      </c>
      <c r="G1690">
        <v>7</v>
      </c>
      <c r="H1690" t="s">
        <v>48</v>
      </c>
      <c r="K1690" t="s">
        <v>34</v>
      </c>
      <c r="M1690" t="s">
        <v>44</v>
      </c>
      <c r="N1690">
        <v>5</v>
      </c>
      <c r="P1690" t="b">
        <v>0</v>
      </c>
      <c r="Q1690" t="b">
        <v>1</v>
      </c>
      <c r="R1690" t="b">
        <v>0</v>
      </c>
      <c r="S1690" t="b">
        <v>0</v>
      </c>
      <c r="T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1</v>
      </c>
      <c r="AA1690" t="b">
        <v>0</v>
      </c>
      <c r="AB1690" t="b">
        <v>0</v>
      </c>
      <c r="AC1690" t="b">
        <v>0</v>
      </c>
      <c r="AE1690" t="s">
        <v>4388</v>
      </c>
    </row>
    <row r="1691" spans="1:31" x14ac:dyDescent="0.3">
      <c r="A1691">
        <v>-73.954703154930002</v>
      </c>
      <c r="B1691">
        <v>40.797886753930001</v>
      </c>
      <c r="C1691" t="s">
        <v>4389</v>
      </c>
      <c r="D1691" t="s">
        <v>1515</v>
      </c>
      <c r="E1691" t="s">
        <v>33</v>
      </c>
      <c r="F1691">
        <v>10132018</v>
      </c>
      <c r="G1691">
        <v>1</v>
      </c>
      <c r="H1691" t="s">
        <v>48</v>
      </c>
      <c r="I1691" t="s">
        <v>42</v>
      </c>
      <c r="J1691" t="s">
        <v>59</v>
      </c>
      <c r="K1691" t="s">
        <v>79</v>
      </c>
      <c r="M1691" t="s">
        <v>65</v>
      </c>
      <c r="N1691" t="b">
        <v>0</v>
      </c>
      <c r="P1691" t="b">
        <v>1</v>
      </c>
      <c r="Q1691" t="b">
        <v>0</v>
      </c>
      <c r="R1691" t="b">
        <v>0</v>
      </c>
      <c r="S1691" t="b">
        <v>0</v>
      </c>
      <c r="T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b">
        <v>0</v>
      </c>
      <c r="AB1691" t="b">
        <v>1</v>
      </c>
      <c r="AC1691" t="b">
        <v>0</v>
      </c>
      <c r="AE1691" t="s">
        <v>4390</v>
      </c>
    </row>
    <row r="1692" spans="1:31" x14ac:dyDescent="0.3">
      <c r="A1692">
        <v>-73.960522953270001</v>
      </c>
      <c r="B1692">
        <v>40.793435937289999</v>
      </c>
      <c r="C1692" t="s">
        <v>4391</v>
      </c>
      <c r="D1692" t="s">
        <v>3811</v>
      </c>
      <c r="E1692" t="s">
        <v>33</v>
      </c>
      <c r="F1692">
        <v>10122018</v>
      </c>
      <c r="G1692">
        <v>4</v>
      </c>
      <c r="H1692" t="s">
        <v>48</v>
      </c>
      <c r="I1692" t="s">
        <v>42</v>
      </c>
      <c r="K1692" t="s">
        <v>43</v>
      </c>
      <c r="M1692" t="s">
        <v>65</v>
      </c>
      <c r="N1692" t="b">
        <v>0</v>
      </c>
      <c r="P1692" t="b">
        <v>1</v>
      </c>
      <c r="Q1692" t="b">
        <v>0</v>
      </c>
      <c r="R1692" t="b">
        <v>0</v>
      </c>
      <c r="S1692" t="b">
        <v>1</v>
      </c>
      <c r="T1692" t="b">
        <v>1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b">
        <v>0</v>
      </c>
      <c r="AB1692" t="b">
        <v>1</v>
      </c>
      <c r="AC1692" t="b">
        <v>0</v>
      </c>
      <c r="AE1692" t="s">
        <v>4392</v>
      </c>
    </row>
    <row r="1693" spans="1:31" x14ac:dyDescent="0.3">
      <c r="A1693">
        <v>-73.970370500870004</v>
      </c>
      <c r="B1693">
        <v>40.781858617380003</v>
      </c>
      <c r="C1693" t="s">
        <v>4393</v>
      </c>
      <c r="D1693" t="s">
        <v>411</v>
      </c>
      <c r="E1693" t="s">
        <v>33</v>
      </c>
      <c r="F1693">
        <v>10182018</v>
      </c>
      <c r="G1693">
        <v>2</v>
      </c>
      <c r="H1693" t="s">
        <v>48</v>
      </c>
      <c r="I1693" t="s">
        <v>42</v>
      </c>
      <c r="J1693" t="s">
        <v>1921</v>
      </c>
      <c r="K1693" t="s">
        <v>1922</v>
      </c>
      <c r="L1693" t="s">
        <v>2319</v>
      </c>
      <c r="M1693" t="s">
        <v>65</v>
      </c>
      <c r="N1693" t="b">
        <v>0</v>
      </c>
      <c r="P1693" t="b">
        <v>0</v>
      </c>
      <c r="Q1693" t="b">
        <v>0</v>
      </c>
      <c r="R1693" t="b">
        <v>0</v>
      </c>
      <c r="S1693" t="b">
        <v>1</v>
      </c>
      <c r="T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b">
        <v>0</v>
      </c>
      <c r="AB1693" t="b">
        <v>1</v>
      </c>
      <c r="AC1693" t="b">
        <v>0</v>
      </c>
      <c r="AE1693" t="s">
        <v>4394</v>
      </c>
    </row>
    <row r="1694" spans="1:31" x14ac:dyDescent="0.3">
      <c r="A1694">
        <v>-73.973268329440003</v>
      </c>
      <c r="B1694">
        <v>40.770829651710002</v>
      </c>
      <c r="C1694" t="s">
        <v>4395</v>
      </c>
      <c r="D1694" t="s">
        <v>139</v>
      </c>
      <c r="E1694" t="s">
        <v>38</v>
      </c>
      <c r="F1694">
        <v>10062018</v>
      </c>
      <c r="G1694">
        <v>5</v>
      </c>
      <c r="H1694" t="s">
        <v>48</v>
      </c>
      <c r="I1694" t="s">
        <v>42</v>
      </c>
      <c r="K1694" t="s">
        <v>43</v>
      </c>
      <c r="M1694" t="s">
        <v>44</v>
      </c>
      <c r="N1694">
        <v>25</v>
      </c>
      <c r="O1694" t="s">
        <v>456</v>
      </c>
      <c r="P1694" t="b">
        <v>0</v>
      </c>
      <c r="Q1694" t="b">
        <v>0</v>
      </c>
      <c r="R1694" t="b">
        <v>1</v>
      </c>
      <c r="S1694" t="b">
        <v>0</v>
      </c>
      <c r="T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b">
        <v>0</v>
      </c>
      <c r="AB1694" t="b">
        <v>0</v>
      </c>
      <c r="AC1694" t="b">
        <v>0</v>
      </c>
      <c r="AE1694" t="s">
        <v>4396</v>
      </c>
    </row>
    <row r="1695" spans="1:31" x14ac:dyDescent="0.3">
      <c r="A1695">
        <v>-73.959378142739993</v>
      </c>
      <c r="B1695">
        <v>40.784151991260003</v>
      </c>
      <c r="C1695" t="s">
        <v>4397</v>
      </c>
      <c r="D1695" t="s">
        <v>844</v>
      </c>
      <c r="E1695" t="s">
        <v>38</v>
      </c>
      <c r="F1695">
        <v>10102018</v>
      </c>
      <c r="G1695">
        <v>2</v>
      </c>
      <c r="H1695" t="s">
        <v>48</v>
      </c>
      <c r="I1695" t="s">
        <v>42</v>
      </c>
      <c r="K1695" t="s">
        <v>43</v>
      </c>
      <c r="M1695" t="s">
        <v>44</v>
      </c>
      <c r="N1695">
        <v>40</v>
      </c>
      <c r="P1695" t="b">
        <v>0</v>
      </c>
      <c r="Q1695" t="b">
        <v>0</v>
      </c>
      <c r="R1695" t="b">
        <v>0</v>
      </c>
      <c r="S1695" t="b">
        <v>0</v>
      </c>
      <c r="T1695" t="b">
        <v>1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b">
        <v>0</v>
      </c>
      <c r="AB1695" t="b">
        <v>0</v>
      </c>
      <c r="AC1695" t="b">
        <v>0</v>
      </c>
      <c r="AE1695" t="s">
        <v>4398</v>
      </c>
    </row>
    <row r="1696" spans="1:31" x14ac:dyDescent="0.3">
      <c r="A1696">
        <v>-73.973019634289997</v>
      </c>
      <c r="B1696">
        <v>40.766022437399997</v>
      </c>
      <c r="C1696" t="s">
        <v>4399</v>
      </c>
      <c r="D1696" t="s">
        <v>1899</v>
      </c>
      <c r="E1696" t="s">
        <v>33</v>
      </c>
      <c r="F1696">
        <v>10142018</v>
      </c>
      <c r="G1696">
        <v>6</v>
      </c>
      <c r="H1696" t="s">
        <v>48</v>
      </c>
      <c r="I1696" t="s">
        <v>42</v>
      </c>
      <c r="K1696" t="s">
        <v>43</v>
      </c>
      <c r="M1696" t="s">
        <v>65</v>
      </c>
      <c r="N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1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b">
        <v>0</v>
      </c>
      <c r="AB1696" t="b">
        <v>1</v>
      </c>
      <c r="AC1696" t="b">
        <v>0</v>
      </c>
      <c r="AE1696" t="s">
        <v>4400</v>
      </c>
    </row>
    <row r="1697" spans="1:31" x14ac:dyDescent="0.3">
      <c r="A1697">
        <v>-73.960408389139999</v>
      </c>
      <c r="B1697">
        <v>40.791028410689997</v>
      </c>
      <c r="C1697" t="s">
        <v>4401</v>
      </c>
      <c r="D1697" t="s">
        <v>294</v>
      </c>
      <c r="E1697" t="s">
        <v>38</v>
      </c>
      <c r="F1697">
        <v>10132018</v>
      </c>
      <c r="G1697">
        <v>5</v>
      </c>
      <c r="H1697" t="s">
        <v>48</v>
      </c>
      <c r="I1697" t="s">
        <v>42</v>
      </c>
      <c r="J1697" t="s">
        <v>53</v>
      </c>
      <c r="K1697" t="s">
        <v>54</v>
      </c>
      <c r="M1697" t="s">
        <v>44</v>
      </c>
      <c r="N1697">
        <v>10</v>
      </c>
      <c r="P1697" t="b">
        <v>1</v>
      </c>
      <c r="Q1697" t="b">
        <v>0</v>
      </c>
      <c r="R1697" t="b">
        <v>0</v>
      </c>
      <c r="S1697" t="b">
        <v>1</v>
      </c>
      <c r="T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b">
        <v>0</v>
      </c>
      <c r="AB1697" t="b">
        <v>1</v>
      </c>
      <c r="AC1697" t="b">
        <v>0</v>
      </c>
      <c r="AE1697" t="s">
        <v>4402</v>
      </c>
    </row>
    <row r="1698" spans="1:31" x14ac:dyDescent="0.3">
      <c r="A1698">
        <v>-73.969459166769994</v>
      </c>
      <c r="B1698">
        <v>40.776651822200002</v>
      </c>
      <c r="C1698" t="s">
        <v>4403</v>
      </c>
      <c r="D1698" t="s">
        <v>100</v>
      </c>
      <c r="E1698" t="s">
        <v>38</v>
      </c>
      <c r="F1698">
        <v>10082018</v>
      </c>
      <c r="G1698">
        <v>12</v>
      </c>
      <c r="H1698" t="s">
        <v>48</v>
      </c>
      <c r="I1698" t="s">
        <v>42</v>
      </c>
      <c r="K1698" t="s">
        <v>43</v>
      </c>
      <c r="M1698" t="s">
        <v>44</v>
      </c>
      <c r="N1698">
        <v>2</v>
      </c>
      <c r="P1698" t="b">
        <v>0</v>
      </c>
      <c r="Q1698" t="b">
        <v>0</v>
      </c>
      <c r="R1698" t="b">
        <v>1</v>
      </c>
      <c r="S1698" t="b">
        <v>1</v>
      </c>
      <c r="T1698" t="b">
        <v>1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b">
        <v>0</v>
      </c>
      <c r="AB1698" t="b">
        <v>1</v>
      </c>
      <c r="AC1698" t="b">
        <v>0</v>
      </c>
      <c r="AE1698" t="s">
        <v>4404</v>
      </c>
    </row>
    <row r="1699" spans="1:31" x14ac:dyDescent="0.3">
      <c r="A1699">
        <v>-73.956861094339999</v>
      </c>
      <c r="B1699">
        <v>40.793595958460003</v>
      </c>
      <c r="C1699" t="s">
        <v>4405</v>
      </c>
      <c r="D1699" t="s">
        <v>1042</v>
      </c>
      <c r="E1699" t="s">
        <v>33</v>
      </c>
      <c r="F1699">
        <v>10122018</v>
      </c>
      <c r="G1699">
        <v>2</v>
      </c>
      <c r="H1699" t="s">
        <v>48</v>
      </c>
      <c r="I1699" t="s">
        <v>42</v>
      </c>
      <c r="K1699" t="s">
        <v>43</v>
      </c>
      <c r="M1699" t="s">
        <v>44</v>
      </c>
      <c r="N1699">
        <v>28</v>
      </c>
      <c r="O1699" t="s">
        <v>4406</v>
      </c>
      <c r="P1699" t="b">
        <v>0</v>
      </c>
      <c r="Q1699" t="b">
        <v>0</v>
      </c>
      <c r="R1699" t="b">
        <v>1</v>
      </c>
      <c r="S1699" t="b">
        <v>0</v>
      </c>
      <c r="T1699" t="b">
        <v>1</v>
      </c>
      <c r="U1699" t="s">
        <v>4407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b">
        <v>0</v>
      </c>
      <c r="AB1699" t="b">
        <v>1</v>
      </c>
      <c r="AC1699" t="b">
        <v>0</v>
      </c>
      <c r="AE1699" t="s">
        <v>4408</v>
      </c>
    </row>
    <row r="1700" spans="1:31" x14ac:dyDescent="0.3">
      <c r="A1700">
        <v>-73.963139211379996</v>
      </c>
      <c r="B1700">
        <v>40.791463563580002</v>
      </c>
      <c r="C1700" t="s">
        <v>4409</v>
      </c>
      <c r="D1700" t="s">
        <v>2511</v>
      </c>
      <c r="E1700" t="s">
        <v>33</v>
      </c>
      <c r="F1700">
        <v>10072018</v>
      </c>
      <c r="G1700">
        <v>2</v>
      </c>
      <c r="H1700" t="s">
        <v>48</v>
      </c>
      <c r="I1700" t="s">
        <v>42</v>
      </c>
      <c r="J1700" t="s">
        <v>53</v>
      </c>
      <c r="K1700" t="s">
        <v>54</v>
      </c>
      <c r="M1700" t="s">
        <v>44</v>
      </c>
      <c r="N1700">
        <v>10</v>
      </c>
      <c r="P1700" t="b">
        <v>0</v>
      </c>
      <c r="Q1700" t="b">
        <v>1</v>
      </c>
      <c r="R1700" t="b">
        <v>1</v>
      </c>
      <c r="S1700" t="b">
        <v>0</v>
      </c>
      <c r="T1700" t="b">
        <v>0</v>
      </c>
      <c r="U1700" t="s">
        <v>4410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b">
        <v>0</v>
      </c>
      <c r="AB1700" t="b">
        <v>0</v>
      </c>
      <c r="AC1700" t="b">
        <v>1</v>
      </c>
      <c r="AE1700" t="s">
        <v>4411</v>
      </c>
    </row>
    <row r="1701" spans="1:31" x14ac:dyDescent="0.3">
      <c r="A1701">
        <v>-73.970696870889995</v>
      </c>
      <c r="B1701">
        <v>40.78214991358</v>
      </c>
      <c r="C1701" t="s">
        <v>4412</v>
      </c>
      <c r="D1701" t="s">
        <v>2667</v>
      </c>
      <c r="E1701" t="s">
        <v>33</v>
      </c>
      <c r="F1701">
        <v>10132018</v>
      </c>
      <c r="G1701">
        <v>6</v>
      </c>
      <c r="H1701" t="s">
        <v>48</v>
      </c>
      <c r="I1701" t="s">
        <v>42</v>
      </c>
      <c r="J1701" t="s">
        <v>59</v>
      </c>
      <c r="K1701" t="s">
        <v>79</v>
      </c>
      <c r="M1701" t="s">
        <v>65</v>
      </c>
      <c r="N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1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b">
        <v>0</v>
      </c>
      <c r="AB1701" t="b">
        <v>0</v>
      </c>
      <c r="AC1701" t="b">
        <v>1</v>
      </c>
      <c r="AE1701" t="s">
        <v>4413</v>
      </c>
    </row>
    <row r="1702" spans="1:31" x14ac:dyDescent="0.3">
      <c r="A1702">
        <v>-73.965675791029994</v>
      </c>
      <c r="B1702">
        <v>40.788731005850003</v>
      </c>
      <c r="C1702" t="s">
        <v>4414</v>
      </c>
      <c r="D1702" t="s">
        <v>4415</v>
      </c>
      <c r="E1702" t="s">
        <v>33</v>
      </c>
      <c r="F1702">
        <v>10062018</v>
      </c>
      <c r="G1702">
        <v>2</v>
      </c>
      <c r="H1702" t="s">
        <v>48</v>
      </c>
      <c r="I1702" t="s">
        <v>42</v>
      </c>
      <c r="K1702" t="s">
        <v>43</v>
      </c>
      <c r="M1702" t="s">
        <v>65</v>
      </c>
      <c r="N1702" t="b">
        <v>0</v>
      </c>
      <c r="O1702" t="s">
        <v>4416</v>
      </c>
      <c r="P1702" t="b">
        <v>0</v>
      </c>
      <c r="Q1702" t="b">
        <v>1</v>
      </c>
      <c r="R1702" t="b">
        <v>0</v>
      </c>
      <c r="S1702" t="b">
        <v>0</v>
      </c>
      <c r="T1702" t="b">
        <v>1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b">
        <v>0</v>
      </c>
      <c r="AB1702" t="b">
        <v>0</v>
      </c>
      <c r="AC1702" t="b">
        <v>1</v>
      </c>
      <c r="AE1702" t="s">
        <v>4417</v>
      </c>
    </row>
    <row r="1703" spans="1:31" x14ac:dyDescent="0.3">
      <c r="A1703">
        <v>-73.970163476859994</v>
      </c>
      <c r="B1703">
        <v>40.777869143319997</v>
      </c>
      <c r="C1703" t="s">
        <v>4418</v>
      </c>
      <c r="D1703" t="s">
        <v>544</v>
      </c>
      <c r="E1703" t="s">
        <v>38</v>
      </c>
      <c r="F1703">
        <v>10072018</v>
      </c>
      <c r="G1703">
        <v>3</v>
      </c>
      <c r="H1703" t="s">
        <v>48</v>
      </c>
      <c r="I1703" t="s">
        <v>42</v>
      </c>
      <c r="K1703" t="s">
        <v>43</v>
      </c>
      <c r="M1703" t="s">
        <v>44</v>
      </c>
      <c r="N1703">
        <v>10</v>
      </c>
      <c r="P1703" t="b">
        <v>0</v>
      </c>
      <c r="Q1703" t="b">
        <v>0</v>
      </c>
      <c r="R1703" t="b">
        <v>1</v>
      </c>
      <c r="S1703" t="b">
        <v>1</v>
      </c>
      <c r="T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b">
        <v>0</v>
      </c>
      <c r="AB1703" t="b">
        <v>1</v>
      </c>
      <c r="AC1703" t="b">
        <v>0</v>
      </c>
      <c r="AE1703" t="s">
        <v>4419</v>
      </c>
    </row>
    <row r="1704" spans="1:31" x14ac:dyDescent="0.3">
      <c r="A1704">
        <v>-73.975269950750004</v>
      </c>
      <c r="B1704">
        <v>40.76880691841</v>
      </c>
      <c r="C1704" t="s">
        <v>4420</v>
      </c>
      <c r="D1704" t="s">
        <v>782</v>
      </c>
      <c r="E1704" t="s">
        <v>33</v>
      </c>
      <c r="F1704">
        <v>10082018</v>
      </c>
      <c r="G1704">
        <v>2</v>
      </c>
      <c r="H1704" t="s">
        <v>48</v>
      </c>
      <c r="I1704" t="s">
        <v>42</v>
      </c>
      <c r="K1704" t="s">
        <v>43</v>
      </c>
      <c r="M1704" t="s">
        <v>65</v>
      </c>
      <c r="N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1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b">
        <v>0</v>
      </c>
      <c r="AB1704" t="b">
        <v>1</v>
      </c>
      <c r="AC1704" t="b">
        <v>0</v>
      </c>
      <c r="AE1704" t="s">
        <v>4421</v>
      </c>
    </row>
    <row r="1705" spans="1:31" x14ac:dyDescent="0.3">
      <c r="A1705">
        <v>-73.956998502610006</v>
      </c>
      <c r="B1705">
        <v>40.794811742809998</v>
      </c>
      <c r="C1705" t="s">
        <v>4422</v>
      </c>
      <c r="D1705" t="s">
        <v>394</v>
      </c>
      <c r="E1705" t="s">
        <v>33</v>
      </c>
      <c r="F1705">
        <v>10062018</v>
      </c>
      <c r="G1705">
        <v>1</v>
      </c>
      <c r="H1705" t="s">
        <v>48</v>
      </c>
      <c r="I1705" t="s">
        <v>42</v>
      </c>
      <c r="J1705" t="s">
        <v>53</v>
      </c>
      <c r="K1705" t="s">
        <v>54</v>
      </c>
      <c r="M1705" t="s">
        <v>65</v>
      </c>
      <c r="N1705" t="b">
        <v>0</v>
      </c>
      <c r="P1705" t="b">
        <v>0</v>
      </c>
      <c r="Q1705" t="b">
        <v>0</v>
      </c>
      <c r="R1705" t="b">
        <v>0</v>
      </c>
      <c r="S1705" t="b">
        <v>1</v>
      </c>
      <c r="T1705" t="b">
        <v>1</v>
      </c>
      <c r="V1705" t="b">
        <v>0</v>
      </c>
      <c r="W1705" t="b">
        <v>0</v>
      </c>
      <c r="X1705" t="b">
        <v>0</v>
      </c>
      <c r="Y1705" t="b">
        <v>0</v>
      </c>
      <c r="Z1705" t="b">
        <v>1</v>
      </c>
      <c r="AA1705" t="b">
        <v>0</v>
      </c>
      <c r="AB1705" t="b">
        <v>1</v>
      </c>
      <c r="AC1705" t="b">
        <v>0</v>
      </c>
      <c r="AE1705" t="s">
        <v>4423</v>
      </c>
    </row>
    <row r="1706" spans="1:31" x14ac:dyDescent="0.3">
      <c r="A1706">
        <v>-73.962405283240003</v>
      </c>
      <c r="B1706">
        <v>40.780965634829997</v>
      </c>
      <c r="C1706" t="s">
        <v>4424</v>
      </c>
      <c r="D1706" t="s">
        <v>1657</v>
      </c>
      <c r="E1706" t="s">
        <v>33</v>
      </c>
      <c r="F1706">
        <v>10182018</v>
      </c>
      <c r="G1706">
        <v>4</v>
      </c>
      <c r="H1706" t="s">
        <v>48</v>
      </c>
      <c r="I1706" t="s">
        <v>42</v>
      </c>
      <c r="J1706" t="s">
        <v>53</v>
      </c>
      <c r="K1706" t="s">
        <v>54</v>
      </c>
      <c r="M1706" t="s">
        <v>65</v>
      </c>
      <c r="N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1</v>
      </c>
      <c r="V1706" t="b">
        <v>0</v>
      </c>
      <c r="W1706" t="b">
        <v>0</v>
      </c>
      <c r="X1706" t="b">
        <v>0</v>
      </c>
      <c r="Y1706" t="b">
        <v>0</v>
      </c>
      <c r="Z1706" t="b">
        <v>1</v>
      </c>
      <c r="AA1706" t="b">
        <v>1</v>
      </c>
      <c r="AB1706" t="b">
        <v>0</v>
      </c>
      <c r="AC1706" t="b">
        <v>0</v>
      </c>
      <c r="AE1706" t="s">
        <v>4425</v>
      </c>
    </row>
    <row r="1707" spans="1:31" x14ac:dyDescent="0.3">
      <c r="A1707">
        <v>-73.976541728200004</v>
      </c>
      <c r="B1707">
        <v>40.774099473530001</v>
      </c>
      <c r="C1707" t="s">
        <v>4426</v>
      </c>
      <c r="D1707" t="s">
        <v>855</v>
      </c>
      <c r="E1707" t="s">
        <v>38</v>
      </c>
      <c r="F1707">
        <v>10132018</v>
      </c>
      <c r="G1707">
        <v>5</v>
      </c>
      <c r="H1707" t="s">
        <v>105</v>
      </c>
      <c r="I1707" t="s">
        <v>42</v>
      </c>
      <c r="J1707" t="s">
        <v>53</v>
      </c>
      <c r="K1707" t="s">
        <v>54</v>
      </c>
      <c r="M1707" t="s">
        <v>65</v>
      </c>
      <c r="N1707" t="b">
        <v>0</v>
      </c>
      <c r="P1707" t="b">
        <v>0</v>
      </c>
      <c r="Q1707" t="b">
        <v>1</v>
      </c>
      <c r="R1707" t="b">
        <v>0</v>
      </c>
      <c r="S1707" t="b">
        <v>1</v>
      </c>
      <c r="T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b">
        <v>0</v>
      </c>
      <c r="AB1707" t="b">
        <v>1</v>
      </c>
      <c r="AC1707" t="b">
        <v>0</v>
      </c>
      <c r="AE1707" t="s">
        <v>4427</v>
      </c>
    </row>
    <row r="1708" spans="1:31" x14ac:dyDescent="0.3">
      <c r="A1708">
        <v>-73.965215665279999</v>
      </c>
      <c r="B1708">
        <v>40.776130908219997</v>
      </c>
      <c r="C1708" t="s">
        <v>4428</v>
      </c>
      <c r="D1708" t="s">
        <v>408</v>
      </c>
      <c r="E1708" t="s">
        <v>33</v>
      </c>
      <c r="F1708">
        <v>10122018</v>
      </c>
      <c r="G1708">
        <v>2</v>
      </c>
      <c r="H1708" t="s">
        <v>105</v>
      </c>
      <c r="I1708" t="s">
        <v>42</v>
      </c>
      <c r="K1708" t="s">
        <v>43</v>
      </c>
      <c r="M1708" t="s">
        <v>65</v>
      </c>
      <c r="N1708" t="b">
        <v>0</v>
      </c>
      <c r="P1708" t="b">
        <v>1</v>
      </c>
      <c r="Q1708" t="b">
        <v>0</v>
      </c>
      <c r="R1708" t="b">
        <v>0</v>
      </c>
      <c r="S1708" t="b">
        <v>0</v>
      </c>
      <c r="T1708" t="b">
        <v>1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b">
        <v>0</v>
      </c>
      <c r="AB1708" t="b">
        <v>0</v>
      </c>
      <c r="AC1708" t="b">
        <v>0</v>
      </c>
      <c r="AE1708" t="s">
        <v>4429</v>
      </c>
    </row>
    <row r="1709" spans="1:31" x14ac:dyDescent="0.3">
      <c r="A1709">
        <v>-73.960452427120003</v>
      </c>
      <c r="B1709">
        <v>40.795662432870003</v>
      </c>
      <c r="C1709" t="s">
        <v>4430</v>
      </c>
      <c r="D1709" t="s">
        <v>1404</v>
      </c>
      <c r="E1709" t="s">
        <v>38</v>
      </c>
      <c r="F1709">
        <v>10132018</v>
      </c>
      <c r="G1709">
        <v>1</v>
      </c>
      <c r="H1709" t="s">
        <v>48</v>
      </c>
      <c r="I1709" t="s">
        <v>42</v>
      </c>
      <c r="J1709" t="s">
        <v>59</v>
      </c>
      <c r="K1709" t="s">
        <v>79</v>
      </c>
      <c r="M1709" t="s">
        <v>65</v>
      </c>
      <c r="N1709" t="b">
        <v>0</v>
      </c>
      <c r="P1709" t="b">
        <v>0</v>
      </c>
      <c r="Q1709" t="b">
        <v>0</v>
      </c>
      <c r="R1709" t="b">
        <v>0</v>
      </c>
      <c r="S1709" t="b">
        <v>1</v>
      </c>
      <c r="T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b">
        <v>0</v>
      </c>
      <c r="AB1709" t="b">
        <v>0</v>
      </c>
      <c r="AC1709" t="b">
        <v>1</v>
      </c>
      <c r="AE1709" t="s">
        <v>4431</v>
      </c>
    </row>
    <row r="1710" spans="1:31" x14ac:dyDescent="0.3">
      <c r="A1710">
        <v>-73.961848645930004</v>
      </c>
      <c r="B1710">
        <v>40.794636581079999</v>
      </c>
      <c r="C1710" t="s">
        <v>4432</v>
      </c>
      <c r="D1710" t="s">
        <v>286</v>
      </c>
      <c r="E1710" t="s">
        <v>38</v>
      </c>
      <c r="F1710">
        <v>10142018</v>
      </c>
      <c r="G1710">
        <v>2</v>
      </c>
      <c r="H1710" t="s">
        <v>48</v>
      </c>
      <c r="I1710" t="s">
        <v>42</v>
      </c>
      <c r="J1710" t="s">
        <v>96</v>
      </c>
      <c r="K1710" t="s">
        <v>97</v>
      </c>
      <c r="M1710" t="s">
        <v>65</v>
      </c>
      <c r="N1710" t="b">
        <v>0</v>
      </c>
      <c r="P1710" t="b">
        <v>0</v>
      </c>
      <c r="Q1710" t="b">
        <v>0</v>
      </c>
      <c r="R1710" t="b">
        <v>0</v>
      </c>
      <c r="S1710" t="b">
        <v>1</v>
      </c>
      <c r="T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b">
        <v>0</v>
      </c>
      <c r="AB1710" t="b">
        <v>1</v>
      </c>
      <c r="AC1710" t="b">
        <v>0</v>
      </c>
      <c r="AE1710" t="s">
        <v>4433</v>
      </c>
    </row>
    <row r="1711" spans="1:31" x14ac:dyDescent="0.3">
      <c r="A1711">
        <v>-73.977169683569997</v>
      </c>
      <c r="B1711">
        <v>40.769701110050001</v>
      </c>
      <c r="C1711" t="s">
        <v>4434</v>
      </c>
      <c r="D1711" t="s">
        <v>1581</v>
      </c>
      <c r="E1711" t="s">
        <v>38</v>
      </c>
      <c r="F1711">
        <v>10062018</v>
      </c>
      <c r="G1711">
        <v>4</v>
      </c>
      <c r="H1711" t="s">
        <v>105</v>
      </c>
      <c r="I1711" t="s">
        <v>42</v>
      </c>
      <c r="J1711" t="s">
        <v>59</v>
      </c>
      <c r="K1711" t="s">
        <v>79</v>
      </c>
      <c r="M1711" t="s">
        <v>65</v>
      </c>
      <c r="N1711" t="b">
        <v>0</v>
      </c>
      <c r="P1711" t="b">
        <v>0</v>
      </c>
      <c r="Q1711" t="b">
        <v>0</v>
      </c>
      <c r="R1711" t="b">
        <v>0</v>
      </c>
      <c r="S1711" t="b">
        <v>1</v>
      </c>
      <c r="T1711" t="b">
        <v>1</v>
      </c>
      <c r="V1711" t="b">
        <v>0</v>
      </c>
      <c r="W1711" t="b">
        <v>0</v>
      </c>
      <c r="X1711" t="b">
        <v>0</v>
      </c>
      <c r="Y1711" t="b">
        <v>0</v>
      </c>
      <c r="Z1711" t="b">
        <v>1</v>
      </c>
      <c r="AA1711" t="b">
        <v>0</v>
      </c>
      <c r="AB1711" t="b">
        <v>1</v>
      </c>
      <c r="AC1711" t="b">
        <v>0</v>
      </c>
      <c r="AE1711" t="s">
        <v>4435</v>
      </c>
    </row>
    <row r="1712" spans="1:31" x14ac:dyDescent="0.3">
      <c r="A1712">
        <v>-73.954543865610006</v>
      </c>
      <c r="B1712">
        <v>40.7902168635</v>
      </c>
      <c r="C1712" t="s">
        <v>4436</v>
      </c>
      <c r="D1712" t="s">
        <v>1025</v>
      </c>
      <c r="E1712" t="s">
        <v>38</v>
      </c>
      <c r="F1712">
        <v>10122018</v>
      </c>
      <c r="G1712">
        <v>4</v>
      </c>
      <c r="H1712" t="s">
        <v>48</v>
      </c>
      <c r="I1712" t="s">
        <v>42</v>
      </c>
      <c r="J1712" t="s">
        <v>96</v>
      </c>
      <c r="K1712" t="s">
        <v>97</v>
      </c>
      <c r="M1712" t="s">
        <v>65</v>
      </c>
      <c r="N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1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b">
        <v>0</v>
      </c>
      <c r="AB1712" t="b">
        <v>1</v>
      </c>
      <c r="AC1712" t="b">
        <v>0</v>
      </c>
      <c r="AE1712" t="s">
        <v>4437</v>
      </c>
    </row>
    <row r="1713" spans="1:31" x14ac:dyDescent="0.3">
      <c r="A1713">
        <v>-73.975836799139998</v>
      </c>
      <c r="B1713">
        <v>40.769159342850003</v>
      </c>
      <c r="C1713" t="s">
        <v>4438</v>
      </c>
      <c r="D1713" t="s">
        <v>782</v>
      </c>
      <c r="E1713" t="s">
        <v>33</v>
      </c>
      <c r="F1713">
        <v>10082018</v>
      </c>
      <c r="G1713">
        <v>5</v>
      </c>
      <c r="H1713" t="s">
        <v>48</v>
      </c>
      <c r="I1713" t="s">
        <v>42</v>
      </c>
      <c r="K1713" t="s">
        <v>43</v>
      </c>
      <c r="M1713" t="s">
        <v>65</v>
      </c>
      <c r="N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1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b">
        <v>0</v>
      </c>
      <c r="AB1713" t="b">
        <v>1</v>
      </c>
      <c r="AC1713" t="b">
        <v>0</v>
      </c>
      <c r="AE1713" t="s">
        <v>4439</v>
      </c>
    </row>
    <row r="1714" spans="1:31" x14ac:dyDescent="0.3">
      <c r="A1714">
        <v>-73.980189951970004</v>
      </c>
      <c r="B1714">
        <v>40.76957770093</v>
      </c>
      <c r="C1714" t="s">
        <v>4440</v>
      </c>
      <c r="D1714" t="s">
        <v>239</v>
      </c>
      <c r="E1714" t="s">
        <v>33</v>
      </c>
      <c r="F1714">
        <v>10172018</v>
      </c>
      <c r="G1714">
        <v>2</v>
      </c>
      <c r="H1714" t="s">
        <v>48</v>
      </c>
      <c r="I1714" t="s">
        <v>53</v>
      </c>
      <c r="J1714" t="s">
        <v>59</v>
      </c>
      <c r="K1714" t="s">
        <v>60</v>
      </c>
      <c r="M1714" t="s">
        <v>65</v>
      </c>
      <c r="N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1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b">
        <v>0</v>
      </c>
      <c r="AB1714" t="b">
        <v>0</v>
      </c>
      <c r="AC1714" t="b">
        <v>0</v>
      </c>
      <c r="AE1714" t="s">
        <v>4441</v>
      </c>
    </row>
    <row r="1715" spans="1:31" x14ac:dyDescent="0.3">
      <c r="A1715">
        <v>-73.979771581319994</v>
      </c>
      <c r="B1715">
        <v>40.770627315109998</v>
      </c>
      <c r="C1715" t="s">
        <v>4442</v>
      </c>
      <c r="D1715" t="s">
        <v>1362</v>
      </c>
      <c r="E1715" t="s">
        <v>38</v>
      </c>
      <c r="F1715">
        <v>10072018</v>
      </c>
      <c r="G1715">
        <v>1</v>
      </c>
      <c r="H1715" t="s">
        <v>48</v>
      </c>
      <c r="I1715" t="s">
        <v>42</v>
      </c>
      <c r="K1715" t="s">
        <v>43</v>
      </c>
      <c r="M1715" t="s">
        <v>65</v>
      </c>
      <c r="N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1</v>
      </c>
      <c r="V1715" t="b">
        <v>0</v>
      </c>
      <c r="W1715" t="b">
        <v>0</v>
      </c>
      <c r="X1715" t="b">
        <v>0</v>
      </c>
      <c r="Y1715" t="b">
        <v>0</v>
      </c>
      <c r="Z1715" t="b">
        <v>1</v>
      </c>
      <c r="AA1715" t="b">
        <v>0</v>
      </c>
      <c r="AB1715" t="b">
        <v>1</v>
      </c>
      <c r="AC1715" t="b">
        <v>0</v>
      </c>
      <c r="AE1715" t="s">
        <v>4443</v>
      </c>
    </row>
    <row r="1716" spans="1:31" x14ac:dyDescent="0.3">
      <c r="A1716">
        <v>-73.976354278030001</v>
      </c>
      <c r="B1716">
        <v>40.773653130360003</v>
      </c>
      <c r="C1716" t="s">
        <v>4444</v>
      </c>
      <c r="D1716" t="s">
        <v>790</v>
      </c>
      <c r="E1716" t="s">
        <v>38</v>
      </c>
      <c r="F1716">
        <v>10102018</v>
      </c>
      <c r="G1716">
        <v>2</v>
      </c>
      <c r="H1716" t="s">
        <v>105</v>
      </c>
      <c r="I1716" t="s">
        <v>42</v>
      </c>
      <c r="J1716" t="s">
        <v>53</v>
      </c>
      <c r="K1716" t="s">
        <v>54</v>
      </c>
      <c r="M1716" t="s">
        <v>44</v>
      </c>
      <c r="N1716">
        <v>1</v>
      </c>
      <c r="O1716" t="s">
        <v>4445</v>
      </c>
      <c r="P1716" t="b">
        <v>0</v>
      </c>
      <c r="Q1716" t="b">
        <v>0</v>
      </c>
      <c r="R1716" t="b">
        <v>1</v>
      </c>
      <c r="S1716" t="b">
        <v>0</v>
      </c>
      <c r="T1716" t="b">
        <v>1</v>
      </c>
      <c r="V1716" t="b">
        <v>0</v>
      </c>
      <c r="W1716" t="b">
        <v>0</v>
      </c>
      <c r="X1716" t="b">
        <v>0</v>
      </c>
      <c r="Y1716" t="b">
        <v>0</v>
      </c>
      <c r="Z1716" t="b">
        <v>1</v>
      </c>
      <c r="AA1716" t="b">
        <v>0</v>
      </c>
      <c r="AB1716" t="b">
        <v>0</v>
      </c>
      <c r="AC1716" t="b">
        <v>1</v>
      </c>
      <c r="AD1716" t="s">
        <v>4446</v>
      </c>
      <c r="AE1716" t="s">
        <v>4447</v>
      </c>
    </row>
    <row r="1717" spans="1:31" x14ac:dyDescent="0.3">
      <c r="A1717">
        <v>-73.974570910910003</v>
      </c>
      <c r="B1717">
        <v>40.767222569540003</v>
      </c>
      <c r="C1717" t="s">
        <v>4448</v>
      </c>
      <c r="D1717" t="s">
        <v>660</v>
      </c>
      <c r="E1717" t="s">
        <v>38</v>
      </c>
      <c r="F1717">
        <v>10082018</v>
      </c>
      <c r="G1717">
        <v>3</v>
      </c>
      <c r="H1717" t="s">
        <v>48</v>
      </c>
      <c r="I1717" t="s">
        <v>42</v>
      </c>
      <c r="K1717" t="s">
        <v>43</v>
      </c>
      <c r="M1717" t="s">
        <v>44</v>
      </c>
      <c r="N1717">
        <v>40</v>
      </c>
      <c r="P1717" t="b">
        <v>1</v>
      </c>
      <c r="Q1717" t="b">
        <v>0</v>
      </c>
      <c r="R1717" t="b">
        <v>1</v>
      </c>
      <c r="S1717" t="b">
        <v>0</v>
      </c>
      <c r="T1717" t="b">
        <v>0</v>
      </c>
      <c r="U1717" t="s">
        <v>456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b">
        <v>0</v>
      </c>
      <c r="AB1717" t="b">
        <v>1</v>
      </c>
      <c r="AC1717" t="b">
        <v>0</v>
      </c>
      <c r="AE1717" t="s">
        <v>4449</v>
      </c>
    </row>
    <row r="1718" spans="1:31" x14ac:dyDescent="0.3">
      <c r="A1718">
        <v>-73.979742526250007</v>
      </c>
      <c r="B1718">
        <v>40.767912024639998</v>
      </c>
      <c r="C1718" t="s">
        <v>4450</v>
      </c>
      <c r="D1718" t="s">
        <v>851</v>
      </c>
      <c r="E1718" t="s">
        <v>38</v>
      </c>
      <c r="F1718">
        <v>10122018</v>
      </c>
      <c r="G1718">
        <v>2</v>
      </c>
      <c r="H1718" t="s">
        <v>48</v>
      </c>
      <c r="I1718" t="s">
        <v>53</v>
      </c>
      <c r="J1718" t="s">
        <v>42</v>
      </c>
      <c r="K1718" t="s">
        <v>89</v>
      </c>
      <c r="M1718" t="s">
        <v>65</v>
      </c>
      <c r="N1718" t="b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1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b">
        <v>0</v>
      </c>
      <c r="AB1718" t="b">
        <v>1</v>
      </c>
      <c r="AC1718" t="b">
        <v>0</v>
      </c>
      <c r="AE1718" t="s">
        <v>4451</v>
      </c>
    </row>
    <row r="1719" spans="1:31" x14ac:dyDescent="0.3">
      <c r="A1719">
        <v>-73.971495209279993</v>
      </c>
      <c r="B1719">
        <v>40.774806328179999</v>
      </c>
      <c r="C1719" t="s">
        <v>4452</v>
      </c>
      <c r="D1719" t="s">
        <v>726</v>
      </c>
      <c r="E1719" t="s">
        <v>38</v>
      </c>
      <c r="F1719">
        <v>10172018</v>
      </c>
      <c r="G1719">
        <v>2</v>
      </c>
      <c r="H1719" t="s">
        <v>48</v>
      </c>
      <c r="I1719" t="s">
        <v>42</v>
      </c>
      <c r="J1719" t="s">
        <v>59</v>
      </c>
      <c r="K1719" t="s">
        <v>79</v>
      </c>
      <c r="M1719" t="s">
        <v>65</v>
      </c>
      <c r="N1719" t="b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1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b">
        <v>0</v>
      </c>
      <c r="AB1719" t="b">
        <v>1</v>
      </c>
      <c r="AC1719" t="b">
        <v>0</v>
      </c>
      <c r="AE1719" t="s">
        <v>4453</v>
      </c>
    </row>
    <row r="1720" spans="1:31" x14ac:dyDescent="0.3">
      <c r="A1720">
        <v>-73.968267623770004</v>
      </c>
      <c r="B1720">
        <v>40.777265359019999</v>
      </c>
      <c r="C1720" t="s">
        <v>4454</v>
      </c>
      <c r="D1720" t="s">
        <v>232</v>
      </c>
      <c r="E1720" t="s">
        <v>33</v>
      </c>
      <c r="F1720">
        <v>10102018</v>
      </c>
      <c r="G1720">
        <v>4</v>
      </c>
      <c r="H1720" t="s">
        <v>48</v>
      </c>
      <c r="I1720" t="s">
        <v>42</v>
      </c>
      <c r="K1720" t="s">
        <v>43</v>
      </c>
      <c r="M1720" t="s">
        <v>65</v>
      </c>
      <c r="N1720" t="b">
        <v>0</v>
      </c>
      <c r="O1720" t="s">
        <v>4455</v>
      </c>
      <c r="P1720" t="b">
        <v>0</v>
      </c>
      <c r="Q1720" t="b">
        <v>0</v>
      </c>
      <c r="R1720" t="b">
        <v>0</v>
      </c>
      <c r="S1720" t="b">
        <v>0</v>
      </c>
      <c r="T1720" t="b">
        <v>1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b">
        <v>0</v>
      </c>
      <c r="AB1720" t="b">
        <v>1</v>
      </c>
      <c r="AC1720" t="b">
        <v>0</v>
      </c>
      <c r="AE1720" t="s">
        <v>4456</v>
      </c>
    </row>
    <row r="1721" spans="1:31" x14ac:dyDescent="0.3">
      <c r="A1721">
        <v>-73.955429970989996</v>
      </c>
      <c r="B1721">
        <v>40.797816862989997</v>
      </c>
      <c r="C1721" t="s">
        <v>4457</v>
      </c>
      <c r="D1721" t="s">
        <v>428</v>
      </c>
      <c r="E1721" t="s">
        <v>38</v>
      </c>
      <c r="F1721">
        <v>10132018</v>
      </c>
      <c r="G1721">
        <v>2</v>
      </c>
      <c r="H1721" t="s">
        <v>48</v>
      </c>
      <c r="I1721" t="s">
        <v>42</v>
      </c>
      <c r="J1721" t="s">
        <v>53</v>
      </c>
      <c r="K1721" t="s">
        <v>54</v>
      </c>
      <c r="M1721" t="s">
        <v>65</v>
      </c>
      <c r="N1721" t="b">
        <v>0</v>
      </c>
      <c r="P1721" t="b">
        <v>1</v>
      </c>
      <c r="Q1721" t="b">
        <v>0</v>
      </c>
      <c r="R1721" t="b">
        <v>0</v>
      </c>
      <c r="S1721" t="b">
        <v>0</v>
      </c>
      <c r="T1721" t="b">
        <v>1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b">
        <v>0</v>
      </c>
      <c r="AB1721" t="b">
        <v>1</v>
      </c>
      <c r="AC1721" t="b">
        <v>0</v>
      </c>
      <c r="AE1721" t="s">
        <v>4458</v>
      </c>
    </row>
    <row r="1722" spans="1:31" x14ac:dyDescent="0.3">
      <c r="A1722">
        <v>-73.972584465850005</v>
      </c>
      <c r="B1722">
        <v>40.770109283419998</v>
      </c>
      <c r="C1722" t="s">
        <v>4459</v>
      </c>
      <c r="D1722" t="s">
        <v>353</v>
      </c>
      <c r="E1722" t="s">
        <v>33</v>
      </c>
      <c r="F1722">
        <v>10122018</v>
      </c>
      <c r="G1722">
        <v>2</v>
      </c>
      <c r="H1722" t="s">
        <v>48</v>
      </c>
      <c r="I1722" t="s">
        <v>42</v>
      </c>
      <c r="J1722" t="s">
        <v>53</v>
      </c>
      <c r="K1722" t="s">
        <v>54</v>
      </c>
      <c r="M1722" t="s">
        <v>65</v>
      </c>
      <c r="N1722" t="b">
        <v>0</v>
      </c>
      <c r="P1722" t="b">
        <v>0</v>
      </c>
      <c r="Q1722" t="b">
        <v>0</v>
      </c>
      <c r="R1722" t="b">
        <v>0</v>
      </c>
      <c r="S1722" t="b">
        <v>1</v>
      </c>
      <c r="T1722" t="b">
        <v>1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b">
        <v>0</v>
      </c>
      <c r="AB1722" t="b">
        <v>0</v>
      </c>
      <c r="AC1722" t="b">
        <v>0</v>
      </c>
      <c r="AD1722" t="s">
        <v>4460</v>
      </c>
      <c r="AE1722" t="s">
        <v>4461</v>
      </c>
    </row>
    <row r="1723" spans="1:31" x14ac:dyDescent="0.3">
      <c r="A1723">
        <v>-73.95873307075</v>
      </c>
      <c r="B1723">
        <v>40.790768200960002</v>
      </c>
      <c r="C1723" t="s">
        <v>4462</v>
      </c>
      <c r="D1723" t="s">
        <v>124</v>
      </c>
      <c r="E1723" t="s">
        <v>38</v>
      </c>
      <c r="F1723">
        <v>10122018</v>
      </c>
      <c r="G1723">
        <v>2</v>
      </c>
      <c r="H1723" t="s">
        <v>48</v>
      </c>
      <c r="I1723" t="s">
        <v>42</v>
      </c>
      <c r="J1723" t="s">
        <v>96</v>
      </c>
      <c r="K1723" t="s">
        <v>97</v>
      </c>
      <c r="L1723" t="s">
        <v>4463</v>
      </c>
      <c r="M1723" t="s">
        <v>65</v>
      </c>
      <c r="N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s">
        <v>4464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b">
        <v>1</v>
      </c>
      <c r="AB1723" t="b">
        <v>0</v>
      </c>
      <c r="AC1723" t="b">
        <v>1</v>
      </c>
      <c r="AE1723" t="s">
        <v>4465</v>
      </c>
    </row>
    <row r="1724" spans="1:31" x14ac:dyDescent="0.3">
      <c r="A1724">
        <v>-73.980256468530001</v>
      </c>
      <c r="B1724">
        <v>40.768175909820002</v>
      </c>
      <c r="C1724" t="s">
        <v>4466</v>
      </c>
      <c r="D1724" t="s">
        <v>204</v>
      </c>
      <c r="E1724" t="s">
        <v>38</v>
      </c>
      <c r="F1724">
        <v>10102018</v>
      </c>
      <c r="G1724">
        <v>5</v>
      </c>
      <c r="H1724" t="s">
        <v>48</v>
      </c>
      <c r="I1724" t="s">
        <v>42</v>
      </c>
      <c r="J1724" t="s">
        <v>53</v>
      </c>
      <c r="K1724" t="s">
        <v>54</v>
      </c>
      <c r="M1724" t="s">
        <v>65</v>
      </c>
      <c r="N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1</v>
      </c>
      <c r="V1724" t="b">
        <v>0</v>
      </c>
      <c r="W1724" t="b">
        <v>0</v>
      </c>
      <c r="X1724" t="b">
        <v>0</v>
      </c>
      <c r="Y1724" t="b">
        <v>1</v>
      </c>
      <c r="Z1724" t="b">
        <v>0</v>
      </c>
      <c r="AA1724" t="b">
        <v>0</v>
      </c>
      <c r="AB1724" t="b">
        <v>1</v>
      </c>
      <c r="AC1724" t="b">
        <v>0</v>
      </c>
      <c r="AE1724" t="s">
        <v>4467</v>
      </c>
    </row>
    <row r="1725" spans="1:31" x14ac:dyDescent="0.3">
      <c r="A1725">
        <v>-73.974795914349997</v>
      </c>
      <c r="B1725">
        <v>40.776807817440002</v>
      </c>
      <c r="C1725" t="s">
        <v>4468</v>
      </c>
      <c r="D1725" t="s">
        <v>1028</v>
      </c>
      <c r="E1725" t="s">
        <v>38</v>
      </c>
      <c r="F1725">
        <v>10082018</v>
      </c>
      <c r="G1725">
        <v>1</v>
      </c>
      <c r="H1725" t="s">
        <v>48</v>
      </c>
      <c r="I1725" t="s">
        <v>42</v>
      </c>
      <c r="K1725" t="s">
        <v>43</v>
      </c>
      <c r="M1725" t="s">
        <v>44</v>
      </c>
      <c r="N1725">
        <v>1</v>
      </c>
      <c r="P1725" t="b">
        <v>0</v>
      </c>
      <c r="Q1725" t="b">
        <v>0</v>
      </c>
      <c r="R1725" t="b">
        <v>1</v>
      </c>
      <c r="S1725" t="b">
        <v>0</v>
      </c>
      <c r="T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b">
        <v>0</v>
      </c>
      <c r="AB1725" t="b">
        <v>1</v>
      </c>
      <c r="AC1725" t="b">
        <v>0</v>
      </c>
      <c r="AE1725" t="s">
        <v>4469</v>
      </c>
    </row>
    <row r="1726" spans="1:31" x14ac:dyDescent="0.3">
      <c r="A1726">
        <v>-73.979549272450001</v>
      </c>
      <c r="B1726">
        <v>40.77094974717</v>
      </c>
      <c r="C1726" t="s">
        <v>4470</v>
      </c>
      <c r="D1726" t="s">
        <v>1362</v>
      </c>
      <c r="E1726" t="s">
        <v>38</v>
      </c>
      <c r="F1726">
        <v>10072018</v>
      </c>
      <c r="G1726">
        <v>2</v>
      </c>
      <c r="H1726" t="s">
        <v>48</v>
      </c>
      <c r="I1726" t="s">
        <v>42</v>
      </c>
      <c r="K1726" t="s">
        <v>43</v>
      </c>
      <c r="M1726" t="s">
        <v>65</v>
      </c>
      <c r="N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1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b">
        <v>0</v>
      </c>
      <c r="AB1726" t="b">
        <v>1</v>
      </c>
      <c r="AC1726" t="b">
        <v>0</v>
      </c>
      <c r="AE1726" t="s">
        <v>4471</v>
      </c>
    </row>
    <row r="1727" spans="1:31" x14ac:dyDescent="0.3">
      <c r="A1727">
        <v>-73.965748006609999</v>
      </c>
      <c r="B1727">
        <v>40.775346548919998</v>
      </c>
      <c r="C1727" t="s">
        <v>4472</v>
      </c>
      <c r="D1727" t="s">
        <v>1090</v>
      </c>
      <c r="E1727" t="s">
        <v>33</v>
      </c>
      <c r="F1727">
        <v>10182018</v>
      </c>
      <c r="G1727">
        <v>4</v>
      </c>
      <c r="H1727" t="s">
        <v>48</v>
      </c>
      <c r="I1727" t="s">
        <v>53</v>
      </c>
      <c r="J1727" t="s">
        <v>42</v>
      </c>
      <c r="K1727" t="s">
        <v>89</v>
      </c>
      <c r="M1727" t="s">
        <v>65</v>
      </c>
      <c r="N1727" t="b">
        <v>0</v>
      </c>
      <c r="P1727" t="b">
        <v>0</v>
      </c>
      <c r="Q1727" t="b">
        <v>0</v>
      </c>
      <c r="R1727" t="b">
        <v>0</v>
      </c>
      <c r="S1727" t="b">
        <v>1</v>
      </c>
      <c r="T1727" t="b">
        <v>1</v>
      </c>
      <c r="V1727" t="b">
        <v>0</v>
      </c>
      <c r="W1727" t="b">
        <v>0</v>
      </c>
      <c r="X1727" t="b">
        <v>0</v>
      </c>
      <c r="Y1727" t="b">
        <v>0</v>
      </c>
      <c r="Z1727" t="b">
        <v>1</v>
      </c>
      <c r="AA1727" t="b">
        <v>1</v>
      </c>
      <c r="AB1727" t="b">
        <v>0</v>
      </c>
      <c r="AC1727" t="b">
        <v>0</v>
      </c>
      <c r="AE1727" t="s">
        <v>4473</v>
      </c>
    </row>
    <row r="1728" spans="1:31" x14ac:dyDescent="0.3">
      <c r="A1728">
        <v>-73.968647927719999</v>
      </c>
      <c r="B1728">
        <v>40.770581535479998</v>
      </c>
      <c r="C1728" t="s">
        <v>4474</v>
      </c>
      <c r="D1728" t="s">
        <v>1780</v>
      </c>
      <c r="E1728" t="s">
        <v>38</v>
      </c>
      <c r="F1728">
        <v>10142018</v>
      </c>
      <c r="G1728">
        <v>8</v>
      </c>
      <c r="H1728" t="s">
        <v>48</v>
      </c>
      <c r="I1728" t="s">
        <v>42</v>
      </c>
      <c r="J1728" t="s">
        <v>53</v>
      </c>
      <c r="K1728" t="s">
        <v>54</v>
      </c>
      <c r="M1728" t="s">
        <v>65</v>
      </c>
      <c r="N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1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b">
        <v>0</v>
      </c>
      <c r="AB1728" t="b">
        <v>0</v>
      </c>
      <c r="AC1728" t="b">
        <v>0</v>
      </c>
      <c r="AE1728" t="s">
        <v>4475</v>
      </c>
    </row>
    <row r="1729" spans="1:31" x14ac:dyDescent="0.3">
      <c r="A1729">
        <v>-73.969247229960004</v>
      </c>
      <c r="B1729">
        <v>40.772259218720002</v>
      </c>
      <c r="C1729" t="s">
        <v>4476</v>
      </c>
      <c r="D1729" t="s">
        <v>1251</v>
      </c>
      <c r="E1729" t="s">
        <v>33</v>
      </c>
      <c r="F1729">
        <v>10072018</v>
      </c>
      <c r="G1729">
        <v>1</v>
      </c>
      <c r="H1729" t="s">
        <v>48</v>
      </c>
      <c r="I1729" t="s">
        <v>42</v>
      </c>
      <c r="J1729" t="s">
        <v>59</v>
      </c>
      <c r="K1729" t="s">
        <v>79</v>
      </c>
      <c r="L1729" t="s">
        <v>4477</v>
      </c>
      <c r="M1729" t="s">
        <v>44</v>
      </c>
      <c r="N1729">
        <v>15</v>
      </c>
      <c r="O1729" t="s">
        <v>456</v>
      </c>
      <c r="P1729" t="b">
        <v>0</v>
      </c>
      <c r="Q1729" t="b">
        <v>0</v>
      </c>
      <c r="R1729" t="b">
        <v>1</v>
      </c>
      <c r="S1729" t="b">
        <v>0</v>
      </c>
      <c r="T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b">
        <v>0</v>
      </c>
      <c r="AB1729" t="b">
        <v>1</v>
      </c>
      <c r="AC1729" t="b">
        <v>0</v>
      </c>
      <c r="AE1729" t="s">
        <v>4478</v>
      </c>
    </row>
    <row r="1730" spans="1:31" x14ac:dyDescent="0.3">
      <c r="A1730">
        <v>-73.978784688019999</v>
      </c>
      <c r="B1730">
        <v>40.768254590349997</v>
      </c>
      <c r="C1730" t="s">
        <v>4479</v>
      </c>
      <c r="D1730" t="s">
        <v>1232</v>
      </c>
      <c r="E1730" t="s">
        <v>33</v>
      </c>
      <c r="F1730">
        <v>10132018</v>
      </c>
      <c r="G1730">
        <v>5</v>
      </c>
      <c r="H1730" t="s">
        <v>48</v>
      </c>
      <c r="I1730" t="s">
        <v>42</v>
      </c>
      <c r="J1730" t="s">
        <v>59</v>
      </c>
      <c r="K1730" t="s">
        <v>79</v>
      </c>
      <c r="M1730" t="s">
        <v>65</v>
      </c>
      <c r="N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1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b">
        <v>0</v>
      </c>
      <c r="AB1730" t="b">
        <v>0</v>
      </c>
      <c r="AC1730" t="b">
        <v>0</v>
      </c>
      <c r="AE1730" t="s">
        <v>4480</v>
      </c>
    </row>
    <row r="1731" spans="1:31" x14ac:dyDescent="0.3">
      <c r="A1731">
        <v>-73.976504610899994</v>
      </c>
      <c r="B1731">
        <v>40.773667412469997</v>
      </c>
      <c r="C1731" t="s">
        <v>4481</v>
      </c>
      <c r="D1731" t="s">
        <v>235</v>
      </c>
      <c r="E1731" t="s">
        <v>38</v>
      </c>
      <c r="F1731">
        <v>10072018</v>
      </c>
      <c r="G1731">
        <v>4</v>
      </c>
      <c r="H1731" t="s">
        <v>48</v>
      </c>
      <c r="I1731" t="s">
        <v>42</v>
      </c>
      <c r="K1731" t="s">
        <v>43</v>
      </c>
      <c r="M1731" t="s">
        <v>44</v>
      </c>
      <c r="N1731">
        <v>2</v>
      </c>
      <c r="P1731" t="b">
        <v>0</v>
      </c>
      <c r="Q1731" t="b">
        <v>0</v>
      </c>
      <c r="R1731" t="b">
        <v>1</v>
      </c>
      <c r="S1731" t="b">
        <v>0</v>
      </c>
      <c r="T1731" t="b">
        <v>1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b">
        <v>0</v>
      </c>
      <c r="AB1731" t="b">
        <v>1</v>
      </c>
      <c r="AC1731" t="b">
        <v>0</v>
      </c>
      <c r="AE1731" t="s">
        <v>4482</v>
      </c>
    </row>
    <row r="1732" spans="1:31" x14ac:dyDescent="0.3">
      <c r="A1732">
        <v>-73.979614284830006</v>
      </c>
      <c r="B1732">
        <v>40.77021178983</v>
      </c>
      <c r="C1732" t="s">
        <v>4483</v>
      </c>
      <c r="D1732" t="s">
        <v>1362</v>
      </c>
      <c r="E1732" t="s">
        <v>33</v>
      </c>
      <c r="F1732">
        <v>10072018</v>
      </c>
      <c r="G1732">
        <v>4</v>
      </c>
      <c r="H1732" t="s">
        <v>48</v>
      </c>
      <c r="I1732" t="s">
        <v>42</v>
      </c>
      <c r="J1732" t="s">
        <v>59</v>
      </c>
      <c r="K1732" t="s">
        <v>79</v>
      </c>
      <c r="M1732" t="s">
        <v>65</v>
      </c>
      <c r="N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1</v>
      </c>
      <c r="V1732" t="b">
        <v>0</v>
      </c>
      <c r="W1732" t="b">
        <v>0</v>
      </c>
      <c r="X1732" t="b">
        <v>0</v>
      </c>
      <c r="Y1732" t="b">
        <v>0</v>
      </c>
      <c r="Z1732" t="b">
        <v>1</v>
      </c>
      <c r="AA1732" t="b">
        <v>0</v>
      </c>
      <c r="AB1732" t="b">
        <v>1</v>
      </c>
      <c r="AC1732" t="b">
        <v>0</v>
      </c>
      <c r="AE1732" t="s">
        <v>4484</v>
      </c>
    </row>
    <row r="1733" spans="1:31" x14ac:dyDescent="0.3">
      <c r="A1733">
        <v>-73.969284632660006</v>
      </c>
      <c r="B1733">
        <v>40.784104900849997</v>
      </c>
      <c r="C1733" t="s">
        <v>4485</v>
      </c>
      <c r="D1733" t="s">
        <v>298</v>
      </c>
      <c r="E1733" t="s">
        <v>33</v>
      </c>
      <c r="F1733">
        <v>10172018</v>
      </c>
      <c r="G1733">
        <v>2</v>
      </c>
      <c r="H1733" t="s">
        <v>105</v>
      </c>
      <c r="I1733" t="s">
        <v>42</v>
      </c>
      <c r="K1733" t="s">
        <v>43</v>
      </c>
      <c r="M1733" t="s">
        <v>65</v>
      </c>
      <c r="N1733" t="b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b">
        <v>0</v>
      </c>
      <c r="AB1733" t="b">
        <v>0</v>
      </c>
      <c r="AC1733" t="b">
        <v>0</v>
      </c>
      <c r="AE1733" t="s">
        <v>4486</v>
      </c>
    </row>
    <row r="1734" spans="1:31" x14ac:dyDescent="0.3">
      <c r="A1734">
        <v>-73.976714140729996</v>
      </c>
      <c r="B1734">
        <v>40.77373132516</v>
      </c>
      <c r="C1734" t="s">
        <v>4487</v>
      </c>
      <c r="D1734" t="s">
        <v>741</v>
      </c>
      <c r="E1734" t="s">
        <v>33</v>
      </c>
      <c r="F1734">
        <v>10142018</v>
      </c>
      <c r="G1734">
        <v>2</v>
      </c>
      <c r="H1734" t="s">
        <v>105</v>
      </c>
      <c r="I1734" t="s">
        <v>42</v>
      </c>
      <c r="K1734" t="s">
        <v>43</v>
      </c>
      <c r="M1734" t="s">
        <v>65</v>
      </c>
      <c r="N1734" t="b">
        <v>0</v>
      </c>
      <c r="P1734" t="b">
        <v>0</v>
      </c>
      <c r="Q1734" t="b">
        <v>0</v>
      </c>
      <c r="R1734" t="b">
        <v>1</v>
      </c>
      <c r="S1734" t="b">
        <v>1</v>
      </c>
      <c r="T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b">
        <v>0</v>
      </c>
      <c r="AB1734" t="b">
        <v>0</v>
      </c>
      <c r="AC1734" t="b">
        <v>1</v>
      </c>
      <c r="AD1734" t="s">
        <v>1888</v>
      </c>
      <c r="AE1734" t="s">
        <v>4488</v>
      </c>
    </row>
    <row r="1735" spans="1:31" x14ac:dyDescent="0.3">
      <c r="A1735">
        <v>-73.975634586769999</v>
      </c>
      <c r="B1735">
        <v>40.767554051760001</v>
      </c>
      <c r="C1735" t="s">
        <v>4489</v>
      </c>
      <c r="D1735" t="s">
        <v>215</v>
      </c>
      <c r="E1735" t="s">
        <v>33</v>
      </c>
      <c r="F1735">
        <v>10082018</v>
      </c>
      <c r="G1735">
        <v>9</v>
      </c>
      <c r="H1735" t="s">
        <v>48</v>
      </c>
      <c r="I1735" t="s">
        <v>42</v>
      </c>
      <c r="K1735" t="s">
        <v>43</v>
      </c>
      <c r="M1735" t="s">
        <v>44</v>
      </c>
      <c r="N1735">
        <v>5</v>
      </c>
      <c r="P1735" t="b">
        <v>1</v>
      </c>
      <c r="Q1735" t="b">
        <v>0</v>
      </c>
      <c r="R1735" t="b">
        <v>1</v>
      </c>
      <c r="S1735" t="b">
        <v>0</v>
      </c>
      <c r="T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b">
        <v>0</v>
      </c>
      <c r="AB1735" t="b">
        <v>0</v>
      </c>
      <c r="AC1735" t="b">
        <v>1</v>
      </c>
      <c r="AE1735" t="s">
        <v>4490</v>
      </c>
    </row>
    <row r="1736" spans="1:31" x14ac:dyDescent="0.3">
      <c r="A1736">
        <v>-73.952413229569999</v>
      </c>
      <c r="B1736">
        <v>40.793377755340003</v>
      </c>
      <c r="C1736" t="s">
        <v>4491</v>
      </c>
      <c r="D1736" t="s">
        <v>933</v>
      </c>
      <c r="E1736" t="s">
        <v>38</v>
      </c>
      <c r="F1736">
        <v>10102018</v>
      </c>
      <c r="G1736">
        <v>5</v>
      </c>
      <c r="H1736" t="s">
        <v>48</v>
      </c>
      <c r="I1736" t="s">
        <v>42</v>
      </c>
      <c r="J1736" t="s">
        <v>53</v>
      </c>
      <c r="K1736" t="s">
        <v>54</v>
      </c>
      <c r="M1736" t="s">
        <v>65</v>
      </c>
      <c r="N1736" t="b">
        <v>0</v>
      </c>
      <c r="P1736" t="b">
        <v>0</v>
      </c>
      <c r="Q1736" t="b">
        <v>0</v>
      </c>
      <c r="R1736" t="b">
        <v>0</v>
      </c>
      <c r="S1736" t="b">
        <v>1</v>
      </c>
      <c r="T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b">
        <v>0</v>
      </c>
      <c r="AB1736" t="b">
        <v>0</v>
      </c>
      <c r="AC1736" t="b">
        <v>1</v>
      </c>
      <c r="AE1736" t="s">
        <v>4492</v>
      </c>
    </row>
    <row r="1737" spans="1:31" x14ac:dyDescent="0.3">
      <c r="A1737">
        <v>-73.956365230320003</v>
      </c>
      <c r="B1737">
        <v>40.7955127874</v>
      </c>
      <c r="C1737" t="s">
        <v>4493</v>
      </c>
      <c r="D1737" t="s">
        <v>520</v>
      </c>
      <c r="E1737" t="s">
        <v>33</v>
      </c>
      <c r="F1737">
        <v>10142018</v>
      </c>
      <c r="G1737">
        <v>5</v>
      </c>
      <c r="H1737" t="s">
        <v>48</v>
      </c>
      <c r="I1737" t="s">
        <v>42</v>
      </c>
      <c r="J1737" t="s">
        <v>53</v>
      </c>
      <c r="K1737" t="s">
        <v>54</v>
      </c>
      <c r="M1737" t="s">
        <v>65</v>
      </c>
      <c r="N1737" t="b">
        <v>0</v>
      </c>
      <c r="O1737" t="s">
        <v>4494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s">
        <v>4495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b">
        <v>0</v>
      </c>
      <c r="AB1737" t="b">
        <v>1</v>
      </c>
      <c r="AC1737" t="b">
        <v>0</v>
      </c>
      <c r="AE1737" t="s">
        <v>4496</v>
      </c>
    </row>
    <row r="1738" spans="1:31" x14ac:dyDescent="0.3">
      <c r="A1738">
        <v>-73.974387354960001</v>
      </c>
      <c r="B1738">
        <v>40.774542605139999</v>
      </c>
      <c r="C1738" t="s">
        <v>4497</v>
      </c>
      <c r="D1738" t="s">
        <v>839</v>
      </c>
      <c r="E1738" t="s">
        <v>38</v>
      </c>
      <c r="F1738">
        <v>10182018</v>
      </c>
      <c r="G1738">
        <v>4</v>
      </c>
      <c r="H1738" t="s">
        <v>48</v>
      </c>
      <c r="I1738" t="s">
        <v>42</v>
      </c>
      <c r="K1738" t="s">
        <v>43</v>
      </c>
      <c r="M1738" t="s">
        <v>65</v>
      </c>
      <c r="N1738" t="b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b">
        <v>0</v>
      </c>
      <c r="AB1738" t="b">
        <v>1</v>
      </c>
      <c r="AC1738" t="b">
        <v>0</v>
      </c>
      <c r="AE1738" t="s">
        <v>4498</v>
      </c>
    </row>
    <row r="1739" spans="1:31" x14ac:dyDescent="0.3">
      <c r="A1739">
        <v>-73.964074164050004</v>
      </c>
      <c r="B1739">
        <v>40.780727458139999</v>
      </c>
      <c r="C1739" t="s">
        <v>4499</v>
      </c>
      <c r="D1739" t="s">
        <v>2203</v>
      </c>
      <c r="E1739" t="s">
        <v>38</v>
      </c>
      <c r="F1739">
        <v>10182018</v>
      </c>
      <c r="G1739">
        <v>1</v>
      </c>
      <c r="H1739" t="s">
        <v>105</v>
      </c>
      <c r="I1739" t="s">
        <v>42</v>
      </c>
      <c r="K1739" t="s">
        <v>43</v>
      </c>
      <c r="M1739" t="s">
        <v>44</v>
      </c>
      <c r="N1739">
        <v>7</v>
      </c>
      <c r="O1739" t="s">
        <v>4500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s">
        <v>4501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b">
        <v>0</v>
      </c>
      <c r="AB1739" t="b">
        <v>1</v>
      </c>
      <c r="AC1739" t="b">
        <v>0</v>
      </c>
      <c r="AE1739" t="s">
        <v>4502</v>
      </c>
    </row>
    <row r="1740" spans="1:31" x14ac:dyDescent="0.3">
      <c r="A1740">
        <v>-73.967975586220007</v>
      </c>
      <c r="B1740">
        <v>40.77356830443</v>
      </c>
      <c r="C1740" t="s">
        <v>4503</v>
      </c>
      <c r="D1740" t="s">
        <v>1389</v>
      </c>
      <c r="E1740" t="s">
        <v>33</v>
      </c>
      <c r="F1740">
        <v>10072018</v>
      </c>
      <c r="G1740">
        <v>7</v>
      </c>
      <c r="I1740" t="s">
        <v>42</v>
      </c>
      <c r="J1740" t="s">
        <v>53</v>
      </c>
      <c r="K1740" t="s">
        <v>54</v>
      </c>
      <c r="M1740" t="s">
        <v>65</v>
      </c>
      <c r="N1740" t="b">
        <v>0</v>
      </c>
      <c r="O1740" t="s">
        <v>4504</v>
      </c>
      <c r="P1740" t="b">
        <v>0</v>
      </c>
      <c r="Q1740" t="b">
        <v>0</v>
      </c>
      <c r="R1740" t="b">
        <v>0</v>
      </c>
      <c r="S1740" t="b">
        <v>0</v>
      </c>
      <c r="T1740" t="b">
        <v>1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b">
        <v>0</v>
      </c>
      <c r="AB1740" t="b">
        <v>0</v>
      </c>
      <c r="AC1740" t="b">
        <v>1</v>
      </c>
      <c r="AD1740" t="s">
        <v>4505</v>
      </c>
      <c r="AE1740" t="s">
        <v>4506</v>
      </c>
    </row>
    <row r="1741" spans="1:31" x14ac:dyDescent="0.3">
      <c r="A1741">
        <v>-73.961112681360007</v>
      </c>
      <c r="B1741">
        <v>40.79431130215</v>
      </c>
      <c r="C1741" t="s">
        <v>4507</v>
      </c>
      <c r="D1741" t="s">
        <v>423</v>
      </c>
      <c r="E1741" t="s">
        <v>38</v>
      </c>
      <c r="F1741">
        <v>10102018</v>
      </c>
      <c r="G1741">
        <v>3</v>
      </c>
      <c r="H1741" t="s">
        <v>48</v>
      </c>
      <c r="I1741" t="s">
        <v>42</v>
      </c>
      <c r="J1741" t="s">
        <v>53</v>
      </c>
      <c r="K1741" t="s">
        <v>54</v>
      </c>
      <c r="M1741" t="s">
        <v>65</v>
      </c>
      <c r="N1741" t="b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b">
        <v>0</v>
      </c>
      <c r="AB1741" t="b">
        <v>1</v>
      </c>
      <c r="AC1741" t="b">
        <v>0</v>
      </c>
      <c r="AE1741" t="s">
        <v>4508</v>
      </c>
    </row>
    <row r="1742" spans="1:31" x14ac:dyDescent="0.3">
      <c r="A1742">
        <v>-73.96397004344</v>
      </c>
      <c r="B1742">
        <v>40.777500304999997</v>
      </c>
      <c r="C1742" t="s">
        <v>4509</v>
      </c>
      <c r="D1742" t="s">
        <v>2372</v>
      </c>
      <c r="E1742" t="s">
        <v>38</v>
      </c>
      <c r="F1742">
        <v>10142018</v>
      </c>
      <c r="G1742">
        <v>1</v>
      </c>
      <c r="H1742" t="s">
        <v>48</v>
      </c>
      <c r="I1742" t="s">
        <v>53</v>
      </c>
      <c r="J1742" t="s">
        <v>115</v>
      </c>
      <c r="K1742" t="s">
        <v>116</v>
      </c>
      <c r="M1742" t="s">
        <v>65</v>
      </c>
      <c r="N1742" t="b">
        <v>0</v>
      </c>
      <c r="O1742" t="s">
        <v>4510</v>
      </c>
      <c r="P1742" t="b">
        <v>1</v>
      </c>
      <c r="Q1742" t="b">
        <v>0</v>
      </c>
      <c r="R1742" t="b">
        <v>1</v>
      </c>
      <c r="S1742" t="b">
        <v>1</v>
      </c>
      <c r="T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b">
        <v>0</v>
      </c>
      <c r="AB1742" t="b">
        <v>1</v>
      </c>
      <c r="AC1742" t="b">
        <v>0</v>
      </c>
      <c r="AE1742" t="s">
        <v>4511</v>
      </c>
    </row>
    <row r="1743" spans="1:31" x14ac:dyDescent="0.3">
      <c r="A1743">
        <v>-73.957775812549997</v>
      </c>
      <c r="B1743">
        <v>40.799384716479999</v>
      </c>
      <c r="C1743" t="s">
        <v>4512</v>
      </c>
      <c r="D1743" t="s">
        <v>367</v>
      </c>
      <c r="E1743" t="s">
        <v>38</v>
      </c>
      <c r="F1743">
        <v>10102018</v>
      </c>
      <c r="G1743">
        <v>10</v>
      </c>
      <c r="H1743" t="s">
        <v>48</v>
      </c>
      <c r="I1743" t="s">
        <v>53</v>
      </c>
      <c r="J1743" t="s">
        <v>59</v>
      </c>
      <c r="K1743" t="s">
        <v>60</v>
      </c>
      <c r="M1743" t="s">
        <v>65</v>
      </c>
      <c r="N1743" t="b">
        <v>0</v>
      </c>
      <c r="P1743" t="b">
        <v>1</v>
      </c>
      <c r="Q1743" t="b">
        <v>0</v>
      </c>
      <c r="R1743" t="b">
        <v>0</v>
      </c>
      <c r="S1743" t="b">
        <v>0</v>
      </c>
      <c r="T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b">
        <v>0</v>
      </c>
      <c r="AB1743" t="b">
        <v>0</v>
      </c>
      <c r="AC1743" t="b">
        <v>0</v>
      </c>
      <c r="AE1743" t="s">
        <v>4513</v>
      </c>
    </row>
    <row r="1744" spans="1:31" x14ac:dyDescent="0.3">
      <c r="A1744">
        <v>-73.973699555219994</v>
      </c>
      <c r="B1744">
        <v>40.772271251859998</v>
      </c>
      <c r="C1744" t="s">
        <v>4514</v>
      </c>
      <c r="D1744" t="s">
        <v>1206</v>
      </c>
      <c r="E1744" t="s">
        <v>33</v>
      </c>
      <c r="F1744">
        <v>10082018</v>
      </c>
      <c r="G1744">
        <v>2</v>
      </c>
      <c r="H1744" t="s">
        <v>48</v>
      </c>
      <c r="I1744" t="s">
        <v>176</v>
      </c>
      <c r="J1744" t="s">
        <v>53</v>
      </c>
      <c r="K1744" t="s">
        <v>705</v>
      </c>
      <c r="M1744" t="s">
        <v>44</v>
      </c>
      <c r="N1744">
        <v>10</v>
      </c>
      <c r="O1744" t="s">
        <v>456</v>
      </c>
      <c r="P1744" t="b">
        <v>1</v>
      </c>
      <c r="Q1744" t="b">
        <v>0</v>
      </c>
      <c r="R1744" t="b">
        <v>1</v>
      </c>
      <c r="S1744" t="b">
        <v>0</v>
      </c>
      <c r="T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b">
        <v>0</v>
      </c>
      <c r="AB1744" t="b">
        <v>0</v>
      </c>
      <c r="AC1744" t="b">
        <v>0</v>
      </c>
      <c r="AE1744" t="s">
        <v>4515</v>
      </c>
    </row>
    <row r="1745" spans="1:31" x14ac:dyDescent="0.3">
      <c r="A1745">
        <v>-73.970102347869997</v>
      </c>
      <c r="B1745">
        <v>40.780352706190001</v>
      </c>
      <c r="C1745" t="s">
        <v>4516</v>
      </c>
      <c r="D1745" t="s">
        <v>143</v>
      </c>
      <c r="E1745" t="s">
        <v>33</v>
      </c>
      <c r="F1745">
        <v>10132018</v>
      </c>
      <c r="G1745">
        <v>4</v>
      </c>
      <c r="H1745" t="s">
        <v>48</v>
      </c>
      <c r="I1745" t="s">
        <v>42</v>
      </c>
      <c r="K1745" t="s">
        <v>43</v>
      </c>
      <c r="M1745" t="s">
        <v>65</v>
      </c>
      <c r="N1745" t="b">
        <v>0</v>
      </c>
      <c r="P1745" t="b">
        <v>0</v>
      </c>
      <c r="Q1745" t="b">
        <v>0</v>
      </c>
      <c r="R1745" t="b">
        <v>0</v>
      </c>
      <c r="S1745" t="b">
        <v>1</v>
      </c>
      <c r="T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b">
        <v>0</v>
      </c>
      <c r="AB1745" t="b">
        <v>1</v>
      </c>
      <c r="AC1745" t="b">
        <v>0</v>
      </c>
      <c r="AE1745" t="s">
        <v>4517</v>
      </c>
    </row>
    <row r="1746" spans="1:31" x14ac:dyDescent="0.3">
      <c r="A1746">
        <v>-73.958466158920004</v>
      </c>
      <c r="B1746">
        <v>40.791206838080001</v>
      </c>
      <c r="C1746" t="s">
        <v>4518</v>
      </c>
      <c r="D1746" t="s">
        <v>68</v>
      </c>
      <c r="E1746" t="s">
        <v>33</v>
      </c>
      <c r="F1746">
        <v>10122018</v>
      </c>
      <c r="G1746">
        <v>1</v>
      </c>
      <c r="H1746" t="s">
        <v>48</v>
      </c>
      <c r="I1746" t="s">
        <v>42</v>
      </c>
      <c r="J1746" t="s">
        <v>96</v>
      </c>
      <c r="K1746" t="s">
        <v>97</v>
      </c>
      <c r="M1746" t="s">
        <v>65</v>
      </c>
      <c r="N1746" t="b">
        <v>0</v>
      </c>
      <c r="P1746" t="b">
        <v>0</v>
      </c>
      <c r="Q1746" t="b">
        <v>0</v>
      </c>
      <c r="R1746" t="b">
        <v>0</v>
      </c>
      <c r="S1746" t="b">
        <v>1</v>
      </c>
      <c r="T1746" t="b">
        <v>1</v>
      </c>
      <c r="V1746" t="b">
        <v>0</v>
      </c>
      <c r="W1746" t="b">
        <v>0</v>
      </c>
      <c r="X1746" t="b">
        <v>0</v>
      </c>
      <c r="Y1746" t="b">
        <v>0</v>
      </c>
      <c r="Z1746" t="b">
        <v>1</v>
      </c>
      <c r="AA1746" t="b">
        <v>0</v>
      </c>
      <c r="AB1746" t="b">
        <v>1</v>
      </c>
      <c r="AC1746" t="b">
        <v>0</v>
      </c>
      <c r="AE1746" t="s">
        <v>4519</v>
      </c>
    </row>
    <row r="1747" spans="1:31" x14ac:dyDescent="0.3">
      <c r="A1747">
        <v>-73.968843805869994</v>
      </c>
      <c r="B1747">
        <v>40.770301432570001</v>
      </c>
      <c r="C1747" t="s">
        <v>4520</v>
      </c>
      <c r="D1747" t="s">
        <v>1326</v>
      </c>
      <c r="E1747" t="s">
        <v>38</v>
      </c>
      <c r="F1747">
        <v>10062018</v>
      </c>
      <c r="G1747">
        <v>5</v>
      </c>
      <c r="H1747" t="s">
        <v>48</v>
      </c>
      <c r="I1747" t="s">
        <v>42</v>
      </c>
      <c r="J1747" t="s">
        <v>59</v>
      </c>
      <c r="K1747" t="s">
        <v>79</v>
      </c>
      <c r="M1747" t="s">
        <v>44</v>
      </c>
      <c r="N1747">
        <v>20</v>
      </c>
      <c r="O1747" t="s">
        <v>190</v>
      </c>
      <c r="P1747" t="b">
        <v>0</v>
      </c>
      <c r="Q1747" t="b">
        <v>0</v>
      </c>
      <c r="R1747" t="b">
        <v>1</v>
      </c>
      <c r="S1747" t="b">
        <v>0</v>
      </c>
      <c r="T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b">
        <v>0</v>
      </c>
      <c r="AB1747" t="b">
        <v>1</v>
      </c>
      <c r="AC1747" t="b">
        <v>0</v>
      </c>
      <c r="AE1747" t="s">
        <v>4521</v>
      </c>
    </row>
    <row r="1748" spans="1:31" x14ac:dyDescent="0.3">
      <c r="A1748">
        <v>-73.960347116189993</v>
      </c>
      <c r="B1748">
        <v>40.790600331169998</v>
      </c>
      <c r="C1748" t="s">
        <v>4522</v>
      </c>
      <c r="D1748" t="s">
        <v>47</v>
      </c>
      <c r="E1748" t="s">
        <v>33</v>
      </c>
      <c r="F1748">
        <v>10172018</v>
      </c>
      <c r="G1748">
        <v>15</v>
      </c>
      <c r="H1748" t="s">
        <v>48</v>
      </c>
      <c r="I1748" t="s">
        <v>42</v>
      </c>
      <c r="K1748" t="s">
        <v>43</v>
      </c>
      <c r="M1748" t="s">
        <v>65</v>
      </c>
      <c r="N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1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b">
        <v>0</v>
      </c>
      <c r="AB1748" t="b">
        <v>0</v>
      </c>
      <c r="AC1748" t="b">
        <v>1</v>
      </c>
      <c r="AE1748" t="s">
        <v>4523</v>
      </c>
    </row>
    <row r="1749" spans="1:31" x14ac:dyDescent="0.3">
      <c r="A1749">
        <v>-73.966576379759999</v>
      </c>
      <c r="B1749">
        <v>40.776131640000003</v>
      </c>
      <c r="C1749" t="s">
        <v>4524</v>
      </c>
      <c r="D1749" t="s">
        <v>663</v>
      </c>
      <c r="E1749" t="s">
        <v>38</v>
      </c>
      <c r="F1749">
        <v>10132018</v>
      </c>
      <c r="G1749">
        <v>3</v>
      </c>
      <c r="H1749" t="s">
        <v>48</v>
      </c>
      <c r="I1749" t="s">
        <v>42</v>
      </c>
      <c r="J1749" t="s">
        <v>59</v>
      </c>
      <c r="K1749" t="s">
        <v>79</v>
      </c>
      <c r="M1749" t="s">
        <v>44</v>
      </c>
      <c r="N1749">
        <v>10</v>
      </c>
      <c r="P1749" t="b">
        <v>0</v>
      </c>
      <c r="Q1749" t="b">
        <v>0</v>
      </c>
      <c r="R1749" t="b">
        <v>1</v>
      </c>
      <c r="S1749" t="b">
        <v>0</v>
      </c>
      <c r="T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b">
        <v>0</v>
      </c>
      <c r="AB1749" t="b">
        <v>1</v>
      </c>
      <c r="AC1749" t="b">
        <v>0</v>
      </c>
      <c r="AE1749" t="s">
        <v>4525</v>
      </c>
    </row>
    <row r="1750" spans="1:31" x14ac:dyDescent="0.3">
      <c r="A1750">
        <v>-73.955710327540004</v>
      </c>
      <c r="B1750">
        <v>40.797451079760002</v>
      </c>
      <c r="C1750" t="s">
        <v>4526</v>
      </c>
      <c r="D1750" t="s">
        <v>428</v>
      </c>
      <c r="E1750" t="s">
        <v>38</v>
      </c>
      <c r="F1750">
        <v>10132018</v>
      </c>
      <c r="G1750">
        <v>3</v>
      </c>
      <c r="H1750" t="s">
        <v>48</v>
      </c>
      <c r="I1750" t="s">
        <v>42</v>
      </c>
      <c r="J1750" t="s">
        <v>53</v>
      </c>
      <c r="K1750" t="s">
        <v>54</v>
      </c>
      <c r="M1750" t="s">
        <v>65</v>
      </c>
      <c r="N1750" t="b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1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b">
        <v>0</v>
      </c>
      <c r="AB1750" t="b">
        <v>1</v>
      </c>
      <c r="AC1750" t="b">
        <v>0</v>
      </c>
      <c r="AE1750" t="s">
        <v>4527</v>
      </c>
    </row>
    <row r="1751" spans="1:31" x14ac:dyDescent="0.3">
      <c r="A1751">
        <v>-73.975682533829996</v>
      </c>
      <c r="B1751">
        <v>40.775554250669998</v>
      </c>
      <c r="C1751" t="s">
        <v>4528</v>
      </c>
      <c r="D1751" t="s">
        <v>1635</v>
      </c>
      <c r="E1751" t="s">
        <v>33</v>
      </c>
      <c r="F1751">
        <v>10132018</v>
      </c>
      <c r="G1751">
        <v>2</v>
      </c>
      <c r="H1751" t="s">
        <v>48</v>
      </c>
      <c r="I1751" t="s">
        <v>53</v>
      </c>
      <c r="J1751" t="s">
        <v>42</v>
      </c>
      <c r="K1751" t="s">
        <v>89</v>
      </c>
      <c r="M1751" t="s">
        <v>65</v>
      </c>
      <c r="N1751" t="b">
        <v>0</v>
      </c>
      <c r="P1751" t="b">
        <v>1</v>
      </c>
      <c r="Q1751" t="b">
        <v>0</v>
      </c>
      <c r="R1751" t="b">
        <v>0</v>
      </c>
      <c r="S1751" t="b">
        <v>0</v>
      </c>
      <c r="T1751" t="b">
        <v>1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b">
        <v>0</v>
      </c>
      <c r="AB1751" t="b">
        <v>1</v>
      </c>
      <c r="AC1751" t="b">
        <v>0</v>
      </c>
      <c r="AE1751" t="s">
        <v>4529</v>
      </c>
    </row>
    <row r="1752" spans="1:31" x14ac:dyDescent="0.3">
      <c r="A1752">
        <v>-73.968480625020007</v>
      </c>
      <c r="B1752">
        <v>40.785877621019999</v>
      </c>
      <c r="C1752" t="s">
        <v>4530</v>
      </c>
      <c r="D1752" t="s">
        <v>1439</v>
      </c>
      <c r="E1752" t="s">
        <v>33</v>
      </c>
      <c r="F1752">
        <v>10072018</v>
      </c>
      <c r="G1752">
        <v>3</v>
      </c>
      <c r="H1752" t="s">
        <v>48</v>
      </c>
      <c r="I1752" t="s">
        <v>42</v>
      </c>
      <c r="K1752" t="s">
        <v>43</v>
      </c>
      <c r="M1752" t="s">
        <v>65</v>
      </c>
      <c r="N1752" t="b">
        <v>0</v>
      </c>
      <c r="P1752" t="b">
        <v>1</v>
      </c>
      <c r="Q1752" t="b">
        <v>0</v>
      </c>
      <c r="R1752" t="b">
        <v>0</v>
      </c>
      <c r="S1752" t="b">
        <v>0</v>
      </c>
      <c r="T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b">
        <v>0</v>
      </c>
      <c r="AB1752" t="b">
        <v>1</v>
      </c>
      <c r="AC1752" t="b">
        <v>0</v>
      </c>
      <c r="AE1752" t="s">
        <v>4531</v>
      </c>
    </row>
    <row r="1753" spans="1:31" x14ac:dyDescent="0.3">
      <c r="A1753">
        <v>-73.959404588539996</v>
      </c>
      <c r="B1753">
        <v>40.784088687070003</v>
      </c>
      <c r="C1753" t="s">
        <v>4532</v>
      </c>
      <c r="D1753" t="s">
        <v>844</v>
      </c>
      <c r="E1753" t="s">
        <v>38</v>
      </c>
      <c r="F1753">
        <v>10102018</v>
      </c>
      <c r="G1753">
        <v>1</v>
      </c>
      <c r="H1753" t="s">
        <v>48</v>
      </c>
      <c r="I1753" t="s">
        <v>42</v>
      </c>
      <c r="K1753" t="s">
        <v>43</v>
      </c>
      <c r="M1753" t="s">
        <v>44</v>
      </c>
      <c r="N1753">
        <v>40</v>
      </c>
      <c r="P1753" t="b">
        <v>0</v>
      </c>
      <c r="Q1753" t="b">
        <v>0</v>
      </c>
      <c r="R1753" t="b">
        <v>0</v>
      </c>
      <c r="S1753" t="b">
        <v>0</v>
      </c>
      <c r="T1753" t="b">
        <v>1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b">
        <v>0</v>
      </c>
      <c r="AB1753" t="b">
        <v>0</v>
      </c>
      <c r="AC1753" t="b">
        <v>0</v>
      </c>
      <c r="AE1753" t="s">
        <v>4533</v>
      </c>
    </row>
    <row r="1754" spans="1:31" x14ac:dyDescent="0.3">
      <c r="A1754">
        <v>-73.956109168669997</v>
      </c>
      <c r="B1754">
        <v>40.798146304740001</v>
      </c>
      <c r="C1754" t="s">
        <v>4534</v>
      </c>
      <c r="D1754" t="s">
        <v>338</v>
      </c>
      <c r="E1754" t="s">
        <v>38</v>
      </c>
      <c r="F1754">
        <v>10142018</v>
      </c>
      <c r="G1754">
        <v>4</v>
      </c>
      <c r="H1754" t="s">
        <v>48</v>
      </c>
      <c r="I1754" t="s">
        <v>42</v>
      </c>
      <c r="K1754" t="s">
        <v>43</v>
      </c>
      <c r="M1754" t="s">
        <v>65</v>
      </c>
      <c r="N1754" t="b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b">
        <v>0</v>
      </c>
      <c r="AB1754" t="b">
        <v>1</v>
      </c>
      <c r="AC1754" t="b">
        <v>0</v>
      </c>
      <c r="AE1754" t="s">
        <v>4535</v>
      </c>
    </row>
    <row r="1755" spans="1:31" x14ac:dyDescent="0.3">
      <c r="A1755">
        <v>-73.973343744969995</v>
      </c>
      <c r="B1755">
        <v>40.778240154839999</v>
      </c>
      <c r="C1755" t="s">
        <v>4536</v>
      </c>
      <c r="D1755" t="s">
        <v>1759</v>
      </c>
      <c r="E1755" t="s">
        <v>33</v>
      </c>
      <c r="F1755">
        <v>10142018</v>
      </c>
      <c r="G1755">
        <v>7</v>
      </c>
      <c r="H1755" t="s">
        <v>48</v>
      </c>
      <c r="I1755" t="s">
        <v>42</v>
      </c>
      <c r="J1755" t="s">
        <v>53</v>
      </c>
      <c r="K1755" t="s">
        <v>54</v>
      </c>
      <c r="M1755" t="s">
        <v>65</v>
      </c>
      <c r="N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1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b">
        <v>0</v>
      </c>
      <c r="AB1755" t="b">
        <v>0</v>
      </c>
      <c r="AC1755" t="b">
        <v>0</v>
      </c>
      <c r="AE1755" t="s">
        <v>4537</v>
      </c>
    </row>
    <row r="1756" spans="1:31" x14ac:dyDescent="0.3">
      <c r="A1756">
        <v>-73.965213446999996</v>
      </c>
      <c r="B1756">
        <v>40.780343827880003</v>
      </c>
      <c r="C1756" t="s">
        <v>4538</v>
      </c>
      <c r="D1756" t="s">
        <v>1032</v>
      </c>
      <c r="E1756" t="s">
        <v>33</v>
      </c>
      <c r="F1756">
        <v>10172018</v>
      </c>
      <c r="G1756">
        <v>5</v>
      </c>
      <c r="H1756" t="s">
        <v>48</v>
      </c>
      <c r="I1756" t="s">
        <v>42</v>
      </c>
      <c r="J1756" t="s">
        <v>53</v>
      </c>
      <c r="K1756" t="s">
        <v>54</v>
      </c>
      <c r="M1756" t="s">
        <v>65</v>
      </c>
      <c r="N1756" t="b">
        <v>0</v>
      </c>
      <c r="P1756" t="b">
        <v>1</v>
      </c>
      <c r="Q1756" t="b">
        <v>1</v>
      </c>
      <c r="R1756" t="b">
        <v>1</v>
      </c>
      <c r="S1756" t="b">
        <v>0</v>
      </c>
      <c r="T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1</v>
      </c>
      <c r="AA1756" t="b">
        <v>0</v>
      </c>
      <c r="AB1756" t="b">
        <v>0</v>
      </c>
      <c r="AC1756" t="b">
        <v>1</v>
      </c>
      <c r="AE1756" t="s">
        <v>4539</v>
      </c>
    </row>
    <row r="1757" spans="1:31" x14ac:dyDescent="0.3">
      <c r="A1757">
        <v>-73.971479819679999</v>
      </c>
      <c r="B1757">
        <v>40.769523194960001</v>
      </c>
      <c r="C1757" t="s">
        <v>4540</v>
      </c>
      <c r="D1757" t="s">
        <v>539</v>
      </c>
      <c r="E1757" t="s">
        <v>33</v>
      </c>
      <c r="F1757">
        <v>10202018</v>
      </c>
      <c r="G1757">
        <v>2</v>
      </c>
      <c r="H1757" t="s">
        <v>48</v>
      </c>
      <c r="K1757" t="s">
        <v>34</v>
      </c>
      <c r="M1757" t="s">
        <v>44</v>
      </c>
      <c r="O1757" t="s">
        <v>4541</v>
      </c>
      <c r="P1757" t="b">
        <v>0</v>
      </c>
      <c r="Q1757" t="b">
        <v>0</v>
      </c>
      <c r="R1757" t="b">
        <v>1</v>
      </c>
      <c r="S1757" t="b">
        <v>0</v>
      </c>
      <c r="T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b">
        <v>0</v>
      </c>
      <c r="AB1757" t="b">
        <v>0</v>
      </c>
      <c r="AC1757" t="b">
        <v>1</v>
      </c>
      <c r="AD1757" t="s">
        <v>770</v>
      </c>
      <c r="AE1757" t="s">
        <v>4542</v>
      </c>
    </row>
    <row r="1758" spans="1:31" x14ac:dyDescent="0.3">
      <c r="A1758">
        <v>-73.975504127679997</v>
      </c>
      <c r="B1758">
        <v>40.767821385760001</v>
      </c>
      <c r="C1758" t="s">
        <v>4543</v>
      </c>
      <c r="D1758" t="s">
        <v>1701</v>
      </c>
      <c r="E1758" t="s">
        <v>38</v>
      </c>
      <c r="F1758">
        <v>10062018</v>
      </c>
      <c r="G1758">
        <v>13</v>
      </c>
      <c r="H1758" t="s">
        <v>105</v>
      </c>
      <c r="I1758" t="s">
        <v>42</v>
      </c>
      <c r="J1758" t="s">
        <v>59</v>
      </c>
      <c r="K1758" t="s">
        <v>79</v>
      </c>
      <c r="M1758" t="s">
        <v>65</v>
      </c>
      <c r="N1758" t="b">
        <v>0</v>
      </c>
      <c r="P1758" t="b">
        <v>1</v>
      </c>
      <c r="Q1758" t="b">
        <v>0</v>
      </c>
      <c r="R1758" t="b">
        <v>0</v>
      </c>
      <c r="S1758" t="b">
        <v>0</v>
      </c>
      <c r="T1758" t="b">
        <v>1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b">
        <v>1</v>
      </c>
      <c r="AB1758" t="b">
        <v>0</v>
      </c>
      <c r="AC1758" t="b">
        <v>0</v>
      </c>
      <c r="AE1758" t="s">
        <v>4544</v>
      </c>
    </row>
    <row r="1759" spans="1:31" x14ac:dyDescent="0.3">
      <c r="A1759">
        <v>-73.96015610645</v>
      </c>
      <c r="B1759">
        <v>40.790051393349998</v>
      </c>
      <c r="C1759" t="s">
        <v>4545</v>
      </c>
      <c r="D1759" t="s">
        <v>1407</v>
      </c>
      <c r="E1759" t="s">
        <v>33</v>
      </c>
      <c r="F1759">
        <v>10062018</v>
      </c>
      <c r="G1759">
        <v>8</v>
      </c>
      <c r="H1759" t="s">
        <v>48</v>
      </c>
      <c r="I1759" t="s">
        <v>42</v>
      </c>
      <c r="J1759" t="s">
        <v>53</v>
      </c>
      <c r="K1759" t="s">
        <v>54</v>
      </c>
      <c r="M1759" t="s">
        <v>65</v>
      </c>
      <c r="N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1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b">
        <v>0</v>
      </c>
      <c r="AB1759" t="b">
        <v>1</v>
      </c>
      <c r="AC1759" t="b">
        <v>0</v>
      </c>
      <c r="AE1759" t="s">
        <v>4546</v>
      </c>
    </row>
    <row r="1760" spans="1:31" x14ac:dyDescent="0.3">
      <c r="A1760">
        <v>-73.958124187020005</v>
      </c>
      <c r="B1760">
        <v>40.79610575361</v>
      </c>
      <c r="C1760" t="s">
        <v>4547</v>
      </c>
      <c r="D1760" t="s">
        <v>175</v>
      </c>
      <c r="E1760" t="s">
        <v>38</v>
      </c>
      <c r="F1760">
        <v>10192018</v>
      </c>
      <c r="G1760">
        <v>5</v>
      </c>
      <c r="H1760" t="s">
        <v>48</v>
      </c>
      <c r="I1760" t="s">
        <v>42</v>
      </c>
      <c r="J1760" t="s">
        <v>59</v>
      </c>
      <c r="K1760" t="s">
        <v>79</v>
      </c>
      <c r="M1760" t="s">
        <v>65</v>
      </c>
      <c r="N1760" t="b">
        <v>0</v>
      </c>
      <c r="P1760" t="b">
        <v>1</v>
      </c>
      <c r="Q1760" t="b">
        <v>0</v>
      </c>
      <c r="R1760" t="b">
        <v>0</v>
      </c>
      <c r="S1760" t="b">
        <v>0</v>
      </c>
      <c r="T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b">
        <v>0</v>
      </c>
      <c r="AB1760" t="b">
        <v>0</v>
      </c>
      <c r="AC1760" t="b">
        <v>1</v>
      </c>
      <c r="AE1760" t="s">
        <v>4548</v>
      </c>
    </row>
    <row r="1761" spans="1:31" x14ac:dyDescent="0.3">
      <c r="A1761">
        <v>-73.957621957089998</v>
      </c>
      <c r="B1761">
        <v>40.796335122569999</v>
      </c>
      <c r="C1761" t="s">
        <v>4549</v>
      </c>
      <c r="D1761" t="s">
        <v>175</v>
      </c>
      <c r="E1761" t="s">
        <v>38</v>
      </c>
      <c r="F1761">
        <v>10192018</v>
      </c>
      <c r="G1761">
        <v>3</v>
      </c>
      <c r="H1761" t="s">
        <v>105</v>
      </c>
      <c r="I1761" t="s">
        <v>42</v>
      </c>
      <c r="J1761" t="s">
        <v>59</v>
      </c>
      <c r="K1761" t="s">
        <v>79</v>
      </c>
      <c r="M1761" t="s">
        <v>65</v>
      </c>
      <c r="N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1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b">
        <v>0</v>
      </c>
      <c r="AB1761" t="b">
        <v>0</v>
      </c>
      <c r="AC1761" t="b">
        <v>1</v>
      </c>
      <c r="AE1761" t="s">
        <v>4550</v>
      </c>
    </row>
    <row r="1762" spans="1:31" x14ac:dyDescent="0.3">
      <c r="A1762">
        <v>-73.959707253380003</v>
      </c>
      <c r="B1762">
        <v>40.79055818538</v>
      </c>
      <c r="C1762" t="s">
        <v>4551</v>
      </c>
      <c r="D1762" t="s">
        <v>47</v>
      </c>
      <c r="E1762" t="s">
        <v>38</v>
      </c>
      <c r="F1762">
        <v>10072018</v>
      </c>
      <c r="G1762">
        <v>12</v>
      </c>
      <c r="H1762" t="s">
        <v>48</v>
      </c>
      <c r="I1762" t="s">
        <v>42</v>
      </c>
      <c r="K1762" t="s">
        <v>43</v>
      </c>
      <c r="M1762" t="s">
        <v>65</v>
      </c>
      <c r="N1762" t="b">
        <v>0</v>
      </c>
      <c r="P1762" t="b">
        <v>0</v>
      </c>
      <c r="Q1762" t="b">
        <v>1</v>
      </c>
      <c r="R1762" t="b">
        <v>0</v>
      </c>
      <c r="S1762" t="b">
        <v>0</v>
      </c>
      <c r="T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b">
        <v>0</v>
      </c>
      <c r="AB1762" t="b">
        <v>0</v>
      </c>
      <c r="AC1762" t="b">
        <v>0</v>
      </c>
      <c r="AE1762" t="s">
        <v>4552</v>
      </c>
    </row>
    <row r="1763" spans="1:31" x14ac:dyDescent="0.3">
      <c r="A1763">
        <v>-73.957530797039993</v>
      </c>
      <c r="B1763">
        <v>40.79831764195</v>
      </c>
      <c r="C1763" t="s">
        <v>4553</v>
      </c>
      <c r="D1763" t="s">
        <v>212</v>
      </c>
      <c r="E1763" t="s">
        <v>33</v>
      </c>
      <c r="F1763">
        <v>10142018</v>
      </c>
      <c r="G1763">
        <v>8</v>
      </c>
      <c r="H1763" t="s">
        <v>48</v>
      </c>
      <c r="I1763" t="s">
        <v>42</v>
      </c>
      <c r="J1763" t="s">
        <v>53</v>
      </c>
      <c r="K1763" t="s">
        <v>54</v>
      </c>
      <c r="M1763" t="s">
        <v>65</v>
      </c>
      <c r="N1763" t="b">
        <v>0</v>
      </c>
      <c r="P1763" t="b">
        <v>0</v>
      </c>
      <c r="Q1763" t="b">
        <v>0</v>
      </c>
      <c r="R1763" t="b">
        <v>0</v>
      </c>
      <c r="S1763" t="b">
        <v>0</v>
      </c>
      <c r="T1763" t="b">
        <v>1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b">
        <v>0</v>
      </c>
      <c r="AB1763" t="b">
        <v>1</v>
      </c>
      <c r="AC1763" t="b">
        <v>0</v>
      </c>
      <c r="AE1763" t="s">
        <v>4554</v>
      </c>
    </row>
    <row r="1764" spans="1:31" x14ac:dyDescent="0.3">
      <c r="A1764">
        <v>-73.976910683819995</v>
      </c>
      <c r="B1764">
        <v>40.767441487070002</v>
      </c>
      <c r="C1764" t="s">
        <v>4555</v>
      </c>
      <c r="D1764" t="s">
        <v>879</v>
      </c>
      <c r="E1764" t="s">
        <v>38</v>
      </c>
      <c r="F1764">
        <v>10102018</v>
      </c>
      <c r="G1764">
        <v>5</v>
      </c>
      <c r="H1764" t="s">
        <v>105</v>
      </c>
      <c r="I1764" t="s">
        <v>42</v>
      </c>
      <c r="J1764" t="s">
        <v>53</v>
      </c>
      <c r="K1764" t="s">
        <v>54</v>
      </c>
      <c r="M1764" t="s">
        <v>44</v>
      </c>
      <c r="N1764">
        <v>33</v>
      </c>
      <c r="P1764" t="b">
        <v>0</v>
      </c>
      <c r="Q1764" t="b">
        <v>0</v>
      </c>
      <c r="R1764" t="b">
        <v>1</v>
      </c>
      <c r="S1764" t="b">
        <v>0</v>
      </c>
      <c r="T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b">
        <v>0</v>
      </c>
      <c r="AB1764" t="b">
        <v>1</v>
      </c>
      <c r="AC1764" t="b">
        <v>0</v>
      </c>
      <c r="AE1764" t="s">
        <v>4556</v>
      </c>
    </row>
    <row r="1765" spans="1:31" x14ac:dyDescent="0.3">
      <c r="A1765">
        <v>-73.97682863496</v>
      </c>
      <c r="B1765">
        <v>40.768701282709998</v>
      </c>
      <c r="C1765" t="s">
        <v>4557</v>
      </c>
      <c r="D1765" t="s">
        <v>502</v>
      </c>
      <c r="E1765" t="s">
        <v>33</v>
      </c>
      <c r="F1765">
        <v>10102018</v>
      </c>
      <c r="G1765">
        <v>5</v>
      </c>
      <c r="H1765" t="s">
        <v>48</v>
      </c>
      <c r="I1765" t="s">
        <v>53</v>
      </c>
      <c r="K1765" t="s">
        <v>155</v>
      </c>
      <c r="M1765" t="s">
        <v>65</v>
      </c>
      <c r="N1765" t="b">
        <v>0</v>
      </c>
      <c r="P1765" t="b">
        <v>1</v>
      </c>
      <c r="Q1765" t="b">
        <v>0</v>
      </c>
      <c r="R1765" t="b">
        <v>0</v>
      </c>
      <c r="S1765" t="b">
        <v>0</v>
      </c>
      <c r="T1765" t="b">
        <v>1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b">
        <v>0</v>
      </c>
      <c r="AB1765" t="b">
        <v>0</v>
      </c>
      <c r="AC1765" t="b">
        <v>0</v>
      </c>
      <c r="AE1765" t="s">
        <v>4558</v>
      </c>
    </row>
    <row r="1766" spans="1:31" x14ac:dyDescent="0.3">
      <c r="A1766">
        <v>-73.953487831649994</v>
      </c>
      <c r="B1766">
        <v>40.797895198170004</v>
      </c>
      <c r="C1766" t="s">
        <v>4559</v>
      </c>
      <c r="D1766" t="s">
        <v>3637</v>
      </c>
      <c r="E1766" t="s">
        <v>33</v>
      </c>
      <c r="F1766">
        <v>10192018</v>
      </c>
      <c r="G1766">
        <v>1</v>
      </c>
      <c r="K1766" t="s">
        <v>34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b">
        <v>0</v>
      </c>
      <c r="AB1766" t="b">
        <v>0</v>
      </c>
      <c r="AC1766" t="b">
        <v>0</v>
      </c>
      <c r="AE1766" t="s">
        <v>4560</v>
      </c>
    </row>
    <row r="1767" spans="1:31" x14ac:dyDescent="0.3">
      <c r="A1767">
        <v>-73.968904160009998</v>
      </c>
      <c r="B1767">
        <v>40.778178896619998</v>
      </c>
      <c r="C1767" t="s">
        <v>4561</v>
      </c>
      <c r="D1767" t="s">
        <v>256</v>
      </c>
      <c r="E1767" t="s">
        <v>38</v>
      </c>
      <c r="F1767">
        <v>10142018</v>
      </c>
      <c r="G1767">
        <v>7</v>
      </c>
      <c r="H1767" t="s">
        <v>48</v>
      </c>
      <c r="I1767" t="s">
        <v>42</v>
      </c>
      <c r="K1767" t="s">
        <v>43</v>
      </c>
      <c r="M1767" t="s">
        <v>44</v>
      </c>
      <c r="P1767" t="b">
        <v>1</v>
      </c>
      <c r="Q1767" t="b">
        <v>0</v>
      </c>
      <c r="R1767" t="b">
        <v>0</v>
      </c>
      <c r="S1767" t="b">
        <v>0</v>
      </c>
      <c r="T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b">
        <v>0</v>
      </c>
      <c r="AB1767" t="b">
        <v>0</v>
      </c>
      <c r="AC1767" t="b">
        <v>1</v>
      </c>
      <c r="AD1767" t="s">
        <v>1294</v>
      </c>
      <c r="AE1767" t="s">
        <v>4562</v>
      </c>
    </row>
    <row r="1768" spans="1:31" x14ac:dyDescent="0.3">
      <c r="A1768">
        <v>-73.972757765569995</v>
      </c>
      <c r="B1768">
        <v>40.765428551009997</v>
      </c>
      <c r="C1768" t="s">
        <v>4563</v>
      </c>
      <c r="D1768" t="s">
        <v>2244</v>
      </c>
      <c r="E1768" t="s">
        <v>38</v>
      </c>
      <c r="F1768">
        <v>10062018</v>
      </c>
      <c r="G1768">
        <v>1</v>
      </c>
      <c r="H1768" t="s">
        <v>48</v>
      </c>
      <c r="I1768" t="s">
        <v>42</v>
      </c>
      <c r="K1768" t="s">
        <v>43</v>
      </c>
      <c r="M1768" t="s">
        <v>65</v>
      </c>
      <c r="N1768" t="b">
        <v>0</v>
      </c>
      <c r="P1768" t="b">
        <v>1</v>
      </c>
      <c r="Q1768" t="b">
        <v>0</v>
      </c>
      <c r="R1768" t="b">
        <v>0</v>
      </c>
      <c r="S1768" t="b">
        <v>1</v>
      </c>
      <c r="T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b">
        <v>0</v>
      </c>
      <c r="AB1768" t="b">
        <v>1</v>
      </c>
      <c r="AC1768" t="b">
        <v>0</v>
      </c>
      <c r="AE1768" t="s">
        <v>4564</v>
      </c>
    </row>
    <row r="1769" spans="1:31" x14ac:dyDescent="0.3">
      <c r="A1769">
        <v>-73.958719099960007</v>
      </c>
      <c r="B1769">
        <v>40.794758772660003</v>
      </c>
      <c r="C1769" t="s">
        <v>4565</v>
      </c>
      <c r="D1769" t="s">
        <v>1262</v>
      </c>
      <c r="E1769" t="s">
        <v>38</v>
      </c>
      <c r="F1769">
        <v>10142018</v>
      </c>
      <c r="G1769">
        <v>4</v>
      </c>
      <c r="I1769" t="s">
        <v>42</v>
      </c>
      <c r="J1769" t="s">
        <v>59</v>
      </c>
      <c r="K1769" t="s">
        <v>79</v>
      </c>
      <c r="M1769" t="s">
        <v>44</v>
      </c>
      <c r="N1769">
        <v>15</v>
      </c>
      <c r="O1769" t="s">
        <v>4566</v>
      </c>
      <c r="P1769" t="b">
        <v>1</v>
      </c>
      <c r="Q1769" t="b">
        <v>0</v>
      </c>
      <c r="R1769" t="b">
        <v>1</v>
      </c>
      <c r="S1769" t="b">
        <v>1</v>
      </c>
      <c r="T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b">
        <v>0</v>
      </c>
      <c r="AB1769" t="b">
        <v>0</v>
      </c>
      <c r="AC1769" t="b">
        <v>1</v>
      </c>
      <c r="AE1769" t="s">
        <v>4567</v>
      </c>
    </row>
    <row r="1770" spans="1:31" x14ac:dyDescent="0.3">
      <c r="A1770">
        <v>-73.977369645500005</v>
      </c>
      <c r="B1770">
        <v>40.768724186669999</v>
      </c>
      <c r="C1770" t="s">
        <v>4568</v>
      </c>
      <c r="D1770" t="s">
        <v>502</v>
      </c>
      <c r="E1770" t="s">
        <v>33</v>
      </c>
      <c r="F1770">
        <v>10102018</v>
      </c>
      <c r="G1770">
        <v>14</v>
      </c>
      <c r="H1770" t="s">
        <v>105</v>
      </c>
      <c r="I1770" t="s">
        <v>42</v>
      </c>
      <c r="J1770" t="s">
        <v>53</v>
      </c>
      <c r="K1770" t="s">
        <v>54</v>
      </c>
      <c r="M1770" t="s">
        <v>44</v>
      </c>
      <c r="N1770">
        <v>10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s">
        <v>4569</v>
      </c>
      <c r="V1770" t="b">
        <v>1</v>
      </c>
      <c r="W1770" t="b">
        <v>1</v>
      </c>
      <c r="X1770" t="b">
        <v>0</v>
      </c>
      <c r="Y1770" t="b">
        <v>0</v>
      </c>
      <c r="Z1770" t="b">
        <v>0</v>
      </c>
      <c r="AA1770" t="b">
        <v>0</v>
      </c>
      <c r="AB1770" t="b">
        <v>0</v>
      </c>
      <c r="AC1770" t="b">
        <v>0</v>
      </c>
      <c r="AE1770" t="s">
        <v>4570</v>
      </c>
    </row>
    <row r="1771" spans="1:31" x14ac:dyDescent="0.3">
      <c r="A1771">
        <v>-73.972108606939997</v>
      </c>
      <c r="B1771">
        <v>40.76981721904</v>
      </c>
      <c r="C1771" t="s">
        <v>4571</v>
      </c>
      <c r="D1771" t="s">
        <v>221</v>
      </c>
      <c r="E1771" t="s">
        <v>38</v>
      </c>
      <c r="F1771">
        <v>10082018</v>
      </c>
      <c r="G1771">
        <v>6</v>
      </c>
      <c r="H1771" t="s">
        <v>48</v>
      </c>
      <c r="I1771" t="s">
        <v>42</v>
      </c>
      <c r="J1771" t="s">
        <v>96</v>
      </c>
      <c r="K1771" t="s">
        <v>97</v>
      </c>
      <c r="L1771" t="s">
        <v>4572</v>
      </c>
      <c r="M1771" t="s">
        <v>65</v>
      </c>
      <c r="N1771" t="b">
        <v>0</v>
      </c>
      <c r="O1771" t="s">
        <v>4573</v>
      </c>
      <c r="P1771" t="b">
        <v>0</v>
      </c>
      <c r="Q1771" t="b">
        <v>0</v>
      </c>
      <c r="R1771" t="b">
        <v>0</v>
      </c>
      <c r="S1771" t="b">
        <v>0</v>
      </c>
      <c r="T1771" t="b">
        <v>1</v>
      </c>
      <c r="V1771" t="b">
        <v>0</v>
      </c>
      <c r="W1771" t="b">
        <v>0</v>
      </c>
      <c r="X1771" t="b">
        <v>0</v>
      </c>
      <c r="Y1771" t="b">
        <v>0</v>
      </c>
      <c r="Z1771" t="b">
        <v>1</v>
      </c>
      <c r="AA1771" t="b">
        <v>0</v>
      </c>
      <c r="AB1771" t="b">
        <v>1</v>
      </c>
      <c r="AC1771" t="b">
        <v>0</v>
      </c>
      <c r="AE1771" t="s">
        <v>4574</v>
      </c>
    </row>
    <row r="1772" spans="1:31" x14ac:dyDescent="0.3">
      <c r="A1772">
        <v>-73.97281709808</v>
      </c>
      <c r="B1772">
        <v>40.770355783040003</v>
      </c>
      <c r="C1772" t="s">
        <v>4575</v>
      </c>
      <c r="D1772" t="s">
        <v>353</v>
      </c>
      <c r="E1772" t="s">
        <v>38</v>
      </c>
      <c r="F1772">
        <v>10082018</v>
      </c>
      <c r="G1772">
        <v>6</v>
      </c>
      <c r="H1772" t="s">
        <v>48</v>
      </c>
      <c r="I1772" t="s">
        <v>42</v>
      </c>
      <c r="K1772" t="s">
        <v>43</v>
      </c>
      <c r="M1772" t="s">
        <v>44</v>
      </c>
      <c r="N1772">
        <v>28</v>
      </c>
      <c r="O1772" t="s">
        <v>4576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s">
        <v>121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b">
        <v>0</v>
      </c>
      <c r="AB1772" t="b">
        <v>1</v>
      </c>
      <c r="AC1772" t="b">
        <v>0</v>
      </c>
      <c r="AE1772" t="s">
        <v>4577</v>
      </c>
    </row>
    <row r="1773" spans="1:31" x14ac:dyDescent="0.3">
      <c r="A1773">
        <v>-73.975068808329993</v>
      </c>
      <c r="B1773">
        <v>40.766558468100001</v>
      </c>
      <c r="C1773" t="s">
        <v>4578</v>
      </c>
      <c r="D1773" t="s">
        <v>471</v>
      </c>
      <c r="E1773" t="s">
        <v>33</v>
      </c>
      <c r="F1773">
        <v>10142018</v>
      </c>
      <c r="G1773">
        <v>7</v>
      </c>
      <c r="H1773" t="s">
        <v>48</v>
      </c>
      <c r="I1773" t="s">
        <v>42</v>
      </c>
      <c r="K1773" t="s">
        <v>43</v>
      </c>
      <c r="M1773" t="s">
        <v>65</v>
      </c>
      <c r="N1773" t="b">
        <v>0</v>
      </c>
      <c r="P1773" t="b">
        <v>0</v>
      </c>
      <c r="Q1773" t="b">
        <v>0</v>
      </c>
      <c r="R1773" t="b">
        <v>0</v>
      </c>
      <c r="S1773" t="b">
        <v>1</v>
      </c>
      <c r="T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b">
        <v>0</v>
      </c>
      <c r="AB1773" t="b">
        <v>1</v>
      </c>
      <c r="AC1773" t="b">
        <v>0</v>
      </c>
      <c r="AE1773" t="s">
        <v>4579</v>
      </c>
    </row>
    <row r="1774" spans="1:31" x14ac:dyDescent="0.3">
      <c r="A1774">
        <v>-73.969054069600006</v>
      </c>
      <c r="B1774">
        <v>40.776601412460003</v>
      </c>
      <c r="C1774" t="s">
        <v>4580</v>
      </c>
      <c r="D1774" t="s">
        <v>225</v>
      </c>
      <c r="E1774" t="s">
        <v>33</v>
      </c>
      <c r="F1774">
        <v>10122018</v>
      </c>
      <c r="G1774">
        <v>8</v>
      </c>
      <c r="H1774" t="s">
        <v>48</v>
      </c>
      <c r="I1774" t="s">
        <v>53</v>
      </c>
      <c r="J1774" t="s">
        <v>115</v>
      </c>
      <c r="K1774" t="s">
        <v>116</v>
      </c>
      <c r="M1774" t="s">
        <v>65</v>
      </c>
      <c r="N1774" t="b">
        <v>0</v>
      </c>
      <c r="P1774" t="b">
        <v>1</v>
      </c>
      <c r="Q1774" t="b">
        <v>1</v>
      </c>
      <c r="R1774" t="b">
        <v>0</v>
      </c>
      <c r="S1774" t="b">
        <v>1</v>
      </c>
      <c r="T1774" t="b">
        <v>1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 t="b">
        <v>1</v>
      </c>
      <c r="AC1774" t="b">
        <v>0</v>
      </c>
      <c r="AE1774" t="s">
        <v>4581</v>
      </c>
    </row>
    <row r="1775" spans="1:31" x14ac:dyDescent="0.3">
      <c r="A1775">
        <v>-73.966890948189999</v>
      </c>
      <c r="B1775">
        <v>40.7841298584</v>
      </c>
      <c r="C1775" t="s">
        <v>4582</v>
      </c>
      <c r="D1775" t="s">
        <v>689</v>
      </c>
      <c r="E1775" t="s">
        <v>33</v>
      </c>
      <c r="F1775">
        <v>10062018</v>
      </c>
      <c r="G1775">
        <v>12</v>
      </c>
      <c r="H1775" t="s">
        <v>48</v>
      </c>
      <c r="I1775" t="s">
        <v>42</v>
      </c>
      <c r="K1775" t="s">
        <v>43</v>
      </c>
      <c r="M1775" t="s">
        <v>65</v>
      </c>
      <c r="N1775" t="b">
        <v>0</v>
      </c>
      <c r="P1775" t="b">
        <v>0</v>
      </c>
      <c r="Q1775" t="b">
        <v>0</v>
      </c>
      <c r="R1775" t="b">
        <v>0</v>
      </c>
      <c r="S1775" t="b">
        <v>1</v>
      </c>
      <c r="T1775" t="b">
        <v>0</v>
      </c>
      <c r="V1775" t="b">
        <v>1</v>
      </c>
      <c r="W1775" t="b">
        <v>0</v>
      </c>
      <c r="X1775" t="b">
        <v>0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s">
        <v>4583</v>
      </c>
      <c r="AE1775" t="s">
        <v>4584</v>
      </c>
    </row>
    <row r="1776" spans="1:31" x14ac:dyDescent="0.3">
      <c r="A1776">
        <v>-73.951965247930005</v>
      </c>
      <c r="B1776">
        <v>40.793816762810003</v>
      </c>
      <c r="C1776" t="s">
        <v>4585</v>
      </c>
      <c r="D1776" t="s">
        <v>2053</v>
      </c>
      <c r="E1776" t="s">
        <v>33</v>
      </c>
      <c r="F1776">
        <v>10142018</v>
      </c>
      <c r="G1776">
        <v>3</v>
      </c>
      <c r="H1776" t="s">
        <v>48</v>
      </c>
      <c r="I1776" t="s">
        <v>53</v>
      </c>
      <c r="J1776" t="s">
        <v>115</v>
      </c>
      <c r="K1776" t="s">
        <v>116</v>
      </c>
      <c r="M1776" t="s">
        <v>65</v>
      </c>
      <c r="N1776" t="b">
        <v>0</v>
      </c>
      <c r="P1776" t="b">
        <v>0</v>
      </c>
      <c r="Q1776" t="b">
        <v>0</v>
      </c>
      <c r="R1776" t="b">
        <v>0</v>
      </c>
      <c r="S1776" t="b">
        <v>1</v>
      </c>
      <c r="T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b">
        <v>0</v>
      </c>
      <c r="AB1776" t="b">
        <v>1</v>
      </c>
      <c r="AC1776" t="b">
        <v>1</v>
      </c>
      <c r="AE1776" t="s">
        <v>4586</v>
      </c>
    </row>
    <row r="1777" spans="1:31" x14ac:dyDescent="0.3">
      <c r="A1777">
        <v>-73.956235082030005</v>
      </c>
      <c r="B1777">
        <v>40.791346414800003</v>
      </c>
      <c r="C1777" t="s">
        <v>4587</v>
      </c>
      <c r="D1777" t="s">
        <v>4588</v>
      </c>
      <c r="E1777" t="s">
        <v>33</v>
      </c>
      <c r="F1777">
        <v>10062018</v>
      </c>
      <c r="G1777">
        <v>2</v>
      </c>
      <c r="H1777" t="s">
        <v>48</v>
      </c>
      <c r="I1777" t="s">
        <v>42</v>
      </c>
      <c r="K1777" t="s">
        <v>43</v>
      </c>
      <c r="M1777" t="s">
        <v>44</v>
      </c>
      <c r="N1777">
        <v>6</v>
      </c>
      <c r="P1777" t="b">
        <v>0</v>
      </c>
      <c r="Q1777" t="b">
        <v>0</v>
      </c>
      <c r="R1777" t="b">
        <v>1</v>
      </c>
      <c r="S1777" t="b">
        <v>1</v>
      </c>
      <c r="T1777" t="b">
        <v>1</v>
      </c>
      <c r="U1777" t="s">
        <v>4589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b">
        <v>0</v>
      </c>
      <c r="AB1777" t="b">
        <v>0</v>
      </c>
      <c r="AC1777" t="b">
        <v>1</v>
      </c>
      <c r="AE1777" t="s">
        <v>4590</v>
      </c>
    </row>
    <row r="1778" spans="1:31" x14ac:dyDescent="0.3">
      <c r="A1778">
        <v>-73.971175135679999</v>
      </c>
      <c r="B1778">
        <v>40.775242275819998</v>
      </c>
      <c r="C1778" t="s">
        <v>4591</v>
      </c>
      <c r="D1778" t="s">
        <v>726</v>
      </c>
      <c r="E1778" t="s">
        <v>38</v>
      </c>
      <c r="F1778">
        <v>10172018</v>
      </c>
      <c r="G1778">
        <v>6</v>
      </c>
      <c r="H1778" t="s">
        <v>105</v>
      </c>
      <c r="I1778" t="s">
        <v>42</v>
      </c>
      <c r="J1778" t="s">
        <v>53</v>
      </c>
      <c r="K1778" t="s">
        <v>54</v>
      </c>
      <c r="M1778" t="s">
        <v>44</v>
      </c>
      <c r="N1778">
        <v>2</v>
      </c>
      <c r="P1778" t="b">
        <v>0</v>
      </c>
      <c r="Q1778" t="b">
        <v>0</v>
      </c>
      <c r="R1778" t="b">
        <v>0</v>
      </c>
      <c r="S1778" t="b">
        <v>1</v>
      </c>
      <c r="T1778" t="b">
        <v>1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b">
        <v>0</v>
      </c>
      <c r="AB1778" t="b">
        <v>1</v>
      </c>
      <c r="AC1778" t="b">
        <v>0</v>
      </c>
      <c r="AE1778" t="s">
        <v>4592</v>
      </c>
    </row>
    <row r="1779" spans="1:31" x14ac:dyDescent="0.3">
      <c r="A1779">
        <v>-73.968559810610003</v>
      </c>
      <c r="B1779">
        <v>40.78070548681</v>
      </c>
      <c r="C1779" t="s">
        <v>4593</v>
      </c>
      <c r="D1779" t="s">
        <v>208</v>
      </c>
      <c r="E1779" t="s">
        <v>33</v>
      </c>
      <c r="F1779">
        <v>10082018</v>
      </c>
      <c r="G1779">
        <v>2</v>
      </c>
      <c r="K1779" t="s">
        <v>34</v>
      </c>
      <c r="L1779" t="s">
        <v>4594</v>
      </c>
      <c r="M1779" t="s">
        <v>44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V1779" t="b">
        <v>1</v>
      </c>
      <c r="W1779" t="b">
        <v>0</v>
      </c>
      <c r="X1779" t="b">
        <v>0</v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E1779" t="s">
        <v>4595</v>
      </c>
    </row>
    <row r="1780" spans="1:31" x14ac:dyDescent="0.3">
      <c r="A1780">
        <v>-73.969556037689998</v>
      </c>
      <c r="B1780">
        <v>40.770883510349996</v>
      </c>
      <c r="C1780" t="s">
        <v>4596</v>
      </c>
      <c r="D1780" t="s">
        <v>2056</v>
      </c>
      <c r="E1780" t="s">
        <v>38</v>
      </c>
      <c r="F1780">
        <v>10062018</v>
      </c>
      <c r="G1780">
        <v>3</v>
      </c>
      <c r="H1780" t="s">
        <v>48</v>
      </c>
      <c r="I1780" t="s">
        <v>42</v>
      </c>
      <c r="J1780" t="s">
        <v>59</v>
      </c>
      <c r="K1780" t="s">
        <v>79</v>
      </c>
      <c r="M1780" t="s">
        <v>65</v>
      </c>
      <c r="N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1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b">
        <v>0</v>
      </c>
      <c r="AB1780" t="b">
        <v>1</v>
      </c>
      <c r="AC1780" t="b">
        <v>0</v>
      </c>
      <c r="AE1780" t="s">
        <v>4597</v>
      </c>
    </row>
    <row r="1781" spans="1:31" x14ac:dyDescent="0.3">
      <c r="A1781">
        <v>-73.964094560939998</v>
      </c>
      <c r="B1781">
        <v>40.791051304139998</v>
      </c>
      <c r="C1781" t="s">
        <v>4598</v>
      </c>
      <c r="D1781" t="s">
        <v>1608</v>
      </c>
      <c r="E1781" t="s">
        <v>33</v>
      </c>
      <c r="F1781">
        <v>10202018</v>
      </c>
      <c r="G1781">
        <v>4</v>
      </c>
      <c r="H1781" t="s">
        <v>48</v>
      </c>
      <c r="I1781" t="s">
        <v>42</v>
      </c>
      <c r="J1781" t="s">
        <v>96</v>
      </c>
      <c r="K1781" t="s">
        <v>97</v>
      </c>
      <c r="L1781" t="s">
        <v>3152</v>
      </c>
      <c r="M1781" t="s">
        <v>65</v>
      </c>
      <c r="N1781" t="b">
        <v>0</v>
      </c>
      <c r="O1781" t="s">
        <v>1311</v>
      </c>
      <c r="P1781" t="b">
        <v>1</v>
      </c>
      <c r="Q1781" t="b">
        <v>0</v>
      </c>
      <c r="R1781" t="b">
        <v>0</v>
      </c>
      <c r="S1781" t="b">
        <v>1</v>
      </c>
      <c r="T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b">
        <v>0</v>
      </c>
      <c r="AB1781" t="b">
        <v>0</v>
      </c>
      <c r="AC1781" t="b">
        <v>1</v>
      </c>
      <c r="AE1781" t="s">
        <v>4599</v>
      </c>
    </row>
    <row r="1782" spans="1:31" x14ac:dyDescent="0.3">
      <c r="A1782">
        <v>-73.960056504630003</v>
      </c>
      <c r="B1782">
        <v>40.7934048503</v>
      </c>
      <c r="C1782" t="s">
        <v>4600</v>
      </c>
      <c r="D1782" t="s">
        <v>3811</v>
      </c>
      <c r="E1782" t="s">
        <v>33</v>
      </c>
      <c r="F1782">
        <v>10122018</v>
      </c>
      <c r="G1782">
        <v>2</v>
      </c>
      <c r="H1782" t="s">
        <v>48</v>
      </c>
      <c r="I1782" t="s">
        <v>42</v>
      </c>
      <c r="J1782" t="s">
        <v>53</v>
      </c>
      <c r="K1782" t="s">
        <v>54</v>
      </c>
      <c r="M1782" t="s">
        <v>65</v>
      </c>
      <c r="N1782" t="b">
        <v>0</v>
      </c>
      <c r="P1782" t="b">
        <v>1</v>
      </c>
      <c r="Q1782" t="b">
        <v>0</v>
      </c>
      <c r="R1782" t="b">
        <v>0</v>
      </c>
      <c r="S1782" t="b">
        <v>0</v>
      </c>
      <c r="T1782" t="b">
        <v>1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b">
        <v>0</v>
      </c>
      <c r="AB1782" t="b">
        <v>1</v>
      </c>
      <c r="AC1782" t="b">
        <v>0</v>
      </c>
      <c r="AE1782" t="s">
        <v>4601</v>
      </c>
    </row>
    <row r="1783" spans="1:31" x14ac:dyDescent="0.3">
      <c r="A1783">
        <v>-73.954913387239998</v>
      </c>
      <c r="B1783">
        <v>40.794687103690002</v>
      </c>
      <c r="C1783" t="s">
        <v>4602</v>
      </c>
      <c r="D1783" t="s">
        <v>363</v>
      </c>
      <c r="E1783" t="s">
        <v>33</v>
      </c>
      <c r="F1783">
        <v>10132018</v>
      </c>
      <c r="G1783">
        <v>2</v>
      </c>
      <c r="H1783" t="s">
        <v>105</v>
      </c>
      <c r="I1783" t="s">
        <v>42</v>
      </c>
      <c r="J1783" t="s">
        <v>53</v>
      </c>
      <c r="K1783" t="s">
        <v>54</v>
      </c>
      <c r="M1783" t="s">
        <v>65</v>
      </c>
      <c r="N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1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b">
        <v>0</v>
      </c>
      <c r="AB1783" t="b">
        <v>0</v>
      </c>
      <c r="AC1783" t="b">
        <v>0</v>
      </c>
      <c r="AE1783" t="s">
        <v>4603</v>
      </c>
    </row>
    <row r="1784" spans="1:31" x14ac:dyDescent="0.3">
      <c r="A1784">
        <v>-73.973000108050002</v>
      </c>
      <c r="B1784">
        <v>40.767871921900003</v>
      </c>
      <c r="C1784" t="s">
        <v>4604</v>
      </c>
      <c r="D1784" t="s">
        <v>642</v>
      </c>
      <c r="E1784" t="s">
        <v>38</v>
      </c>
      <c r="F1784">
        <v>10062018</v>
      </c>
      <c r="G1784">
        <v>5</v>
      </c>
      <c r="H1784" t="s">
        <v>105</v>
      </c>
      <c r="I1784" t="s">
        <v>42</v>
      </c>
      <c r="J1784" t="s">
        <v>59</v>
      </c>
      <c r="K1784" t="s">
        <v>79</v>
      </c>
      <c r="M1784" t="s">
        <v>44</v>
      </c>
      <c r="N1784">
        <v>20</v>
      </c>
      <c r="P1784" t="b">
        <v>0</v>
      </c>
      <c r="Q1784" t="b">
        <v>0</v>
      </c>
      <c r="R1784" t="b">
        <v>1</v>
      </c>
      <c r="S1784" t="b">
        <v>0</v>
      </c>
      <c r="T1784" t="b">
        <v>0</v>
      </c>
      <c r="U1784" t="s">
        <v>369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b">
        <v>0</v>
      </c>
      <c r="AB1784" t="b">
        <v>1</v>
      </c>
      <c r="AC1784" t="b">
        <v>0</v>
      </c>
      <c r="AD1784" t="s">
        <v>4605</v>
      </c>
      <c r="AE1784" t="s">
        <v>4606</v>
      </c>
    </row>
    <row r="1785" spans="1:31" x14ac:dyDescent="0.3">
      <c r="A1785">
        <v>-73.974831877750006</v>
      </c>
      <c r="B1785">
        <v>40.777182137810001</v>
      </c>
      <c r="C1785" t="s">
        <v>4607</v>
      </c>
      <c r="D1785" t="s">
        <v>585</v>
      </c>
      <c r="E1785" t="s">
        <v>38</v>
      </c>
      <c r="F1785">
        <v>10172018</v>
      </c>
      <c r="G1785">
        <v>5</v>
      </c>
      <c r="H1785" t="s">
        <v>48</v>
      </c>
      <c r="I1785" t="s">
        <v>42</v>
      </c>
      <c r="J1785" t="s">
        <v>59</v>
      </c>
      <c r="K1785" t="s">
        <v>79</v>
      </c>
      <c r="M1785" t="s">
        <v>65</v>
      </c>
      <c r="N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1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b">
        <v>0</v>
      </c>
      <c r="AB1785" t="b">
        <v>1</v>
      </c>
      <c r="AC1785" t="b">
        <v>0</v>
      </c>
      <c r="AE1785" t="s">
        <v>4608</v>
      </c>
    </row>
    <row r="1786" spans="1:31" x14ac:dyDescent="0.3">
      <c r="A1786">
        <v>-73.955062744740005</v>
      </c>
      <c r="B1786">
        <v>40.791010470030002</v>
      </c>
      <c r="C1786" t="s">
        <v>4609</v>
      </c>
      <c r="D1786" t="s">
        <v>1352</v>
      </c>
      <c r="E1786" t="s">
        <v>33</v>
      </c>
      <c r="F1786">
        <v>10062018</v>
      </c>
      <c r="G1786">
        <v>2</v>
      </c>
      <c r="I1786" t="s">
        <v>42</v>
      </c>
      <c r="K1786" t="s">
        <v>43</v>
      </c>
      <c r="M1786" t="s">
        <v>65</v>
      </c>
      <c r="N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1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b">
        <v>0</v>
      </c>
      <c r="AB1786" t="b">
        <v>0</v>
      </c>
      <c r="AC1786" t="b">
        <v>0</v>
      </c>
      <c r="AE1786" t="s">
        <v>4610</v>
      </c>
    </row>
    <row r="1787" spans="1:31" x14ac:dyDescent="0.3">
      <c r="A1787">
        <v>-73.970940745649997</v>
      </c>
      <c r="B1787">
        <v>40.776423522089999</v>
      </c>
      <c r="C1787" t="s">
        <v>4611</v>
      </c>
      <c r="D1787" t="s">
        <v>729</v>
      </c>
      <c r="E1787" t="s">
        <v>38</v>
      </c>
      <c r="F1787">
        <v>10142018</v>
      </c>
      <c r="G1787">
        <v>13</v>
      </c>
      <c r="H1787" t="s">
        <v>48</v>
      </c>
      <c r="I1787" t="s">
        <v>42</v>
      </c>
      <c r="J1787" t="s">
        <v>96</v>
      </c>
      <c r="K1787" t="s">
        <v>97</v>
      </c>
      <c r="P1787" t="b">
        <v>0</v>
      </c>
      <c r="Q1787" t="b">
        <v>0</v>
      </c>
      <c r="R1787" t="b">
        <v>0</v>
      </c>
      <c r="S1787" t="b">
        <v>0</v>
      </c>
      <c r="T1787" t="b">
        <v>1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b">
        <v>0</v>
      </c>
      <c r="AB1787" t="b">
        <v>1</v>
      </c>
      <c r="AC1787" t="b">
        <v>0</v>
      </c>
      <c r="AE1787" t="s">
        <v>4612</v>
      </c>
    </row>
    <row r="1788" spans="1:31" x14ac:dyDescent="0.3">
      <c r="A1788">
        <v>-73.972036532770005</v>
      </c>
      <c r="B1788">
        <v>40.776232971399999</v>
      </c>
      <c r="C1788" t="s">
        <v>4613</v>
      </c>
      <c r="D1788" t="s">
        <v>415</v>
      </c>
      <c r="E1788" t="s">
        <v>33</v>
      </c>
      <c r="F1788">
        <v>10182018</v>
      </c>
      <c r="G1788">
        <v>11</v>
      </c>
      <c r="H1788" t="s">
        <v>48</v>
      </c>
      <c r="I1788" t="s">
        <v>42</v>
      </c>
      <c r="J1788" t="s">
        <v>59</v>
      </c>
      <c r="K1788" t="s">
        <v>79</v>
      </c>
      <c r="M1788" t="s">
        <v>44</v>
      </c>
      <c r="N1788">
        <v>15</v>
      </c>
      <c r="P1788" t="b">
        <v>0</v>
      </c>
      <c r="Q1788" t="b">
        <v>0</v>
      </c>
      <c r="R1788" t="b">
        <v>1</v>
      </c>
      <c r="S1788" t="b">
        <v>1</v>
      </c>
      <c r="T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1</v>
      </c>
      <c r="AA1788" t="b">
        <v>0</v>
      </c>
      <c r="AB1788" t="b">
        <v>1</v>
      </c>
      <c r="AC1788" t="b">
        <v>0</v>
      </c>
      <c r="AE1788" t="s">
        <v>4614</v>
      </c>
    </row>
    <row r="1789" spans="1:31" x14ac:dyDescent="0.3">
      <c r="A1789">
        <v>-73.968556707540003</v>
      </c>
      <c r="B1789">
        <v>40.770379772310001</v>
      </c>
      <c r="C1789" t="s">
        <v>4615</v>
      </c>
      <c r="D1789" t="s">
        <v>1326</v>
      </c>
      <c r="E1789" t="s">
        <v>38</v>
      </c>
      <c r="F1789">
        <v>10062018</v>
      </c>
      <c r="G1789">
        <v>10</v>
      </c>
      <c r="H1789" t="s">
        <v>48</v>
      </c>
      <c r="I1789" t="s">
        <v>42</v>
      </c>
      <c r="J1789" t="s">
        <v>96</v>
      </c>
      <c r="K1789" t="s">
        <v>97</v>
      </c>
      <c r="M1789" t="s">
        <v>44</v>
      </c>
      <c r="N1789">
        <v>3</v>
      </c>
      <c r="O1789" t="s">
        <v>222</v>
      </c>
      <c r="P1789" t="b">
        <v>0</v>
      </c>
      <c r="Q1789" t="b">
        <v>0</v>
      </c>
      <c r="R1789" t="b">
        <v>1</v>
      </c>
      <c r="S1789" t="b">
        <v>0</v>
      </c>
      <c r="T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b">
        <v>0</v>
      </c>
      <c r="AB1789" t="b">
        <v>0</v>
      </c>
      <c r="AC1789" t="b">
        <v>1</v>
      </c>
      <c r="AE1789" t="s">
        <v>4616</v>
      </c>
    </row>
    <row r="1790" spans="1:31" x14ac:dyDescent="0.3">
      <c r="A1790">
        <v>-73.959627114300005</v>
      </c>
      <c r="B1790">
        <v>40.790661231370002</v>
      </c>
      <c r="C1790" t="s">
        <v>4617</v>
      </c>
      <c r="D1790" t="s">
        <v>47</v>
      </c>
      <c r="E1790" t="s">
        <v>33</v>
      </c>
      <c r="F1790">
        <v>10172018</v>
      </c>
      <c r="G1790">
        <v>12</v>
      </c>
      <c r="H1790" t="s">
        <v>48</v>
      </c>
      <c r="I1790" t="s">
        <v>42</v>
      </c>
      <c r="K1790" t="s">
        <v>43</v>
      </c>
      <c r="M1790" t="s">
        <v>65</v>
      </c>
      <c r="N1790" t="b">
        <v>0</v>
      </c>
      <c r="P1790" t="b">
        <v>0</v>
      </c>
      <c r="Q1790" t="b">
        <v>0</v>
      </c>
      <c r="R1790" t="b">
        <v>0</v>
      </c>
      <c r="S1790" t="b">
        <v>1</v>
      </c>
      <c r="T1790" t="b">
        <v>1</v>
      </c>
      <c r="V1790" t="b">
        <v>0</v>
      </c>
      <c r="W1790" t="b">
        <v>1</v>
      </c>
      <c r="X1790" t="b">
        <v>0</v>
      </c>
      <c r="Y1790" t="b">
        <v>0</v>
      </c>
      <c r="Z1790" t="b">
        <v>0</v>
      </c>
      <c r="AA1790" t="b">
        <v>0</v>
      </c>
      <c r="AB1790" t="b">
        <v>0</v>
      </c>
      <c r="AC1790" t="b">
        <v>0</v>
      </c>
      <c r="AE1790" t="s">
        <v>4618</v>
      </c>
    </row>
    <row r="1791" spans="1:31" x14ac:dyDescent="0.3">
      <c r="A1791">
        <v>-73.973059254809996</v>
      </c>
      <c r="B1791">
        <v>40.774087925149999</v>
      </c>
      <c r="C1791" t="s">
        <v>4619</v>
      </c>
      <c r="D1791" t="s">
        <v>2255</v>
      </c>
      <c r="E1791" t="s">
        <v>38</v>
      </c>
      <c r="F1791">
        <v>10082018</v>
      </c>
      <c r="G1791">
        <v>4</v>
      </c>
      <c r="H1791" t="s">
        <v>105</v>
      </c>
      <c r="I1791" t="s">
        <v>42</v>
      </c>
      <c r="K1791" t="s">
        <v>43</v>
      </c>
      <c r="M1791" t="s">
        <v>44</v>
      </c>
      <c r="N1791">
        <v>25</v>
      </c>
      <c r="P1791" t="b">
        <v>0</v>
      </c>
      <c r="Q1791" t="b">
        <v>1</v>
      </c>
      <c r="R1791" t="b">
        <v>1</v>
      </c>
      <c r="S1791" t="b">
        <v>0</v>
      </c>
      <c r="T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b">
        <v>0</v>
      </c>
      <c r="AB1791" t="b">
        <v>0</v>
      </c>
      <c r="AC1791" t="b">
        <v>0</v>
      </c>
      <c r="AE1791" t="s">
        <v>4620</v>
      </c>
    </row>
    <row r="1792" spans="1:31" x14ac:dyDescent="0.3">
      <c r="A1792">
        <v>-73.971090717579997</v>
      </c>
      <c r="B1792">
        <v>40.776373910819999</v>
      </c>
      <c r="C1792" t="s">
        <v>4621</v>
      </c>
      <c r="D1792" t="s">
        <v>415</v>
      </c>
      <c r="E1792" t="s">
        <v>38</v>
      </c>
      <c r="F1792">
        <v>10142018</v>
      </c>
      <c r="G1792">
        <v>7</v>
      </c>
      <c r="H1792" t="s">
        <v>48</v>
      </c>
      <c r="I1792" t="s">
        <v>42</v>
      </c>
      <c r="J1792" t="s">
        <v>96</v>
      </c>
      <c r="K1792" t="s">
        <v>97</v>
      </c>
      <c r="M1792" t="s">
        <v>65</v>
      </c>
      <c r="N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1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b">
        <v>0</v>
      </c>
      <c r="AB1792" t="b">
        <v>1</v>
      </c>
      <c r="AC1792" t="b">
        <v>0</v>
      </c>
      <c r="AE1792" t="s">
        <v>4622</v>
      </c>
    </row>
    <row r="1793" spans="1:31" x14ac:dyDescent="0.3">
      <c r="A1793">
        <v>-73.970570452749996</v>
      </c>
      <c r="B1793">
        <v>40.77628530122</v>
      </c>
      <c r="C1793" t="s">
        <v>4623</v>
      </c>
      <c r="D1793" t="s">
        <v>52</v>
      </c>
      <c r="E1793" t="s">
        <v>38</v>
      </c>
      <c r="F1793">
        <v>10172018</v>
      </c>
      <c r="G1793">
        <v>6</v>
      </c>
      <c r="H1793" t="s">
        <v>48</v>
      </c>
      <c r="I1793" t="s">
        <v>42</v>
      </c>
      <c r="K1793" t="s">
        <v>43</v>
      </c>
      <c r="M1793" t="s">
        <v>65</v>
      </c>
      <c r="N1793" t="b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 t="b">
        <v>0</v>
      </c>
      <c r="AC1793" t="b">
        <v>0</v>
      </c>
      <c r="AE1793" t="s">
        <v>4624</v>
      </c>
    </row>
    <row r="1794" spans="1:31" x14ac:dyDescent="0.3">
      <c r="A1794">
        <v>-73.977157524930007</v>
      </c>
      <c r="B1794">
        <v>40.767387371650003</v>
      </c>
      <c r="C1794" t="s">
        <v>4625</v>
      </c>
      <c r="D1794" t="s">
        <v>879</v>
      </c>
      <c r="E1794" t="s">
        <v>38</v>
      </c>
      <c r="F1794">
        <v>10102018</v>
      </c>
      <c r="G1794">
        <v>7</v>
      </c>
      <c r="H1794" t="s">
        <v>48</v>
      </c>
      <c r="I1794" t="s">
        <v>42</v>
      </c>
      <c r="J1794" t="s">
        <v>96</v>
      </c>
      <c r="K1794" t="s">
        <v>97</v>
      </c>
      <c r="M1794" t="s">
        <v>65</v>
      </c>
      <c r="N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1</v>
      </c>
      <c r="V1794" t="b">
        <v>0</v>
      </c>
      <c r="W1794" t="b">
        <v>0</v>
      </c>
      <c r="X1794" t="b">
        <v>0</v>
      </c>
      <c r="Y1794" t="b">
        <v>0</v>
      </c>
      <c r="Z1794" t="b">
        <v>1</v>
      </c>
      <c r="AA1794" t="b">
        <v>0</v>
      </c>
      <c r="AB1794" t="b">
        <v>1</v>
      </c>
      <c r="AC1794" t="b">
        <v>0</v>
      </c>
      <c r="AE1794" t="s">
        <v>4626</v>
      </c>
    </row>
    <row r="1795" spans="1:31" x14ac:dyDescent="0.3">
      <c r="A1795">
        <v>-73.975791235049996</v>
      </c>
      <c r="B1795">
        <v>40.774759862149999</v>
      </c>
      <c r="C1795" t="s">
        <v>4627</v>
      </c>
      <c r="D1795" t="s">
        <v>462</v>
      </c>
      <c r="E1795" t="s">
        <v>38</v>
      </c>
      <c r="F1795">
        <v>10062018</v>
      </c>
      <c r="G1795">
        <v>4</v>
      </c>
      <c r="H1795" t="s">
        <v>48</v>
      </c>
      <c r="I1795" t="s">
        <v>42</v>
      </c>
      <c r="K1795" t="s">
        <v>43</v>
      </c>
      <c r="M1795" t="s">
        <v>65</v>
      </c>
      <c r="N1795" t="b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b">
        <v>0</v>
      </c>
      <c r="AB1795" t="b">
        <v>0</v>
      </c>
      <c r="AC1795" t="b">
        <v>1</v>
      </c>
      <c r="AE1795" t="s">
        <v>4628</v>
      </c>
    </row>
    <row r="1796" spans="1:31" x14ac:dyDescent="0.3">
      <c r="A1796">
        <v>-73.968004352340003</v>
      </c>
      <c r="B1796">
        <v>40.772666927830002</v>
      </c>
      <c r="C1796" t="s">
        <v>4629</v>
      </c>
      <c r="D1796" t="s">
        <v>1270</v>
      </c>
      <c r="E1796" t="s">
        <v>33</v>
      </c>
      <c r="F1796">
        <v>10122018</v>
      </c>
      <c r="G1796">
        <v>1</v>
      </c>
      <c r="H1796" t="s">
        <v>48</v>
      </c>
      <c r="I1796" t="s">
        <v>42</v>
      </c>
      <c r="K1796" t="s">
        <v>43</v>
      </c>
      <c r="M1796" t="s">
        <v>65</v>
      </c>
      <c r="N1796" t="b">
        <v>0</v>
      </c>
      <c r="P1796" t="b">
        <v>1</v>
      </c>
      <c r="Q1796" t="b">
        <v>0</v>
      </c>
      <c r="R1796" t="b">
        <v>0</v>
      </c>
      <c r="S1796" t="b">
        <v>1</v>
      </c>
      <c r="T1796" t="b">
        <v>1</v>
      </c>
      <c r="V1796" t="b">
        <v>0</v>
      </c>
      <c r="W1796" t="b">
        <v>0</v>
      </c>
      <c r="X1796" t="b">
        <v>0</v>
      </c>
      <c r="Y1796" t="b">
        <v>1</v>
      </c>
      <c r="Z1796" t="b">
        <v>1</v>
      </c>
      <c r="AA1796" t="b">
        <v>0</v>
      </c>
      <c r="AB1796" t="b">
        <v>0</v>
      </c>
      <c r="AC1796" t="b">
        <v>0</v>
      </c>
      <c r="AD1796" t="s">
        <v>4630</v>
      </c>
      <c r="AE1796" t="s">
        <v>4631</v>
      </c>
    </row>
    <row r="1797" spans="1:31" x14ac:dyDescent="0.3">
      <c r="A1797">
        <v>-73.976535539560004</v>
      </c>
      <c r="B1797">
        <v>40.773565323740002</v>
      </c>
      <c r="C1797" t="s">
        <v>4632</v>
      </c>
      <c r="D1797" t="s">
        <v>235</v>
      </c>
      <c r="E1797" t="s">
        <v>38</v>
      </c>
      <c r="F1797">
        <v>10072018</v>
      </c>
      <c r="G1797">
        <v>3</v>
      </c>
      <c r="H1797" t="s">
        <v>48</v>
      </c>
      <c r="I1797" t="s">
        <v>42</v>
      </c>
      <c r="K1797" t="s">
        <v>43</v>
      </c>
      <c r="M1797" t="s">
        <v>44</v>
      </c>
      <c r="N1797">
        <v>15</v>
      </c>
      <c r="P1797" t="b">
        <v>0</v>
      </c>
      <c r="Q1797" t="b">
        <v>0</v>
      </c>
      <c r="R1797" t="b">
        <v>1</v>
      </c>
      <c r="S1797" t="b">
        <v>0</v>
      </c>
      <c r="T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b">
        <v>0</v>
      </c>
      <c r="AB1797" t="b">
        <v>1</v>
      </c>
      <c r="AC1797" t="b">
        <v>0</v>
      </c>
      <c r="AE1797" t="s">
        <v>4633</v>
      </c>
    </row>
    <row r="1798" spans="1:31" x14ac:dyDescent="0.3">
      <c r="A1798">
        <v>-73.969717809629998</v>
      </c>
      <c r="B1798">
        <v>40.769703669629997</v>
      </c>
      <c r="C1798" t="s">
        <v>4634</v>
      </c>
      <c r="D1798" t="s">
        <v>1310</v>
      </c>
      <c r="E1798" t="s">
        <v>33</v>
      </c>
      <c r="F1798">
        <v>10132018</v>
      </c>
      <c r="G1798">
        <v>7</v>
      </c>
      <c r="H1798" t="s">
        <v>48</v>
      </c>
      <c r="I1798" t="s">
        <v>42</v>
      </c>
      <c r="J1798" t="s">
        <v>96</v>
      </c>
      <c r="K1798" t="s">
        <v>97</v>
      </c>
      <c r="M1798" t="s">
        <v>65</v>
      </c>
      <c r="N1798" t="b">
        <v>0</v>
      </c>
      <c r="O1798" t="s">
        <v>4635</v>
      </c>
      <c r="P1798" t="b">
        <v>0</v>
      </c>
      <c r="Q1798" t="b">
        <v>1</v>
      </c>
      <c r="R1798" t="b">
        <v>0</v>
      </c>
      <c r="S1798" t="b">
        <v>0</v>
      </c>
      <c r="T1798" t="b">
        <v>0</v>
      </c>
      <c r="U1798" t="s">
        <v>4636</v>
      </c>
      <c r="V1798" t="b">
        <v>0</v>
      </c>
      <c r="W1798" t="b">
        <v>0</v>
      </c>
      <c r="X1798" t="b">
        <v>0</v>
      </c>
      <c r="Y1798" t="b">
        <v>0</v>
      </c>
      <c r="Z1798" t="b">
        <v>1</v>
      </c>
      <c r="AA1798" t="b">
        <v>0</v>
      </c>
      <c r="AB1798" t="b">
        <v>0</v>
      </c>
      <c r="AC1798" t="b">
        <v>0</v>
      </c>
      <c r="AE1798" t="s">
        <v>4637</v>
      </c>
    </row>
    <row r="1799" spans="1:31" x14ac:dyDescent="0.3">
      <c r="A1799">
        <v>-73.955818095289999</v>
      </c>
      <c r="B1799">
        <v>40.78868105059</v>
      </c>
      <c r="C1799" t="s">
        <v>4638</v>
      </c>
      <c r="D1799" t="s">
        <v>1874</v>
      </c>
      <c r="E1799" t="s">
        <v>33</v>
      </c>
      <c r="F1799">
        <v>10192018</v>
      </c>
      <c r="G1799">
        <v>3</v>
      </c>
      <c r="H1799" t="s">
        <v>48</v>
      </c>
      <c r="I1799" t="s">
        <v>42</v>
      </c>
      <c r="J1799" t="s">
        <v>53</v>
      </c>
      <c r="K1799" t="s">
        <v>54</v>
      </c>
      <c r="M1799" t="s">
        <v>65</v>
      </c>
      <c r="N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1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b">
        <v>0</v>
      </c>
      <c r="AB1799" t="b">
        <v>0</v>
      </c>
      <c r="AC1799" t="b">
        <v>1</v>
      </c>
      <c r="AE1799" t="s">
        <v>4639</v>
      </c>
    </row>
    <row r="1800" spans="1:31" x14ac:dyDescent="0.3">
      <c r="A1800">
        <v>-73.978844141970001</v>
      </c>
      <c r="B1800">
        <v>40.769604607440002</v>
      </c>
      <c r="C1800" t="s">
        <v>4640</v>
      </c>
      <c r="D1800" t="s">
        <v>886</v>
      </c>
      <c r="E1800" t="s">
        <v>38</v>
      </c>
      <c r="F1800">
        <v>10102018</v>
      </c>
      <c r="G1800">
        <v>5</v>
      </c>
      <c r="H1800" t="s">
        <v>48</v>
      </c>
      <c r="I1800" t="s">
        <v>53</v>
      </c>
      <c r="J1800" t="s">
        <v>42</v>
      </c>
      <c r="K1800" t="s">
        <v>89</v>
      </c>
      <c r="M1800" t="s">
        <v>44</v>
      </c>
      <c r="N1800">
        <v>10</v>
      </c>
      <c r="P1800" t="b">
        <v>0</v>
      </c>
      <c r="Q1800" t="b">
        <v>1</v>
      </c>
      <c r="R1800" t="b">
        <v>0</v>
      </c>
      <c r="S1800" t="b">
        <v>0</v>
      </c>
      <c r="T1800" t="b">
        <v>0</v>
      </c>
      <c r="U1800" t="s">
        <v>4641</v>
      </c>
      <c r="V1800" t="b">
        <v>1</v>
      </c>
      <c r="W1800" t="b">
        <v>1</v>
      </c>
      <c r="X1800" t="b">
        <v>0</v>
      </c>
      <c r="Y1800" t="b">
        <v>0</v>
      </c>
      <c r="Z1800" t="b">
        <v>1</v>
      </c>
      <c r="AA1800" t="b">
        <v>0</v>
      </c>
      <c r="AB1800" t="b">
        <v>0</v>
      </c>
      <c r="AC1800" t="b">
        <v>0</v>
      </c>
      <c r="AE1800" t="s">
        <v>4642</v>
      </c>
    </row>
    <row r="1801" spans="1:31" x14ac:dyDescent="0.3">
      <c r="A1801">
        <v>-73.970962498389994</v>
      </c>
      <c r="B1801">
        <v>40.776689904089999</v>
      </c>
      <c r="C1801" t="s">
        <v>4643</v>
      </c>
      <c r="D1801" t="s">
        <v>729</v>
      </c>
      <c r="E1801" t="s">
        <v>38</v>
      </c>
      <c r="F1801">
        <v>10142018</v>
      </c>
      <c r="G1801">
        <v>5</v>
      </c>
      <c r="H1801" t="s">
        <v>48</v>
      </c>
      <c r="I1801" t="s">
        <v>42</v>
      </c>
      <c r="J1801" t="s">
        <v>96</v>
      </c>
      <c r="K1801" t="s">
        <v>97</v>
      </c>
      <c r="M1801" t="s">
        <v>65</v>
      </c>
      <c r="N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1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b">
        <v>0</v>
      </c>
      <c r="AB1801" t="b">
        <v>1</v>
      </c>
      <c r="AC1801" t="b">
        <v>0</v>
      </c>
      <c r="AE1801" t="s">
        <v>4644</v>
      </c>
    </row>
    <row r="1802" spans="1:31" x14ac:dyDescent="0.3">
      <c r="A1802">
        <v>-73.958707237349998</v>
      </c>
      <c r="B1802">
        <v>40.79852095799</v>
      </c>
      <c r="C1802" t="s">
        <v>4645</v>
      </c>
      <c r="D1802" t="s">
        <v>212</v>
      </c>
      <c r="E1802" t="s">
        <v>38</v>
      </c>
      <c r="F1802">
        <v>10192018</v>
      </c>
      <c r="G1802">
        <v>1</v>
      </c>
      <c r="H1802" t="s">
        <v>48</v>
      </c>
      <c r="I1802" t="s">
        <v>42</v>
      </c>
      <c r="J1802" t="s">
        <v>59</v>
      </c>
      <c r="K1802" t="s">
        <v>79</v>
      </c>
      <c r="M1802" t="s">
        <v>65</v>
      </c>
      <c r="N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1</v>
      </c>
      <c r="V1802" t="b">
        <v>0</v>
      </c>
      <c r="W1802" t="b">
        <v>0</v>
      </c>
      <c r="X1802" t="b">
        <v>0</v>
      </c>
      <c r="Y1802" t="b">
        <v>0</v>
      </c>
      <c r="Z1802" t="b">
        <v>1</v>
      </c>
      <c r="AA1802" t="b">
        <v>0</v>
      </c>
      <c r="AB1802" t="b">
        <v>1</v>
      </c>
      <c r="AC1802" t="b">
        <v>0</v>
      </c>
      <c r="AE1802" t="s">
        <v>4646</v>
      </c>
    </row>
    <row r="1803" spans="1:31" x14ac:dyDescent="0.3">
      <c r="A1803">
        <v>-73.973641808569994</v>
      </c>
      <c r="B1803">
        <v>40.771693112770002</v>
      </c>
      <c r="C1803" t="s">
        <v>4647</v>
      </c>
      <c r="D1803" t="s">
        <v>1206</v>
      </c>
      <c r="E1803" t="s">
        <v>33</v>
      </c>
      <c r="F1803">
        <v>10082018</v>
      </c>
      <c r="G1803">
        <v>4</v>
      </c>
      <c r="H1803" t="s">
        <v>48</v>
      </c>
      <c r="I1803" t="s">
        <v>42</v>
      </c>
      <c r="J1803" t="s">
        <v>59</v>
      </c>
      <c r="K1803" t="s">
        <v>79</v>
      </c>
      <c r="M1803" t="s">
        <v>65</v>
      </c>
      <c r="N1803" t="b">
        <v>0</v>
      </c>
      <c r="O1803" t="s">
        <v>4648</v>
      </c>
      <c r="P1803" t="b">
        <v>0</v>
      </c>
      <c r="Q1803" t="b">
        <v>0</v>
      </c>
      <c r="R1803" t="b">
        <v>0</v>
      </c>
      <c r="S1803" t="b">
        <v>1</v>
      </c>
      <c r="T1803" t="b">
        <v>1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b">
        <v>0</v>
      </c>
      <c r="AB1803" t="b">
        <v>1</v>
      </c>
      <c r="AC1803" t="b">
        <v>0</v>
      </c>
      <c r="AD1803" t="s">
        <v>4649</v>
      </c>
      <c r="AE1803" t="s">
        <v>4650</v>
      </c>
    </row>
    <row r="1804" spans="1:31" x14ac:dyDescent="0.3">
      <c r="A1804">
        <v>-73.958807680470002</v>
      </c>
      <c r="B1804">
        <v>40.791294260729998</v>
      </c>
      <c r="C1804" t="s">
        <v>4651</v>
      </c>
      <c r="D1804" t="s">
        <v>1211</v>
      </c>
      <c r="E1804" t="s">
        <v>38</v>
      </c>
      <c r="F1804">
        <v>10142018</v>
      </c>
      <c r="G1804">
        <v>6</v>
      </c>
      <c r="H1804" t="s">
        <v>48</v>
      </c>
      <c r="I1804" t="s">
        <v>42</v>
      </c>
      <c r="J1804" t="s">
        <v>59</v>
      </c>
      <c r="K1804" t="s">
        <v>79</v>
      </c>
      <c r="M1804" t="s">
        <v>65</v>
      </c>
      <c r="N1804" t="b">
        <v>0</v>
      </c>
      <c r="P1804" t="b">
        <v>0</v>
      </c>
      <c r="Q1804" t="b">
        <v>0</v>
      </c>
      <c r="R1804" t="b">
        <v>1</v>
      </c>
      <c r="S1804" t="b">
        <v>0</v>
      </c>
      <c r="T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b">
        <v>0</v>
      </c>
      <c r="AB1804" t="b">
        <v>0</v>
      </c>
      <c r="AC1804" t="b">
        <v>1</v>
      </c>
      <c r="AE1804" t="s">
        <v>4652</v>
      </c>
    </row>
    <row r="1805" spans="1:31" x14ac:dyDescent="0.3">
      <c r="A1805">
        <v>-73.980777106429997</v>
      </c>
      <c r="B1805">
        <v>40.768163572630002</v>
      </c>
      <c r="C1805" t="s">
        <v>4653</v>
      </c>
      <c r="D1805" t="s">
        <v>1775</v>
      </c>
      <c r="E1805" t="s">
        <v>38</v>
      </c>
      <c r="F1805">
        <v>10072018</v>
      </c>
      <c r="G1805">
        <v>2</v>
      </c>
      <c r="H1805" t="s">
        <v>48</v>
      </c>
      <c r="I1805" t="s">
        <v>42</v>
      </c>
      <c r="J1805" t="s">
        <v>59</v>
      </c>
      <c r="K1805" t="s">
        <v>79</v>
      </c>
      <c r="M1805" t="s">
        <v>44</v>
      </c>
      <c r="N1805">
        <v>11</v>
      </c>
      <c r="P1805" t="b">
        <v>0</v>
      </c>
      <c r="Q1805" t="b">
        <v>0</v>
      </c>
      <c r="R1805" t="b">
        <v>1</v>
      </c>
      <c r="S1805" t="b">
        <v>0</v>
      </c>
      <c r="T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1</v>
      </c>
      <c r="AA1805" t="b">
        <v>0</v>
      </c>
      <c r="AB1805" t="b">
        <v>1</v>
      </c>
      <c r="AC1805" t="b">
        <v>0</v>
      </c>
      <c r="AE1805" t="s">
        <v>4654</v>
      </c>
    </row>
    <row r="1806" spans="1:31" x14ac:dyDescent="0.3">
      <c r="A1806">
        <v>-73.968662200970002</v>
      </c>
      <c r="B1806">
        <v>40.776729438049998</v>
      </c>
      <c r="C1806" t="s">
        <v>4655</v>
      </c>
      <c r="D1806" t="s">
        <v>232</v>
      </c>
      <c r="E1806" t="s">
        <v>33</v>
      </c>
      <c r="F1806">
        <v>10102018</v>
      </c>
      <c r="G1806">
        <v>2</v>
      </c>
      <c r="H1806" t="s">
        <v>48</v>
      </c>
      <c r="I1806" t="s">
        <v>42</v>
      </c>
      <c r="K1806" t="s">
        <v>43</v>
      </c>
      <c r="M1806" t="s">
        <v>65</v>
      </c>
      <c r="N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1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b">
        <v>0</v>
      </c>
      <c r="AB1806" t="b">
        <v>1</v>
      </c>
      <c r="AC1806" t="b">
        <v>0</v>
      </c>
      <c r="AE1806" t="s">
        <v>4656</v>
      </c>
    </row>
    <row r="1807" spans="1:31" x14ac:dyDescent="0.3">
      <c r="A1807">
        <v>-73.959032852709996</v>
      </c>
      <c r="B1807">
        <v>40.791221441760001</v>
      </c>
      <c r="C1807" t="s">
        <v>4657</v>
      </c>
      <c r="D1807" t="s">
        <v>1211</v>
      </c>
      <c r="E1807" t="s">
        <v>33</v>
      </c>
      <c r="F1807">
        <v>10122018</v>
      </c>
      <c r="G1807">
        <v>6</v>
      </c>
      <c r="H1807" t="s">
        <v>48</v>
      </c>
      <c r="I1807" t="s">
        <v>42</v>
      </c>
      <c r="J1807" t="s">
        <v>59</v>
      </c>
      <c r="K1807" t="s">
        <v>79</v>
      </c>
      <c r="M1807" t="s">
        <v>65</v>
      </c>
      <c r="N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s">
        <v>1367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 t="b">
        <v>0</v>
      </c>
      <c r="AC1807" t="b">
        <v>0</v>
      </c>
      <c r="AE1807" t="s">
        <v>4658</v>
      </c>
    </row>
    <row r="1808" spans="1:31" x14ac:dyDescent="0.3">
      <c r="A1808">
        <v>-73.965750464359999</v>
      </c>
      <c r="B1808">
        <v>40.783121081360001</v>
      </c>
      <c r="C1808" t="s">
        <v>4659</v>
      </c>
      <c r="D1808" t="s">
        <v>736</v>
      </c>
      <c r="E1808" t="s">
        <v>33</v>
      </c>
      <c r="F1808">
        <v>10122018</v>
      </c>
      <c r="G1808">
        <v>2</v>
      </c>
      <c r="H1808" t="s">
        <v>48</v>
      </c>
      <c r="I1808" t="s">
        <v>42</v>
      </c>
      <c r="J1808" t="s">
        <v>737</v>
      </c>
      <c r="K1808" t="s">
        <v>738</v>
      </c>
      <c r="L1808" t="s">
        <v>4660</v>
      </c>
      <c r="M1808" t="s">
        <v>65</v>
      </c>
      <c r="N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1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b">
        <v>0</v>
      </c>
      <c r="AB1808" t="b">
        <v>1</v>
      </c>
      <c r="AC1808" t="b">
        <v>0</v>
      </c>
      <c r="AE1808" t="s">
        <v>4661</v>
      </c>
    </row>
    <row r="1809" spans="1:31" x14ac:dyDescent="0.3">
      <c r="A1809">
        <v>-73.958136621489999</v>
      </c>
      <c r="B1809">
        <v>40.79889640927</v>
      </c>
      <c r="C1809" t="s">
        <v>4662</v>
      </c>
      <c r="D1809" t="s">
        <v>212</v>
      </c>
      <c r="E1809" t="s">
        <v>33</v>
      </c>
      <c r="F1809">
        <v>10142018</v>
      </c>
      <c r="G1809">
        <v>2</v>
      </c>
      <c r="H1809" t="s">
        <v>48</v>
      </c>
      <c r="I1809" t="s">
        <v>42</v>
      </c>
      <c r="K1809" t="s">
        <v>43</v>
      </c>
      <c r="M1809" t="s">
        <v>44</v>
      </c>
      <c r="N1809">
        <v>20</v>
      </c>
      <c r="P1809" t="b">
        <v>0</v>
      </c>
      <c r="Q1809" t="b">
        <v>0</v>
      </c>
      <c r="R1809" t="b">
        <v>1</v>
      </c>
      <c r="S1809" t="b">
        <v>0</v>
      </c>
      <c r="T1809" t="b">
        <v>0</v>
      </c>
      <c r="V1809" t="b">
        <v>1</v>
      </c>
      <c r="W1809" t="b">
        <v>1</v>
      </c>
      <c r="X1809" t="b">
        <v>0</v>
      </c>
      <c r="Y1809" t="b">
        <v>0</v>
      </c>
      <c r="Z1809" t="b">
        <v>0</v>
      </c>
      <c r="AA1809" t="b">
        <v>0</v>
      </c>
      <c r="AB1809" t="b">
        <v>0</v>
      </c>
      <c r="AC1809" t="b">
        <v>1</v>
      </c>
      <c r="AE1809" t="s">
        <v>4663</v>
      </c>
    </row>
    <row r="1810" spans="1:31" x14ac:dyDescent="0.3">
      <c r="A1810">
        <v>-73.969887064700004</v>
      </c>
      <c r="B1810">
        <v>40.782651098549998</v>
      </c>
      <c r="C1810" t="s">
        <v>4664</v>
      </c>
      <c r="D1810" t="s">
        <v>78</v>
      </c>
      <c r="E1810" t="s">
        <v>38</v>
      </c>
      <c r="F1810">
        <v>10072018</v>
      </c>
      <c r="G1810">
        <v>2</v>
      </c>
      <c r="H1810" t="s">
        <v>48</v>
      </c>
      <c r="I1810" t="s">
        <v>53</v>
      </c>
      <c r="J1810" t="s">
        <v>42</v>
      </c>
      <c r="K1810" t="s">
        <v>89</v>
      </c>
      <c r="M1810" t="s">
        <v>65</v>
      </c>
      <c r="N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1</v>
      </c>
      <c r="V1810" t="b">
        <v>0</v>
      </c>
      <c r="W1810" t="b">
        <v>0</v>
      </c>
      <c r="X1810" t="b">
        <v>0</v>
      </c>
      <c r="Y1810" t="b">
        <v>1</v>
      </c>
      <c r="Z1810" t="b">
        <v>1</v>
      </c>
      <c r="AA1810" t="b">
        <v>1</v>
      </c>
      <c r="AB1810" t="b">
        <v>0</v>
      </c>
      <c r="AC1810" t="b">
        <v>0</v>
      </c>
      <c r="AE1810" t="s">
        <v>4665</v>
      </c>
    </row>
    <row r="1811" spans="1:31" x14ac:dyDescent="0.3">
      <c r="A1811">
        <v>-73.969016867380006</v>
      </c>
      <c r="B1811">
        <v>40.777761204390004</v>
      </c>
      <c r="C1811" t="s">
        <v>4666</v>
      </c>
      <c r="D1811" t="s">
        <v>130</v>
      </c>
      <c r="E1811" t="s">
        <v>38</v>
      </c>
      <c r="F1811">
        <v>10132018</v>
      </c>
      <c r="G1811">
        <v>4</v>
      </c>
      <c r="H1811" t="s">
        <v>48</v>
      </c>
      <c r="I1811" t="s">
        <v>42</v>
      </c>
      <c r="J1811" t="s">
        <v>53</v>
      </c>
      <c r="K1811" t="s">
        <v>54</v>
      </c>
      <c r="M1811" t="s">
        <v>65</v>
      </c>
      <c r="N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1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b">
        <v>0</v>
      </c>
      <c r="AB1811" t="b">
        <v>0</v>
      </c>
      <c r="AC1811" t="b">
        <v>1</v>
      </c>
      <c r="AE1811" t="s">
        <v>4667</v>
      </c>
    </row>
    <row r="1812" spans="1:31" x14ac:dyDescent="0.3">
      <c r="A1812">
        <v>-73.957950626339994</v>
      </c>
      <c r="B1812">
        <v>40.793697355600003</v>
      </c>
      <c r="C1812" t="s">
        <v>4668</v>
      </c>
      <c r="D1812" t="s">
        <v>483</v>
      </c>
      <c r="E1812" t="s">
        <v>38</v>
      </c>
      <c r="F1812">
        <v>10202018</v>
      </c>
      <c r="G1812">
        <v>1</v>
      </c>
      <c r="H1812" t="s">
        <v>48</v>
      </c>
      <c r="I1812" t="s">
        <v>42</v>
      </c>
      <c r="J1812" t="s">
        <v>96</v>
      </c>
      <c r="K1812" t="s">
        <v>97</v>
      </c>
      <c r="M1812" t="s">
        <v>65</v>
      </c>
      <c r="N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1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b">
        <v>0</v>
      </c>
      <c r="AB1812" t="b">
        <v>1</v>
      </c>
      <c r="AC1812" t="b">
        <v>0</v>
      </c>
      <c r="AE1812" t="s">
        <v>4669</v>
      </c>
    </row>
    <row r="1813" spans="1:31" x14ac:dyDescent="0.3">
      <c r="A1813">
        <v>-73.978808816539996</v>
      </c>
      <c r="B1813">
        <v>40.769015302589999</v>
      </c>
      <c r="C1813" t="s">
        <v>4670</v>
      </c>
      <c r="D1813" t="s">
        <v>455</v>
      </c>
      <c r="E1813" t="s">
        <v>38</v>
      </c>
      <c r="F1813">
        <v>10102018</v>
      </c>
      <c r="G1813">
        <v>4</v>
      </c>
      <c r="H1813" t="s">
        <v>105</v>
      </c>
      <c r="I1813" t="s">
        <v>42</v>
      </c>
      <c r="K1813" t="s">
        <v>43</v>
      </c>
      <c r="M1813" t="s">
        <v>65</v>
      </c>
      <c r="N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1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b">
        <v>0</v>
      </c>
      <c r="AB1813" t="b">
        <v>1</v>
      </c>
      <c r="AC1813" t="b">
        <v>0</v>
      </c>
      <c r="AE1813" t="s">
        <v>4671</v>
      </c>
    </row>
    <row r="1814" spans="1:31" x14ac:dyDescent="0.3">
      <c r="A1814">
        <v>-73.959007402490002</v>
      </c>
      <c r="B1814">
        <v>40.790705942469998</v>
      </c>
      <c r="C1814" t="s">
        <v>4672</v>
      </c>
      <c r="D1814" t="s">
        <v>47</v>
      </c>
      <c r="E1814" t="s">
        <v>33</v>
      </c>
      <c r="F1814">
        <v>10172018</v>
      </c>
      <c r="G1814">
        <v>5</v>
      </c>
      <c r="H1814" t="s">
        <v>48</v>
      </c>
      <c r="I1814" t="s">
        <v>42</v>
      </c>
      <c r="K1814" t="s">
        <v>43</v>
      </c>
      <c r="M1814" t="s">
        <v>65</v>
      </c>
      <c r="N1814" t="b">
        <v>0</v>
      </c>
      <c r="O1814" t="s">
        <v>815</v>
      </c>
      <c r="P1814" t="b">
        <v>0</v>
      </c>
      <c r="Q1814" t="b">
        <v>0</v>
      </c>
      <c r="R1814" t="b">
        <v>0</v>
      </c>
      <c r="S1814" t="b">
        <v>1</v>
      </c>
      <c r="T1814" t="b">
        <v>1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b">
        <v>0</v>
      </c>
      <c r="AB1814" t="b">
        <v>0</v>
      </c>
      <c r="AC1814" t="b">
        <v>1</v>
      </c>
      <c r="AE1814" t="s">
        <v>4673</v>
      </c>
    </row>
    <row r="1815" spans="1:31" x14ac:dyDescent="0.3">
      <c r="A1815">
        <v>-73.970698822640003</v>
      </c>
      <c r="B1815">
        <v>40.769668456689999</v>
      </c>
      <c r="C1815" t="s">
        <v>4674</v>
      </c>
      <c r="D1815" t="s">
        <v>92</v>
      </c>
      <c r="E1815" t="s">
        <v>38</v>
      </c>
      <c r="F1815">
        <v>10062018</v>
      </c>
      <c r="G1815">
        <v>16</v>
      </c>
      <c r="H1815" t="s">
        <v>48</v>
      </c>
      <c r="I1815" t="s">
        <v>42</v>
      </c>
      <c r="J1815" t="s">
        <v>53</v>
      </c>
      <c r="K1815" t="s">
        <v>54</v>
      </c>
      <c r="M1815" t="s">
        <v>65</v>
      </c>
      <c r="N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1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b">
        <v>0</v>
      </c>
      <c r="AB1815" t="b">
        <v>1</v>
      </c>
      <c r="AC1815" t="b">
        <v>0</v>
      </c>
      <c r="AE1815" t="s">
        <v>4675</v>
      </c>
    </row>
    <row r="1816" spans="1:31" x14ac:dyDescent="0.3">
      <c r="A1816">
        <v>-73.972235940120001</v>
      </c>
      <c r="B1816">
        <v>40.770289147459998</v>
      </c>
      <c r="C1816" t="s">
        <v>4676</v>
      </c>
      <c r="D1816" t="s">
        <v>402</v>
      </c>
      <c r="E1816" t="s">
        <v>38</v>
      </c>
      <c r="F1816">
        <v>10102018</v>
      </c>
      <c r="G1816">
        <v>7</v>
      </c>
      <c r="H1816" t="s">
        <v>48</v>
      </c>
      <c r="I1816" t="s">
        <v>42</v>
      </c>
      <c r="J1816" t="s">
        <v>59</v>
      </c>
      <c r="K1816" t="s">
        <v>79</v>
      </c>
      <c r="M1816" t="s">
        <v>65</v>
      </c>
      <c r="N1816" t="b">
        <v>0</v>
      </c>
      <c r="P1816" t="b">
        <v>0</v>
      </c>
      <c r="Q1816" t="b">
        <v>0</v>
      </c>
      <c r="R1816" t="b">
        <v>0</v>
      </c>
      <c r="S1816" t="b">
        <v>1</v>
      </c>
      <c r="T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b">
        <v>0</v>
      </c>
      <c r="AB1816" t="b">
        <v>0</v>
      </c>
      <c r="AC1816" t="b">
        <v>1</v>
      </c>
      <c r="AE1816" t="s">
        <v>4677</v>
      </c>
    </row>
    <row r="1817" spans="1:31" x14ac:dyDescent="0.3">
      <c r="A1817">
        <v>-73.960326825530004</v>
      </c>
      <c r="B1817">
        <v>40.790015450509998</v>
      </c>
      <c r="C1817" t="s">
        <v>4678</v>
      </c>
      <c r="D1817" t="s">
        <v>1407</v>
      </c>
      <c r="E1817" t="s">
        <v>33</v>
      </c>
      <c r="F1817">
        <v>10062018</v>
      </c>
      <c r="G1817">
        <v>6</v>
      </c>
      <c r="H1817" t="s">
        <v>48</v>
      </c>
      <c r="I1817" t="s">
        <v>42</v>
      </c>
      <c r="J1817" t="s">
        <v>53</v>
      </c>
      <c r="K1817" t="s">
        <v>54</v>
      </c>
      <c r="M1817" t="s">
        <v>65</v>
      </c>
      <c r="N1817" t="b">
        <v>0</v>
      </c>
      <c r="P1817" t="b">
        <v>0</v>
      </c>
      <c r="Q1817" t="b">
        <v>1</v>
      </c>
      <c r="R1817" t="b">
        <v>0</v>
      </c>
      <c r="S1817" t="b">
        <v>0</v>
      </c>
      <c r="T1817" t="b">
        <v>0</v>
      </c>
      <c r="V1817" t="b">
        <v>0</v>
      </c>
      <c r="W1817" t="b">
        <v>0</v>
      </c>
      <c r="X1817" t="b">
        <v>0</v>
      </c>
      <c r="Y1817" t="b">
        <v>1</v>
      </c>
      <c r="Z1817" t="b">
        <v>0</v>
      </c>
      <c r="AA1817" t="b">
        <v>0</v>
      </c>
      <c r="AB1817" t="b">
        <v>1</v>
      </c>
      <c r="AC1817" t="b">
        <v>0</v>
      </c>
      <c r="AE1817" t="s">
        <v>4679</v>
      </c>
    </row>
    <row r="1818" spans="1:31" x14ac:dyDescent="0.3">
      <c r="A1818">
        <v>-73.971018750530007</v>
      </c>
      <c r="B1818">
        <v>40.77972656667</v>
      </c>
      <c r="C1818" t="s">
        <v>4680</v>
      </c>
      <c r="D1818" t="s">
        <v>2418</v>
      </c>
      <c r="E1818" t="s">
        <v>38</v>
      </c>
      <c r="F1818">
        <v>10102018</v>
      </c>
      <c r="G1818">
        <v>2</v>
      </c>
      <c r="H1818" t="s">
        <v>48</v>
      </c>
      <c r="I1818" t="s">
        <v>53</v>
      </c>
      <c r="J1818" t="s">
        <v>42</v>
      </c>
      <c r="K1818" t="s">
        <v>89</v>
      </c>
      <c r="M1818" t="s">
        <v>65</v>
      </c>
      <c r="N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1</v>
      </c>
      <c r="V1818" t="b">
        <v>0</v>
      </c>
      <c r="W1818" t="b">
        <v>0</v>
      </c>
      <c r="X1818" t="b">
        <v>0</v>
      </c>
      <c r="Y1818" t="b">
        <v>0</v>
      </c>
      <c r="Z1818" t="b">
        <v>1</v>
      </c>
      <c r="AA1818" t="b">
        <v>0</v>
      </c>
      <c r="AB1818" t="b">
        <v>1</v>
      </c>
      <c r="AC1818" t="b">
        <v>0</v>
      </c>
      <c r="AE1818" t="s">
        <v>4681</v>
      </c>
    </row>
    <row r="1819" spans="1:31" x14ac:dyDescent="0.3">
      <c r="A1819">
        <v>-73.970307645079998</v>
      </c>
      <c r="B1819">
        <v>40.770158422629997</v>
      </c>
      <c r="C1819" t="s">
        <v>4682</v>
      </c>
      <c r="D1819" t="s">
        <v>183</v>
      </c>
      <c r="E1819" t="s">
        <v>33</v>
      </c>
      <c r="F1819">
        <v>10142018</v>
      </c>
      <c r="G1819">
        <v>7</v>
      </c>
      <c r="H1819" t="s">
        <v>48</v>
      </c>
      <c r="I1819" t="s">
        <v>42</v>
      </c>
      <c r="K1819" t="s">
        <v>43</v>
      </c>
      <c r="M1819" t="s">
        <v>44</v>
      </c>
      <c r="N1819">
        <v>5</v>
      </c>
      <c r="P1819" t="b">
        <v>0</v>
      </c>
      <c r="Q1819" t="b">
        <v>1</v>
      </c>
      <c r="R1819" t="b">
        <v>0</v>
      </c>
      <c r="S1819" t="b">
        <v>0</v>
      </c>
      <c r="T1819" t="b">
        <v>0</v>
      </c>
      <c r="U1819" t="s">
        <v>4683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b">
        <v>0</v>
      </c>
      <c r="AB1819" t="b">
        <v>1</v>
      </c>
      <c r="AC1819" t="b">
        <v>0</v>
      </c>
      <c r="AE1819" t="s">
        <v>4684</v>
      </c>
    </row>
    <row r="1820" spans="1:31" x14ac:dyDescent="0.3">
      <c r="A1820">
        <v>-73.956863563379997</v>
      </c>
      <c r="B1820">
        <v>40.798641885110001</v>
      </c>
      <c r="C1820" t="s">
        <v>4685</v>
      </c>
      <c r="D1820" t="s">
        <v>1130</v>
      </c>
      <c r="E1820" t="s">
        <v>38</v>
      </c>
      <c r="F1820">
        <v>10172018</v>
      </c>
      <c r="G1820">
        <v>1</v>
      </c>
      <c r="H1820" t="s">
        <v>48</v>
      </c>
      <c r="I1820" t="s">
        <v>42</v>
      </c>
      <c r="K1820" t="s">
        <v>43</v>
      </c>
      <c r="M1820" t="s">
        <v>65</v>
      </c>
      <c r="N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1</v>
      </c>
      <c r="V1820" t="b">
        <v>0</v>
      </c>
      <c r="W1820" t="b">
        <v>0</v>
      </c>
      <c r="X1820" t="b">
        <v>0</v>
      </c>
      <c r="Y1820" t="b">
        <v>1</v>
      </c>
      <c r="Z1820" t="b">
        <v>0</v>
      </c>
      <c r="AA1820" t="b">
        <v>0</v>
      </c>
      <c r="AB1820" t="b">
        <v>1</v>
      </c>
      <c r="AC1820" t="b">
        <v>0</v>
      </c>
      <c r="AE1820" t="s">
        <v>4686</v>
      </c>
    </row>
    <row r="1821" spans="1:31" x14ac:dyDescent="0.3">
      <c r="A1821">
        <v>-73.971137890570006</v>
      </c>
      <c r="B1821">
        <v>40.769621834630001</v>
      </c>
      <c r="C1821" t="s">
        <v>4687</v>
      </c>
      <c r="D1821" t="s">
        <v>92</v>
      </c>
      <c r="E1821" t="s">
        <v>38</v>
      </c>
      <c r="F1821">
        <v>10062018</v>
      </c>
      <c r="G1821">
        <v>3</v>
      </c>
      <c r="H1821" t="s">
        <v>48</v>
      </c>
      <c r="I1821" t="s">
        <v>42</v>
      </c>
      <c r="K1821" t="s">
        <v>43</v>
      </c>
      <c r="M1821" t="s">
        <v>65</v>
      </c>
      <c r="N1821" t="b">
        <v>0</v>
      </c>
      <c r="O1821" t="s">
        <v>4688</v>
      </c>
      <c r="P1821" t="b">
        <v>0</v>
      </c>
      <c r="Q1821" t="b">
        <v>0</v>
      </c>
      <c r="R1821" t="b">
        <v>0</v>
      </c>
      <c r="S1821" t="b">
        <v>0</v>
      </c>
      <c r="T1821" t="b">
        <v>1</v>
      </c>
      <c r="V1821" t="b">
        <v>0</v>
      </c>
      <c r="W1821" t="b">
        <v>0</v>
      </c>
      <c r="X1821" t="b">
        <v>0</v>
      </c>
      <c r="Y1821" t="b">
        <v>0</v>
      </c>
      <c r="Z1821" t="b">
        <v>1</v>
      </c>
      <c r="AA1821" t="b">
        <v>0</v>
      </c>
      <c r="AB1821" t="b">
        <v>1</v>
      </c>
      <c r="AC1821" t="b">
        <v>0</v>
      </c>
      <c r="AE1821" t="s">
        <v>4689</v>
      </c>
    </row>
    <row r="1822" spans="1:31" x14ac:dyDescent="0.3">
      <c r="A1822">
        <v>-73.95463374469</v>
      </c>
      <c r="B1822">
        <v>40.789877257960001</v>
      </c>
      <c r="C1822" t="s">
        <v>4690</v>
      </c>
      <c r="D1822" t="s">
        <v>921</v>
      </c>
      <c r="E1822" t="s">
        <v>33</v>
      </c>
      <c r="F1822">
        <v>10062018</v>
      </c>
      <c r="G1822">
        <v>8</v>
      </c>
      <c r="H1822" t="s">
        <v>48</v>
      </c>
      <c r="I1822" t="s">
        <v>42</v>
      </c>
      <c r="K1822" t="s">
        <v>43</v>
      </c>
      <c r="M1822" t="s">
        <v>44</v>
      </c>
      <c r="N1822">
        <v>6</v>
      </c>
      <c r="P1822" t="b">
        <v>0</v>
      </c>
      <c r="Q1822" t="b">
        <v>0</v>
      </c>
      <c r="R1822" t="b">
        <v>1</v>
      </c>
      <c r="S1822" t="b">
        <v>0</v>
      </c>
      <c r="T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1</v>
      </c>
      <c r="AA1822" t="b">
        <v>0</v>
      </c>
      <c r="AB1822" t="b">
        <v>1</v>
      </c>
      <c r="AC1822" t="b">
        <v>0</v>
      </c>
      <c r="AE1822" t="s">
        <v>4691</v>
      </c>
    </row>
    <row r="1823" spans="1:31" x14ac:dyDescent="0.3">
      <c r="A1823">
        <v>-73.967631406850003</v>
      </c>
      <c r="B1823">
        <v>40.778803040690001</v>
      </c>
      <c r="C1823" t="s">
        <v>4692</v>
      </c>
      <c r="D1823" t="s">
        <v>200</v>
      </c>
      <c r="E1823" t="s">
        <v>38</v>
      </c>
      <c r="F1823">
        <v>10172018</v>
      </c>
      <c r="G1823">
        <v>8</v>
      </c>
      <c r="H1823" t="s">
        <v>48</v>
      </c>
      <c r="I1823" t="s">
        <v>42</v>
      </c>
      <c r="K1823" t="s">
        <v>43</v>
      </c>
      <c r="M1823" t="s">
        <v>65</v>
      </c>
      <c r="N1823" t="b">
        <v>0</v>
      </c>
      <c r="P1823" t="b">
        <v>0</v>
      </c>
      <c r="Q1823" t="b">
        <v>1</v>
      </c>
      <c r="R1823" t="b">
        <v>0</v>
      </c>
      <c r="S1823" t="b">
        <v>0</v>
      </c>
      <c r="T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b">
        <v>0</v>
      </c>
      <c r="AB1823" t="b">
        <v>1</v>
      </c>
      <c r="AC1823" t="b">
        <v>0</v>
      </c>
      <c r="AE1823" t="s">
        <v>4693</v>
      </c>
    </row>
    <row r="1824" spans="1:31" x14ac:dyDescent="0.3">
      <c r="A1824">
        <v>-73.977509929090004</v>
      </c>
      <c r="B1824">
        <v>40.769760906309997</v>
      </c>
      <c r="C1824" t="s">
        <v>4694</v>
      </c>
      <c r="D1824" t="s">
        <v>1581</v>
      </c>
      <c r="E1824" t="s">
        <v>33</v>
      </c>
      <c r="F1824">
        <v>10102018</v>
      </c>
      <c r="G1824">
        <v>14</v>
      </c>
      <c r="H1824" t="s">
        <v>105</v>
      </c>
      <c r="I1824" t="s">
        <v>53</v>
      </c>
      <c r="J1824" t="s">
        <v>42</v>
      </c>
      <c r="K1824" t="s">
        <v>89</v>
      </c>
      <c r="M1824" t="s">
        <v>65</v>
      </c>
      <c r="N1824" t="b">
        <v>0</v>
      </c>
      <c r="P1824" t="b">
        <v>1</v>
      </c>
      <c r="Q1824" t="b">
        <v>1</v>
      </c>
      <c r="R1824" t="b">
        <v>0</v>
      </c>
      <c r="S1824" t="b">
        <v>0</v>
      </c>
      <c r="T1824" t="b">
        <v>0</v>
      </c>
      <c r="U1824" t="s">
        <v>4695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b">
        <v>0</v>
      </c>
      <c r="AB1824" t="b">
        <v>0</v>
      </c>
      <c r="AC1824" t="b">
        <v>0</v>
      </c>
      <c r="AE1824" t="s">
        <v>4696</v>
      </c>
    </row>
    <row r="1825" spans="1:31" x14ac:dyDescent="0.3">
      <c r="A1825">
        <v>-73.961285450610006</v>
      </c>
      <c r="B1825">
        <v>40.792083067359997</v>
      </c>
      <c r="C1825" t="s">
        <v>4697</v>
      </c>
      <c r="D1825" t="s">
        <v>607</v>
      </c>
      <c r="E1825" t="s">
        <v>33</v>
      </c>
      <c r="F1825">
        <v>10132018</v>
      </c>
      <c r="G1825">
        <v>4</v>
      </c>
      <c r="H1825" t="s">
        <v>105</v>
      </c>
      <c r="I1825" t="s">
        <v>42</v>
      </c>
      <c r="K1825" t="s">
        <v>43</v>
      </c>
      <c r="M1825" t="s">
        <v>44</v>
      </c>
      <c r="P1825" t="b">
        <v>1</v>
      </c>
      <c r="Q1825" t="b">
        <v>0</v>
      </c>
      <c r="R1825" t="b">
        <v>1</v>
      </c>
      <c r="S1825" t="b">
        <v>0</v>
      </c>
      <c r="T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b">
        <v>0</v>
      </c>
      <c r="AB1825" t="b">
        <v>0</v>
      </c>
      <c r="AC1825" t="b">
        <v>0</v>
      </c>
      <c r="AE1825" t="s">
        <v>4698</v>
      </c>
    </row>
    <row r="1826" spans="1:31" x14ac:dyDescent="0.3">
      <c r="A1826">
        <v>-73.961725005399998</v>
      </c>
      <c r="B1826">
        <v>40.792539043200001</v>
      </c>
      <c r="C1826" t="s">
        <v>4699</v>
      </c>
      <c r="D1826" t="s">
        <v>928</v>
      </c>
      <c r="E1826" t="s">
        <v>33</v>
      </c>
      <c r="F1826">
        <v>10102018</v>
      </c>
      <c r="G1826">
        <v>3</v>
      </c>
      <c r="H1826" t="s">
        <v>48</v>
      </c>
      <c r="I1826" t="s">
        <v>42</v>
      </c>
      <c r="K1826" t="s">
        <v>43</v>
      </c>
      <c r="M1826" t="s">
        <v>65</v>
      </c>
      <c r="N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1</v>
      </c>
      <c r="AA1826" t="b">
        <v>0</v>
      </c>
      <c r="AB1826" t="b">
        <v>0</v>
      </c>
      <c r="AC1826" t="b">
        <v>1</v>
      </c>
      <c r="AE1826" t="s">
        <v>4700</v>
      </c>
    </row>
    <row r="1827" spans="1:31" x14ac:dyDescent="0.3">
      <c r="A1827">
        <v>-73.962420979970005</v>
      </c>
      <c r="B1827">
        <v>40.791020097279997</v>
      </c>
      <c r="C1827" t="s">
        <v>4701</v>
      </c>
      <c r="D1827" t="s">
        <v>3392</v>
      </c>
      <c r="E1827" t="s">
        <v>33</v>
      </c>
      <c r="F1827">
        <v>10102018</v>
      </c>
      <c r="G1827">
        <v>1</v>
      </c>
      <c r="H1827" t="s">
        <v>48</v>
      </c>
      <c r="I1827" t="s">
        <v>42</v>
      </c>
      <c r="J1827" t="s">
        <v>59</v>
      </c>
      <c r="K1827" t="s">
        <v>79</v>
      </c>
      <c r="M1827" t="s">
        <v>44</v>
      </c>
      <c r="N1827">
        <v>3</v>
      </c>
      <c r="P1827" t="b">
        <v>0</v>
      </c>
      <c r="Q1827" t="b">
        <v>0</v>
      </c>
      <c r="R1827" t="b">
        <v>1</v>
      </c>
      <c r="S1827" t="b">
        <v>0</v>
      </c>
      <c r="T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1</v>
      </c>
      <c r="AA1827" t="b">
        <v>0</v>
      </c>
      <c r="AB1827" t="b">
        <v>0</v>
      </c>
      <c r="AC1827" t="b">
        <v>1</v>
      </c>
      <c r="AE1827" t="s">
        <v>4702</v>
      </c>
    </row>
    <row r="1828" spans="1:31" x14ac:dyDescent="0.3">
      <c r="A1828">
        <v>-73.970754218989995</v>
      </c>
      <c r="B1828">
        <v>40.771703298689999</v>
      </c>
      <c r="C1828" t="s">
        <v>4703</v>
      </c>
      <c r="D1828" t="s">
        <v>571</v>
      </c>
      <c r="E1828" t="s">
        <v>33</v>
      </c>
      <c r="F1828">
        <v>10072018</v>
      </c>
      <c r="G1828">
        <v>4</v>
      </c>
      <c r="H1828" t="s">
        <v>48</v>
      </c>
      <c r="I1828" t="s">
        <v>42</v>
      </c>
      <c r="J1828" t="s">
        <v>59</v>
      </c>
      <c r="K1828" t="s">
        <v>79</v>
      </c>
      <c r="M1828" t="s">
        <v>65</v>
      </c>
      <c r="N1828" t="b">
        <v>0</v>
      </c>
      <c r="P1828" t="b">
        <v>0</v>
      </c>
      <c r="Q1828" t="b">
        <v>0</v>
      </c>
      <c r="R1828" t="b">
        <v>0</v>
      </c>
      <c r="S1828" t="b">
        <v>1</v>
      </c>
      <c r="T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b">
        <v>0</v>
      </c>
      <c r="AB1828" t="b">
        <v>0</v>
      </c>
      <c r="AC1828" t="b">
        <v>0</v>
      </c>
      <c r="AE1828" t="s">
        <v>4704</v>
      </c>
    </row>
    <row r="1829" spans="1:31" x14ac:dyDescent="0.3">
      <c r="A1829">
        <v>-73.977976087439998</v>
      </c>
      <c r="B1829">
        <v>40.769823093660001</v>
      </c>
      <c r="C1829" t="s">
        <v>4705</v>
      </c>
      <c r="D1829" t="s">
        <v>1581</v>
      </c>
      <c r="E1829" t="s">
        <v>33</v>
      </c>
      <c r="F1829">
        <v>10102018</v>
      </c>
      <c r="G1829">
        <v>16</v>
      </c>
      <c r="H1829" t="s">
        <v>48</v>
      </c>
      <c r="I1829" t="s">
        <v>42</v>
      </c>
      <c r="J1829" t="s">
        <v>59</v>
      </c>
      <c r="K1829" t="s">
        <v>79</v>
      </c>
      <c r="M1829" t="s">
        <v>65</v>
      </c>
      <c r="N1829" t="b">
        <v>0</v>
      </c>
      <c r="P1829" t="b">
        <v>0</v>
      </c>
      <c r="Q1829" t="b">
        <v>0</v>
      </c>
      <c r="R1829" t="b">
        <v>0</v>
      </c>
      <c r="S1829" t="b">
        <v>1</v>
      </c>
      <c r="T1829" t="b">
        <v>1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b">
        <v>0</v>
      </c>
      <c r="AB1829" t="b">
        <v>1</v>
      </c>
      <c r="AC1829" t="b">
        <v>0</v>
      </c>
      <c r="AE1829" t="s">
        <v>4706</v>
      </c>
    </row>
    <row r="1830" spans="1:31" x14ac:dyDescent="0.3">
      <c r="A1830">
        <v>-73.968296519770007</v>
      </c>
      <c r="B1830">
        <v>40.780537896390001</v>
      </c>
      <c r="C1830" t="s">
        <v>4707</v>
      </c>
      <c r="D1830" t="s">
        <v>1076</v>
      </c>
      <c r="E1830" t="s">
        <v>38</v>
      </c>
      <c r="F1830">
        <v>10182018</v>
      </c>
      <c r="G1830">
        <v>4</v>
      </c>
      <c r="H1830" t="s">
        <v>48</v>
      </c>
      <c r="I1830" t="s">
        <v>42</v>
      </c>
      <c r="K1830" t="s">
        <v>43</v>
      </c>
      <c r="M1830" t="s">
        <v>44</v>
      </c>
      <c r="N1830">
        <v>2</v>
      </c>
      <c r="P1830" t="b">
        <v>0</v>
      </c>
      <c r="Q1830" t="b">
        <v>0</v>
      </c>
      <c r="R1830" t="b">
        <v>1</v>
      </c>
      <c r="S1830" t="b">
        <v>0</v>
      </c>
      <c r="T1830" t="b">
        <v>1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b">
        <v>0</v>
      </c>
      <c r="AB1830" t="b">
        <v>0</v>
      </c>
      <c r="AC1830" t="b">
        <v>0</v>
      </c>
      <c r="AE1830" t="s">
        <v>4708</v>
      </c>
    </row>
    <row r="1831" spans="1:31" x14ac:dyDescent="0.3">
      <c r="A1831">
        <v>-73.974696589489994</v>
      </c>
      <c r="B1831">
        <v>40.76643517243</v>
      </c>
      <c r="C1831" t="s">
        <v>4709</v>
      </c>
      <c r="D1831" t="s">
        <v>2889</v>
      </c>
      <c r="E1831" t="s">
        <v>38</v>
      </c>
      <c r="F1831">
        <v>10102018</v>
      </c>
      <c r="G1831">
        <v>3</v>
      </c>
      <c r="H1831" t="s">
        <v>48</v>
      </c>
      <c r="I1831" t="s">
        <v>42</v>
      </c>
      <c r="K1831" t="s">
        <v>43</v>
      </c>
      <c r="M1831" t="s">
        <v>65</v>
      </c>
      <c r="N1831" t="b">
        <v>0</v>
      </c>
      <c r="P1831" t="b">
        <v>0</v>
      </c>
      <c r="Q1831" t="b">
        <v>0</v>
      </c>
      <c r="R1831" t="b">
        <v>0</v>
      </c>
      <c r="S1831" t="b">
        <v>1</v>
      </c>
      <c r="T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 t="b">
        <v>1</v>
      </c>
      <c r="AC1831" t="b">
        <v>0</v>
      </c>
      <c r="AE1831" t="s">
        <v>4710</v>
      </c>
    </row>
    <row r="1832" spans="1:31" x14ac:dyDescent="0.3">
      <c r="A1832">
        <v>-73.951800814959995</v>
      </c>
      <c r="B1832">
        <v>40.795373809360001</v>
      </c>
      <c r="C1832" t="s">
        <v>4711</v>
      </c>
      <c r="D1832" t="s">
        <v>3070</v>
      </c>
      <c r="E1832" t="s">
        <v>38</v>
      </c>
      <c r="F1832">
        <v>10172018</v>
      </c>
      <c r="G1832">
        <v>1</v>
      </c>
      <c r="H1832" t="s">
        <v>48</v>
      </c>
      <c r="I1832" t="s">
        <v>42</v>
      </c>
      <c r="J1832" t="s">
        <v>53</v>
      </c>
      <c r="K1832" t="s">
        <v>54</v>
      </c>
      <c r="M1832" t="s">
        <v>65</v>
      </c>
      <c r="N1832" t="b">
        <v>0</v>
      </c>
      <c r="O1832" t="s">
        <v>4712</v>
      </c>
      <c r="P1832" t="b">
        <v>0</v>
      </c>
      <c r="Q1832" t="b">
        <v>0</v>
      </c>
      <c r="R1832" t="b">
        <v>0</v>
      </c>
      <c r="S1832" t="b">
        <v>0</v>
      </c>
      <c r="T1832" t="b">
        <v>1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b">
        <v>0</v>
      </c>
      <c r="AB1832" t="b">
        <v>0</v>
      </c>
      <c r="AC1832" t="b">
        <v>1</v>
      </c>
      <c r="AE1832" t="s">
        <v>4713</v>
      </c>
    </row>
    <row r="1833" spans="1:31" x14ac:dyDescent="0.3">
      <c r="A1833">
        <v>-73.974687751930006</v>
      </c>
      <c r="B1833">
        <v>40.776140280809997</v>
      </c>
      <c r="C1833" t="s">
        <v>4714</v>
      </c>
      <c r="D1833" t="s">
        <v>41</v>
      </c>
      <c r="E1833" t="s">
        <v>33</v>
      </c>
      <c r="F1833">
        <v>10142018</v>
      </c>
      <c r="G1833">
        <v>3</v>
      </c>
      <c r="I1833" t="s">
        <v>42</v>
      </c>
      <c r="K1833" t="s">
        <v>43</v>
      </c>
      <c r="M1833" t="s">
        <v>44</v>
      </c>
      <c r="N1833">
        <v>10</v>
      </c>
      <c r="P1833" t="b">
        <v>0</v>
      </c>
      <c r="Q1833" t="b">
        <v>1</v>
      </c>
      <c r="R1833" t="b">
        <v>0</v>
      </c>
      <c r="S1833" t="b">
        <v>0</v>
      </c>
      <c r="T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b">
        <v>0</v>
      </c>
      <c r="AB1833" t="b">
        <v>0</v>
      </c>
      <c r="AC1833" t="b">
        <v>0</v>
      </c>
      <c r="AE1833" t="s">
        <v>4715</v>
      </c>
    </row>
    <row r="1834" spans="1:31" x14ac:dyDescent="0.3">
      <c r="A1834">
        <v>-73.969315993470005</v>
      </c>
      <c r="B1834">
        <v>40.783121233830002</v>
      </c>
      <c r="C1834" t="s">
        <v>4716</v>
      </c>
      <c r="D1834" t="s">
        <v>37</v>
      </c>
      <c r="E1834" t="s">
        <v>33</v>
      </c>
      <c r="F1834">
        <v>10172018</v>
      </c>
      <c r="G1834">
        <v>3</v>
      </c>
      <c r="H1834" t="s">
        <v>105</v>
      </c>
      <c r="I1834" t="s">
        <v>53</v>
      </c>
      <c r="J1834" t="s">
        <v>59</v>
      </c>
      <c r="K1834" t="s">
        <v>60</v>
      </c>
      <c r="M1834" t="s">
        <v>44</v>
      </c>
      <c r="N1834">
        <v>1</v>
      </c>
      <c r="P1834" t="b">
        <v>0</v>
      </c>
      <c r="Q1834" t="b">
        <v>1</v>
      </c>
      <c r="R1834" t="b">
        <v>0</v>
      </c>
      <c r="S1834" t="b">
        <v>0</v>
      </c>
      <c r="T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b">
        <v>0</v>
      </c>
      <c r="AB1834" t="b">
        <v>0</v>
      </c>
      <c r="AC1834" t="b">
        <v>0</v>
      </c>
      <c r="AE1834" t="s">
        <v>4717</v>
      </c>
    </row>
    <row r="1835" spans="1:31" x14ac:dyDescent="0.3">
      <c r="A1835">
        <v>-73.962516494650004</v>
      </c>
      <c r="B1835">
        <v>40.788476898989998</v>
      </c>
      <c r="C1835" t="s">
        <v>4718</v>
      </c>
      <c r="D1835" t="s">
        <v>1049</v>
      </c>
      <c r="E1835" t="s">
        <v>33</v>
      </c>
      <c r="F1835">
        <v>10192018</v>
      </c>
      <c r="G1835">
        <v>2</v>
      </c>
      <c r="H1835" t="s">
        <v>48</v>
      </c>
      <c r="I1835" t="s">
        <v>176</v>
      </c>
      <c r="K1835" t="s">
        <v>177</v>
      </c>
      <c r="M1835" t="s">
        <v>65</v>
      </c>
      <c r="N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1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b">
        <v>0</v>
      </c>
      <c r="AB1835" t="b">
        <v>0</v>
      </c>
      <c r="AC1835" t="b">
        <v>1</v>
      </c>
      <c r="AE1835" t="s">
        <v>4719</v>
      </c>
    </row>
    <row r="1836" spans="1:31" x14ac:dyDescent="0.3">
      <c r="A1836">
        <v>-73.973903883220004</v>
      </c>
      <c r="B1836">
        <v>40.77303548906</v>
      </c>
      <c r="C1836" t="s">
        <v>4720</v>
      </c>
      <c r="D1836" t="s">
        <v>1544</v>
      </c>
      <c r="E1836" t="s">
        <v>38</v>
      </c>
      <c r="F1836">
        <v>10082018</v>
      </c>
      <c r="G1836">
        <v>3</v>
      </c>
      <c r="H1836" t="s">
        <v>48</v>
      </c>
      <c r="I1836" t="s">
        <v>42</v>
      </c>
      <c r="K1836" t="s">
        <v>43</v>
      </c>
      <c r="M1836" t="s">
        <v>65</v>
      </c>
      <c r="N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1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b">
        <v>0</v>
      </c>
      <c r="AB1836" t="b">
        <v>1</v>
      </c>
      <c r="AC1836" t="b">
        <v>0</v>
      </c>
      <c r="AE1836" t="s">
        <v>4721</v>
      </c>
    </row>
    <row r="1837" spans="1:31" x14ac:dyDescent="0.3">
      <c r="A1837">
        <v>-73.956206853759994</v>
      </c>
      <c r="B1837">
        <v>40.796733285320002</v>
      </c>
      <c r="C1837" t="s">
        <v>4722</v>
      </c>
      <c r="D1837" t="s">
        <v>1945</v>
      </c>
      <c r="E1837" t="s">
        <v>38</v>
      </c>
      <c r="F1837">
        <v>10082018</v>
      </c>
      <c r="G1837">
        <v>1</v>
      </c>
      <c r="H1837" t="s">
        <v>48</v>
      </c>
      <c r="I1837" t="s">
        <v>42</v>
      </c>
      <c r="K1837" t="s">
        <v>43</v>
      </c>
      <c r="M1837" t="s">
        <v>65</v>
      </c>
      <c r="N1837" t="b">
        <v>0</v>
      </c>
      <c r="P1837" t="b">
        <v>0</v>
      </c>
      <c r="Q1837" t="b">
        <v>1</v>
      </c>
      <c r="R1837" t="b">
        <v>0</v>
      </c>
      <c r="S1837" t="b">
        <v>0</v>
      </c>
      <c r="T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b">
        <v>0</v>
      </c>
      <c r="AB1837" t="b">
        <v>0</v>
      </c>
      <c r="AC1837" t="b">
        <v>0</v>
      </c>
      <c r="AE1837" t="s">
        <v>4723</v>
      </c>
    </row>
    <row r="1838" spans="1:31" x14ac:dyDescent="0.3">
      <c r="A1838">
        <v>-73.975105671479994</v>
      </c>
      <c r="B1838">
        <v>40.773206003520002</v>
      </c>
      <c r="C1838" t="s">
        <v>4724</v>
      </c>
      <c r="D1838" t="s">
        <v>793</v>
      </c>
      <c r="E1838" t="s">
        <v>33</v>
      </c>
      <c r="F1838">
        <v>10132018</v>
      </c>
      <c r="G1838">
        <v>3</v>
      </c>
      <c r="H1838" t="s">
        <v>105</v>
      </c>
      <c r="I1838" t="s">
        <v>42</v>
      </c>
      <c r="J1838" t="s">
        <v>59</v>
      </c>
      <c r="K1838" t="s">
        <v>79</v>
      </c>
      <c r="M1838" t="s">
        <v>65</v>
      </c>
      <c r="N1838" t="b">
        <v>0</v>
      </c>
      <c r="P1838" t="b">
        <v>0</v>
      </c>
      <c r="Q1838" t="b">
        <v>0</v>
      </c>
      <c r="R1838" t="b">
        <v>0</v>
      </c>
      <c r="S1838" t="b">
        <v>1</v>
      </c>
      <c r="T1838" t="b">
        <v>0</v>
      </c>
      <c r="V1838" t="b">
        <v>0</v>
      </c>
      <c r="W1838" t="b">
        <v>0</v>
      </c>
      <c r="X1838" t="b">
        <v>0</v>
      </c>
      <c r="Y1838" t="b">
        <v>1</v>
      </c>
      <c r="Z1838" t="b">
        <v>0</v>
      </c>
      <c r="AA1838" t="b">
        <v>0</v>
      </c>
      <c r="AB1838" t="b">
        <v>1</v>
      </c>
      <c r="AC1838" t="b">
        <v>0</v>
      </c>
      <c r="AE1838" t="s">
        <v>4725</v>
      </c>
    </row>
    <row r="1839" spans="1:31" x14ac:dyDescent="0.3">
      <c r="A1839">
        <v>-73.971028810099995</v>
      </c>
      <c r="B1839">
        <v>40.771577710999999</v>
      </c>
      <c r="C1839" t="s">
        <v>4726</v>
      </c>
      <c r="D1839" t="s">
        <v>571</v>
      </c>
      <c r="E1839" t="s">
        <v>33</v>
      </c>
      <c r="F1839">
        <v>10072018</v>
      </c>
      <c r="G1839">
        <v>1</v>
      </c>
      <c r="H1839" t="s">
        <v>48</v>
      </c>
      <c r="I1839" t="s">
        <v>42</v>
      </c>
      <c r="K1839" t="s">
        <v>43</v>
      </c>
      <c r="M1839" t="s">
        <v>44</v>
      </c>
      <c r="N1839">
        <v>2</v>
      </c>
      <c r="P1839" t="b">
        <v>0</v>
      </c>
      <c r="Q1839" t="b">
        <v>0</v>
      </c>
      <c r="R1839" t="b">
        <v>1</v>
      </c>
      <c r="S1839" t="b">
        <v>0</v>
      </c>
      <c r="T1839" t="b">
        <v>0</v>
      </c>
      <c r="U1839" t="s">
        <v>4727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b">
        <v>0</v>
      </c>
      <c r="AB1839" t="b">
        <v>0</v>
      </c>
      <c r="AC1839" t="b">
        <v>0</v>
      </c>
      <c r="AE1839" t="s">
        <v>4728</v>
      </c>
    </row>
    <row r="1840" spans="1:31" x14ac:dyDescent="0.3">
      <c r="A1840">
        <v>-73.965592552740006</v>
      </c>
      <c r="B1840">
        <v>40.776004917110001</v>
      </c>
      <c r="C1840" t="s">
        <v>4729</v>
      </c>
      <c r="D1840" t="s">
        <v>663</v>
      </c>
      <c r="E1840" t="s">
        <v>33</v>
      </c>
      <c r="F1840">
        <v>10082018</v>
      </c>
      <c r="G1840">
        <v>5</v>
      </c>
      <c r="H1840" t="s">
        <v>48</v>
      </c>
      <c r="I1840" t="s">
        <v>42</v>
      </c>
      <c r="K1840" t="s">
        <v>43</v>
      </c>
      <c r="M1840" t="s">
        <v>65</v>
      </c>
      <c r="N1840" t="b">
        <v>0</v>
      </c>
      <c r="O1840" t="s">
        <v>424</v>
      </c>
      <c r="P1840" t="b">
        <v>0</v>
      </c>
      <c r="Q1840" t="b">
        <v>0</v>
      </c>
      <c r="R1840" t="b">
        <v>0</v>
      </c>
      <c r="S1840" t="b">
        <v>0</v>
      </c>
      <c r="T1840" t="b">
        <v>1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b">
        <v>0</v>
      </c>
      <c r="AB1840" t="b">
        <v>1</v>
      </c>
      <c r="AC1840" t="b">
        <v>0</v>
      </c>
      <c r="AE1840" t="s">
        <v>4730</v>
      </c>
    </row>
    <row r="1841" spans="1:31" x14ac:dyDescent="0.3">
      <c r="A1841">
        <v>-73.973322253129993</v>
      </c>
      <c r="B1841">
        <v>40.764997537150002</v>
      </c>
      <c r="C1841" t="s">
        <v>4731</v>
      </c>
      <c r="D1841" t="s">
        <v>4236</v>
      </c>
      <c r="E1841" t="s">
        <v>33</v>
      </c>
      <c r="F1841">
        <v>10122018</v>
      </c>
      <c r="G1841">
        <v>1</v>
      </c>
      <c r="H1841" t="s">
        <v>105</v>
      </c>
      <c r="I1841" t="s">
        <v>42</v>
      </c>
      <c r="J1841" t="s">
        <v>148</v>
      </c>
      <c r="K1841" t="s">
        <v>149</v>
      </c>
      <c r="L1841" t="s">
        <v>4237</v>
      </c>
      <c r="M1841" t="s">
        <v>65</v>
      </c>
      <c r="N1841" t="b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1</v>
      </c>
      <c r="AA1841" t="b">
        <v>0</v>
      </c>
      <c r="AB1841" t="b">
        <v>0</v>
      </c>
      <c r="AC1841" t="b">
        <v>1</v>
      </c>
      <c r="AE1841" t="s">
        <v>4732</v>
      </c>
    </row>
    <row r="1842" spans="1:31" x14ac:dyDescent="0.3">
      <c r="A1842">
        <v>-73.963541264100002</v>
      </c>
      <c r="B1842">
        <v>40.790252935460003</v>
      </c>
      <c r="C1842" t="s">
        <v>4733</v>
      </c>
      <c r="D1842" t="s">
        <v>908</v>
      </c>
      <c r="E1842" t="s">
        <v>38</v>
      </c>
      <c r="F1842">
        <v>10072018</v>
      </c>
      <c r="G1842">
        <v>11</v>
      </c>
      <c r="H1842" t="s">
        <v>48</v>
      </c>
      <c r="I1842" t="s">
        <v>42</v>
      </c>
      <c r="K1842" t="s">
        <v>43</v>
      </c>
      <c r="M1842" t="s">
        <v>65</v>
      </c>
      <c r="N1842" t="b">
        <v>0</v>
      </c>
      <c r="P1842" t="b">
        <v>0</v>
      </c>
      <c r="Q1842" t="b">
        <v>0</v>
      </c>
      <c r="R1842" t="b">
        <v>0</v>
      </c>
      <c r="S1842" t="b">
        <v>1</v>
      </c>
      <c r="T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b">
        <v>0</v>
      </c>
      <c r="AB1842" t="b">
        <v>1</v>
      </c>
      <c r="AC1842" t="b">
        <v>0</v>
      </c>
      <c r="AE1842" t="s">
        <v>4734</v>
      </c>
    </row>
    <row r="1843" spans="1:31" x14ac:dyDescent="0.3">
      <c r="A1843">
        <v>-73.980637796760007</v>
      </c>
      <c r="B1843">
        <v>40.768109716829997</v>
      </c>
      <c r="C1843" t="s">
        <v>4735</v>
      </c>
      <c r="D1843" t="s">
        <v>851</v>
      </c>
      <c r="E1843" t="s">
        <v>38</v>
      </c>
      <c r="F1843">
        <v>10122018</v>
      </c>
      <c r="G1843">
        <v>15</v>
      </c>
      <c r="H1843" t="s">
        <v>48</v>
      </c>
      <c r="I1843" t="s">
        <v>42</v>
      </c>
      <c r="K1843" t="s">
        <v>43</v>
      </c>
      <c r="M1843" t="s">
        <v>44</v>
      </c>
      <c r="N1843">
        <v>5</v>
      </c>
      <c r="P1843" t="b">
        <v>0</v>
      </c>
      <c r="Q1843" t="b">
        <v>0</v>
      </c>
      <c r="R1843" t="b">
        <v>1</v>
      </c>
      <c r="S1843" t="b">
        <v>1</v>
      </c>
      <c r="T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b">
        <v>0</v>
      </c>
      <c r="AB1843" t="b">
        <v>1</v>
      </c>
      <c r="AC1843" t="b">
        <v>0</v>
      </c>
      <c r="AE1843" t="s">
        <v>4736</v>
      </c>
    </row>
    <row r="1844" spans="1:31" x14ac:dyDescent="0.3">
      <c r="A1844">
        <v>-73.953280465009996</v>
      </c>
      <c r="B1844">
        <v>40.793457933329996</v>
      </c>
      <c r="C1844" t="s">
        <v>4737</v>
      </c>
      <c r="D1844" t="s">
        <v>863</v>
      </c>
      <c r="E1844" t="s">
        <v>33</v>
      </c>
      <c r="F1844">
        <v>10062018</v>
      </c>
      <c r="G1844">
        <v>5</v>
      </c>
      <c r="K1844" t="s">
        <v>34</v>
      </c>
      <c r="M1844" t="s">
        <v>44</v>
      </c>
      <c r="O1844" t="s">
        <v>190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b">
        <v>0</v>
      </c>
      <c r="AB1844" t="b">
        <v>0</v>
      </c>
      <c r="AC1844" t="b">
        <v>0</v>
      </c>
      <c r="AE1844" t="s">
        <v>4738</v>
      </c>
    </row>
    <row r="1845" spans="1:31" x14ac:dyDescent="0.3">
      <c r="A1845">
        <v>-73.968594026209999</v>
      </c>
      <c r="B1845">
        <v>40.776932102010001</v>
      </c>
      <c r="C1845" t="s">
        <v>4739</v>
      </c>
      <c r="D1845" t="s">
        <v>232</v>
      </c>
      <c r="E1845" t="s">
        <v>38</v>
      </c>
      <c r="F1845">
        <v>10072018</v>
      </c>
      <c r="G1845">
        <v>7</v>
      </c>
      <c r="H1845" t="s">
        <v>48</v>
      </c>
      <c r="I1845" t="s">
        <v>53</v>
      </c>
      <c r="J1845" t="s">
        <v>176</v>
      </c>
      <c r="K1845" t="s">
        <v>1142</v>
      </c>
      <c r="M1845" t="s">
        <v>65</v>
      </c>
      <c r="N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1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b">
        <v>0</v>
      </c>
      <c r="AB1845" t="b">
        <v>1</v>
      </c>
      <c r="AC1845" t="b">
        <v>0</v>
      </c>
      <c r="AE1845" t="s">
        <v>4740</v>
      </c>
    </row>
    <row r="1846" spans="1:31" x14ac:dyDescent="0.3">
      <c r="A1846">
        <v>-73.968206201269993</v>
      </c>
      <c r="B1846">
        <v>40.786498436190001</v>
      </c>
      <c r="C1846" t="s">
        <v>4741</v>
      </c>
      <c r="D1846" t="s">
        <v>1439</v>
      </c>
      <c r="E1846" t="s">
        <v>38</v>
      </c>
      <c r="F1846">
        <v>10142018</v>
      </c>
      <c r="G1846">
        <v>2</v>
      </c>
      <c r="H1846" t="s">
        <v>48</v>
      </c>
      <c r="I1846" t="s">
        <v>42</v>
      </c>
      <c r="J1846" t="s">
        <v>53</v>
      </c>
      <c r="K1846" t="s">
        <v>54</v>
      </c>
      <c r="L1846" t="s">
        <v>4742</v>
      </c>
      <c r="M1846" t="s">
        <v>65</v>
      </c>
      <c r="N1846" t="b">
        <v>0</v>
      </c>
      <c r="P1846" t="b">
        <v>1</v>
      </c>
      <c r="Q1846" t="b">
        <v>0</v>
      </c>
      <c r="R1846" t="b">
        <v>0</v>
      </c>
      <c r="S1846" t="b">
        <v>0</v>
      </c>
      <c r="T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b">
        <v>0</v>
      </c>
      <c r="AB1846" t="b">
        <v>0</v>
      </c>
      <c r="AC1846" t="b">
        <v>0</v>
      </c>
      <c r="AE1846" t="s">
        <v>4743</v>
      </c>
    </row>
    <row r="1847" spans="1:31" x14ac:dyDescent="0.3">
      <c r="A1847">
        <v>-73.9626560807</v>
      </c>
      <c r="B1847">
        <v>40.788463304990003</v>
      </c>
      <c r="C1847" t="s">
        <v>4744</v>
      </c>
      <c r="D1847" t="s">
        <v>1049</v>
      </c>
      <c r="E1847" t="s">
        <v>38</v>
      </c>
      <c r="F1847">
        <v>10122018</v>
      </c>
      <c r="G1847">
        <v>5</v>
      </c>
      <c r="H1847" t="s">
        <v>105</v>
      </c>
      <c r="I1847" t="s">
        <v>176</v>
      </c>
      <c r="K1847" t="s">
        <v>177</v>
      </c>
      <c r="M1847" t="s">
        <v>44</v>
      </c>
      <c r="N1847">
        <v>30</v>
      </c>
      <c r="P1847" t="b">
        <v>0</v>
      </c>
      <c r="Q1847" t="b">
        <v>0</v>
      </c>
      <c r="R1847" t="b">
        <v>1</v>
      </c>
      <c r="S1847" t="b">
        <v>0</v>
      </c>
      <c r="T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b">
        <v>0</v>
      </c>
      <c r="AB1847" t="b">
        <v>0</v>
      </c>
      <c r="AC1847" t="b">
        <v>0</v>
      </c>
      <c r="AE1847" t="s">
        <v>4745</v>
      </c>
    </row>
    <row r="1848" spans="1:31" x14ac:dyDescent="0.3">
      <c r="A1848">
        <v>-73.96533111366</v>
      </c>
      <c r="B1848">
        <v>40.780193490339997</v>
      </c>
      <c r="C1848" t="s">
        <v>4746</v>
      </c>
      <c r="D1848" t="s">
        <v>1032</v>
      </c>
      <c r="E1848" t="s">
        <v>33</v>
      </c>
      <c r="F1848">
        <v>10172018</v>
      </c>
      <c r="G1848">
        <v>7</v>
      </c>
      <c r="H1848" t="s">
        <v>48</v>
      </c>
      <c r="I1848" t="s">
        <v>53</v>
      </c>
      <c r="J1848" t="s">
        <v>42</v>
      </c>
      <c r="K1848" t="s">
        <v>89</v>
      </c>
      <c r="M1848" t="s">
        <v>65</v>
      </c>
      <c r="N1848" t="b">
        <v>0</v>
      </c>
      <c r="P1848" t="b">
        <v>0</v>
      </c>
      <c r="Q1848" t="b">
        <v>0</v>
      </c>
      <c r="R1848" t="b">
        <v>0</v>
      </c>
      <c r="S1848" t="b">
        <v>1</v>
      </c>
      <c r="T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b">
        <v>0</v>
      </c>
      <c r="AB1848" t="b">
        <v>1</v>
      </c>
      <c r="AC1848" t="b">
        <v>0</v>
      </c>
      <c r="AE1848" t="s">
        <v>4747</v>
      </c>
    </row>
    <row r="1849" spans="1:31" x14ac:dyDescent="0.3">
      <c r="A1849">
        <v>-73.97822839218</v>
      </c>
      <c r="B1849">
        <v>40.766793260210001</v>
      </c>
      <c r="C1849" t="s">
        <v>4748</v>
      </c>
      <c r="D1849" t="s">
        <v>1278</v>
      </c>
      <c r="E1849" t="s">
        <v>33</v>
      </c>
      <c r="F1849">
        <v>10072018</v>
      </c>
      <c r="G1849">
        <v>2</v>
      </c>
      <c r="H1849" t="s">
        <v>48</v>
      </c>
      <c r="I1849" t="s">
        <v>42</v>
      </c>
      <c r="J1849" t="s">
        <v>96</v>
      </c>
      <c r="K1849" t="s">
        <v>97</v>
      </c>
      <c r="M1849" t="s">
        <v>65</v>
      </c>
      <c r="N1849" t="b">
        <v>0</v>
      </c>
      <c r="P1849" t="b">
        <v>0</v>
      </c>
      <c r="Q1849" t="b">
        <v>1</v>
      </c>
      <c r="R1849" t="b">
        <v>0</v>
      </c>
      <c r="S1849" t="b">
        <v>0</v>
      </c>
      <c r="T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b">
        <v>0</v>
      </c>
      <c r="AB1849" t="b">
        <v>1</v>
      </c>
      <c r="AC1849" t="b">
        <v>0</v>
      </c>
      <c r="AE1849" t="s">
        <v>4749</v>
      </c>
    </row>
    <row r="1850" spans="1:31" x14ac:dyDescent="0.3">
      <c r="A1850">
        <v>-73.960409448129994</v>
      </c>
      <c r="B1850">
        <v>40.79514514788</v>
      </c>
      <c r="C1850" t="s">
        <v>4750</v>
      </c>
      <c r="D1850" t="s">
        <v>1404</v>
      </c>
      <c r="E1850" t="s">
        <v>33</v>
      </c>
      <c r="F1850">
        <v>10132018</v>
      </c>
      <c r="G1850">
        <v>1</v>
      </c>
      <c r="H1850" t="s">
        <v>48</v>
      </c>
      <c r="I1850" t="s">
        <v>42</v>
      </c>
      <c r="J1850" t="s">
        <v>96</v>
      </c>
      <c r="K1850" t="s">
        <v>97</v>
      </c>
      <c r="M1850" t="s">
        <v>65</v>
      </c>
      <c r="N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1</v>
      </c>
      <c r="V1850" t="b">
        <v>0</v>
      </c>
      <c r="W1850" t="b">
        <v>0</v>
      </c>
      <c r="X1850" t="b">
        <v>0</v>
      </c>
      <c r="Y1850" t="b">
        <v>0</v>
      </c>
      <c r="Z1850" t="b">
        <v>1</v>
      </c>
      <c r="AA1850" t="b">
        <v>0</v>
      </c>
      <c r="AB1850" t="b">
        <v>1</v>
      </c>
      <c r="AC1850" t="b">
        <v>0</v>
      </c>
      <c r="AE1850" t="s">
        <v>4751</v>
      </c>
    </row>
    <row r="1851" spans="1:31" x14ac:dyDescent="0.3">
      <c r="A1851">
        <v>-73.978843636839997</v>
      </c>
      <c r="B1851">
        <v>40.769110499900002</v>
      </c>
      <c r="C1851" t="s">
        <v>4752</v>
      </c>
      <c r="D1851" t="s">
        <v>455</v>
      </c>
      <c r="E1851" t="s">
        <v>38</v>
      </c>
      <c r="F1851">
        <v>10102018</v>
      </c>
      <c r="G1851">
        <v>5</v>
      </c>
      <c r="H1851" t="s">
        <v>48</v>
      </c>
      <c r="I1851" t="s">
        <v>42</v>
      </c>
      <c r="J1851" t="s">
        <v>59</v>
      </c>
      <c r="K1851" t="s">
        <v>79</v>
      </c>
      <c r="M1851" t="s">
        <v>65</v>
      </c>
      <c r="N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1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b">
        <v>0</v>
      </c>
      <c r="AB1851" t="b">
        <v>1</v>
      </c>
      <c r="AC1851" t="b">
        <v>0</v>
      </c>
      <c r="AE1851" t="s">
        <v>4753</v>
      </c>
    </row>
    <row r="1852" spans="1:31" x14ac:dyDescent="0.3">
      <c r="A1852">
        <v>-73.975809362519996</v>
      </c>
      <c r="B1852">
        <v>40.773470273779999</v>
      </c>
      <c r="C1852" t="s">
        <v>4754</v>
      </c>
      <c r="D1852" t="s">
        <v>235</v>
      </c>
      <c r="E1852" t="s">
        <v>33</v>
      </c>
      <c r="F1852">
        <v>10122018</v>
      </c>
      <c r="G1852">
        <v>9</v>
      </c>
      <c r="H1852" t="s">
        <v>48</v>
      </c>
      <c r="I1852" t="s">
        <v>42</v>
      </c>
      <c r="J1852" t="s">
        <v>53</v>
      </c>
      <c r="K1852" t="s">
        <v>54</v>
      </c>
      <c r="M1852" t="s">
        <v>44</v>
      </c>
      <c r="O1852" t="s">
        <v>190</v>
      </c>
      <c r="P1852" t="b">
        <v>1</v>
      </c>
      <c r="Q1852" t="b">
        <v>0</v>
      </c>
      <c r="R1852" t="b">
        <v>1</v>
      </c>
      <c r="S1852" t="b">
        <v>0</v>
      </c>
      <c r="T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b">
        <v>0</v>
      </c>
      <c r="AB1852" t="b">
        <v>0</v>
      </c>
      <c r="AC1852" t="b">
        <v>1</v>
      </c>
      <c r="AE1852" t="s">
        <v>4755</v>
      </c>
    </row>
    <row r="1853" spans="1:31" x14ac:dyDescent="0.3">
      <c r="A1853">
        <v>-73.962362141249997</v>
      </c>
      <c r="B1853">
        <v>40.7814673556</v>
      </c>
      <c r="C1853" t="s">
        <v>4756</v>
      </c>
      <c r="D1853" t="s">
        <v>2654</v>
      </c>
      <c r="E1853" t="s">
        <v>33</v>
      </c>
      <c r="F1853">
        <v>10072018</v>
      </c>
      <c r="G1853">
        <v>3</v>
      </c>
      <c r="H1853" t="s">
        <v>48</v>
      </c>
      <c r="I1853" t="s">
        <v>42</v>
      </c>
      <c r="J1853" t="s">
        <v>59</v>
      </c>
      <c r="K1853" t="s">
        <v>79</v>
      </c>
      <c r="M1853" t="s">
        <v>44</v>
      </c>
      <c r="N1853">
        <v>4</v>
      </c>
      <c r="O1853" t="s">
        <v>4757</v>
      </c>
      <c r="P1853" t="b">
        <v>0</v>
      </c>
      <c r="Q1853" t="b">
        <v>0</v>
      </c>
      <c r="R1853" t="b">
        <v>1</v>
      </c>
      <c r="S1853" t="b">
        <v>0</v>
      </c>
      <c r="T1853" t="b">
        <v>1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b">
        <v>0</v>
      </c>
      <c r="AB1853" t="b">
        <v>1</v>
      </c>
      <c r="AC1853" t="b">
        <v>0</v>
      </c>
      <c r="AE1853" t="s">
        <v>4758</v>
      </c>
    </row>
    <row r="1854" spans="1:31" x14ac:dyDescent="0.3">
      <c r="A1854">
        <v>-73.979216146919995</v>
      </c>
      <c r="B1854">
        <v>40.767928543629999</v>
      </c>
      <c r="C1854" t="s">
        <v>4759</v>
      </c>
      <c r="D1854" t="s">
        <v>1232</v>
      </c>
      <c r="E1854" t="s">
        <v>33</v>
      </c>
      <c r="F1854">
        <v>10132018</v>
      </c>
      <c r="G1854">
        <v>10</v>
      </c>
      <c r="H1854" t="s">
        <v>48</v>
      </c>
      <c r="I1854" t="s">
        <v>42</v>
      </c>
      <c r="J1854" t="s">
        <v>59</v>
      </c>
      <c r="K1854" t="s">
        <v>79</v>
      </c>
      <c r="M1854" t="s">
        <v>65</v>
      </c>
      <c r="N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b">
        <v>0</v>
      </c>
      <c r="AB1854" t="b">
        <v>0</v>
      </c>
      <c r="AC1854" t="b">
        <v>0</v>
      </c>
      <c r="AE1854" t="s">
        <v>4760</v>
      </c>
    </row>
    <row r="1855" spans="1:31" x14ac:dyDescent="0.3">
      <c r="A1855">
        <v>-73.972121037289995</v>
      </c>
      <c r="B1855">
        <v>40.766797147609999</v>
      </c>
      <c r="C1855" t="s">
        <v>4761</v>
      </c>
      <c r="D1855" t="s">
        <v>1240</v>
      </c>
      <c r="E1855" t="s">
        <v>38</v>
      </c>
      <c r="F1855">
        <v>10062018</v>
      </c>
      <c r="G1855">
        <v>2</v>
      </c>
      <c r="H1855" t="s">
        <v>48</v>
      </c>
      <c r="I1855" t="s">
        <v>42</v>
      </c>
      <c r="J1855" t="s">
        <v>53</v>
      </c>
      <c r="K1855" t="s">
        <v>54</v>
      </c>
      <c r="M1855" t="s">
        <v>65</v>
      </c>
      <c r="N1855" t="b">
        <v>0</v>
      </c>
      <c r="P1855" t="b">
        <v>0</v>
      </c>
      <c r="Q1855" t="b">
        <v>0</v>
      </c>
      <c r="R1855" t="b">
        <v>0</v>
      </c>
      <c r="S1855" t="b">
        <v>1</v>
      </c>
      <c r="T1855" t="b">
        <v>1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b">
        <v>0</v>
      </c>
      <c r="AB1855" t="b">
        <v>1</v>
      </c>
      <c r="AC1855" t="b">
        <v>0</v>
      </c>
      <c r="AE1855" t="s">
        <v>4762</v>
      </c>
    </row>
    <row r="1856" spans="1:31" x14ac:dyDescent="0.3">
      <c r="A1856">
        <v>-73.961807635940005</v>
      </c>
      <c r="B1856">
        <v>40.794780871820002</v>
      </c>
      <c r="C1856" t="s">
        <v>4763</v>
      </c>
      <c r="D1856" t="s">
        <v>286</v>
      </c>
      <c r="E1856" t="s">
        <v>33</v>
      </c>
      <c r="F1856">
        <v>10132018</v>
      </c>
      <c r="G1856">
        <v>5</v>
      </c>
      <c r="H1856" t="s">
        <v>48</v>
      </c>
      <c r="I1856" t="s">
        <v>42</v>
      </c>
      <c r="K1856" t="s">
        <v>43</v>
      </c>
      <c r="M1856" t="s">
        <v>44</v>
      </c>
      <c r="N1856">
        <v>3</v>
      </c>
      <c r="O1856" t="s">
        <v>456</v>
      </c>
      <c r="P1856" t="b">
        <v>0</v>
      </c>
      <c r="Q1856" t="b">
        <v>0</v>
      </c>
      <c r="R1856" t="b">
        <v>1</v>
      </c>
      <c r="S1856" t="b">
        <v>0</v>
      </c>
      <c r="T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b">
        <v>0</v>
      </c>
      <c r="AB1856" t="b">
        <v>0</v>
      </c>
      <c r="AC1856" t="b">
        <v>0</v>
      </c>
      <c r="AE1856" t="s">
        <v>4764</v>
      </c>
    </row>
    <row r="1857" spans="1:31" x14ac:dyDescent="0.3">
      <c r="A1857">
        <v>-73.979182619710002</v>
      </c>
      <c r="B1857">
        <v>40.768577844749998</v>
      </c>
      <c r="C1857" t="s">
        <v>4765</v>
      </c>
      <c r="D1857" t="s">
        <v>204</v>
      </c>
      <c r="E1857" t="s">
        <v>38</v>
      </c>
      <c r="F1857">
        <v>10102018</v>
      </c>
      <c r="G1857">
        <v>8</v>
      </c>
      <c r="H1857" t="s">
        <v>105</v>
      </c>
      <c r="I1857" t="s">
        <v>53</v>
      </c>
      <c r="J1857" t="s">
        <v>115</v>
      </c>
      <c r="K1857" t="s">
        <v>116</v>
      </c>
      <c r="M1857" t="s">
        <v>65</v>
      </c>
      <c r="N1857" t="b">
        <v>0</v>
      </c>
      <c r="P1857" t="b">
        <v>0</v>
      </c>
      <c r="Q1857" t="b">
        <v>0</v>
      </c>
      <c r="R1857" t="b">
        <v>0</v>
      </c>
      <c r="S1857" t="b">
        <v>1</v>
      </c>
      <c r="T1857" t="b">
        <v>1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b">
        <v>0</v>
      </c>
      <c r="AB1857" t="b">
        <v>1</v>
      </c>
      <c r="AC1857" t="b">
        <v>0</v>
      </c>
      <c r="AE1857" t="s">
        <v>4766</v>
      </c>
    </row>
    <row r="1858" spans="1:31" x14ac:dyDescent="0.3">
      <c r="A1858">
        <v>-73.978294023109996</v>
      </c>
      <c r="B1858">
        <v>40.76942360972</v>
      </c>
      <c r="C1858" t="s">
        <v>4767</v>
      </c>
      <c r="D1858" t="s">
        <v>886</v>
      </c>
      <c r="E1858" t="s">
        <v>33</v>
      </c>
      <c r="F1858">
        <v>10182018</v>
      </c>
      <c r="G1858">
        <v>5</v>
      </c>
      <c r="H1858" t="s">
        <v>48</v>
      </c>
      <c r="I1858" t="s">
        <v>42</v>
      </c>
      <c r="K1858" t="s">
        <v>43</v>
      </c>
      <c r="M1858" t="s">
        <v>65</v>
      </c>
      <c r="N1858" t="b">
        <v>0</v>
      </c>
      <c r="P1858" t="b">
        <v>0</v>
      </c>
      <c r="Q1858" t="b">
        <v>0</v>
      </c>
      <c r="R1858" t="b">
        <v>0</v>
      </c>
      <c r="S1858" t="b">
        <v>1</v>
      </c>
      <c r="T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b">
        <v>0</v>
      </c>
      <c r="AB1858" t="b">
        <v>1</v>
      </c>
      <c r="AC1858" t="b">
        <v>0</v>
      </c>
      <c r="AE1858" t="s">
        <v>4768</v>
      </c>
    </row>
    <row r="1859" spans="1:31" x14ac:dyDescent="0.3">
      <c r="A1859">
        <v>-73.972879753140006</v>
      </c>
      <c r="B1859">
        <v>40.778673314869998</v>
      </c>
      <c r="C1859" t="s">
        <v>4769</v>
      </c>
      <c r="D1859" t="s">
        <v>1138</v>
      </c>
      <c r="E1859" t="s">
        <v>33</v>
      </c>
      <c r="F1859">
        <v>10172018</v>
      </c>
      <c r="G1859">
        <v>1</v>
      </c>
      <c r="I1859" t="s">
        <v>42</v>
      </c>
      <c r="K1859" t="s">
        <v>43</v>
      </c>
      <c r="M1859" t="s">
        <v>44</v>
      </c>
      <c r="N1859">
        <v>20</v>
      </c>
      <c r="O1859" t="s">
        <v>456</v>
      </c>
      <c r="P1859" t="b">
        <v>0</v>
      </c>
      <c r="Q1859" t="b">
        <v>0</v>
      </c>
      <c r="R1859" t="b">
        <v>1</v>
      </c>
      <c r="S1859" t="b">
        <v>0</v>
      </c>
      <c r="T1859" t="b">
        <v>1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b">
        <v>0</v>
      </c>
      <c r="AB1859" t="b">
        <v>1</v>
      </c>
      <c r="AC1859" t="b">
        <v>0</v>
      </c>
      <c r="AE1859" t="s">
        <v>4770</v>
      </c>
    </row>
    <row r="1860" spans="1:31" x14ac:dyDescent="0.3">
      <c r="A1860">
        <v>-73.974201072610001</v>
      </c>
      <c r="B1860">
        <v>40.769150169930001</v>
      </c>
      <c r="C1860" t="s">
        <v>4771</v>
      </c>
      <c r="D1860" t="s">
        <v>250</v>
      </c>
      <c r="E1860" t="s">
        <v>38</v>
      </c>
      <c r="F1860">
        <v>10072018</v>
      </c>
      <c r="G1860">
        <v>3</v>
      </c>
      <c r="H1860" t="s">
        <v>48</v>
      </c>
      <c r="I1860" t="s">
        <v>42</v>
      </c>
      <c r="J1860" t="s">
        <v>53</v>
      </c>
      <c r="K1860" t="s">
        <v>54</v>
      </c>
      <c r="M1860" t="s">
        <v>65</v>
      </c>
      <c r="N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1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b">
        <v>0</v>
      </c>
      <c r="AB1860" t="b">
        <v>0</v>
      </c>
      <c r="AC1860" t="b">
        <v>0</v>
      </c>
      <c r="AE1860" t="s">
        <v>4772</v>
      </c>
    </row>
    <row r="1861" spans="1:31" x14ac:dyDescent="0.3">
      <c r="A1861">
        <v>-73.968114683020005</v>
      </c>
      <c r="B1861">
        <v>40.773677227939999</v>
      </c>
      <c r="C1861" t="s">
        <v>4773</v>
      </c>
      <c r="D1861" t="s">
        <v>1389</v>
      </c>
      <c r="E1861" t="s">
        <v>33</v>
      </c>
      <c r="F1861">
        <v>10072018</v>
      </c>
      <c r="G1861">
        <v>6</v>
      </c>
      <c r="H1861" t="s">
        <v>48</v>
      </c>
      <c r="I1861" t="s">
        <v>42</v>
      </c>
      <c r="J1861" t="s">
        <v>53</v>
      </c>
      <c r="K1861" t="s">
        <v>54</v>
      </c>
      <c r="M1861" t="s">
        <v>65</v>
      </c>
      <c r="N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1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b">
        <v>0</v>
      </c>
      <c r="AB1861" t="b">
        <v>0</v>
      </c>
      <c r="AC1861" t="b">
        <v>0</v>
      </c>
      <c r="AE1861" t="s">
        <v>4774</v>
      </c>
    </row>
    <row r="1862" spans="1:31" x14ac:dyDescent="0.3">
      <c r="A1862">
        <v>-73.976710010130006</v>
      </c>
      <c r="B1862">
        <v>40.7675779952</v>
      </c>
      <c r="C1862" t="s">
        <v>4775</v>
      </c>
      <c r="D1862" t="s">
        <v>879</v>
      </c>
      <c r="E1862" t="s">
        <v>33</v>
      </c>
      <c r="F1862">
        <v>10142018</v>
      </c>
      <c r="G1862">
        <v>3</v>
      </c>
      <c r="H1862" t="s">
        <v>48</v>
      </c>
      <c r="I1862" t="s">
        <v>42</v>
      </c>
      <c r="J1862" t="s">
        <v>59</v>
      </c>
      <c r="K1862" t="s">
        <v>79</v>
      </c>
      <c r="M1862" t="s">
        <v>65</v>
      </c>
      <c r="N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b">
        <v>0</v>
      </c>
      <c r="AB1862" t="b">
        <v>1</v>
      </c>
      <c r="AC1862" t="b">
        <v>0</v>
      </c>
      <c r="AE1862" t="s">
        <v>4776</v>
      </c>
    </row>
    <row r="1863" spans="1:31" x14ac:dyDescent="0.3">
      <c r="A1863">
        <v>-73.975556252679993</v>
      </c>
      <c r="B1863">
        <v>40.767882102949997</v>
      </c>
      <c r="C1863" t="s">
        <v>4777</v>
      </c>
      <c r="D1863" t="s">
        <v>215</v>
      </c>
      <c r="E1863" t="s">
        <v>38</v>
      </c>
      <c r="F1863">
        <v>10062018</v>
      </c>
      <c r="G1863">
        <v>7</v>
      </c>
      <c r="H1863" t="s">
        <v>48</v>
      </c>
      <c r="I1863" t="s">
        <v>42</v>
      </c>
      <c r="J1863" t="s">
        <v>53</v>
      </c>
      <c r="K1863" t="s">
        <v>54</v>
      </c>
      <c r="M1863" t="s">
        <v>65</v>
      </c>
      <c r="N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s">
        <v>4778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b">
        <v>0</v>
      </c>
      <c r="AB1863" t="b">
        <v>0</v>
      </c>
      <c r="AC1863" t="b">
        <v>0</v>
      </c>
      <c r="AE1863" t="s">
        <v>4779</v>
      </c>
    </row>
    <row r="1864" spans="1:31" x14ac:dyDescent="0.3">
      <c r="A1864">
        <v>-73.976485123179998</v>
      </c>
      <c r="B1864">
        <v>40.771573686289997</v>
      </c>
      <c r="C1864" t="s">
        <v>4780</v>
      </c>
      <c r="D1864" t="s">
        <v>2798</v>
      </c>
      <c r="E1864" t="s">
        <v>38</v>
      </c>
      <c r="F1864">
        <v>10072018</v>
      </c>
      <c r="G1864">
        <v>7</v>
      </c>
      <c r="H1864" t="s">
        <v>48</v>
      </c>
      <c r="I1864" t="s">
        <v>42</v>
      </c>
      <c r="J1864" t="s">
        <v>53</v>
      </c>
      <c r="K1864" t="s">
        <v>54</v>
      </c>
      <c r="M1864" t="s">
        <v>65</v>
      </c>
      <c r="N1864" t="b">
        <v>0</v>
      </c>
      <c r="P1864" t="b">
        <v>0</v>
      </c>
      <c r="Q1864" t="b">
        <v>0</v>
      </c>
      <c r="R1864" t="b">
        <v>1</v>
      </c>
      <c r="S1864" t="b">
        <v>0</v>
      </c>
      <c r="T1864" t="b">
        <v>0</v>
      </c>
      <c r="U1864" t="s">
        <v>4781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b">
        <v>1</v>
      </c>
      <c r="AB1864" t="b">
        <v>0</v>
      </c>
      <c r="AC1864" t="b">
        <v>1</v>
      </c>
      <c r="AD1864" t="s">
        <v>4782</v>
      </c>
      <c r="AE1864" t="s">
        <v>4783</v>
      </c>
    </row>
    <row r="1865" spans="1:31" x14ac:dyDescent="0.3">
      <c r="A1865">
        <v>-73.968283051100002</v>
      </c>
      <c r="B1865">
        <v>40.781015108730003</v>
      </c>
      <c r="C1865" t="s">
        <v>4784</v>
      </c>
      <c r="D1865" t="s">
        <v>208</v>
      </c>
      <c r="E1865" t="s">
        <v>33</v>
      </c>
      <c r="F1865">
        <v>10082018</v>
      </c>
      <c r="G1865">
        <v>3</v>
      </c>
      <c r="H1865" t="s">
        <v>48</v>
      </c>
      <c r="I1865" t="s">
        <v>42</v>
      </c>
      <c r="J1865" t="s">
        <v>96</v>
      </c>
      <c r="K1865" t="s">
        <v>97</v>
      </c>
      <c r="L1865" t="s">
        <v>4785</v>
      </c>
      <c r="M1865" t="s">
        <v>44</v>
      </c>
      <c r="N1865">
        <v>5</v>
      </c>
      <c r="O1865" t="s">
        <v>4786</v>
      </c>
      <c r="P1865" t="b">
        <v>0</v>
      </c>
      <c r="Q1865" t="b">
        <v>0</v>
      </c>
      <c r="R1865" t="b">
        <v>0</v>
      </c>
      <c r="S1865" t="b">
        <v>1</v>
      </c>
      <c r="T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 t="b">
        <v>1</v>
      </c>
      <c r="AC1865" t="b">
        <v>0</v>
      </c>
      <c r="AE1865" t="s">
        <v>4787</v>
      </c>
    </row>
    <row r="1866" spans="1:31" x14ac:dyDescent="0.3">
      <c r="A1866">
        <v>-73.969434495629997</v>
      </c>
      <c r="B1866">
        <v>40.77428692769</v>
      </c>
      <c r="C1866" t="s">
        <v>4788</v>
      </c>
      <c r="D1866" t="s">
        <v>988</v>
      </c>
      <c r="E1866" t="s">
        <v>33</v>
      </c>
      <c r="F1866">
        <v>10072018</v>
      </c>
      <c r="G1866">
        <v>1</v>
      </c>
      <c r="I1866" t="s">
        <v>42</v>
      </c>
      <c r="K1866" t="s">
        <v>43</v>
      </c>
      <c r="M1866" t="s">
        <v>44</v>
      </c>
      <c r="N1866">
        <v>40</v>
      </c>
      <c r="O1866" t="s">
        <v>456</v>
      </c>
      <c r="P1866" t="b">
        <v>0</v>
      </c>
      <c r="Q1866" t="b">
        <v>1</v>
      </c>
      <c r="R1866" t="b">
        <v>0</v>
      </c>
      <c r="S1866" t="b">
        <v>0</v>
      </c>
      <c r="T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b">
        <v>0</v>
      </c>
      <c r="AB1866" t="b">
        <v>0</v>
      </c>
      <c r="AC1866" t="b">
        <v>0</v>
      </c>
      <c r="AE1866" t="s">
        <v>4789</v>
      </c>
    </row>
    <row r="1867" spans="1:31" x14ac:dyDescent="0.3">
      <c r="A1867">
        <v>-73.955811888710002</v>
      </c>
      <c r="B1867">
        <v>40.796885713439998</v>
      </c>
      <c r="C1867" t="s">
        <v>4790</v>
      </c>
      <c r="D1867" t="s">
        <v>3964</v>
      </c>
      <c r="E1867" t="s">
        <v>33</v>
      </c>
      <c r="F1867">
        <v>10132018</v>
      </c>
      <c r="G1867">
        <v>1</v>
      </c>
      <c r="H1867" t="s">
        <v>48</v>
      </c>
      <c r="I1867" t="s">
        <v>42</v>
      </c>
      <c r="J1867" t="s">
        <v>53</v>
      </c>
      <c r="K1867" t="s">
        <v>54</v>
      </c>
      <c r="L1867" t="s">
        <v>4791</v>
      </c>
      <c r="M1867" t="s">
        <v>65</v>
      </c>
      <c r="N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1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b">
        <v>0</v>
      </c>
      <c r="AB1867" t="b">
        <v>0</v>
      </c>
      <c r="AC1867" t="b">
        <v>1</v>
      </c>
      <c r="AE1867" t="s">
        <v>4792</v>
      </c>
    </row>
    <row r="1868" spans="1:31" x14ac:dyDescent="0.3">
      <c r="A1868">
        <v>-73.963602766440005</v>
      </c>
      <c r="B1868">
        <v>40.790075966590003</v>
      </c>
      <c r="C1868" t="s">
        <v>4793</v>
      </c>
      <c r="D1868" t="s">
        <v>908</v>
      </c>
      <c r="E1868" t="s">
        <v>33</v>
      </c>
      <c r="F1868">
        <v>10192018</v>
      </c>
      <c r="G1868">
        <v>1</v>
      </c>
      <c r="H1868" t="s">
        <v>48</v>
      </c>
      <c r="I1868" t="s">
        <v>42</v>
      </c>
      <c r="J1868" t="s">
        <v>96</v>
      </c>
      <c r="K1868" t="s">
        <v>97</v>
      </c>
      <c r="M1868" t="s">
        <v>65</v>
      </c>
      <c r="N1868" t="b">
        <v>0</v>
      </c>
      <c r="P1868" t="b">
        <v>1</v>
      </c>
      <c r="Q1868" t="b">
        <v>0</v>
      </c>
      <c r="R1868" t="b">
        <v>0</v>
      </c>
      <c r="S1868" t="b">
        <v>1</v>
      </c>
      <c r="T1868" t="b">
        <v>1</v>
      </c>
      <c r="V1868" t="b">
        <v>0</v>
      </c>
      <c r="W1868" t="b">
        <v>0</v>
      </c>
      <c r="X1868" t="b">
        <v>0</v>
      </c>
      <c r="Y1868" t="b">
        <v>0</v>
      </c>
      <c r="Z1868" t="b">
        <v>1</v>
      </c>
      <c r="AA1868" t="b">
        <v>0</v>
      </c>
      <c r="AB1868" t="b">
        <v>0</v>
      </c>
      <c r="AC1868" t="b">
        <v>1</v>
      </c>
      <c r="AE1868" t="s">
        <v>4794</v>
      </c>
    </row>
    <row r="1869" spans="1:31" x14ac:dyDescent="0.3">
      <c r="A1869">
        <v>-73.974520416909996</v>
      </c>
      <c r="B1869">
        <v>40.773628286849998</v>
      </c>
      <c r="C1869" t="s">
        <v>4795</v>
      </c>
      <c r="D1869" t="s">
        <v>1401</v>
      </c>
      <c r="E1869" t="s">
        <v>38</v>
      </c>
      <c r="F1869">
        <v>10062018</v>
      </c>
      <c r="G1869">
        <v>1</v>
      </c>
      <c r="H1869" t="s">
        <v>48</v>
      </c>
      <c r="I1869" t="s">
        <v>42</v>
      </c>
      <c r="K1869" t="s">
        <v>43</v>
      </c>
      <c r="M1869" t="s">
        <v>44</v>
      </c>
      <c r="N1869">
        <v>40</v>
      </c>
      <c r="O1869" t="s">
        <v>2865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1</v>
      </c>
      <c r="AA1869" t="b">
        <v>0</v>
      </c>
      <c r="AB1869" t="b">
        <v>0</v>
      </c>
      <c r="AC1869" t="b">
        <v>0</v>
      </c>
      <c r="AE1869" t="s">
        <v>4796</v>
      </c>
    </row>
    <row r="1870" spans="1:31" x14ac:dyDescent="0.3">
      <c r="A1870">
        <v>-73.971226502280004</v>
      </c>
      <c r="B1870">
        <v>40.778379099120002</v>
      </c>
      <c r="C1870" t="s">
        <v>4797</v>
      </c>
      <c r="D1870" t="s">
        <v>1626</v>
      </c>
      <c r="E1870" t="s">
        <v>33</v>
      </c>
      <c r="F1870">
        <v>10172018</v>
      </c>
      <c r="G1870">
        <v>4</v>
      </c>
      <c r="H1870" t="s">
        <v>48</v>
      </c>
      <c r="I1870" t="s">
        <v>42</v>
      </c>
      <c r="J1870" t="s">
        <v>53</v>
      </c>
      <c r="K1870" t="s">
        <v>54</v>
      </c>
      <c r="M1870" t="s">
        <v>65</v>
      </c>
      <c r="N1870" t="b">
        <v>0</v>
      </c>
      <c r="P1870" t="b">
        <v>0</v>
      </c>
      <c r="Q1870" t="b">
        <v>0</v>
      </c>
      <c r="R1870" t="b">
        <v>0</v>
      </c>
      <c r="S1870" t="b">
        <v>1</v>
      </c>
      <c r="T1870" t="b">
        <v>1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b">
        <v>1</v>
      </c>
      <c r="AB1870" t="b">
        <v>0</v>
      </c>
      <c r="AC1870" t="b">
        <v>0</v>
      </c>
      <c r="AE1870" t="s">
        <v>4798</v>
      </c>
    </row>
    <row r="1871" spans="1:31" x14ac:dyDescent="0.3">
      <c r="A1871">
        <v>-73.971824827350005</v>
      </c>
      <c r="B1871">
        <v>40.780199897000003</v>
      </c>
      <c r="C1871" t="s">
        <v>4799</v>
      </c>
      <c r="D1871" t="s">
        <v>1882</v>
      </c>
      <c r="E1871" t="s">
        <v>33</v>
      </c>
      <c r="F1871">
        <v>10132018</v>
      </c>
      <c r="G1871">
        <v>1</v>
      </c>
      <c r="H1871" t="s">
        <v>48</v>
      </c>
      <c r="I1871" t="s">
        <v>42</v>
      </c>
      <c r="K1871" t="s">
        <v>43</v>
      </c>
      <c r="M1871" t="s">
        <v>65</v>
      </c>
      <c r="N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1</v>
      </c>
      <c r="U1871" t="s">
        <v>4800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b">
        <v>0</v>
      </c>
      <c r="AB1871" t="b">
        <v>1</v>
      </c>
      <c r="AC1871" t="b">
        <v>0</v>
      </c>
      <c r="AE1871" t="s">
        <v>4801</v>
      </c>
    </row>
    <row r="1872" spans="1:31" x14ac:dyDescent="0.3">
      <c r="A1872">
        <v>-73.954211861480005</v>
      </c>
      <c r="B1872">
        <v>40.793917139549997</v>
      </c>
      <c r="C1872" t="s">
        <v>4802</v>
      </c>
      <c r="D1872" t="s">
        <v>936</v>
      </c>
      <c r="E1872" t="s">
        <v>38</v>
      </c>
      <c r="F1872">
        <v>10142018</v>
      </c>
      <c r="G1872">
        <v>6</v>
      </c>
      <c r="H1872" t="s">
        <v>48</v>
      </c>
      <c r="I1872" t="s">
        <v>42</v>
      </c>
      <c r="J1872" t="s">
        <v>59</v>
      </c>
      <c r="K1872" t="s">
        <v>79</v>
      </c>
      <c r="L1872" t="s">
        <v>1896</v>
      </c>
      <c r="M1872" t="s">
        <v>65</v>
      </c>
      <c r="N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1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b">
        <v>0</v>
      </c>
      <c r="AB1872" t="b">
        <v>1</v>
      </c>
      <c r="AC1872" t="b">
        <v>0</v>
      </c>
      <c r="AE1872" t="s">
        <v>4803</v>
      </c>
    </row>
    <row r="1873" spans="1:31" x14ac:dyDescent="0.3">
      <c r="A1873">
        <v>-73.974836734440004</v>
      </c>
      <c r="B1873">
        <v>40.769351299999997</v>
      </c>
      <c r="C1873" t="s">
        <v>4804</v>
      </c>
      <c r="D1873" t="s">
        <v>245</v>
      </c>
      <c r="E1873" t="s">
        <v>33</v>
      </c>
      <c r="F1873">
        <v>10122018</v>
      </c>
      <c r="G1873">
        <v>6</v>
      </c>
      <c r="H1873" t="s">
        <v>48</v>
      </c>
      <c r="I1873" t="s">
        <v>53</v>
      </c>
      <c r="J1873" t="s">
        <v>115</v>
      </c>
      <c r="K1873" t="s">
        <v>116</v>
      </c>
      <c r="M1873" t="s">
        <v>44</v>
      </c>
      <c r="N1873">
        <v>10</v>
      </c>
      <c r="O1873" t="s">
        <v>4805</v>
      </c>
      <c r="P1873" t="b">
        <v>1</v>
      </c>
      <c r="Q1873" t="b">
        <v>0</v>
      </c>
      <c r="R1873" t="b">
        <v>0</v>
      </c>
      <c r="S1873" t="b">
        <v>0</v>
      </c>
      <c r="T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b">
        <v>0</v>
      </c>
      <c r="AB1873" t="b">
        <v>0</v>
      </c>
      <c r="AC1873" t="b">
        <v>1</v>
      </c>
      <c r="AE1873" t="s">
        <v>4806</v>
      </c>
    </row>
    <row r="1874" spans="1:31" x14ac:dyDescent="0.3">
      <c r="A1874">
        <v>-73.961399896789999</v>
      </c>
      <c r="B1874">
        <v>40.791243723569998</v>
      </c>
      <c r="C1874" t="s">
        <v>4807</v>
      </c>
      <c r="D1874" t="s">
        <v>607</v>
      </c>
      <c r="E1874" t="s">
        <v>33</v>
      </c>
      <c r="F1874">
        <v>10132018</v>
      </c>
      <c r="G1874">
        <v>2</v>
      </c>
      <c r="H1874" t="s">
        <v>48</v>
      </c>
      <c r="I1874" t="s">
        <v>42</v>
      </c>
      <c r="K1874" t="s">
        <v>43</v>
      </c>
      <c r="M1874" t="s">
        <v>65</v>
      </c>
      <c r="N1874" t="b">
        <v>0</v>
      </c>
      <c r="P1874" t="b">
        <v>0</v>
      </c>
      <c r="Q1874" t="b">
        <v>1</v>
      </c>
      <c r="R1874" t="b">
        <v>0</v>
      </c>
      <c r="S1874" t="b">
        <v>0</v>
      </c>
      <c r="T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1</v>
      </c>
      <c r="AA1874" t="b">
        <v>0</v>
      </c>
      <c r="AB1874" t="b">
        <v>0</v>
      </c>
      <c r="AC1874" t="b">
        <v>0</v>
      </c>
      <c r="AE1874" t="s">
        <v>4808</v>
      </c>
    </row>
    <row r="1875" spans="1:31" x14ac:dyDescent="0.3">
      <c r="A1875">
        <v>-73.955754300679999</v>
      </c>
      <c r="B1875">
        <v>40.795681399739998</v>
      </c>
      <c r="C1875" t="s">
        <v>4809</v>
      </c>
      <c r="D1875" t="s">
        <v>520</v>
      </c>
      <c r="E1875" t="s">
        <v>33</v>
      </c>
      <c r="F1875">
        <v>10142018</v>
      </c>
      <c r="G1875">
        <v>2</v>
      </c>
      <c r="H1875" t="s">
        <v>48</v>
      </c>
      <c r="I1875" t="s">
        <v>42</v>
      </c>
      <c r="J1875" t="s">
        <v>59</v>
      </c>
      <c r="K1875" t="s">
        <v>79</v>
      </c>
      <c r="M1875" t="s">
        <v>65</v>
      </c>
      <c r="N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1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b">
        <v>0</v>
      </c>
      <c r="AB1875" t="b">
        <v>1</v>
      </c>
      <c r="AC1875" t="b">
        <v>0</v>
      </c>
      <c r="AE1875" t="s">
        <v>4810</v>
      </c>
    </row>
    <row r="1876" spans="1:31" x14ac:dyDescent="0.3">
      <c r="A1876">
        <v>-73.965732733280007</v>
      </c>
      <c r="B1876">
        <v>40.774755456900003</v>
      </c>
      <c r="C1876" t="s">
        <v>4811</v>
      </c>
      <c r="D1876" t="s">
        <v>1090</v>
      </c>
      <c r="E1876" t="s">
        <v>33</v>
      </c>
      <c r="F1876">
        <v>10182018</v>
      </c>
      <c r="G1876">
        <v>3</v>
      </c>
      <c r="H1876" t="s">
        <v>105</v>
      </c>
      <c r="I1876" t="s">
        <v>42</v>
      </c>
      <c r="J1876" t="s">
        <v>176</v>
      </c>
      <c r="K1876" t="s">
        <v>339</v>
      </c>
      <c r="M1876" t="s">
        <v>44</v>
      </c>
      <c r="N1876">
        <v>4</v>
      </c>
      <c r="P1876" t="b">
        <v>0</v>
      </c>
      <c r="Q1876" t="b">
        <v>0</v>
      </c>
      <c r="R1876" t="b">
        <v>1</v>
      </c>
      <c r="S1876" t="b">
        <v>0</v>
      </c>
      <c r="T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 t="b">
        <v>1</v>
      </c>
      <c r="AC1876" t="b">
        <v>0</v>
      </c>
      <c r="AE1876" t="s">
        <v>4812</v>
      </c>
    </row>
    <row r="1877" spans="1:31" x14ac:dyDescent="0.3">
      <c r="A1877">
        <v>-73.952743051019993</v>
      </c>
      <c r="B1877">
        <v>40.792480795060001</v>
      </c>
      <c r="C1877" t="s">
        <v>4813</v>
      </c>
      <c r="D1877" t="s">
        <v>85</v>
      </c>
      <c r="E1877" t="s">
        <v>33</v>
      </c>
      <c r="F1877">
        <v>10072018</v>
      </c>
      <c r="G1877">
        <v>12</v>
      </c>
      <c r="H1877" t="s">
        <v>105</v>
      </c>
      <c r="I1877" t="s">
        <v>42</v>
      </c>
      <c r="J1877" t="s">
        <v>53</v>
      </c>
      <c r="K1877" t="s">
        <v>54</v>
      </c>
      <c r="L1877" t="s">
        <v>4814</v>
      </c>
      <c r="M1877" t="s">
        <v>44</v>
      </c>
      <c r="N1877">
        <v>2</v>
      </c>
      <c r="P1877" t="b">
        <v>0</v>
      </c>
      <c r="Q1877" t="b">
        <v>0</v>
      </c>
      <c r="R1877" t="b">
        <v>0</v>
      </c>
      <c r="S1877" t="b">
        <v>0</v>
      </c>
      <c r="T1877" t="b">
        <v>1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 t="b">
        <v>0</v>
      </c>
      <c r="AC1877" t="b">
        <v>0</v>
      </c>
      <c r="AE1877" t="s">
        <v>4815</v>
      </c>
    </row>
    <row r="1878" spans="1:31" x14ac:dyDescent="0.3">
      <c r="A1878">
        <v>-73.973598991550006</v>
      </c>
      <c r="B1878">
        <v>40.778302001699998</v>
      </c>
      <c r="C1878" t="s">
        <v>4816</v>
      </c>
      <c r="D1878" t="s">
        <v>785</v>
      </c>
      <c r="E1878" t="s">
        <v>33</v>
      </c>
      <c r="F1878">
        <v>10142018</v>
      </c>
      <c r="G1878">
        <v>3</v>
      </c>
      <c r="H1878" t="s">
        <v>48</v>
      </c>
      <c r="I1878" t="s">
        <v>42</v>
      </c>
      <c r="J1878" t="s">
        <v>96</v>
      </c>
      <c r="K1878" t="s">
        <v>97</v>
      </c>
      <c r="M1878" t="s">
        <v>65</v>
      </c>
      <c r="N1878" t="b">
        <v>0</v>
      </c>
      <c r="P1878" t="b">
        <v>0</v>
      </c>
      <c r="Q1878" t="b">
        <v>1</v>
      </c>
      <c r="R1878" t="b">
        <v>0</v>
      </c>
      <c r="S1878" t="b">
        <v>0</v>
      </c>
      <c r="T1878" t="b">
        <v>0</v>
      </c>
      <c r="U1878" t="s">
        <v>4139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b">
        <v>0</v>
      </c>
      <c r="AB1878" t="b">
        <v>1</v>
      </c>
      <c r="AC1878" t="b">
        <v>0</v>
      </c>
      <c r="AE1878" t="s">
        <v>4817</v>
      </c>
    </row>
    <row r="1879" spans="1:31" x14ac:dyDescent="0.3">
      <c r="A1879">
        <v>-73.952449077910003</v>
      </c>
      <c r="B1879">
        <v>40.793600321950002</v>
      </c>
      <c r="C1879" t="s">
        <v>4818</v>
      </c>
      <c r="D1879" t="s">
        <v>2053</v>
      </c>
      <c r="E1879" t="s">
        <v>38</v>
      </c>
      <c r="F1879">
        <v>10192018</v>
      </c>
      <c r="G1879">
        <v>1</v>
      </c>
      <c r="H1879" t="s">
        <v>48</v>
      </c>
      <c r="I1879" t="s">
        <v>42</v>
      </c>
      <c r="J1879" t="s">
        <v>53</v>
      </c>
      <c r="K1879" t="s">
        <v>54</v>
      </c>
      <c r="M1879" t="s">
        <v>65</v>
      </c>
      <c r="N1879" t="b">
        <v>0</v>
      </c>
      <c r="P1879" t="b">
        <v>1</v>
      </c>
      <c r="Q1879" t="b">
        <v>0</v>
      </c>
      <c r="R1879" t="b">
        <v>0</v>
      </c>
      <c r="S1879" t="b">
        <v>0</v>
      </c>
      <c r="T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b">
        <v>0</v>
      </c>
      <c r="AB1879" t="b">
        <v>1</v>
      </c>
      <c r="AC1879" t="b">
        <v>0</v>
      </c>
      <c r="AE1879" t="s">
        <v>4819</v>
      </c>
    </row>
    <row r="1880" spans="1:31" x14ac:dyDescent="0.3">
      <c r="A1880">
        <v>-73.976122391930005</v>
      </c>
      <c r="B1880">
        <v>40.768599827590002</v>
      </c>
      <c r="C1880" t="s">
        <v>4820</v>
      </c>
      <c r="D1880" t="s">
        <v>782</v>
      </c>
      <c r="E1880" t="s">
        <v>33</v>
      </c>
      <c r="F1880">
        <v>10082018</v>
      </c>
      <c r="G1880">
        <v>6</v>
      </c>
      <c r="H1880" t="s">
        <v>48</v>
      </c>
      <c r="I1880" t="s">
        <v>42</v>
      </c>
      <c r="J1880" t="s">
        <v>53</v>
      </c>
      <c r="K1880" t="s">
        <v>54</v>
      </c>
      <c r="P1880" t="b">
        <v>0</v>
      </c>
      <c r="Q1880" t="b">
        <v>0</v>
      </c>
      <c r="R1880" t="b">
        <v>0</v>
      </c>
      <c r="S1880" t="b">
        <v>1</v>
      </c>
      <c r="T1880" t="b">
        <v>1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b">
        <v>0</v>
      </c>
      <c r="AB1880" t="b">
        <v>1</v>
      </c>
      <c r="AC1880" t="b">
        <v>0</v>
      </c>
      <c r="AE1880" t="s">
        <v>4821</v>
      </c>
    </row>
    <row r="1881" spans="1:31" x14ac:dyDescent="0.3">
      <c r="A1881">
        <v>-73.970192673629995</v>
      </c>
      <c r="B1881">
        <v>40.777858768740003</v>
      </c>
      <c r="C1881" t="s">
        <v>4822</v>
      </c>
      <c r="D1881" t="s">
        <v>544</v>
      </c>
      <c r="E1881" t="s">
        <v>38</v>
      </c>
      <c r="F1881">
        <v>10072018</v>
      </c>
      <c r="G1881">
        <v>2</v>
      </c>
      <c r="H1881" t="s">
        <v>48</v>
      </c>
      <c r="I1881" t="s">
        <v>42</v>
      </c>
      <c r="K1881" t="s">
        <v>43</v>
      </c>
      <c r="M1881" t="s">
        <v>65</v>
      </c>
      <c r="N1881" t="b">
        <v>0</v>
      </c>
      <c r="P1881" t="b">
        <v>1</v>
      </c>
      <c r="Q1881" t="b">
        <v>0</v>
      </c>
      <c r="R1881" t="b">
        <v>0</v>
      </c>
      <c r="S1881" t="b">
        <v>0</v>
      </c>
      <c r="T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b">
        <v>0</v>
      </c>
      <c r="AB1881" t="b">
        <v>0</v>
      </c>
      <c r="AC1881" t="b">
        <v>1</v>
      </c>
      <c r="AE1881" t="s">
        <v>4823</v>
      </c>
    </row>
    <row r="1882" spans="1:31" x14ac:dyDescent="0.3">
      <c r="A1882">
        <v>-73.956236281680006</v>
      </c>
      <c r="B1882">
        <v>40.795045721900003</v>
      </c>
      <c r="C1882" t="s">
        <v>4824</v>
      </c>
      <c r="D1882" t="s">
        <v>520</v>
      </c>
      <c r="E1882" t="s">
        <v>38</v>
      </c>
      <c r="F1882">
        <v>10102018</v>
      </c>
      <c r="G1882">
        <v>8</v>
      </c>
      <c r="H1882" t="s">
        <v>48</v>
      </c>
      <c r="I1882" t="s">
        <v>42</v>
      </c>
      <c r="J1882" t="s">
        <v>53</v>
      </c>
      <c r="K1882" t="s">
        <v>54</v>
      </c>
      <c r="M1882" t="s">
        <v>65</v>
      </c>
      <c r="N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1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b">
        <v>0</v>
      </c>
      <c r="AB1882" t="b">
        <v>1</v>
      </c>
      <c r="AC1882" t="b">
        <v>0</v>
      </c>
      <c r="AE1882" t="s">
        <v>4825</v>
      </c>
    </row>
    <row r="1883" spans="1:31" x14ac:dyDescent="0.3">
      <c r="A1883">
        <v>-73.9674984567</v>
      </c>
      <c r="B1883">
        <v>40.774593826870003</v>
      </c>
      <c r="C1883" t="s">
        <v>4826</v>
      </c>
      <c r="D1883" t="s">
        <v>189</v>
      </c>
      <c r="E1883" t="s">
        <v>33</v>
      </c>
      <c r="F1883">
        <v>10102018</v>
      </c>
      <c r="G1883">
        <v>4</v>
      </c>
      <c r="H1883" t="s">
        <v>48</v>
      </c>
      <c r="I1883" t="s">
        <v>42</v>
      </c>
      <c r="K1883" t="s">
        <v>43</v>
      </c>
      <c r="M1883" t="s">
        <v>65</v>
      </c>
      <c r="N1883" t="b">
        <v>0</v>
      </c>
      <c r="P1883" t="b">
        <v>0</v>
      </c>
      <c r="Q1883" t="b">
        <v>0</v>
      </c>
      <c r="R1883" t="b">
        <v>0</v>
      </c>
      <c r="S1883" t="b">
        <v>1</v>
      </c>
      <c r="T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b">
        <v>0</v>
      </c>
      <c r="AB1883" t="b">
        <v>1</v>
      </c>
      <c r="AC1883" t="b">
        <v>0</v>
      </c>
      <c r="AE1883" t="s">
        <v>4827</v>
      </c>
    </row>
    <row r="1884" spans="1:31" x14ac:dyDescent="0.3">
      <c r="A1884">
        <v>-73.954160146909999</v>
      </c>
      <c r="B1884">
        <v>40.790783274470002</v>
      </c>
      <c r="C1884" t="s">
        <v>4828</v>
      </c>
      <c r="D1884" t="s">
        <v>1025</v>
      </c>
      <c r="E1884" t="s">
        <v>33</v>
      </c>
      <c r="F1884">
        <v>10102018</v>
      </c>
      <c r="G1884">
        <v>4</v>
      </c>
      <c r="H1884" t="s">
        <v>48</v>
      </c>
      <c r="I1884" t="s">
        <v>42</v>
      </c>
      <c r="K1884" t="s">
        <v>43</v>
      </c>
      <c r="M1884" t="s">
        <v>65</v>
      </c>
      <c r="N1884" t="b">
        <v>0</v>
      </c>
      <c r="O1884" t="s">
        <v>4829</v>
      </c>
      <c r="P1884" t="b">
        <v>1</v>
      </c>
      <c r="Q1884" t="b">
        <v>0</v>
      </c>
      <c r="R1884" t="b">
        <v>1</v>
      </c>
      <c r="S1884" t="b">
        <v>0</v>
      </c>
      <c r="T1884" t="b">
        <v>0</v>
      </c>
      <c r="U1884" t="s">
        <v>75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b">
        <v>0</v>
      </c>
      <c r="AB1884" t="b">
        <v>0</v>
      </c>
      <c r="AC1884" t="b">
        <v>0</v>
      </c>
      <c r="AE1884" t="s">
        <v>4830</v>
      </c>
    </row>
    <row r="1885" spans="1:31" x14ac:dyDescent="0.3">
      <c r="A1885">
        <v>-73.956810846509995</v>
      </c>
      <c r="B1885">
        <v>40.797172702609998</v>
      </c>
      <c r="C1885" t="s">
        <v>4831</v>
      </c>
      <c r="D1885" t="s">
        <v>1945</v>
      </c>
      <c r="E1885" t="s">
        <v>38</v>
      </c>
      <c r="F1885">
        <v>10082018</v>
      </c>
      <c r="G1885">
        <v>5</v>
      </c>
      <c r="H1885" t="s">
        <v>48</v>
      </c>
      <c r="I1885" t="s">
        <v>42</v>
      </c>
      <c r="K1885" t="s">
        <v>43</v>
      </c>
      <c r="M1885" t="s">
        <v>65</v>
      </c>
      <c r="N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b">
        <v>0</v>
      </c>
      <c r="AB1885" t="b">
        <v>0</v>
      </c>
      <c r="AC1885" t="b">
        <v>0</v>
      </c>
      <c r="AE1885" t="s">
        <v>4832</v>
      </c>
    </row>
    <row r="1886" spans="1:31" x14ac:dyDescent="0.3">
      <c r="A1886">
        <v>-73.973389848729994</v>
      </c>
      <c r="B1886">
        <v>40.76669751315</v>
      </c>
      <c r="C1886" t="s">
        <v>4833</v>
      </c>
      <c r="D1886" t="s">
        <v>1899</v>
      </c>
      <c r="E1886" t="s">
        <v>33</v>
      </c>
      <c r="F1886">
        <v>10142018</v>
      </c>
      <c r="G1886">
        <v>2</v>
      </c>
      <c r="H1886" t="s">
        <v>48</v>
      </c>
      <c r="I1886" t="s">
        <v>42</v>
      </c>
      <c r="J1886" t="s">
        <v>53</v>
      </c>
      <c r="K1886" t="s">
        <v>54</v>
      </c>
      <c r="M1886" t="s">
        <v>65</v>
      </c>
      <c r="N1886" t="b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1</v>
      </c>
      <c r="AA1886" t="b">
        <v>0</v>
      </c>
      <c r="AB1886" t="b">
        <v>0</v>
      </c>
      <c r="AC1886" t="b">
        <v>1</v>
      </c>
      <c r="AE1886" t="s">
        <v>4834</v>
      </c>
    </row>
    <row r="1887" spans="1:31" x14ac:dyDescent="0.3">
      <c r="A1887">
        <v>-73.959417460560005</v>
      </c>
      <c r="B1887">
        <v>40.79731286538</v>
      </c>
      <c r="C1887" t="s">
        <v>4835</v>
      </c>
      <c r="D1887" t="s">
        <v>431</v>
      </c>
      <c r="E1887" t="s">
        <v>38</v>
      </c>
      <c r="F1887">
        <v>10192018</v>
      </c>
      <c r="G1887">
        <v>2</v>
      </c>
      <c r="H1887" t="s">
        <v>105</v>
      </c>
      <c r="I1887" t="s">
        <v>42</v>
      </c>
      <c r="J1887" t="s">
        <v>96</v>
      </c>
      <c r="K1887" t="s">
        <v>97</v>
      </c>
      <c r="M1887" t="s">
        <v>65</v>
      </c>
      <c r="N1887" t="b">
        <v>0</v>
      </c>
      <c r="P1887" t="b">
        <v>0</v>
      </c>
      <c r="Q1887" t="b">
        <v>0</v>
      </c>
      <c r="R1887" t="b">
        <v>0</v>
      </c>
      <c r="S1887" t="b">
        <v>1</v>
      </c>
      <c r="T1887" t="b">
        <v>1</v>
      </c>
      <c r="V1887" t="b">
        <v>0</v>
      </c>
      <c r="W1887" t="b">
        <v>0</v>
      </c>
      <c r="X1887" t="b">
        <v>0</v>
      </c>
      <c r="Y1887" t="b">
        <v>0</v>
      </c>
      <c r="Z1887" t="b">
        <v>1</v>
      </c>
      <c r="AA1887" t="b">
        <v>0</v>
      </c>
      <c r="AB1887" t="b">
        <v>1</v>
      </c>
      <c r="AC1887" t="b">
        <v>0</v>
      </c>
      <c r="AE1887" t="s">
        <v>4836</v>
      </c>
    </row>
    <row r="1888" spans="1:31" x14ac:dyDescent="0.3">
      <c r="A1888">
        <v>-73.956806913989993</v>
      </c>
      <c r="B1888">
        <v>40.798773690090002</v>
      </c>
      <c r="C1888" t="s">
        <v>4837</v>
      </c>
      <c r="D1888" t="s">
        <v>1130</v>
      </c>
      <c r="E1888" t="s">
        <v>38</v>
      </c>
      <c r="F1888">
        <v>10172018</v>
      </c>
      <c r="G1888">
        <v>6</v>
      </c>
      <c r="H1888" t="s">
        <v>48</v>
      </c>
      <c r="I1888" t="s">
        <v>42</v>
      </c>
      <c r="K1888" t="s">
        <v>43</v>
      </c>
      <c r="M1888" t="s">
        <v>44</v>
      </c>
      <c r="N1888">
        <v>4</v>
      </c>
      <c r="P1888" t="b">
        <v>0</v>
      </c>
      <c r="Q1888" t="b">
        <v>0</v>
      </c>
      <c r="R1888" t="b">
        <v>1</v>
      </c>
      <c r="S1888" t="b">
        <v>0</v>
      </c>
      <c r="T1888" t="b">
        <v>0</v>
      </c>
      <c r="V1888" t="b">
        <v>1</v>
      </c>
      <c r="W1888" t="b">
        <v>0</v>
      </c>
      <c r="X1888" t="b">
        <v>0</v>
      </c>
      <c r="Y1888" t="b">
        <v>0</v>
      </c>
      <c r="Z1888" t="b">
        <v>0</v>
      </c>
      <c r="AA1888" t="b">
        <v>0</v>
      </c>
      <c r="AB1888" t="b">
        <v>1</v>
      </c>
      <c r="AC1888" t="b">
        <v>0</v>
      </c>
      <c r="AE1888" t="s">
        <v>4838</v>
      </c>
    </row>
    <row r="1889" spans="1:31" x14ac:dyDescent="0.3">
      <c r="A1889">
        <v>-73.958618423290005</v>
      </c>
      <c r="B1889">
        <v>40.799315383290001</v>
      </c>
      <c r="C1889" t="s">
        <v>4839</v>
      </c>
      <c r="D1889" t="s">
        <v>468</v>
      </c>
      <c r="E1889" t="s">
        <v>33</v>
      </c>
      <c r="F1889">
        <v>10072018</v>
      </c>
      <c r="G1889">
        <v>2</v>
      </c>
      <c r="H1889" t="s">
        <v>48</v>
      </c>
      <c r="I1889" t="s">
        <v>176</v>
      </c>
      <c r="K1889" t="s">
        <v>177</v>
      </c>
      <c r="M1889" t="s">
        <v>44</v>
      </c>
      <c r="N1889">
        <v>15</v>
      </c>
      <c r="P1889" t="b">
        <v>0</v>
      </c>
      <c r="Q1889" t="b">
        <v>0</v>
      </c>
      <c r="R1889" t="b">
        <v>1</v>
      </c>
      <c r="S1889" t="b">
        <v>0</v>
      </c>
      <c r="T1889" t="b">
        <v>0</v>
      </c>
      <c r="U1889" t="s">
        <v>685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b">
        <v>0</v>
      </c>
      <c r="AB1889" t="b">
        <v>0</v>
      </c>
      <c r="AC1889" t="b">
        <v>0</v>
      </c>
      <c r="AD1889" t="s">
        <v>4366</v>
      </c>
      <c r="AE1889" t="s">
        <v>4840</v>
      </c>
    </row>
    <row r="1890" spans="1:31" x14ac:dyDescent="0.3">
      <c r="A1890">
        <v>-73.967391907579994</v>
      </c>
      <c r="B1890">
        <v>40.77868457692</v>
      </c>
      <c r="C1890" t="s">
        <v>4841</v>
      </c>
      <c r="D1890" t="s">
        <v>111</v>
      </c>
      <c r="E1890" t="s">
        <v>33</v>
      </c>
      <c r="F1890">
        <v>10202018</v>
      </c>
      <c r="G1890">
        <v>5</v>
      </c>
      <c r="H1890" t="s">
        <v>48</v>
      </c>
      <c r="I1890" t="s">
        <v>42</v>
      </c>
      <c r="K1890" t="s">
        <v>43</v>
      </c>
      <c r="M1890" t="s">
        <v>65</v>
      </c>
      <c r="N1890" t="b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b">
        <v>0</v>
      </c>
      <c r="AB1890" t="b">
        <v>0</v>
      </c>
      <c r="AC1890" t="b">
        <v>0</v>
      </c>
      <c r="AE1890" t="s">
        <v>4842</v>
      </c>
    </row>
    <row r="1891" spans="1:31" x14ac:dyDescent="0.3">
      <c r="A1891">
        <v>-73.967931975829998</v>
      </c>
      <c r="B1891">
        <v>40.782115480240002</v>
      </c>
      <c r="C1891" t="s">
        <v>4843</v>
      </c>
      <c r="D1891" t="s">
        <v>1035</v>
      </c>
      <c r="E1891" t="s">
        <v>33</v>
      </c>
      <c r="F1891">
        <v>10182018</v>
      </c>
      <c r="G1891">
        <v>7</v>
      </c>
      <c r="H1891" t="s">
        <v>105</v>
      </c>
      <c r="I1891" t="s">
        <v>53</v>
      </c>
      <c r="J1891" t="s">
        <v>59</v>
      </c>
      <c r="K1891" t="s">
        <v>60</v>
      </c>
      <c r="M1891" t="s">
        <v>65</v>
      </c>
      <c r="N1891" t="b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  <c r="AB1891" t="b">
        <v>0</v>
      </c>
      <c r="AC1891" t="b">
        <v>0</v>
      </c>
      <c r="AE1891" t="s">
        <v>4844</v>
      </c>
    </row>
    <row r="1892" spans="1:31" x14ac:dyDescent="0.3">
      <c r="A1892">
        <v>-73.97877230828</v>
      </c>
      <c r="B1892">
        <v>40.771365575399997</v>
      </c>
      <c r="C1892" t="s">
        <v>4845</v>
      </c>
      <c r="D1892" t="s">
        <v>327</v>
      </c>
      <c r="E1892" t="s">
        <v>33</v>
      </c>
      <c r="F1892">
        <v>10102018</v>
      </c>
      <c r="G1892">
        <v>3</v>
      </c>
      <c r="H1892" t="s">
        <v>48</v>
      </c>
      <c r="I1892" t="s">
        <v>42</v>
      </c>
      <c r="K1892" t="s">
        <v>43</v>
      </c>
      <c r="M1892" t="s">
        <v>44</v>
      </c>
      <c r="N1892">
        <v>30</v>
      </c>
      <c r="P1892" t="b">
        <v>0</v>
      </c>
      <c r="Q1892" t="b">
        <v>0</v>
      </c>
      <c r="R1892" t="b">
        <v>1</v>
      </c>
      <c r="S1892" t="b">
        <v>0</v>
      </c>
      <c r="T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b">
        <v>0</v>
      </c>
      <c r="AB1892" t="b">
        <v>0</v>
      </c>
      <c r="AC1892" t="b">
        <v>0</v>
      </c>
      <c r="AE1892" t="s">
        <v>4846</v>
      </c>
    </row>
    <row r="1893" spans="1:31" x14ac:dyDescent="0.3">
      <c r="A1893">
        <v>-73.974964157589994</v>
      </c>
      <c r="B1893">
        <v>40.767330505629999</v>
      </c>
      <c r="C1893" t="s">
        <v>4847</v>
      </c>
      <c r="D1893" t="s">
        <v>1701</v>
      </c>
      <c r="E1893" t="s">
        <v>38</v>
      </c>
      <c r="F1893">
        <v>10062018</v>
      </c>
      <c r="G1893">
        <v>5</v>
      </c>
      <c r="H1893" t="s">
        <v>48</v>
      </c>
      <c r="I1893" t="s">
        <v>53</v>
      </c>
      <c r="J1893" t="s">
        <v>42</v>
      </c>
      <c r="K1893" t="s">
        <v>89</v>
      </c>
      <c r="M1893" t="s">
        <v>44</v>
      </c>
      <c r="N1893">
        <v>3</v>
      </c>
      <c r="P1893" t="b">
        <v>0</v>
      </c>
      <c r="Q1893" t="b">
        <v>0</v>
      </c>
      <c r="R1893" t="b">
        <v>1</v>
      </c>
      <c r="S1893" t="b">
        <v>1</v>
      </c>
      <c r="T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b">
        <v>0</v>
      </c>
      <c r="AB1893" t="b">
        <v>0</v>
      </c>
      <c r="AC1893" t="b">
        <v>1</v>
      </c>
      <c r="AE1893" t="s">
        <v>4848</v>
      </c>
    </row>
    <row r="1894" spans="1:31" x14ac:dyDescent="0.3">
      <c r="A1894">
        <v>-73.974590898800002</v>
      </c>
      <c r="B1894">
        <v>40.765519151230002</v>
      </c>
      <c r="C1894" t="s">
        <v>4849</v>
      </c>
      <c r="D1894" t="s">
        <v>963</v>
      </c>
      <c r="E1894" t="s">
        <v>38</v>
      </c>
      <c r="F1894">
        <v>10062018</v>
      </c>
      <c r="G1894">
        <v>3</v>
      </c>
      <c r="H1894" t="s">
        <v>48</v>
      </c>
      <c r="I1894" t="s">
        <v>176</v>
      </c>
      <c r="J1894" t="s">
        <v>53</v>
      </c>
      <c r="K1894" t="s">
        <v>705</v>
      </c>
      <c r="M1894" t="s">
        <v>65</v>
      </c>
      <c r="N1894" t="b">
        <v>0</v>
      </c>
      <c r="P1894" t="b">
        <v>0</v>
      </c>
      <c r="Q1894" t="b">
        <v>1</v>
      </c>
      <c r="R1894" t="b">
        <v>0</v>
      </c>
      <c r="S1894" t="b">
        <v>0</v>
      </c>
      <c r="T1894" t="b">
        <v>1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b">
        <v>1</v>
      </c>
      <c r="AB1894" t="b">
        <v>0</v>
      </c>
      <c r="AC1894" t="b">
        <v>0</v>
      </c>
      <c r="AE1894" t="s">
        <v>4850</v>
      </c>
    </row>
    <row r="1895" spans="1:31" x14ac:dyDescent="0.3">
      <c r="A1895">
        <v>-73.970810831229997</v>
      </c>
      <c r="B1895">
        <v>40.777397577610003</v>
      </c>
      <c r="C1895" t="s">
        <v>4851</v>
      </c>
      <c r="D1895" t="s">
        <v>729</v>
      </c>
      <c r="E1895" t="s">
        <v>33</v>
      </c>
      <c r="F1895">
        <v>10192018</v>
      </c>
      <c r="G1895">
        <v>9</v>
      </c>
      <c r="H1895" t="s">
        <v>48</v>
      </c>
      <c r="I1895" t="s">
        <v>42</v>
      </c>
      <c r="J1895" t="s">
        <v>53</v>
      </c>
      <c r="K1895" t="s">
        <v>54</v>
      </c>
      <c r="M1895" t="s">
        <v>65</v>
      </c>
      <c r="N1895" t="b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b">
        <v>0</v>
      </c>
      <c r="AB1895" t="b">
        <v>0</v>
      </c>
      <c r="AC1895" t="b">
        <v>1</v>
      </c>
      <c r="AE1895" t="s">
        <v>4852</v>
      </c>
    </row>
    <row r="1896" spans="1:31" x14ac:dyDescent="0.3">
      <c r="A1896">
        <v>-73.969978085730006</v>
      </c>
      <c r="B1896">
        <v>40.768870604690001</v>
      </c>
      <c r="C1896" t="s">
        <v>4853</v>
      </c>
      <c r="D1896" t="s">
        <v>228</v>
      </c>
      <c r="E1896" t="s">
        <v>33</v>
      </c>
      <c r="F1896">
        <v>10132018</v>
      </c>
      <c r="G1896">
        <v>1</v>
      </c>
      <c r="H1896" t="s">
        <v>48</v>
      </c>
      <c r="I1896" t="s">
        <v>42</v>
      </c>
      <c r="J1896" t="s">
        <v>176</v>
      </c>
      <c r="K1896" t="s">
        <v>339</v>
      </c>
      <c r="M1896" t="s">
        <v>65</v>
      </c>
      <c r="N1896" t="b">
        <v>0</v>
      </c>
      <c r="P1896" t="b">
        <v>1</v>
      </c>
      <c r="Q1896" t="b">
        <v>0</v>
      </c>
      <c r="R1896" t="b">
        <v>0</v>
      </c>
      <c r="S1896" t="b">
        <v>0</v>
      </c>
      <c r="T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1</v>
      </c>
      <c r="AA1896" t="b">
        <v>0</v>
      </c>
      <c r="AB1896" t="b">
        <v>1</v>
      </c>
      <c r="AC1896" t="b">
        <v>0</v>
      </c>
      <c r="AE1896" t="s">
        <v>4854</v>
      </c>
    </row>
    <row r="1897" spans="1:31" x14ac:dyDescent="0.3">
      <c r="A1897">
        <v>-73.954699659639999</v>
      </c>
      <c r="B1897">
        <v>40.79513088569</v>
      </c>
      <c r="C1897" t="s">
        <v>4855</v>
      </c>
      <c r="D1897" t="s">
        <v>363</v>
      </c>
      <c r="E1897" t="s">
        <v>38</v>
      </c>
      <c r="F1897">
        <v>10182018</v>
      </c>
      <c r="G1897">
        <v>2</v>
      </c>
      <c r="H1897" t="s">
        <v>48</v>
      </c>
      <c r="I1897" t="s">
        <v>42</v>
      </c>
      <c r="J1897" t="s">
        <v>96</v>
      </c>
      <c r="K1897" t="s">
        <v>97</v>
      </c>
      <c r="M1897" t="s">
        <v>65</v>
      </c>
      <c r="N1897" t="b">
        <v>0</v>
      </c>
      <c r="P1897" t="b">
        <v>1</v>
      </c>
      <c r="Q1897" t="b">
        <v>0</v>
      </c>
      <c r="R1897" t="b">
        <v>0</v>
      </c>
      <c r="S1897" t="b">
        <v>0</v>
      </c>
      <c r="T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b">
        <v>0</v>
      </c>
      <c r="AB1897" t="b">
        <v>1</v>
      </c>
      <c r="AC1897" t="b">
        <v>0</v>
      </c>
      <c r="AE1897" t="s">
        <v>4856</v>
      </c>
    </row>
    <row r="1898" spans="1:31" x14ac:dyDescent="0.3">
      <c r="A1898">
        <v>-73.973998077369998</v>
      </c>
      <c r="B1898">
        <v>40.773902913390003</v>
      </c>
      <c r="C1898" t="s">
        <v>4857</v>
      </c>
      <c r="D1898" t="s">
        <v>839</v>
      </c>
      <c r="E1898" t="s">
        <v>33</v>
      </c>
      <c r="F1898">
        <v>10132018</v>
      </c>
      <c r="G1898">
        <v>1</v>
      </c>
      <c r="H1898" t="s">
        <v>48</v>
      </c>
      <c r="I1898" t="s">
        <v>42</v>
      </c>
      <c r="J1898" t="s">
        <v>53</v>
      </c>
      <c r="K1898" t="s">
        <v>54</v>
      </c>
      <c r="M1898" t="s">
        <v>65</v>
      </c>
      <c r="N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1</v>
      </c>
      <c r="V1898" t="b">
        <v>0</v>
      </c>
      <c r="W1898" t="b">
        <v>0</v>
      </c>
      <c r="X1898" t="b">
        <v>0</v>
      </c>
      <c r="Y1898" t="b">
        <v>0</v>
      </c>
      <c r="Z1898" t="b">
        <v>1</v>
      </c>
      <c r="AA1898" t="b">
        <v>0</v>
      </c>
      <c r="AB1898" t="b">
        <v>0</v>
      </c>
      <c r="AC1898" t="b">
        <v>1</v>
      </c>
      <c r="AE1898" t="s">
        <v>4858</v>
      </c>
    </row>
    <row r="1899" spans="1:31" x14ac:dyDescent="0.3">
      <c r="A1899">
        <v>-73.971073896009997</v>
      </c>
      <c r="B1899">
        <v>40.772326581050002</v>
      </c>
      <c r="C1899" t="s">
        <v>4859</v>
      </c>
      <c r="D1899" t="s">
        <v>314</v>
      </c>
      <c r="E1899" t="s">
        <v>33</v>
      </c>
      <c r="F1899">
        <v>10192018</v>
      </c>
      <c r="G1899">
        <v>7</v>
      </c>
      <c r="H1899" t="s">
        <v>48</v>
      </c>
      <c r="I1899" t="s">
        <v>42</v>
      </c>
      <c r="J1899" t="s">
        <v>53</v>
      </c>
      <c r="K1899" t="s">
        <v>54</v>
      </c>
      <c r="M1899" t="s">
        <v>44</v>
      </c>
      <c r="N1899">
        <v>10</v>
      </c>
      <c r="O1899" t="s">
        <v>4860</v>
      </c>
      <c r="P1899" t="b">
        <v>0</v>
      </c>
      <c r="Q1899" t="b">
        <v>0</v>
      </c>
      <c r="R1899" t="b">
        <v>1</v>
      </c>
      <c r="S1899" t="b">
        <v>0</v>
      </c>
      <c r="T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b">
        <v>0</v>
      </c>
      <c r="AB1899" t="b">
        <v>1</v>
      </c>
      <c r="AC1899" t="b">
        <v>0</v>
      </c>
      <c r="AE1899" t="s">
        <v>4861</v>
      </c>
    </row>
    <row r="1900" spans="1:31" x14ac:dyDescent="0.3">
      <c r="A1900">
        <v>-73.972126305049997</v>
      </c>
      <c r="B1900">
        <v>40.769876384619998</v>
      </c>
      <c r="C1900" t="s">
        <v>4862</v>
      </c>
      <c r="D1900" t="s">
        <v>402</v>
      </c>
      <c r="E1900" t="s">
        <v>33</v>
      </c>
      <c r="F1900">
        <v>10182018</v>
      </c>
      <c r="G1900">
        <v>1</v>
      </c>
      <c r="H1900" t="s">
        <v>48</v>
      </c>
      <c r="I1900" t="s">
        <v>42</v>
      </c>
      <c r="J1900" t="s">
        <v>96</v>
      </c>
      <c r="K1900" t="s">
        <v>97</v>
      </c>
      <c r="M1900" t="s">
        <v>65</v>
      </c>
      <c r="N1900" t="b">
        <v>0</v>
      </c>
      <c r="P1900" t="b">
        <v>0</v>
      </c>
      <c r="Q1900" t="b">
        <v>0</v>
      </c>
      <c r="R1900" t="b">
        <v>0</v>
      </c>
      <c r="S1900" t="b">
        <v>1</v>
      </c>
      <c r="T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b">
        <v>0</v>
      </c>
      <c r="AB1900" t="b">
        <v>1</v>
      </c>
      <c r="AC1900" t="b">
        <v>0</v>
      </c>
      <c r="AE1900" t="s">
        <v>4863</v>
      </c>
    </row>
    <row r="1901" spans="1:31" x14ac:dyDescent="0.3">
      <c r="A1901">
        <v>-73.976431409140005</v>
      </c>
      <c r="B1901">
        <v>40.773645805800001</v>
      </c>
      <c r="C1901" t="s">
        <v>4864</v>
      </c>
      <c r="D1901" t="s">
        <v>235</v>
      </c>
      <c r="E1901" t="s">
        <v>38</v>
      </c>
      <c r="F1901">
        <v>10072018</v>
      </c>
      <c r="G1901">
        <v>2</v>
      </c>
      <c r="H1901" t="s">
        <v>48</v>
      </c>
      <c r="I1901" t="s">
        <v>42</v>
      </c>
      <c r="K1901" t="s">
        <v>43</v>
      </c>
      <c r="M1901" t="s">
        <v>44</v>
      </c>
      <c r="N1901">
        <v>20</v>
      </c>
      <c r="P1901" t="b">
        <v>0</v>
      </c>
      <c r="Q1901" t="b">
        <v>0</v>
      </c>
      <c r="R1901" t="b">
        <v>1</v>
      </c>
      <c r="S1901" t="b">
        <v>0</v>
      </c>
      <c r="T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b">
        <v>0</v>
      </c>
      <c r="AB1901" t="b">
        <v>1</v>
      </c>
      <c r="AC1901" t="b">
        <v>0</v>
      </c>
      <c r="AE1901" t="s">
        <v>4865</v>
      </c>
    </row>
    <row r="1902" spans="1:31" x14ac:dyDescent="0.3">
      <c r="A1902">
        <v>-73.952922480240005</v>
      </c>
      <c r="B1902">
        <v>40.79618957636</v>
      </c>
      <c r="C1902" t="s">
        <v>4866</v>
      </c>
      <c r="D1902" t="s">
        <v>1292</v>
      </c>
      <c r="E1902" t="s">
        <v>33</v>
      </c>
      <c r="F1902">
        <v>10132018</v>
      </c>
      <c r="G1902">
        <v>5</v>
      </c>
      <c r="H1902" t="s">
        <v>48</v>
      </c>
      <c r="I1902" t="s">
        <v>42</v>
      </c>
      <c r="K1902" t="s">
        <v>43</v>
      </c>
      <c r="M1902" t="s">
        <v>65</v>
      </c>
      <c r="N1902" t="b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b">
        <v>0</v>
      </c>
      <c r="AB1902" t="b">
        <v>0</v>
      </c>
      <c r="AC1902" t="b">
        <v>1</v>
      </c>
      <c r="AD1902" t="s">
        <v>4867</v>
      </c>
      <c r="AE1902" t="s">
        <v>4868</v>
      </c>
    </row>
    <row r="1903" spans="1:31" x14ac:dyDescent="0.3">
      <c r="A1903">
        <v>-73.968023720960005</v>
      </c>
      <c r="B1903">
        <v>40.771702220820004</v>
      </c>
      <c r="C1903" t="s">
        <v>4869</v>
      </c>
      <c r="D1903" t="s">
        <v>1000</v>
      </c>
      <c r="E1903" t="s">
        <v>38</v>
      </c>
      <c r="F1903">
        <v>10102018</v>
      </c>
      <c r="G1903">
        <v>4</v>
      </c>
      <c r="H1903" t="s">
        <v>48</v>
      </c>
      <c r="I1903" t="s">
        <v>42</v>
      </c>
      <c r="J1903" t="s">
        <v>59</v>
      </c>
      <c r="K1903" t="s">
        <v>79</v>
      </c>
      <c r="M1903" t="s">
        <v>65</v>
      </c>
      <c r="N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1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b">
        <v>0</v>
      </c>
      <c r="AB1903" t="b">
        <v>1</v>
      </c>
      <c r="AC1903" t="b">
        <v>0</v>
      </c>
      <c r="AE1903" t="s">
        <v>4870</v>
      </c>
    </row>
    <row r="1904" spans="1:31" x14ac:dyDescent="0.3">
      <c r="A1904">
        <v>-73.970331416240001</v>
      </c>
      <c r="B1904">
        <v>40.778584776140001</v>
      </c>
      <c r="C1904" t="s">
        <v>4871</v>
      </c>
      <c r="D1904" t="s">
        <v>709</v>
      </c>
      <c r="E1904" t="s">
        <v>33</v>
      </c>
      <c r="F1904">
        <v>10102018</v>
      </c>
      <c r="G1904">
        <v>12</v>
      </c>
      <c r="H1904" t="s">
        <v>48</v>
      </c>
      <c r="I1904" t="s">
        <v>42</v>
      </c>
      <c r="K1904" t="s">
        <v>43</v>
      </c>
      <c r="M1904" t="s">
        <v>65</v>
      </c>
      <c r="N1904" t="b">
        <v>0</v>
      </c>
      <c r="P1904" t="b">
        <v>0</v>
      </c>
      <c r="Q1904" t="b">
        <v>0</v>
      </c>
      <c r="R1904" t="b">
        <v>0</v>
      </c>
      <c r="S1904" t="b">
        <v>1</v>
      </c>
      <c r="T1904" t="b">
        <v>1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b">
        <v>0</v>
      </c>
      <c r="AB1904" t="b">
        <v>1</v>
      </c>
      <c r="AC1904" t="b">
        <v>0</v>
      </c>
      <c r="AE1904" t="s">
        <v>4872</v>
      </c>
    </row>
    <row r="1905" spans="1:31" x14ac:dyDescent="0.3">
      <c r="A1905">
        <v>-73.970137980610005</v>
      </c>
      <c r="B1905">
        <v>40.778523481240001</v>
      </c>
      <c r="C1905" t="s">
        <v>4873</v>
      </c>
      <c r="D1905" t="s">
        <v>709</v>
      </c>
      <c r="E1905" t="s">
        <v>33</v>
      </c>
      <c r="F1905">
        <v>10102018</v>
      </c>
      <c r="G1905">
        <v>11</v>
      </c>
      <c r="H1905" t="s">
        <v>48</v>
      </c>
      <c r="I1905" t="s">
        <v>42</v>
      </c>
      <c r="K1905" t="s">
        <v>43</v>
      </c>
      <c r="M1905" t="s">
        <v>65</v>
      </c>
      <c r="N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1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b">
        <v>0</v>
      </c>
      <c r="AB1905" t="b">
        <v>1</v>
      </c>
      <c r="AC1905" t="b">
        <v>0</v>
      </c>
      <c r="AE1905" t="s">
        <v>4874</v>
      </c>
    </row>
    <row r="1906" spans="1:31" x14ac:dyDescent="0.3">
      <c r="A1906">
        <v>-73.968405847689993</v>
      </c>
      <c r="B1906">
        <v>40.775395983380001</v>
      </c>
      <c r="C1906" t="s">
        <v>4875</v>
      </c>
      <c r="D1906" t="s">
        <v>2016</v>
      </c>
      <c r="E1906" t="s">
        <v>33</v>
      </c>
      <c r="F1906">
        <v>10082018</v>
      </c>
      <c r="G1906">
        <v>2</v>
      </c>
      <c r="H1906" t="s">
        <v>105</v>
      </c>
      <c r="I1906" t="s">
        <v>42</v>
      </c>
      <c r="K1906" t="s">
        <v>43</v>
      </c>
      <c r="M1906" t="s">
        <v>44</v>
      </c>
      <c r="N1906">
        <v>15</v>
      </c>
      <c r="O1906" t="s">
        <v>4876</v>
      </c>
      <c r="P1906" t="b">
        <v>0</v>
      </c>
      <c r="Q1906" t="b">
        <v>0</v>
      </c>
      <c r="R1906" t="b">
        <v>1</v>
      </c>
      <c r="S1906" t="b">
        <v>0</v>
      </c>
      <c r="T1906" t="b">
        <v>1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b">
        <v>0</v>
      </c>
      <c r="AB1906" t="b">
        <v>1</v>
      </c>
      <c r="AC1906" t="b">
        <v>0</v>
      </c>
      <c r="AE1906" t="s">
        <v>4877</v>
      </c>
    </row>
    <row r="1907" spans="1:31" x14ac:dyDescent="0.3">
      <c r="A1907">
        <v>-73.969196874849999</v>
      </c>
      <c r="B1907">
        <v>40.77658629962</v>
      </c>
      <c r="C1907" t="s">
        <v>4878</v>
      </c>
      <c r="D1907" t="s">
        <v>100</v>
      </c>
      <c r="E1907" t="s">
        <v>38</v>
      </c>
      <c r="F1907">
        <v>10082018</v>
      </c>
      <c r="G1907">
        <v>14</v>
      </c>
      <c r="H1907" t="s">
        <v>48</v>
      </c>
      <c r="I1907" t="s">
        <v>42</v>
      </c>
      <c r="K1907" t="s">
        <v>43</v>
      </c>
      <c r="M1907" t="s">
        <v>65</v>
      </c>
      <c r="N1907" t="b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b">
        <v>0</v>
      </c>
      <c r="AB1907" t="b">
        <v>1</v>
      </c>
      <c r="AC1907" t="b">
        <v>0</v>
      </c>
      <c r="AE1907" t="s">
        <v>4879</v>
      </c>
    </row>
    <row r="1908" spans="1:31" x14ac:dyDescent="0.3">
      <c r="A1908">
        <v>-73.970006665910006</v>
      </c>
      <c r="B1908">
        <v>40.774402882019999</v>
      </c>
      <c r="C1908" t="s">
        <v>4880</v>
      </c>
      <c r="D1908" t="s">
        <v>646</v>
      </c>
      <c r="E1908" t="s">
        <v>33</v>
      </c>
      <c r="F1908">
        <v>10072018</v>
      </c>
      <c r="G1908">
        <v>13</v>
      </c>
      <c r="H1908" t="s">
        <v>48</v>
      </c>
      <c r="I1908" t="s">
        <v>42</v>
      </c>
      <c r="J1908" t="s">
        <v>53</v>
      </c>
      <c r="K1908" t="s">
        <v>54</v>
      </c>
      <c r="M1908" t="s">
        <v>65</v>
      </c>
      <c r="N1908" t="b">
        <v>0</v>
      </c>
      <c r="P1908" t="b">
        <v>0</v>
      </c>
      <c r="Q1908" t="b">
        <v>0</v>
      </c>
      <c r="R1908" t="b">
        <v>0</v>
      </c>
      <c r="S1908" t="b">
        <v>1</v>
      </c>
      <c r="T1908" t="b">
        <v>1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b">
        <v>0</v>
      </c>
      <c r="AB1908" t="b">
        <v>1</v>
      </c>
      <c r="AC1908" t="b">
        <v>0</v>
      </c>
      <c r="AE1908" t="s">
        <v>4881</v>
      </c>
    </row>
    <row r="1909" spans="1:31" x14ac:dyDescent="0.3">
      <c r="A1909">
        <v>-73.968922746800004</v>
      </c>
      <c r="B1909">
        <v>40.78375416075</v>
      </c>
      <c r="C1909" t="s">
        <v>4882</v>
      </c>
      <c r="D1909" t="s">
        <v>37</v>
      </c>
      <c r="E1909" t="s">
        <v>38</v>
      </c>
      <c r="F1909">
        <v>10192018</v>
      </c>
      <c r="G1909">
        <v>3</v>
      </c>
      <c r="H1909" t="s">
        <v>105</v>
      </c>
      <c r="I1909" t="s">
        <v>42</v>
      </c>
      <c r="J1909" t="s">
        <v>53</v>
      </c>
      <c r="K1909" t="s">
        <v>54</v>
      </c>
      <c r="M1909" t="s">
        <v>65</v>
      </c>
      <c r="N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1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b">
        <v>0</v>
      </c>
      <c r="AB1909" t="b">
        <v>1</v>
      </c>
      <c r="AC1909" t="b">
        <v>0</v>
      </c>
      <c r="AE1909" t="s">
        <v>4883</v>
      </c>
    </row>
    <row r="1910" spans="1:31" x14ac:dyDescent="0.3">
      <c r="A1910">
        <v>-73.95883455469</v>
      </c>
      <c r="B1910">
        <v>40.799183027200002</v>
      </c>
      <c r="C1910" t="s">
        <v>4884</v>
      </c>
      <c r="D1910" t="s">
        <v>448</v>
      </c>
      <c r="E1910" t="s">
        <v>33</v>
      </c>
      <c r="F1910">
        <v>10142018</v>
      </c>
      <c r="G1910">
        <v>2</v>
      </c>
      <c r="H1910" t="s">
        <v>48</v>
      </c>
      <c r="I1910" t="s">
        <v>42</v>
      </c>
      <c r="K1910" t="s">
        <v>43</v>
      </c>
      <c r="M1910" t="s">
        <v>65</v>
      </c>
      <c r="N1910" t="b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b">
        <v>0</v>
      </c>
      <c r="AB1910" t="b">
        <v>0</v>
      </c>
      <c r="AC1910" t="b">
        <v>1</v>
      </c>
      <c r="AD1910" t="s">
        <v>4885</v>
      </c>
      <c r="AE1910" t="s">
        <v>4886</v>
      </c>
    </row>
    <row r="1911" spans="1:31" x14ac:dyDescent="0.3">
      <c r="A1911">
        <v>-73.977207012229997</v>
      </c>
      <c r="B1911">
        <v>40.769434335249997</v>
      </c>
      <c r="C1911" t="s">
        <v>4887</v>
      </c>
      <c r="D1911" t="s">
        <v>1581</v>
      </c>
      <c r="E1911" t="s">
        <v>33</v>
      </c>
      <c r="F1911">
        <v>10102018</v>
      </c>
      <c r="G1911">
        <v>2</v>
      </c>
      <c r="H1911" t="s">
        <v>48</v>
      </c>
      <c r="I1911" t="s">
        <v>53</v>
      </c>
      <c r="J1911" t="s">
        <v>42</v>
      </c>
      <c r="K1911" t="s">
        <v>89</v>
      </c>
      <c r="M1911" t="s">
        <v>65</v>
      </c>
      <c r="N1911" t="b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1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b">
        <v>0</v>
      </c>
      <c r="AB1911" t="b">
        <v>1</v>
      </c>
      <c r="AC1911" t="b">
        <v>0</v>
      </c>
      <c r="AE1911" t="s">
        <v>4888</v>
      </c>
    </row>
    <row r="1912" spans="1:31" x14ac:dyDescent="0.3">
      <c r="A1912">
        <v>-73.969987650169998</v>
      </c>
      <c r="B1912">
        <v>40.774248267680001</v>
      </c>
      <c r="C1912" t="s">
        <v>4889</v>
      </c>
      <c r="D1912" t="s">
        <v>646</v>
      </c>
      <c r="E1912" t="s">
        <v>33</v>
      </c>
      <c r="F1912">
        <v>10072018</v>
      </c>
      <c r="G1912">
        <v>6</v>
      </c>
      <c r="H1912" t="s">
        <v>48</v>
      </c>
      <c r="I1912" t="s">
        <v>42</v>
      </c>
      <c r="J1912" t="s">
        <v>96</v>
      </c>
      <c r="K1912" t="s">
        <v>97</v>
      </c>
      <c r="M1912" t="s">
        <v>65</v>
      </c>
      <c r="N1912" t="b">
        <v>0</v>
      </c>
      <c r="P1912" t="b">
        <v>1</v>
      </c>
      <c r="Q1912" t="b">
        <v>1</v>
      </c>
      <c r="R1912" t="b">
        <v>0</v>
      </c>
      <c r="S1912" t="b">
        <v>0</v>
      </c>
      <c r="T1912" t="b">
        <v>1</v>
      </c>
      <c r="V1912" t="b">
        <v>0</v>
      </c>
      <c r="W1912" t="b">
        <v>0</v>
      </c>
      <c r="X1912" t="b">
        <v>0</v>
      </c>
      <c r="Y1912" t="b">
        <v>1</v>
      </c>
      <c r="Z1912" t="b">
        <v>0</v>
      </c>
      <c r="AA1912" t="b">
        <v>0</v>
      </c>
      <c r="AB1912" t="b">
        <v>1</v>
      </c>
      <c r="AC1912" t="b">
        <v>0</v>
      </c>
      <c r="AE1912" t="s">
        <v>4890</v>
      </c>
    </row>
    <row r="1913" spans="1:31" x14ac:dyDescent="0.3">
      <c r="A1913">
        <v>-73.952893766049996</v>
      </c>
      <c r="B1913">
        <v>40.79229190745</v>
      </c>
      <c r="C1913" t="s">
        <v>4891</v>
      </c>
      <c r="D1913" t="s">
        <v>85</v>
      </c>
      <c r="E1913" t="s">
        <v>38</v>
      </c>
      <c r="F1913">
        <v>10172018</v>
      </c>
      <c r="G1913">
        <v>1</v>
      </c>
      <c r="H1913" t="s">
        <v>48</v>
      </c>
      <c r="I1913" t="s">
        <v>42</v>
      </c>
      <c r="J1913" t="s">
        <v>59</v>
      </c>
      <c r="K1913" t="s">
        <v>79</v>
      </c>
      <c r="M1913" t="s">
        <v>65</v>
      </c>
      <c r="N1913" t="b">
        <v>0</v>
      </c>
      <c r="P1913" t="b">
        <v>1</v>
      </c>
      <c r="Q1913" t="b">
        <v>0</v>
      </c>
      <c r="R1913" t="b">
        <v>0</v>
      </c>
      <c r="S1913" t="b">
        <v>1</v>
      </c>
      <c r="T1913" t="b">
        <v>1</v>
      </c>
      <c r="V1913" t="b">
        <v>0</v>
      </c>
      <c r="W1913" t="b">
        <v>0</v>
      </c>
      <c r="X1913" t="b">
        <v>0</v>
      </c>
      <c r="Y1913" t="b">
        <v>0</v>
      </c>
      <c r="Z1913" t="b">
        <v>1</v>
      </c>
      <c r="AA1913" t="b">
        <v>0</v>
      </c>
      <c r="AB1913" t="b">
        <v>0</v>
      </c>
      <c r="AC1913" t="b">
        <v>1</v>
      </c>
      <c r="AD1913" t="s">
        <v>4892</v>
      </c>
      <c r="AE1913" t="s">
        <v>4893</v>
      </c>
    </row>
    <row r="1914" spans="1:31" x14ac:dyDescent="0.3">
      <c r="A1914">
        <v>-73.969806490110003</v>
      </c>
      <c r="B1914">
        <v>40.784253811580001</v>
      </c>
      <c r="C1914" t="s">
        <v>4894</v>
      </c>
      <c r="D1914" t="s">
        <v>2011</v>
      </c>
      <c r="E1914" t="s">
        <v>38</v>
      </c>
      <c r="F1914">
        <v>10192018</v>
      </c>
      <c r="G1914">
        <v>3</v>
      </c>
      <c r="H1914" t="s">
        <v>48</v>
      </c>
      <c r="I1914" t="s">
        <v>42</v>
      </c>
      <c r="K1914" t="s">
        <v>43</v>
      </c>
      <c r="M1914" t="s">
        <v>65</v>
      </c>
      <c r="N1914" t="b">
        <v>0</v>
      </c>
      <c r="O1914" t="s">
        <v>4895</v>
      </c>
      <c r="P1914" t="b">
        <v>0</v>
      </c>
      <c r="Q1914" t="b">
        <v>1</v>
      </c>
      <c r="R1914" t="b">
        <v>0</v>
      </c>
      <c r="S1914" t="b">
        <v>0</v>
      </c>
      <c r="T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b">
        <v>0</v>
      </c>
      <c r="AB1914" t="b">
        <v>1</v>
      </c>
      <c r="AC1914" t="b">
        <v>0</v>
      </c>
      <c r="AE1914" t="s">
        <v>4896</v>
      </c>
    </row>
    <row r="1915" spans="1:31" x14ac:dyDescent="0.3">
      <c r="A1915">
        <v>-73.977463082189999</v>
      </c>
      <c r="B1915">
        <v>40.76806266741</v>
      </c>
      <c r="C1915" t="s">
        <v>4897</v>
      </c>
      <c r="D1915" t="s">
        <v>502</v>
      </c>
      <c r="E1915" t="s">
        <v>33</v>
      </c>
      <c r="F1915">
        <v>10102018</v>
      </c>
      <c r="G1915">
        <v>11</v>
      </c>
      <c r="H1915" t="s">
        <v>48</v>
      </c>
      <c r="I1915" t="s">
        <v>42</v>
      </c>
      <c r="J1915" t="s">
        <v>59</v>
      </c>
      <c r="K1915" t="s">
        <v>79</v>
      </c>
      <c r="M1915" t="s">
        <v>65</v>
      </c>
      <c r="N1915" t="b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1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b">
        <v>0</v>
      </c>
      <c r="AB1915" t="b">
        <v>0</v>
      </c>
      <c r="AC1915" t="b">
        <v>0</v>
      </c>
      <c r="AE1915" t="s">
        <v>4898</v>
      </c>
    </row>
    <row r="1916" spans="1:31" x14ac:dyDescent="0.3">
      <c r="A1916">
        <v>-73.958871441330004</v>
      </c>
      <c r="B1916">
        <v>40.789578711540003</v>
      </c>
      <c r="C1916" t="s">
        <v>4899</v>
      </c>
      <c r="D1916" t="s">
        <v>893</v>
      </c>
      <c r="E1916" t="s">
        <v>33</v>
      </c>
      <c r="F1916">
        <v>10072018</v>
      </c>
      <c r="G1916">
        <v>3</v>
      </c>
      <c r="H1916" t="s">
        <v>48</v>
      </c>
      <c r="I1916" t="s">
        <v>42</v>
      </c>
      <c r="J1916" t="s">
        <v>59</v>
      </c>
      <c r="K1916" t="s">
        <v>79</v>
      </c>
      <c r="L1916" t="s">
        <v>2637</v>
      </c>
      <c r="M1916" t="s">
        <v>65</v>
      </c>
      <c r="N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1</v>
      </c>
      <c r="V1916" t="b">
        <v>0</v>
      </c>
      <c r="W1916" t="b">
        <v>0</v>
      </c>
      <c r="X1916" t="b">
        <v>0</v>
      </c>
      <c r="Y1916" t="b">
        <v>0</v>
      </c>
      <c r="Z1916" t="b">
        <v>1</v>
      </c>
      <c r="AA1916" t="b">
        <v>0</v>
      </c>
      <c r="AB1916" t="b">
        <v>0</v>
      </c>
      <c r="AC1916" t="b">
        <v>1</v>
      </c>
      <c r="AE1916" t="s">
        <v>4900</v>
      </c>
    </row>
    <row r="1917" spans="1:31" x14ac:dyDescent="0.3">
      <c r="A1917">
        <v>-73.979711292499999</v>
      </c>
      <c r="B1917">
        <v>40.76880467785</v>
      </c>
      <c r="C1917" t="s">
        <v>4901</v>
      </c>
      <c r="D1917" t="s">
        <v>204</v>
      </c>
      <c r="E1917" t="s">
        <v>33</v>
      </c>
      <c r="F1917">
        <v>10132018</v>
      </c>
      <c r="G1917">
        <v>9</v>
      </c>
      <c r="H1917" t="s">
        <v>48</v>
      </c>
      <c r="I1917" t="s">
        <v>42</v>
      </c>
      <c r="J1917" t="s">
        <v>59</v>
      </c>
      <c r="K1917" t="s">
        <v>79</v>
      </c>
      <c r="M1917" t="s">
        <v>44</v>
      </c>
      <c r="N1917">
        <v>30</v>
      </c>
      <c r="P1917" t="b">
        <v>1</v>
      </c>
      <c r="Q1917" t="b">
        <v>0</v>
      </c>
      <c r="R1917" t="b">
        <v>0</v>
      </c>
      <c r="S1917" t="b">
        <v>0</v>
      </c>
      <c r="T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b">
        <v>0</v>
      </c>
      <c r="AB1917" t="b">
        <v>0</v>
      </c>
      <c r="AC1917" t="b">
        <v>0</v>
      </c>
      <c r="AE1917" t="s">
        <v>4902</v>
      </c>
    </row>
    <row r="1918" spans="1:31" x14ac:dyDescent="0.3">
      <c r="A1918">
        <v>-73.969350461740007</v>
      </c>
      <c r="B1918">
        <v>40.783067870940002</v>
      </c>
      <c r="C1918" t="s">
        <v>4903</v>
      </c>
      <c r="D1918" t="s">
        <v>37</v>
      </c>
      <c r="E1918" t="s">
        <v>33</v>
      </c>
      <c r="F1918">
        <v>10172018</v>
      </c>
      <c r="G1918">
        <v>2</v>
      </c>
      <c r="H1918" t="s">
        <v>105</v>
      </c>
      <c r="I1918" t="s">
        <v>53</v>
      </c>
      <c r="J1918" t="s">
        <v>59</v>
      </c>
      <c r="K1918" t="s">
        <v>60</v>
      </c>
      <c r="M1918" t="s">
        <v>44</v>
      </c>
      <c r="N1918">
        <v>1</v>
      </c>
      <c r="P1918" t="b">
        <v>0</v>
      </c>
      <c r="Q1918" t="b">
        <v>1</v>
      </c>
      <c r="R1918" t="b">
        <v>0</v>
      </c>
      <c r="S1918" t="b">
        <v>0</v>
      </c>
      <c r="T1918" t="b">
        <v>0</v>
      </c>
      <c r="V1918" t="b">
        <v>0</v>
      </c>
      <c r="W1918" t="b">
        <v>1</v>
      </c>
      <c r="X1918" t="b">
        <v>0</v>
      </c>
      <c r="Y1918" t="b">
        <v>0</v>
      </c>
      <c r="Z1918" t="b">
        <v>0</v>
      </c>
      <c r="AA1918" t="b">
        <v>0</v>
      </c>
      <c r="AB1918" t="b">
        <v>0</v>
      </c>
      <c r="AC1918" t="b">
        <v>0</v>
      </c>
      <c r="AD1918" t="s">
        <v>4904</v>
      </c>
      <c r="AE1918" t="s">
        <v>4905</v>
      </c>
    </row>
    <row r="1919" spans="1:31" x14ac:dyDescent="0.3">
      <c r="A1919">
        <v>-73.96278191127</v>
      </c>
      <c r="B1919">
        <v>40.788687736040004</v>
      </c>
      <c r="C1919" t="s">
        <v>4906</v>
      </c>
      <c r="D1919" t="s">
        <v>1420</v>
      </c>
      <c r="E1919" t="s">
        <v>38</v>
      </c>
      <c r="F1919">
        <v>10142018</v>
      </c>
      <c r="G1919">
        <v>2</v>
      </c>
      <c r="H1919" t="s">
        <v>48</v>
      </c>
      <c r="I1919" t="s">
        <v>42</v>
      </c>
      <c r="K1919" t="s">
        <v>43</v>
      </c>
      <c r="M1919" t="s">
        <v>65</v>
      </c>
      <c r="N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1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b">
        <v>0</v>
      </c>
      <c r="AB1919" t="b">
        <v>1</v>
      </c>
      <c r="AC1919" t="b">
        <v>0</v>
      </c>
      <c r="AE1919" t="s">
        <v>4907</v>
      </c>
    </row>
    <row r="1920" spans="1:31" x14ac:dyDescent="0.3">
      <c r="A1920">
        <v>-73.963286614279994</v>
      </c>
      <c r="B1920">
        <v>40.789004329439997</v>
      </c>
      <c r="C1920" t="s">
        <v>4908</v>
      </c>
      <c r="D1920" t="s">
        <v>172</v>
      </c>
      <c r="E1920" t="s">
        <v>33</v>
      </c>
      <c r="F1920">
        <v>10062018</v>
      </c>
      <c r="G1920">
        <v>1</v>
      </c>
      <c r="H1920" t="s">
        <v>48</v>
      </c>
      <c r="I1920" t="s">
        <v>42</v>
      </c>
      <c r="J1920" t="s">
        <v>53</v>
      </c>
      <c r="K1920" t="s">
        <v>54</v>
      </c>
      <c r="M1920" t="s">
        <v>65</v>
      </c>
      <c r="N1920" t="b">
        <v>0</v>
      </c>
      <c r="P1920" t="b">
        <v>0</v>
      </c>
      <c r="Q1920" t="b">
        <v>0</v>
      </c>
      <c r="R1920" t="b">
        <v>1</v>
      </c>
      <c r="S1920" t="b">
        <v>0</v>
      </c>
      <c r="T1920" t="b">
        <v>1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b">
        <v>0</v>
      </c>
      <c r="AB1920" t="b">
        <v>0</v>
      </c>
      <c r="AC1920" t="b">
        <v>0</v>
      </c>
      <c r="AD1920" t="s">
        <v>4909</v>
      </c>
      <c r="AE1920" t="s">
        <v>4910</v>
      </c>
    </row>
    <row r="1921" spans="1:31" x14ac:dyDescent="0.3">
      <c r="A1921">
        <v>-73.963744084710001</v>
      </c>
      <c r="B1921">
        <v>40.789142741939997</v>
      </c>
      <c r="C1921" t="s">
        <v>4911</v>
      </c>
      <c r="D1921" t="s">
        <v>172</v>
      </c>
      <c r="E1921" t="s">
        <v>38</v>
      </c>
      <c r="F1921">
        <v>10072018</v>
      </c>
      <c r="G1921">
        <v>4</v>
      </c>
      <c r="H1921" t="s">
        <v>48</v>
      </c>
      <c r="I1921" t="s">
        <v>42</v>
      </c>
      <c r="J1921" t="s">
        <v>53</v>
      </c>
      <c r="K1921" t="s">
        <v>54</v>
      </c>
      <c r="M1921" t="s">
        <v>65</v>
      </c>
      <c r="N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1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b">
        <v>1</v>
      </c>
      <c r="AB1921" t="b">
        <v>0</v>
      </c>
      <c r="AC1921" t="b">
        <v>0</v>
      </c>
      <c r="AE1921" t="s">
        <v>4912</v>
      </c>
    </row>
    <row r="1922" spans="1:31" x14ac:dyDescent="0.3">
      <c r="A1922">
        <v>-73.954538371919995</v>
      </c>
      <c r="B1922">
        <v>40.789971126380003</v>
      </c>
      <c r="C1922" t="s">
        <v>4913</v>
      </c>
      <c r="D1922" t="s">
        <v>921</v>
      </c>
      <c r="E1922" t="s">
        <v>33</v>
      </c>
      <c r="F1922">
        <v>10062018</v>
      </c>
      <c r="G1922">
        <v>3</v>
      </c>
      <c r="H1922" t="s">
        <v>48</v>
      </c>
      <c r="I1922" t="s">
        <v>42</v>
      </c>
      <c r="K1922" t="s">
        <v>43</v>
      </c>
      <c r="M1922" t="s">
        <v>65</v>
      </c>
      <c r="N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1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b">
        <v>0</v>
      </c>
      <c r="AB1922" t="b">
        <v>0</v>
      </c>
      <c r="AC1922" t="b">
        <v>1</v>
      </c>
      <c r="AE1922" t="s">
        <v>4914</v>
      </c>
    </row>
    <row r="1923" spans="1:31" x14ac:dyDescent="0.3">
      <c r="A1923">
        <v>-73.975627824019995</v>
      </c>
      <c r="B1923">
        <v>40.766952370139997</v>
      </c>
      <c r="C1923" t="s">
        <v>4915</v>
      </c>
      <c r="D1923" t="s">
        <v>471</v>
      </c>
      <c r="E1923" t="s">
        <v>38</v>
      </c>
      <c r="F1923">
        <v>10062018</v>
      </c>
      <c r="G1923">
        <v>2</v>
      </c>
      <c r="H1923" t="s">
        <v>48</v>
      </c>
      <c r="I1923" t="s">
        <v>42</v>
      </c>
      <c r="J1923" t="s">
        <v>53</v>
      </c>
      <c r="K1923" t="s">
        <v>54</v>
      </c>
      <c r="M1923" t="s">
        <v>44</v>
      </c>
      <c r="N1923">
        <v>5</v>
      </c>
      <c r="O1923" t="s">
        <v>456</v>
      </c>
      <c r="P1923" t="b">
        <v>0</v>
      </c>
      <c r="Q1923" t="b">
        <v>0</v>
      </c>
      <c r="R1923" t="b">
        <v>1</v>
      </c>
      <c r="S1923" t="b">
        <v>0</v>
      </c>
      <c r="T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b">
        <v>0</v>
      </c>
      <c r="AB1923" t="b">
        <v>1</v>
      </c>
      <c r="AC1923" t="b">
        <v>0</v>
      </c>
      <c r="AE1923" t="s">
        <v>4916</v>
      </c>
    </row>
    <row r="1924" spans="1:31" x14ac:dyDescent="0.3">
      <c r="A1924">
        <v>-73.960219776290003</v>
      </c>
      <c r="B1924">
        <v>40.793685056999998</v>
      </c>
      <c r="C1924" t="s">
        <v>4917</v>
      </c>
      <c r="D1924" t="s">
        <v>195</v>
      </c>
      <c r="E1924" t="s">
        <v>33</v>
      </c>
      <c r="F1924">
        <v>10132018</v>
      </c>
      <c r="G1924">
        <v>7</v>
      </c>
      <c r="H1924" t="s">
        <v>48</v>
      </c>
      <c r="I1924" t="s">
        <v>42</v>
      </c>
      <c r="K1924" t="s">
        <v>43</v>
      </c>
      <c r="M1924" t="s">
        <v>65</v>
      </c>
      <c r="N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1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b">
        <v>0</v>
      </c>
      <c r="AB1924" t="b">
        <v>0</v>
      </c>
      <c r="AC1924" t="b">
        <v>0</v>
      </c>
      <c r="AE1924" t="s">
        <v>4918</v>
      </c>
    </row>
    <row r="1925" spans="1:31" x14ac:dyDescent="0.3">
      <c r="A1925">
        <v>-73.97437951901</v>
      </c>
      <c r="B1925">
        <v>40.769203041099999</v>
      </c>
      <c r="C1925" t="s">
        <v>4919</v>
      </c>
      <c r="D1925" t="s">
        <v>245</v>
      </c>
      <c r="E1925" t="s">
        <v>38</v>
      </c>
      <c r="F1925">
        <v>10082018</v>
      </c>
      <c r="G1925">
        <v>5</v>
      </c>
      <c r="H1925" t="s">
        <v>48</v>
      </c>
      <c r="I1925" t="s">
        <v>42</v>
      </c>
      <c r="J1925" t="s">
        <v>53</v>
      </c>
      <c r="K1925" t="s">
        <v>54</v>
      </c>
      <c r="M1925" t="s">
        <v>44</v>
      </c>
      <c r="N1925">
        <v>1</v>
      </c>
      <c r="P1925" t="b">
        <v>0</v>
      </c>
      <c r="Q1925" t="b">
        <v>0</v>
      </c>
      <c r="R1925" t="b">
        <v>0</v>
      </c>
      <c r="S1925" t="b">
        <v>0</v>
      </c>
      <c r="T1925" t="b">
        <v>1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b">
        <v>0</v>
      </c>
      <c r="AB1925" t="b">
        <v>1</v>
      </c>
      <c r="AC1925" t="b">
        <v>0</v>
      </c>
      <c r="AE1925" t="s">
        <v>4920</v>
      </c>
    </row>
    <row r="1926" spans="1:31" x14ac:dyDescent="0.3">
      <c r="A1926">
        <v>-73.954233250520005</v>
      </c>
      <c r="B1926">
        <v>40.793347517139999</v>
      </c>
      <c r="C1926" t="s">
        <v>4921</v>
      </c>
      <c r="D1926" t="s">
        <v>936</v>
      </c>
      <c r="E1926" t="s">
        <v>38</v>
      </c>
      <c r="F1926">
        <v>10142018</v>
      </c>
      <c r="G1926">
        <v>1</v>
      </c>
      <c r="H1926" t="s">
        <v>48</v>
      </c>
      <c r="I1926" t="s">
        <v>42</v>
      </c>
      <c r="J1926" t="s">
        <v>59</v>
      </c>
      <c r="K1926" t="s">
        <v>79</v>
      </c>
      <c r="L1926" t="s">
        <v>1896</v>
      </c>
      <c r="M1926" t="s">
        <v>44</v>
      </c>
      <c r="N1926">
        <v>5</v>
      </c>
      <c r="P1926" t="b">
        <v>0</v>
      </c>
      <c r="Q1926" t="b">
        <v>0</v>
      </c>
      <c r="R1926" t="b">
        <v>1</v>
      </c>
      <c r="S1926" t="b">
        <v>0</v>
      </c>
      <c r="T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b">
        <v>0</v>
      </c>
      <c r="AB1926" t="b">
        <v>1</v>
      </c>
      <c r="AC1926" t="b">
        <v>0</v>
      </c>
      <c r="AE1926" t="s">
        <v>4922</v>
      </c>
    </row>
    <row r="1927" spans="1:31" x14ac:dyDescent="0.3">
      <c r="A1927">
        <v>-73.958138987059996</v>
      </c>
      <c r="B1927">
        <v>40.799308112250003</v>
      </c>
      <c r="C1927" t="s">
        <v>4923</v>
      </c>
      <c r="D1927" t="s">
        <v>468</v>
      </c>
      <c r="E1927" t="s">
        <v>33</v>
      </c>
      <c r="F1927">
        <v>10072018</v>
      </c>
      <c r="G1927">
        <v>4</v>
      </c>
      <c r="H1927" t="s">
        <v>48</v>
      </c>
      <c r="I1927" t="s">
        <v>42</v>
      </c>
      <c r="K1927" t="s">
        <v>43</v>
      </c>
      <c r="M1927" t="s">
        <v>44</v>
      </c>
      <c r="N1927">
        <v>20</v>
      </c>
      <c r="P1927" t="b">
        <v>1</v>
      </c>
      <c r="Q1927" t="b">
        <v>0</v>
      </c>
      <c r="R1927" t="b">
        <v>1</v>
      </c>
      <c r="S1927" t="b">
        <v>0</v>
      </c>
      <c r="T1927" t="b">
        <v>0</v>
      </c>
      <c r="U1927" t="s">
        <v>4924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b">
        <v>0</v>
      </c>
      <c r="AB1927" t="b">
        <v>0</v>
      </c>
      <c r="AC1927" t="b">
        <v>1</v>
      </c>
      <c r="AE1927" t="s">
        <v>4925</v>
      </c>
    </row>
    <row r="1928" spans="1:31" x14ac:dyDescent="0.3">
      <c r="A1928">
        <v>-73.954437229769994</v>
      </c>
      <c r="B1928">
        <v>40.794211316409999</v>
      </c>
      <c r="C1928" t="s">
        <v>4926</v>
      </c>
      <c r="D1928" t="s">
        <v>936</v>
      </c>
      <c r="E1928" t="s">
        <v>33</v>
      </c>
      <c r="F1928">
        <v>10072018</v>
      </c>
      <c r="G1928">
        <v>2</v>
      </c>
      <c r="H1928" t="s">
        <v>48</v>
      </c>
      <c r="I1928" t="s">
        <v>42</v>
      </c>
      <c r="K1928" t="s">
        <v>43</v>
      </c>
      <c r="M1928" t="s">
        <v>65</v>
      </c>
      <c r="N1928" t="b">
        <v>0</v>
      </c>
      <c r="O1928" t="s">
        <v>4927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b">
        <v>0</v>
      </c>
      <c r="AB1928" t="b">
        <v>0</v>
      </c>
      <c r="AC1928" t="b">
        <v>0</v>
      </c>
      <c r="AE1928" t="s">
        <v>4928</v>
      </c>
    </row>
    <row r="1929" spans="1:31" x14ac:dyDescent="0.3">
      <c r="A1929">
        <v>-73.972566921020004</v>
      </c>
      <c r="B1929">
        <v>40.768149698899997</v>
      </c>
      <c r="C1929" t="s">
        <v>4929</v>
      </c>
      <c r="D1929" t="s">
        <v>4930</v>
      </c>
      <c r="E1929" t="s">
        <v>38</v>
      </c>
      <c r="F1929">
        <v>10072018</v>
      </c>
      <c r="G1929">
        <v>1</v>
      </c>
      <c r="H1929" t="s">
        <v>48</v>
      </c>
      <c r="I1929" t="s">
        <v>42</v>
      </c>
      <c r="J1929" t="s">
        <v>53</v>
      </c>
      <c r="K1929" t="s">
        <v>54</v>
      </c>
      <c r="P1929" t="b">
        <v>0</v>
      </c>
      <c r="Q1929" t="b">
        <v>0</v>
      </c>
      <c r="R1929" t="b">
        <v>0</v>
      </c>
      <c r="S1929" t="b">
        <v>0</v>
      </c>
      <c r="T1929" t="b">
        <v>1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b">
        <v>0</v>
      </c>
      <c r="AB1929" t="b">
        <v>0</v>
      </c>
      <c r="AC1929" t="b">
        <v>0</v>
      </c>
      <c r="AE1929" t="s">
        <v>4931</v>
      </c>
    </row>
    <row r="1930" spans="1:31" x14ac:dyDescent="0.3">
      <c r="A1930">
        <v>-73.96460230532</v>
      </c>
      <c r="B1930">
        <v>40.781068004399998</v>
      </c>
      <c r="C1930" t="s">
        <v>4932</v>
      </c>
      <c r="D1930" t="s">
        <v>564</v>
      </c>
      <c r="E1930" t="s">
        <v>33</v>
      </c>
      <c r="F1930">
        <v>10072018</v>
      </c>
      <c r="G1930">
        <v>14</v>
      </c>
      <c r="H1930" t="s">
        <v>48</v>
      </c>
      <c r="I1930" t="s">
        <v>42</v>
      </c>
      <c r="J1930" t="s">
        <v>59</v>
      </c>
      <c r="K1930" t="s">
        <v>79</v>
      </c>
      <c r="M1930" t="s">
        <v>65</v>
      </c>
      <c r="N1930" t="b">
        <v>0</v>
      </c>
      <c r="P1930" t="b">
        <v>0</v>
      </c>
      <c r="Q1930" t="b">
        <v>0</v>
      </c>
      <c r="R1930" t="b">
        <v>0</v>
      </c>
      <c r="S1930" t="b">
        <v>1</v>
      </c>
      <c r="T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b">
        <v>0</v>
      </c>
      <c r="AB1930" t="b">
        <v>1</v>
      </c>
      <c r="AC1930" t="b">
        <v>0</v>
      </c>
      <c r="AE1930" t="s">
        <v>4933</v>
      </c>
    </row>
    <row r="1931" spans="1:31" x14ac:dyDescent="0.3">
      <c r="A1931">
        <v>-73.974427964900002</v>
      </c>
      <c r="B1931">
        <v>40.777776061220003</v>
      </c>
      <c r="C1931" t="s">
        <v>4934</v>
      </c>
      <c r="D1931" t="s">
        <v>585</v>
      </c>
      <c r="E1931" t="s">
        <v>33</v>
      </c>
      <c r="F1931">
        <v>10142018</v>
      </c>
      <c r="G1931">
        <v>1</v>
      </c>
      <c r="H1931" t="s">
        <v>48</v>
      </c>
      <c r="I1931" t="s">
        <v>42</v>
      </c>
      <c r="K1931" t="s">
        <v>43</v>
      </c>
      <c r="M1931" t="s">
        <v>65</v>
      </c>
      <c r="N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b">
        <v>0</v>
      </c>
      <c r="AB1931" t="b">
        <v>1</v>
      </c>
      <c r="AC1931" t="b">
        <v>0</v>
      </c>
      <c r="AE1931" t="s">
        <v>4935</v>
      </c>
    </row>
    <row r="1932" spans="1:31" x14ac:dyDescent="0.3">
      <c r="A1932">
        <v>-73.953308593260004</v>
      </c>
      <c r="B1932">
        <v>40.793487786109999</v>
      </c>
      <c r="C1932" t="s">
        <v>4936</v>
      </c>
      <c r="D1932" t="s">
        <v>863</v>
      </c>
      <c r="E1932" t="s">
        <v>33</v>
      </c>
      <c r="F1932">
        <v>10062018</v>
      </c>
      <c r="G1932">
        <v>3</v>
      </c>
      <c r="K1932" t="s">
        <v>34</v>
      </c>
      <c r="M1932" t="s">
        <v>44</v>
      </c>
      <c r="N1932">
        <v>43</v>
      </c>
      <c r="O1932" t="s">
        <v>190</v>
      </c>
      <c r="P1932" t="b">
        <v>0</v>
      </c>
      <c r="Q1932" t="b">
        <v>0</v>
      </c>
      <c r="R1932" t="b">
        <v>1</v>
      </c>
      <c r="S1932" t="b">
        <v>0</v>
      </c>
      <c r="T1932" t="b">
        <v>0</v>
      </c>
      <c r="V1932" t="b">
        <v>1</v>
      </c>
      <c r="W1932" t="b">
        <v>0</v>
      </c>
      <c r="X1932" t="b">
        <v>0</v>
      </c>
      <c r="Y1932" t="b">
        <v>0</v>
      </c>
      <c r="Z1932" t="b">
        <v>0</v>
      </c>
      <c r="AA1932" t="b">
        <v>0</v>
      </c>
      <c r="AB1932" t="b">
        <v>0</v>
      </c>
      <c r="AC1932" t="b">
        <v>0</v>
      </c>
      <c r="AE1932" t="s">
        <v>4937</v>
      </c>
    </row>
    <row r="1933" spans="1:31" x14ac:dyDescent="0.3">
      <c r="A1933">
        <v>-73.961697255730002</v>
      </c>
      <c r="B1933">
        <v>40.795387282939998</v>
      </c>
      <c r="C1933" t="s">
        <v>4938</v>
      </c>
      <c r="D1933" t="s">
        <v>372</v>
      </c>
      <c r="E1933" t="s">
        <v>33</v>
      </c>
      <c r="F1933">
        <v>10132018</v>
      </c>
      <c r="G1933">
        <v>3</v>
      </c>
      <c r="H1933" t="s">
        <v>105</v>
      </c>
      <c r="I1933" t="s">
        <v>53</v>
      </c>
      <c r="K1933" t="s">
        <v>155</v>
      </c>
      <c r="L1933" t="s">
        <v>4939</v>
      </c>
      <c r="M1933" t="s">
        <v>65</v>
      </c>
      <c r="N1933" t="b">
        <v>0</v>
      </c>
      <c r="P1933" t="b">
        <v>1</v>
      </c>
      <c r="Q1933" t="b">
        <v>0</v>
      </c>
      <c r="R1933" t="b">
        <v>0</v>
      </c>
      <c r="S1933" t="b">
        <v>0</v>
      </c>
      <c r="T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b">
        <v>0</v>
      </c>
      <c r="AB1933" t="b">
        <v>0</v>
      </c>
      <c r="AC1933" t="b">
        <v>1</v>
      </c>
      <c r="AE1933" t="s">
        <v>4940</v>
      </c>
    </row>
    <row r="1934" spans="1:31" x14ac:dyDescent="0.3">
      <c r="A1934">
        <v>-73.958482436170002</v>
      </c>
      <c r="B1934">
        <v>40.793424763399997</v>
      </c>
      <c r="C1934" t="s">
        <v>4941</v>
      </c>
      <c r="D1934" t="s">
        <v>505</v>
      </c>
      <c r="E1934" t="s">
        <v>33</v>
      </c>
      <c r="F1934">
        <v>10132018</v>
      </c>
      <c r="G1934">
        <v>2</v>
      </c>
      <c r="H1934" t="s">
        <v>48</v>
      </c>
      <c r="I1934" t="s">
        <v>42</v>
      </c>
      <c r="J1934" t="s">
        <v>59</v>
      </c>
      <c r="K1934" t="s">
        <v>79</v>
      </c>
      <c r="M1934" t="s">
        <v>44</v>
      </c>
      <c r="N1934">
        <v>24</v>
      </c>
      <c r="P1934" t="b">
        <v>0</v>
      </c>
      <c r="Q1934" t="b">
        <v>0</v>
      </c>
      <c r="R1934" t="b">
        <v>1</v>
      </c>
      <c r="S1934" t="b">
        <v>0</v>
      </c>
      <c r="T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b">
        <v>0</v>
      </c>
      <c r="AB1934" t="b">
        <v>1</v>
      </c>
      <c r="AC1934" t="b">
        <v>0</v>
      </c>
      <c r="AE1934" t="s">
        <v>4942</v>
      </c>
    </row>
    <row r="1935" spans="1:31" x14ac:dyDescent="0.3">
      <c r="A1935">
        <v>-73.969756965599998</v>
      </c>
      <c r="B1935">
        <v>40.778645509169998</v>
      </c>
      <c r="C1935" t="s">
        <v>4943</v>
      </c>
      <c r="D1935" t="s">
        <v>709</v>
      </c>
      <c r="E1935" t="s">
        <v>33</v>
      </c>
      <c r="F1935">
        <v>10102018</v>
      </c>
      <c r="G1935">
        <v>2</v>
      </c>
      <c r="H1935" t="s">
        <v>48</v>
      </c>
      <c r="I1935" t="s">
        <v>42</v>
      </c>
      <c r="K1935" t="s">
        <v>43</v>
      </c>
      <c r="M1935" t="s">
        <v>65</v>
      </c>
      <c r="N1935" t="b">
        <v>0</v>
      </c>
      <c r="P1935" t="b">
        <v>0</v>
      </c>
      <c r="Q1935" t="b">
        <v>0</v>
      </c>
      <c r="R1935" t="b">
        <v>0</v>
      </c>
      <c r="S1935" t="b">
        <v>1</v>
      </c>
      <c r="T1935" t="b">
        <v>1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b">
        <v>0</v>
      </c>
      <c r="AB1935" t="b">
        <v>1</v>
      </c>
      <c r="AC1935" t="b">
        <v>0</v>
      </c>
      <c r="AE1935" t="s">
        <v>4944</v>
      </c>
    </row>
    <row r="1936" spans="1:31" x14ac:dyDescent="0.3">
      <c r="A1936">
        <v>-73.967526887739993</v>
      </c>
      <c r="B1936">
        <v>40.775040968170003</v>
      </c>
      <c r="C1936" t="s">
        <v>4945</v>
      </c>
      <c r="D1936" t="s">
        <v>189</v>
      </c>
      <c r="E1936" t="s">
        <v>38</v>
      </c>
      <c r="F1936">
        <v>10132018</v>
      </c>
      <c r="G1936">
        <v>1</v>
      </c>
      <c r="H1936" t="s">
        <v>48</v>
      </c>
      <c r="I1936" t="s">
        <v>42</v>
      </c>
      <c r="J1936" t="s">
        <v>59</v>
      </c>
      <c r="K1936" t="s">
        <v>79</v>
      </c>
      <c r="M1936" t="s">
        <v>44</v>
      </c>
      <c r="N1936">
        <v>5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b">
        <v>0</v>
      </c>
      <c r="AB1936" t="b">
        <v>1</v>
      </c>
      <c r="AC1936" t="b">
        <v>0</v>
      </c>
      <c r="AE1936" t="s">
        <v>4946</v>
      </c>
    </row>
    <row r="1937" spans="1:31" x14ac:dyDescent="0.3">
      <c r="A1937">
        <v>-73.966791156520003</v>
      </c>
      <c r="B1937">
        <v>40.779321901099998</v>
      </c>
      <c r="C1937" t="s">
        <v>4947</v>
      </c>
      <c r="D1937" t="s">
        <v>1521</v>
      </c>
      <c r="E1937" t="s">
        <v>38</v>
      </c>
      <c r="F1937">
        <v>10142018</v>
      </c>
      <c r="G1937">
        <v>2</v>
      </c>
      <c r="H1937" t="s">
        <v>48</v>
      </c>
      <c r="I1937" t="s">
        <v>42</v>
      </c>
      <c r="K1937" t="s">
        <v>43</v>
      </c>
      <c r="M1937" t="s">
        <v>65</v>
      </c>
      <c r="N1937" t="b">
        <v>0</v>
      </c>
      <c r="O1937" t="s">
        <v>4948</v>
      </c>
      <c r="P1937" t="b">
        <v>0</v>
      </c>
      <c r="Q1937" t="b">
        <v>0</v>
      </c>
      <c r="R1937" t="b">
        <v>0</v>
      </c>
      <c r="S1937" t="b">
        <v>1</v>
      </c>
      <c r="T1937" t="b">
        <v>1</v>
      </c>
      <c r="V1937" t="b">
        <v>0</v>
      </c>
      <c r="W1937" t="b">
        <v>1</v>
      </c>
      <c r="X1937" t="b">
        <v>0</v>
      </c>
      <c r="Y1937" t="b">
        <v>0</v>
      </c>
      <c r="Z1937" t="b">
        <v>0</v>
      </c>
      <c r="AA1937" t="b">
        <v>0</v>
      </c>
      <c r="AB1937" t="b">
        <v>1</v>
      </c>
      <c r="AC1937" t="b">
        <v>0</v>
      </c>
      <c r="AE1937" t="s">
        <v>4949</v>
      </c>
    </row>
    <row r="1938" spans="1:31" x14ac:dyDescent="0.3">
      <c r="A1938">
        <v>-73.956554948529998</v>
      </c>
      <c r="B1938">
        <v>40.798982371500003</v>
      </c>
      <c r="C1938" t="s">
        <v>4950</v>
      </c>
      <c r="D1938" t="s">
        <v>1130</v>
      </c>
      <c r="E1938" t="s">
        <v>38</v>
      </c>
      <c r="F1938">
        <v>10172018</v>
      </c>
      <c r="G1938">
        <v>3</v>
      </c>
      <c r="H1938" t="s">
        <v>48</v>
      </c>
      <c r="I1938" t="s">
        <v>42</v>
      </c>
      <c r="J1938" t="s">
        <v>59</v>
      </c>
      <c r="K1938" t="s">
        <v>79</v>
      </c>
      <c r="M1938" t="s">
        <v>65</v>
      </c>
      <c r="N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1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b">
        <v>0</v>
      </c>
      <c r="AB1938" t="b">
        <v>1</v>
      </c>
      <c r="AC1938" t="b">
        <v>0</v>
      </c>
      <c r="AE1938" t="s">
        <v>4951</v>
      </c>
    </row>
    <row r="1939" spans="1:31" x14ac:dyDescent="0.3">
      <c r="A1939">
        <v>-73.954015182879999</v>
      </c>
      <c r="B1939">
        <v>40.792006617059997</v>
      </c>
      <c r="C1939" t="s">
        <v>4952</v>
      </c>
      <c r="D1939" t="s">
        <v>2987</v>
      </c>
      <c r="E1939" t="s">
        <v>38</v>
      </c>
      <c r="F1939">
        <v>10132018</v>
      </c>
      <c r="G1939">
        <v>1</v>
      </c>
      <c r="H1939" t="s">
        <v>48</v>
      </c>
      <c r="I1939" t="s">
        <v>53</v>
      </c>
      <c r="J1939" t="s">
        <v>42</v>
      </c>
      <c r="K1939" t="s">
        <v>89</v>
      </c>
      <c r="M1939" t="s">
        <v>44</v>
      </c>
      <c r="N1939">
        <v>15</v>
      </c>
      <c r="O1939" t="s">
        <v>4953</v>
      </c>
      <c r="P1939" t="b">
        <v>0</v>
      </c>
      <c r="Q1939" t="b">
        <v>0</v>
      </c>
      <c r="R1939" t="b">
        <v>1</v>
      </c>
      <c r="S1939" t="b">
        <v>0</v>
      </c>
      <c r="T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1</v>
      </c>
      <c r="AA1939" t="b">
        <v>0</v>
      </c>
      <c r="AB1939" t="b">
        <v>0</v>
      </c>
      <c r="AC1939" t="b">
        <v>1</v>
      </c>
      <c r="AE1939" t="s">
        <v>4954</v>
      </c>
    </row>
    <row r="1940" spans="1:31" x14ac:dyDescent="0.3">
      <c r="A1940">
        <v>-73.969644561410007</v>
      </c>
      <c r="B1940">
        <v>40.779148620359997</v>
      </c>
      <c r="C1940" t="s">
        <v>4955</v>
      </c>
      <c r="D1940" t="s">
        <v>1995</v>
      </c>
      <c r="E1940" t="s">
        <v>38</v>
      </c>
      <c r="F1940">
        <v>10082018</v>
      </c>
      <c r="G1940">
        <v>5</v>
      </c>
      <c r="H1940" t="s">
        <v>105</v>
      </c>
      <c r="I1940" t="s">
        <v>42</v>
      </c>
      <c r="K1940" t="s">
        <v>43</v>
      </c>
      <c r="M1940" t="s">
        <v>44</v>
      </c>
      <c r="N1940">
        <v>2</v>
      </c>
      <c r="P1940" t="b">
        <v>0</v>
      </c>
      <c r="Q1940" t="b">
        <v>0</v>
      </c>
      <c r="R1940" t="b">
        <v>1</v>
      </c>
      <c r="S1940" t="b">
        <v>0</v>
      </c>
      <c r="T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b">
        <v>0</v>
      </c>
      <c r="AB1940" t="b">
        <v>1</v>
      </c>
      <c r="AC1940" t="b">
        <v>0</v>
      </c>
      <c r="AE1940" t="s">
        <v>4956</v>
      </c>
    </row>
    <row r="1941" spans="1:31" x14ac:dyDescent="0.3">
      <c r="A1941">
        <v>-73.970479026320007</v>
      </c>
      <c r="B1941">
        <v>40.776227064570001</v>
      </c>
      <c r="C1941" t="s">
        <v>4957</v>
      </c>
      <c r="D1941" t="s">
        <v>52</v>
      </c>
      <c r="E1941" t="s">
        <v>38</v>
      </c>
      <c r="F1941">
        <v>10172018</v>
      </c>
      <c r="G1941">
        <v>1</v>
      </c>
      <c r="H1941" t="s">
        <v>48</v>
      </c>
      <c r="I1941" t="s">
        <v>42</v>
      </c>
      <c r="K1941" t="s">
        <v>43</v>
      </c>
      <c r="M1941" t="s">
        <v>65</v>
      </c>
      <c r="N1941" t="b">
        <v>0</v>
      </c>
      <c r="O1941" t="s">
        <v>4958</v>
      </c>
      <c r="P1941" t="b">
        <v>0</v>
      </c>
      <c r="Q1941" t="b">
        <v>0</v>
      </c>
      <c r="R1941" t="b">
        <v>0</v>
      </c>
      <c r="S1941" t="b">
        <v>0</v>
      </c>
      <c r="T1941" t="b">
        <v>1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b">
        <v>0</v>
      </c>
      <c r="AB1941" t="b">
        <v>1</v>
      </c>
      <c r="AC1941" t="b">
        <v>0</v>
      </c>
      <c r="AE1941" t="s">
        <v>4959</v>
      </c>
    </row>
    <row r="1942" spans="1:31" x14ac:dyDescent="0.3">
      <c r="A1942">
        <v>-73.962490543130002</v>
      </c>
      <c r="B1942">
        <v>40.793538903879998</v>
      </c>
      <c r="C1942" t="s">
        <v>4960</v>
      </c>
      <c r="D1942" t="s">
        <v>2440</v>
      </c>
      <c r="E1942" t="s">
        <v>33</v>
      </c>
      <c r="F1942">
        <v>10182018</v>
      </c>
      <c r="G1942">
        <v>1</v>
      </c>
      <c r="H1942" t="s">
        <v>48</v>
      </c>
      <c r="I1942" t="s">
        <v>42</v>
      </c>
      <c r="K1942" t="s">
        <v>43</v>
      </c>
      <c r="M1942" t="s">
        <v>65</v>
      </c>
      <c r="N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1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b">
        <v>0</v>
      </c>
      <c r="AB1942" t="b">
        <v>1</v>
      </c>
      <c r="AC1942" t="b">
        <v>0</v>
      </c>
      <c r="AD1942" t="s">
        <v>4961</v>
      </c>
      <c r="AE1942" t="s">
        <v>4962</v>
      </c>
    </row>
    <row r="1943" spans="1:31" x14ac:dyDescent="0.3">
      <c r="A1943">
        <v>-73.969044746329999</v>
      </c>
      <c r="B1943">
        <v>40.783913304530003</v>
      </c>
      <c r="C1943" t="s">
        <v>4963</v>
      </c>
      <c r="D1943" t="s">
        <v>37</v>
      </c>
      <c r="E1943" t="s">
        <v>38</v>
      </c>
      <c r="F1943">
        <v>10192018</v>
      </c>
      <c r="G1943">
        <v>6</v>
      </c>
      <c r="H1943" t="s">
        <v>105</v>
      </c>
      <c r="I1943" t="s">
        <v>42</v>
      </c>
      <c r="K1943" t="s">
        <v>43</v>
      </c>
      <c r="M1943" t="s">
        <v>44</v>
      </c>
      <c r="N1943">
        <v>7</v>
      </c>
      <c r="P1943" t="b">
        <v>0</v>
      </c>
      <c r="Q1943" t="b">
        <v>0</v>
      </c>
      <c r="R1943" t="b">
        <v>1</v>
      </c>
      <c r="S1943" t="b">
        <v>1</v>
      </c>
      <c r="T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b">
        <v>0</v>
      </c>
      <c r="AB1943" t="b">
        <v>1</v>
      </c>
      <c r="AC1943" t="b">
        <v>0</v>
      </c>
      <c r="AE1943" t="s">
        <v>4964</v>
      </c>
    </row>
    <row r="1944" spans="1:31" x14ac:dyDescent="0.3">
      <c r="A1944">
        <v>-73.974329206639993</v>
      </c>
      <c r="B1944">
        <v>40.775609040409996</v>
      </c>
      <c r="C1944" t="s">
        <v>4965</v>
      </c>
      <c r="D1944" t="s">
        <v>41</v>
      </c>
      <c r="E1944" t="s">
        <v>38</v>
      </c>
      <c r="F1944">
        <v>10072018</v>
      </c>
      <c r="G1944">
        <v>5</v>
      </c>
      <c r="H1944" t="s">
        <v>48</v>
      </c>
      <c r="I1944" t="s">
        <v>42</v>
      </c>
      <c r="K1944" t="s">
        <v>43</v>
      </c>
      <c r="M1944" t="s">
        <v>65</v>
      </c>
      <c r="N1944" t="b">
        <v>0</v>
      </c>
      <c r="P1944" t="b">
        <v>0</v>
      </c>
      <c r="Q1944" t="b">
        <v>0</v>
      </c>
      <c r="R1944" t="b">
        <v>0</v>
      </c>
      <c r="S1944" t="b">
        <v>1</v>
      </c>
      <c r="T1944" t="b">
        <v>1</v>
      </c>
      <c r="V1944" t="b">
        <v>0</v>
      </c>
      <c r="W1944" t="b">
        <v>0</v>
      </c>
      <c r="X1944" t="b">
        <v>0</v>
      </c>
      <c r="Y1944" t="b">
        <v>1</v>
      </c>
      <c r="Z1944" t="b">
        <v>0</v>
      </c>
      <c r="AA1944" t="b">
        <v>1</v>
      </c>
      <c r="AB1944" t="b">
        <v>0</v>
      </c>
      <c r="AC1944" t="b">
        <v>0</v>
      </c>
      <c r="AE1944" t="s">
        <v>4966</v>
      </c>
    </row>
    <row r="1945" spans="1:31" x14ac:dyDescent="0.3">
      <c r="A1945">
        <v>-73.953025740170006</v>
      </c>
      <c r="B1945">
        <v>40.795139740739998</v>
      </c>
      <c r="C1945" t="s">
        <v>4967</v>
      </c>
      <c r="D1945" t="s">
        <v>133</v>
      </c>
      <c r="E1945" t="s">
        <v>33</v>
      </c>
      <c r="F1945">
        <v>10132018</v>
      </c>
      <c r="G1945">
        <v>1</v>
      </c>
      <c r="H1945" t="s">
        <v>48</v>
      </c>
      <c r="I1945" t="s">
        <v>42</v>
      </c>
      <c r="J1945" t="s">
        <v>53</v>
      </c>
      <c r="K1945" t="s">
        <v>54</v>
      </c>
      <c r="M1945" t="s">
        <v>65</v>
      </c>
      <c r="N1945" t="b">
        <v>0</v>
      </c>
      <c r="P1945" t="b">
        <v>1</v>
      </c>
      <c r="Q1945" t="b">
        <v>0</v>
      </c>
      <c r="R1945" t="b">
        <v>0</v>
      </c>
      <c r="S1945" t="b">
        <v>0</v>
      </c>
      <c r="T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b">
        <v>0</v>
      </c>
      <c r="AB1945" t="b">
        <v>0</v>
      </c>
      <c r="AC1945" t="b">
        <v>0</v>
      </c>
      <c r="AE1945" t="s">
        <v>4968</v>
      </c>
    </row>
    <row r="1946" spans="1:31" x14ac:dyDescent="0.3">
      <c r="A1946">
        <v>-73.969292581589997</v>
      </c>
      <c r="B1946">
        <v>40.777450606499997</v>
      </c>
      <c r="C1946" t="s">
        <v>4969</v>
      </c>
      <c r="D1946" t="s">
        <v>130</v>
      </c>
      <c r="E1946" t="s">
        <v>33</v>
      </c>
      <c r="F1946">
        <v>10082018</v>
      </c>
      <c r="G1946">
        <v>11</v>
      </c>
      <c r="H1946" t="s">
        <v>48</v>
      </c>
      <c r="I1946" t="s">
        <v>42</v>
      </c>
      <c r="K1946" t="s">
        <v>43</v>
      </c>
      <c r="M1946" t="s">
        <v>65</v>
      </c>
      <c r="N1946" t="b">
        <v>0</v>
      </c>
      <c r="P1946" t="b">
        <v>0</v>
      </c>
      <c r="Q1946" t="b">
        <v>0</v>
      </c>
      <c r="R1946" t="b">
        <v>0</v>
      </c>
      <c r="S1946" t="b">
        <v>1</v>
      </c>
      <c r="T1946" t="b">
        <v>1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b">
        <v>0</v>
      </c>
      <c r="AB1946" t="b">
        <v>1</v>
      </c>
      <c r="AC1946" t="b">
        <v>0</v>
      </c>
      <c r="AE1946" t="s">
        <v>4970</v>
      </c>
    </row>
    <row r="1947" spans="1:31" x14ac:dyDescent="0.3">
      <c r="A1947">
        <v>-73.97471754195</v>
      </c>
      <c r="B1947">
        <v>40.769282003089998</v>
      </c>
      <c r="C1947" t="s">
        <v>4971</v>
      </c>
      <c r="D1947" t="s">
        <v>245</v>
      </c>
      <c r="E1947" t="s">
        <v>33</v>
      </c>
      <c r="F1947">
        <v>10122018</v>
      </c>
      <c r="G1947">
        <v>5</v>
      </c>
      <c r="H1947" t="s">
        <v>48</v>
      </c>
      <c r="I1947" t="s">
        <v>53</v>
      </c>
      <c r="J1947" t="s">
        <v>115</v>
      </c>
      <c r="K1947" t="s">
        <v>116</v>
      </c>
      <c r="M1947" t="s">
        <v>65</v>
      </c>
      <c r="N1947" t="b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1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b">
        <v>1</v>
      </c>
      <c r="AB1947" t="b">
        <v>0</v>
      </c>
      <c r="AC1947" t="b">
        <v>0</v>
      </c>
      <c r="AD1947" t="s">
        <v>436</v>
      </c>
      <c r="AE1947" t="s">
        <v>4972</v>
      </c>
    </row>
    <row r="1948" spans="1:31" x14ac:dyDescent="0.3">
      <c r="A1948">
        <v>-73.973841006979995</v>
      </c>
      <c r="B1948">
        <v>40.769168615650003</v>
      </c>
      <c r="C1948" t="s">
        <v>4973</v>
      </c>
      <c r="D1948" t="s">
        <v>250</v>
      </c>
      <c r="E1948" t="s">
        <v>33</v>
      </c>
      <c r="F1948">
        <v>10072018</v>
      </c>
      <c r="G1948">
        <v>6</v>
      </c>
      <c r="H1948" t="s">
        <v>48</v>
      </c>
      <c r="I1948" t="s">
        <v>42</v>
      </c>
      <c r="J1948" t="s">
        <v>53</v>
      </c>
      <c r="K1948" t="s">
        <v>54</v>
      </c>
      <c r="M1948" t="s">
        <v>65</v>
      </c>
      <c r="N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s">
        <v>4974</v>
      </c>
      <c r="V1948" t="b">
        <v>0</v>
      </c>
      <c r="W1948" t="b">
        <v>0</v>
      </c>
      <c r="X1948" t="b">
        <v>0</v>
      </c>
      <c r="Y1948" t="b">
        <v>0</v>
      </c>
      <c r="Z1948" t="b">
        <v>1</v>
      </c>
      <c r="AA1948" t="b">
        <v>0</v>
      </c>
      <c r="AB1948" t="b">
        <v>1</v>
      </c>
      <c r="AC1948" t="b">
        <v>0</v>
      </c>
      <c r="AE1948" t="s">
        <v>4975</v>
      </c>
    </row>
    <row r="1949" spans="1:31" x14ac:dyDescent="0.3">
      <c r="A1949">
        <v>-73.960536226879995</v>
      </c>
      <c r="B1949">
        <v>40.793947059929998</v>
      </c>
      <c r="C1949" t="s">
        <v>4976</v>
      </c>
      <c r="D1949" t="s">
        <v>195</v>
      </c>
      <c r="E1949" t="s">
        <v>38</v>
      </c>
      <c r="F1949">
        <v>10072018</v>
      </c>
      <c r="G1949">
        <v>2</v>
      </c>
      <c r="H1949" t="s">
        <v>48</v>
      </c>
      <c r="I1949" t="s">
        <v>42</v>
      </c>
      <c r="J1949" t="s">
        <v>53</v>
      </c>
      <c r="K1949" t="s">
        <v>54</v>
      </c>
      <c r="M1949" t="s">
        <v>44</v>
      </c>
      <c r="N1949">
        <v>13</v>
      </c>
      <c r="P1949" t="b">
        <v>0</v>
      </c>
      <c r="Q1949" t="b">
        <v>0</v>
      </c>
      <c r="R1949" t="b">
        <v>1</v>
      </c>
      <c r="S1949" t="b">
        <v>0</v>
      </c>
      <c r="T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b">
        <v>0</v>
      </c>
      <c r="AB1949" t="b">
        <v>0</v>
      </c>
      <c r="AC1949" t="b">
        <v>1</v>
      </c>
      <c r="AE1949" t="s">
        <v>4977</v>
      </c>
    </row>
    <row r="1950" spans="1:31" x14ac:dyDescent="0.3">
      <c r="A1950">
        <v>-73.96430161168</v>
      </c>
      <c r="B1950">
        <v>40.790479621609997</v>
      </c>
      <c r="C1950" t="s">
        <v>4978</v>
      </c>
      <c r="D1950" t="s">
        <v>908</v>
      </c>
      <c r="E1950" t="s">
        <v>33</v>
      </c>
      <c r="F1950">
        <v>10192018</v>
      </c>
      <c r="G1950">
        <v>5</v>
      </c>
      <c r="H1950" t="s">
        <v>48</v>
      </c>
      <c r="I1950" t="s">
        <v>42</v>
      </c>
      <c r="J1950" t="s">
        <v>96</v>
      </c>
      <c r="K1950" t="s">
        <v>97</v>
      </c>
      <c r="M1950" t="s">
        <v>65</v>
      </c>
      <c r="N1950" t="b">
        <v>0</v>
      </c>
      <c r="P1950" t="b">
        <v>0</v>
      </c>
      <c r="Q1950" t="b">
        <v>0</v>
      </c>
      <c r="R1950" t="b">
        <v>0</v>
      </c>
      <c r="S1950" t="b">
        <v>1</v>
      </c>
      <c r="T1950" t="b">
        <v>1</v>
      </c>
      <c r="U1950" t="s">
        <v>4979</v>
      </c>
      <c r="V1950" t="b">
        <v>0</v>
      </c>
      <c r="W1950" t="b">
        <v>0</v>
      </c>
      <c r="X1950" t="b">
        <v>0</v>
      </c>
      <c r="Y1950" t="b">
        <v>0</v>
      </c>
      <c r="Z1950" t="b">
        <v>1</v>
      </c>
      <c r="AA1950" t="b">
        <v>0</v>
      </c>
      <c r="AB1950" t="b">
        <v>0</v>
      </c>
      <c r="AC1950" t="b">
        <v>1</v>
      </c>
      <c r="AE1950" t="s">
        <v>4980</v>
      </c>
    </row>
    <row r="1951" spans="1:31" x14ac:dyDescent="0.3">
      <c r="A1951">
        <v>-73.954843160159996</v>
      </c>
      <c r="B1951">
        <v>40.790634627160003</v>
      </c>
      <c r="C1951" t="s">
        <v>4981</v>
      </c>
      <c r="D1951" t="s">
        <v>1025</v>
      </c>
      <c r="E1951" t="s">
        <v>33</v>
      </c>
      <c r="F1951">
        <v>10102018</v>
      </c>
      <c r="G1951">
        <v>2</v>
      </c>
      <c r="H1951" t="s">
        <v>48</v>
      </c>
      <c r="I1951" t="s">
        <v>42</v>
      </c>
      <c r="K1951" t="s">
        <v>43</v>
      </c>
      <c r="M1951" t="s">
        <v>44</v>
      </c>
      <c r="N1951">
        <v>30</v>
      </c>
      <c r="P1951" t="b">
        <v>0</v>
      </c>
      <c r="Q1951" t="b">
        <v>0</v>
      </c>
      <c r="R1951" t="b">
        <v>1</v>
      </c>
      <c r="S1951" t="b">
        <v>0</v>
      </c>
      <c r="T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b">
        <v>0</v>
      </c>
      <c r="AB1951" t="b">
        <v>0</v>
      </c>
      <c r="AC1951" t="b">
        <v>0</v>
      </c>
      <c r="AE1951" t="s">
        <v>4982</v>
      </c>
    </row>
    <row r="1952" spans="1:31" x14ac:dyDescent="0.3">
      <c r="A1952">
        <v>-73.968181046669997</v>
      </c>
      <c r="B1952">
        <v>40.77206384494</v>
      </c>
      <c r="C1952" t="s">
        <v>4983</v>
      </c>
      <c r="D1952" t="s">
        <v>1000</v>
      </c>
      <c r="E1952" t="s">
        <v>33</v>
      </c>
      <c r="F1952">
        <v>10132018</v>
      </c>
      <c r="G1952">
        <v>1</v>
      </c>
      <c r="H1952" t="s">
        <v>48</v>
      </c>
      <c r="I1952" t="s">
        <v>42</v>
      </c>
      <c r="J1952" t="s">
        <v>96</v>
      </c>
      <c r="K1952" t="s">
        <v>97</v>
      </c>
      <c r="M1952" t="s">
        <v>65</v>
      </c>
      <c r="N1952" t="b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b">
        <v>0</v>
      </c>
      <c r="AB1952" t="b">
        <v>0</v>
      </c>
      <c r="AC1952" t="b">
        <v>1</v>
      </c>
      <c r="AE1952" t="s">
        <v>4984</v>
      </c>
    </row>
    <row r="1953" spans="1:31" x14ac:dyDescent="0.3">
      <c r="A1953">
        <v>-73.964497419680001</v>
      </c>
      <c r="B1953">
        <v>40.781002029260002</v>
      </c>
      <c r="C1953" t="s">
        <v>4985</v>
      </c>
      <c r="D1953" t="s">
        <v>2203</v>
      </c>
      <c r="E1953" t="s">
        <v>33</v>
      </c>
      <c r="F1953">
        <v>10132018</v>
      </c>
      <c r="G1953">
        <v>2</v>
      </c>
      <c r="H1953" t="s">
        <v>48</v>
      </c>
      <c r="I1953" t="s">
        <v>42</v>
      </c>
      <c r="J1953" t="s">
        <v>96</v>
      </c>
      <c r="K1953" t="s">
        <v>97</v>
      </c>
      <c r="M1953" t="s">
        <v>65</v>
      </c>
      <c r="N1953" t="b">
        <v>0</v>
      </c>
      <c r="P1953" t="b">
        <v>0</v>
      </c>
      <c r="Q1953" t="b">
        <v>0</v>
      </c>
      <c r="R1953" t="b">
        <v>0</v>
      </c>
      <c r="S1953" t="b">
        <v>0</v>
      </c>
      <c r="T1953" t="b">
        <v>1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b">
        <v>0</v>
      </c>
      <c r="AB1953" t="b">
        <v>0</v>
      </c>
      <c r="AC1953" t="b">
        <v>1</v>
      </c>
      <c r="AE1953" t="s">
        <v>4986</v>
      </c>
    </row>
    <row r="1954" spans="1:31" x14ac:dyDescent="0.3">
      <c r="A1954">
        <v>-73.979484052070006</v>
      </c>
      <c r="B1954">
        <v>40.770959536980001</v>
      </c>
      <c r="C1954" t="s">
        <v>4987</v>
      </c>
      <c r="D1954" t="s">
        <v>1362</v>
      </c>
      <c r="E1954" t="s">
        <v>33</v>
      </c>
      <c r="F1954">
        <v>10072018</v>
      </c>
      <c r="G1954">
        <v>2</v>
      </c>
      <c r="H1954" t="s">
        <v>48</v>
      </c>
      <c r="I1954" t="s">
        <v>42</v>
      </c>
      <c r="J1954" t="s">
        <v>96</v>
      </c>
      <c r="K1954" t="s">
        <v>97</v>
      </c>
      <c r="M1954" t="s">
        <v>65</v>
      </c>
      <c r="N1954" t="b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b">
        <v>0</v>
      </c>
      <c r="AB1954" t="b">
        <v>1</v>
      </c>
      <c r="AC1954" t="b">
        <v>0</v>
      </c>
      <c r="AE1954" t="s">
        <v>4988</v>
      </c>
    </row>
    <row r="1955" spans="1:31" x14ac:dyDescent="0.3">
      <c r="A1955">
        <v>-73.960655930990001</v>
      </c>
      <c r="B1955">
        <v>40.788952762980003</v>
      </c>
      <c r="C1955" t="s">
        <v>4989</v>
      </c>
      <c r="D1955" t="s">
        <v>1099</v>
      </c>
      <c r="E1955" t="s">
        <v>38</v>
      </c>
      <c r="F1955">
        <v>10082018</v>
      </c>
      <c r="G1955">
        <v>2</v>
      </c>
      <c r="H1955" t="s">
        <v>48</v>
      </c>
      <c r="I1955" t="s">
        <v>42</v>
      </c>
      <c r="K1955" t="s">
        <v>43</v>
      </c>
      <c r="M1955" t="s">
        <v>44</v>
      </c>
      <c r="N1955">
        <v>5</v>
      </c>
      <c r="P1955" t="b">
        <v>0</v>
      </c>
      <c r="Q1955" t="b">
        <v>1</v>
      </c>
      <c r="R1955" t="b">
        <v>0</v>
      </c>
      <c r="S1955" t="b">
        <v>0</v>
      </c>
      <c r="T1955" t="b">
        <v>0</v>
      </c>
      <c r="V1955" t="b">
        <v>1</v>
      </c>
      <c r="W1955" t="b">
        <v>0</v>
      </c>
      <c r="X1955" t="b">
        <v>0</v>
      </c>
      <c r="Y1955" t="b">
        <v>0</v>
      </c>
      <c r="Z1955" t="b">
        <v>0</v>
      </c>
      <c r="AA1955" t="b">
        <v>0</v>
      </c>
      <c r="AB1955" t="b">
        <v>1</v>
      </c>
      <c r="AC1955" t="b">
        <v>0</v>
      </c>
      <c r="AE1955" t="s">
        <v>4990</v>
      </c>
    </row>
    <row r="1956" spans="1:31" x14ac:dyDescent="0.3">
      <c r="A1956">
        <v>-73.980897497710004</v>
      </c>
      <c r="B1956">
        <v>40.769057870979999</v>
      </c>
      <c r="C1956" t="s">
        <v>4991</v>
      </c>
      <c r="D1956" t="s">
        <v>1906</v>
      </c>
      <c r="E1956" t="s">
        <v>33</v>
      </c>
      <c r="F1956">
        <v>10192018</v>
      </c>
      <c r="G1956">
        <v>2</v>
      </c>
      <c r="H1956" t="s">
        <v>48</v>
      </c>
      <c r="I1956" t="s">
        <v>42</v>
      </c>
      <c r="J1956" t="s">
        <v>59</v>
      </c>
      <c r="K1956" t="s">
        <v>79</v>
      </c>
      <c r="M1956" t="s">
        <v>65</v>
      </c>
      <c r="N1956" t="b">
        <v>0</v>
      </c>
      <c r="P1956" t="b">
        <v>1</v>
      </c>
      <c r="Q1956" t="b">
        <v>0</v>
      </c>
      <c r="R1956" t="b">
        <v>0</v>
      </c>
      <c r="S1956" t="b">
        <v>0</v>
      </c>
      <c r="T1956" t="b">
        <v>0</v>
      </c>
      <c r="V1956" t="b">
        <v>0</v>
      </c>
      <c r="W1956" t="b">
        <v>0</v>
      </c>
      <c r="X1956" t="b">
        <v>0</v>
      </c>
      <c r="Y1956" t="b">
        <v>1</v>
      </c>
      <c r="Z1956" t="b">
        <v>0</v>
      </c>
      <c r="AA1956" t="b">
        <v>0</v>
      </c>
      <c r="AB1956" t="b">
        <v>0</v>
      </c>
      <c r="AC1956" t="b">
        <v>0</v>
      </c>
      <c r="AE1956" t="s">
        <v>4992</v>
      </c>
    </row>
    <row r="1957" spans="1:31" x14ac:dyDescent="0.3">
      <c r="A1957">
        <v>-73.968418720740004</v>
      </c>
      <c r="B1957">
        <v>40.780592789879996</v>
      </c>
      <c r="C1957" t="s">
        <v>4993</v>
      </c>
      <c r="D1957" t="s">
        <v>1076</v>
      </c>
      <c r="E1957" t="s">
        <v>38</v>
      </c>
      <c r="F1957">
        <v>10182018</v>
      </c>
      <c r="G1957">
        <v>1</v>
      </c>
      <c r="H1957" t="s">
        <v>48</v>
      </c>
      <c r="I1957" t="s">
        <v>42</v>
      </c>
      <c r="K1957" t="s">
        <v>43</v>
      </c>
      <c r="M1957" t="s">
        <v>65</v>
      </c>
      <c r="N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1</v>
      </c>
      <c r="U1957" t="s">
        <v>3061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b">
        <v>0</v>
      </c>
      <c r="AB1957" t="b">
        <v>0</v>
      </c>
      <c r="AC1957" t="b">
        <v>0</v>
      </c>
      <c r="AE1957" t="s">
        <v>4994</v>
      </c>
    </row>
    <row r="1958" spans="1:31" x14ac:dyDescent="0.3">
      <c r="A1958">
        <v>-73.969312009009997</v>
      </c>
      <c r="B1958">
        <v>40.771096102009999</v>
      </c>
      <c r="C1958" t="s">
        <v>4995</v>
      </c>
      <c r="D1958" t="s">
        <v>2056</v>
      </c>
      <c r="E1958" t="s">
        <v>33</v>
      </c>
      <c r="F1958">
        <v>10182018</v>
      </c>
      <c r="G1958">
        <v>7</v>
      </c>
      <c r="H1958" t="s">
        <v>48</v>
      </c>
      <c r="I1958" t="s">
        <v>42</v>
      </c>
      <c r="K1958" t="s">
        <v>43</v>
      </c>
      <c r="P1958" t="b">
        <v>0</v>
      </c>
      <c r="Q1958" t="b">
        <v>0</v>
      </c>
      <c r="R1958" t="b">
        <v>0</v>
      </c>
      <c r="S1958" t="b">
        <v>0</v>
      </c>
      <c r="T1958" t="b">
        <v>1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b">
        <v>0</v>
      </c>
      <c r="AB1958" t="b">
        <v>0</v>
      </c>
      <c r="AC1958" t="b">
        <v>0</v>
      </c>
      <c r="AE1958" t="s">
        <v>4996</v>
      </c>
    </row>
    <row r="1959" spans="1:31" x14ac:dyDescent="0.3">
      <c r="A1959">
        <v>-73.970773707380005</v>
      </c>
      <c r="B1959">
        <v>40.780037346580002</v>
      </c>
      <c r="C1959" t="s">
        <v>4997</v>
      </c>
      <c r="D1959" t="s">
        <v>2418</v>
      </c>
      <c r="E1959" t="s">
        <v>33</v>
      </c>
      <c r="F1959">
        <v>10122018</v>
      </c>
      <c r="G1959">
        <v>2</v>
      </c>
      <c r="H1959" t="s">
        <v>48</v>
      </c>
      <c r="I1959" t="s">
        <v>176</v>
      </c>
      <c r="K1959" t="s">
        <v>177</v>
      </c>
      <c r="M1959" t="s">
        <v>65</v>
      </c>
      <c r="N1959" t="b">
        <v>0</v>
      </c>
      <c r="P1959" t="b">
        <v>1</v>
      </c>
      <c r="Q1959" t="b">
        <v>1</v>
      </c>
      <c r="R1959" t="b">
        <v>0</v>
      </c>
      <c r="S1959" t="b">
        <v>0</v>
      </c>
      <c r="T1959" t="b">
        <v>1</v>
      </c>
      <c r="U1959" t="s">
        <v>4998</v>
      </c>
      <c r="V1959" t="b">
        <v>1</v>
      </c>
      <c r="W1959" t="b">
        <v>1</v>
      </c>
      <c r="X1959" t="b">
        <v>0</v>
      </c>
      <c r="Y1959" t="b">
        <v>1</v>
      </c>
      <c r="Z1959" t="b">
        <v>1</v>
      </c>
      <c r="AA1959" t="b">
        <v>0</v>
      </c>
      <c r="AB1959" t="b">
        <v>1</v>
      </c>
      <c r="AC1959" t="b">
        <v>0</v>
      </c>
      <c r="AE1959" t="s">
        <v>4999</v>
      </c>
    </row>
    <row r="1960" spans="1:31" x14ac:dyDescent="0.3">
      <c r="A1960">
        <v>-73.973015891369997</v>
      </c>
      <c r="B1960">
        <v>40.770131070730002</v>
      </c>
      <c r="C1960" t="s">
        <v>5000</v>
      </c>
      <c r="D1960" t="s">
        <v>514</v>
      </c>
      <c r="E1960" t="s">
        <v>33</v>
      </c>
      <c r="F1960">
        <v>10082018</v>
      </c>
      <c r="G1960">
        <v>2</v>
      </c>
      <c r="H1960" t="s">
        <v>48</v>
      </c>
      <c r="I1960" t="s">
        <v>42</v>
      </c>
      <c r="J1960" t="s">
        <v>53</v>
      </c>
      <c r="K1960" t="s">
        <v>54</v>
      </c>
      <c r="M1960" t="s">
        <v>44</v>
      </c>
      <c r="N1960">
        <v>10</v>
      </c>
      <c r="P1960" t="b">
        <v>1</v>
      </c>
      <c r="Q1960" t="b">
        <v>1</v>
      </c>
      <c r="R1960" t="b">
        <v>0</v>
      </c>
      <c r="S1960" t="b">
        <v>0</v>
      </c>
      <c r="T1960" t="b">
        <v>0</v>
      </c>
      <c r="U1960" t="s">
        <v>4055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b">
        <v>0</v>
      </c>
      <c r="AB1960" t="b">
        <v>0</v>
      </c>
      <c r="AC1960" t="b">
        <v>0</v>
      </c>
      <c r="AE1960" t="s">
        <v>5001</v>
      </c>
    </row>
    <row r="1961" spans="1:31" x14ac:dyDescent="0.3">
      <c r="A1961">
        <v>-73.953664715830001</v>
      </c>
      <c r="B1961">
        <v>40.798125639319998</v>
      </c>
      <c r="C1961" t="s">
        <v>5002</v>
      </c>
      <c r="D1961" t="s">
        <v>1515</v>
      </c>
      <c r="E1961" t="s">
        <v>33</v>
      </c>
      <c r="F1961">
        <v>10132018</v>
      </c>
      <c r="G1961">
        <v>4</v>
      </c>
      <c r="H1961" t="s">
        <v>48</v>
      </c>
      <c r="I1961" t="s">
        <v>53</v>
      </c>
      <c r="J1961" t="s">
        <v>59</v>
      </c>
      <c r="K1961" t="s">
        <v>60</v>
      </c>
      <c r="M1961" t="s">
        <v>65</v>
      </c>
      <c r="N1961" t="b">
        <v>0</v>
      </c>
      <c r="P1961" t="b">
        <v>1</v>
      </c>
      <c r="Q1961" t="b">
        <v>0</v>
      </c>
      <c r="R1961" t="b">
        <v>0</v>
      </c>
      <c r="S1961" t="b">
        <v>0</v>
      </c>
      <c r="T1961" t="b">
        <v>1</v>
      </c>
      <c r="V1961" t="b">
        <v>0</v>
      </c>
      <c r="W1961" t="b">
        <v>0</v>
      </c>
      <c r="X1961" t="b">
        <v>0</v>
      </c>
      <c r="Y1961" t="b">
        <v>0</v>
      </c>
      <c r="Z1961" t="b">
        <v>1</v>
      </c>
      <c r="AA1961" t="b">
        <v>0</v>
      </c>
      <c r="AB1961" t="b">
        <v>1</v>
      </c>
      <c r="AC1961" t="b">
        <v>0</v>
      </c>
      <c r="AE1961" t="s">
        <v>5003</v>
      </c>
    </row>
    <row r="1962" spans="1:31" x14ac:dyDescent="0.3">
      <c r="A1962">
        <v>-73.964731835699993</v>
      </c>
      <c r="B1962">
        <v>40.776093617530002</v>
      </c>
      <c r="C1962" t="s">
        <v>5004</v>
      </c>
      <c r="D1962" t="s">
        <v>408</v>
      </c>
      <c r="E1962" t="s">
        <v>33</v>
      </c>
      <c r="F1962">
        <v>10122018</v>
      </c>
      <c r="G1962">
        <v>4</v>
      </c>
      <c r="H1962" t="s">
        <v>48</v>
      </c>
      <c r="I1962" t="s">
        <v>42</v>
      </c>
      <c r="K1962" t="s">
        <v>43</v>
      </c>
      <c r="M1962" t="s">
        <v>65</v>
      </c>
      <c r="N1962" t="b">
        <v>0</v>
      </c>
      <c r="P1962" t="b">
        <v>1</v>
      </c>
      <c r="Q1962" t="b">
        <v>0</v>
      </c>
      <c r="R1962" t="b">
        <v>1</v>
      </c>
      <c r="S1962" t="b">
        <v>0</v>
      </c>
      <c r="T1962" t="b">
        <v>1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b">
        <v>0</v>
      </c>
      <c r="AB1962" t="b">
        <v>0</v>
      </c>
      <c r="AC1962" t="b">
        <v>0</v>
      </c>
      <c r="AE1962" t="s">
        <v>5005</v>
      </c>
    </row>
    <row r="1963" spans="1:31" x14ac:dyDescent="0.3">
      <c r="A1963">
        <v>-73.965159186139999</v>
      </c>
      <c r="B1963">
        <v>40.781183828860001</v>
      </c>
      <c r="C1963" t="s">
        <v>5006</v>
      </c>
      <c r="D1963" t="s">
        <v>564</v>
      </c>
      <c r="E1963" t="s">
        <v>33</v>
      </c>
      <c r="F1963">
        <v>10072018</v>
      </c>
      <c r="G1963">
        <v>6</v>
      </c>
      <c r="H1963" t="s">
        <v>105</v>
      </c>
      <c r="I1963" t="s">
        <v>42</v>
      </c>
      <c r="J1963" t="s">
        <v>53</v>
      </c>
      <c r="K1963" t="s">
        <v>54</v>
      </c>
      <c r="M1963" t="s">
        <v>65</v>
      </c>
      <c r="N1963" t="b">
        <v>0</v>
      </c>
      <c r="P1963" t="b">
        <v>0</v>
      </c>
      <c r="Q1963" t="b">
        <v>0</v>
      </c>
      <c r="R1963" t="b">
        <v>0</v>
      </c>
      <c r="S1963" t="b">
        <v>1</v>
      </c>
      <c r="T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b">
        <v>0</v>
      </c>
      <c r="AB1963" t="b">
        <v>1</v>
      </c>
      <c r="AC1963" t="b">
        <v>0</v>
      </c>
      <c r="AE1963" t="s">
        <v>5007</v>
      </c>
    </row>
    <row r="1964" spans="1:31" x14ac:dyDescent="0.3">
      <c r="A1964">
        <v>-73.962285911790005</v>
      </c>
      <c r="B1964">
        <v>40.788616918700001</v>
      </c>
      <c r="C1964" t="s">
        <v>5008</v>
      </c>
      <c r="D1964" t="s">
        <v>1420</v>
      </c>
      <c r="E1964" t="s">
        <v>38</v>
      </c>
      <c r="F1964">
        <v>10142018</v>
      </c>
      <c r="G1964">
        <v>6</v>
      </c>
      <c r="H1964" t="s">
        <v>48</v>
      </c>
      <c r="I1964" t="s">
        <v>42</v>
      </c>
      <c r="K1964" t="s">
        <v>43</v>
      </c>
      <c r="M1964" t="s">
        <v>65</v>
      </c>
      <c r="N1964" t="b">
        <v>0</v>
      </c>
      <c r="P1964" t="b">
        <v>0</v>
      </c>
      <c r="Q1964" t="b">
        <v>0</v>
      </c>
      <c r="R1964" t="b">
        <v>0</v>
      </c>
      <c r="S1964" t="b">
        <v>0</v>
      </c>
      <c r="T1964" t="b">
        <v>1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b">
        <v>0</v>
      </c>
      <c r="AB1964" t="b">
        <v>1</v>
      </c>
      <c r="AC1964" t="b">
        <v>0</v>
      </c>
      <c r="AE1964" t="s">
        <v>5009</v>
      </c>
    </row>
    <row r="1965" spans="1:31" x14ac:dyDescent="0.3">
      <c r="A1965">
        <v>-73.971935964400004</v>
      </c>
      <c r="B1965">
        <v>40.772699885580003</v>
      </c>
      <c r="C1965" t="s">
        <v>5010</v>
      </c>
      <c r="D1965" t="s">
        <v>517</v>
      </c>
      <c r="E1965" t="s">
        <v>33</v>
      </c>
      <c r="F1965">
        <v>10142018</v>
      </c>
      <c r="G1965">
        <v>1</v>
      </c>
      <c r="H1965" t="s">
        <v>48</v>
      </c>
      <c r="I1965" t="s">
        <v>42</v>
      </c>
      <c r="J1965" t="s">
        <v>53</v>
      </c>
      <c r="K1965" t="s">
        <v>54</v>
      </c>
      <c r="M1965" t="s">
        <v>65</v>
      </c>
      <c r="N1965" t="b">
        <v>0</v>
      </c>
      <c r="P1965" t="b">
        <v>0</v>
      </c>
      <c r="Q1965" t="b">
        <v>0</v>
      </c>
      <c r="R1965" t="b">
        <v>0</v>
      </c>
      <c r="S1965" t="b">
        <v>1</v>
      </c>
      <c r="T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b">
        <v>0</v>
      </c>
      <c r="AB1965" t="b">
        <v>0</v>
      </c>
      <c r="AC1965" t="b">
        <v>0</v>
      </c>
      <c r="AD1965" t="s">
        <v>5011</v>
      </c>
      <c r="AE1965" t="s">
        <v>5012</v>
      </c>
    </row>
    <row r="1966" spans="1:31" x14ac:dyDescent="0.3">
      <c r="A1966">
        <v>-73.975091199649995</v>
      </c>
      <c r="B1966">
        <v>40.772244521019999</v>
      </c>
      <c r="C1966" t="s">
        <v>5013</v>
      </c>
      <c r="D1966" t="s">
        <v>793</v>
      </c>
      <c r="E1966" t="s">
        <v>33</v>
      </c>
      <c r="F1966">
        <v>10132018</v>
      </c>
      <c r="G1966">
        <v>6</v>
      </c>
      <c r="I1966" t="s">
        <v>53</v>
      </c>
      <c r="J1966" t="s">
        <v>42</v>
      </c>
      <c r="K1966" t="s">
        <v>89</v>
      </c>
      <c r="M1966" t="s">
        <v>65</v>
      </c>
      <c r="N1966" t="b">
        <v>0</v>
      </c>
      <c r="P1966" t="b">
        <v>0</v>
      </c>
      <c r="Q1966" t="b">
        <v>0</v>
      </c>
      <c r="R1966" t="b">
        <v>0</v>
      </c>
      <c r="S1966" t="b">
        <v>1</v>
      </c>
      <c r="T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b">
        <v>0</v>
      </c>
      <c r="AB1966" t="b">
        <v>1</v>
      </c>
      <c r="AC1966" t="b">
        <v>0</v>
      </c>
      <c r="AE1966" t="s">
        <v>5014</v>
      </c>
    </row>
    <row r="1967" spans="1:31" x14ac:dyDescent="0.3">
      <c r="A1967">
        <v>-73.964724725409994</v>
      </c>
      <c r="B1967">
        <v>40.780613656580002</v>
      </c>
      <c r="C1967" t="s">
        <v>5015</v>
      </c>
      <c r="D1967" t="s">
        <v>2203</v>
      </c>
      <c r="E1967" t="s">
        <v>33</v>
      </c>
      <c r="F1967">
        <v>10132018</v>
      </c>
      <c r="G1967">
        <v>3</v>
      </c>
      <c r="H1967" t="s">
        <v>48</v>
      </c>
      <c r="I1967" t="s">
        <v>42</v>
      </c>
      <c r="J1967" t="s">
        <v>148</v>
      </c>
      <c r="K1967" t="s">
        <v>149</v>
      </c>
      <c r="M1967" t="s">
        <v>65</v>
      </c>
      <c r="N1967" t="b">
        <v>0</v>
      </c>
      <c r="P1967" t="b">
        <v>0</v>
      </c>
      <c r="Q1967" t="b">
        <v>0</v>
      </c>
      <c r="R1967" t="b">
        <v>0</v>
      </c>
      <c r="S1967" t="b">
        <v>1</v>
      </c>
      <c r="T1967" t="b">
        <v>1</v>
      </c>
      <c r="V1967" t="b">
        <v>0</v>
      </c>
      <c r="W1967" t="b">
        <v>0</v>
      </c>
      <c r="X1967" t="b">
        <v>0</v>
      </c>
      <c r="Y1967" t="b">
        <v>1</v>
      </c>
      <c r="Z1967" t="b">
        <v>0</v>
      </c>
      <c r="AA1967" t="b">
        <v>0</v>
      </c>
      <c r="AB1967" t="b">
        <v>0</v>
      </c>
      <c r="AC1967" t="b">
        <v>1</v>
      </c>
      <c r="AE1967" t="s">
        <v>5016</v>
      </c>
    </row>
    <row r="1968" spans="1:31" x14ac:dyDescent="0.3">
      <c r="A1968">
        <v>-73.969908888120003</v>
      </c>
      <c r="B1968">
        <v>40.775277835159997</v>
      </c>
      <c r="C1968" t="s">
        <v>5017</v>
      </c>
      <c r="D1968" t="s">
        <v>260</v>
      </c>
      <c r="E1968" t="s">
        <v>38</v>
      </c>
      <c r="F1968">
        <v>10072018</v>
      </c>
      <c r="G1968">
        <v>3</v>
      </c>
      <c r="H1968" t="s">
        <v>48</v>
      </c>
      <c r="I1968" t="s">
        <v>42</v>
      </c>
      <c r="J1968" t="s">
        <v>53</v>
      </c>
      <c r="K1968" t="s">
        <v>54</v>
      </c>
      <c r="M1968" t="s">
        <v>65</v>
      </c>
      <c r="N1968" t="b">
        <v>0</v>
      </c>
      <c r="P1968" t="b">
        <v>1</v>
      </c>
      <c r="Q1968" t="b">
        <v>0</v>
      </c>
      <c r="R1968" t="b">
        <v>0</v>
      </c>
      <c r="S1968" t="b">
        <v>0</v>
      </c>
      <c r="T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b">
        <v>0</v>
      </c>
      <c r="AB1968" t="b">
        <v>0</v>
      </c>
      <c r="AC1968" t="b">
        <v>1</v>
      </c>
      <c r="AE1968" t="s">
        <v>5018</v>
      </c>
    </row>
    <row r="1969" spans="1:31" x14ac:dyDescent="0.3">
      <c r="A1969">
        <v>-73.968905147309997</v>
      </c>
      <c r="B1969">
        <v>40.776451128289999</v>
      </c>
      <c r="C1969" t="s">
        <v>5019</v>
      </c>
      <c r="D1969" t="s">
        <v>225</v>
      </c>
      <c r="E1969" t="s">
        <v>38</v>
      </c>
      <c r="F1969">
        <v>10072018</v>
      </c>
      <c r="G1969">
        <v>4</v>
      </c>
      <c r="H1969" t="s">
        <v>48</v>
      </c>
      <c r="I1969" t="s">
        <v>42</v>
      </c>
      <c r="J1969" t="s">
        <v>148</v>
      </c>
      <c r="K1969" t="s">
        <v>149</v>
      </c>
      <c r="M1969" t="s">
        <v>65</v>
      </c>
      <c r="N1969" t="b">
        <v>0</v>
      </c>
      <c r="P1969" t="b">
        <v>1</v>
      </c>
      <c r="Q1969" t="b">
        <v>0</v>
      </c>
      <c r="R1969" t="b">
        <v>0</v>
      </c>
      <c r="S1969" t="b">
        <v>0</v>
      </c>
      <c r="T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b">
        <v>0</v>
      </c>
      <c r="AB1969" t="b">
        <v>1</v>
      </c>
      <c r="AC1969" t="b">
        <v>0</v>
      </c>
      <c r="AE1969" t="s">
        <v>5020</v>
      </c>
    </row>
    <row r="1970" spans="1:31" x14ac:dyDescent="0.3">
      <c r="A1970">
        <v>-73.963146469380007</v>
      </c>
      <c r="B1970">
        <v>40.79341565675</v>
      </c>
      <c r="C1970" t="s">
        <v>5021</v>
      </c>
      <c r="D1970" t="s">
        <v>2440</v>
      </c>
      <c r="E1970" t="s">
        <v>33</v>
      </c>
      <c r="F1970">
        <v>10182018</v>
      </c>
      <c r="G1970">
        <v>2</v>
      </c>
      <c r="H1970" t="s">
        <v>48</v>
      </c>
      <c r="I1970" t="s">
        <v>42</v>
      </c>
      <c r="J1970" t="s">
        <v>53</v>
      </c>
      <c r="K1970" t="s">
        <v>54</v>
      </c>
      <c r="M1970" t="s">
        <v>44</v>
      </c>
      <c r="N1970">
        <v>10</v>
      </c>
      <c r="O1970" t="s">
        <v>5022</v>
      </c>
      <c r="P1970" t="b">
        <v>0</v>
      </c>
      <c r="Q1970" t="b">
        <v>0</v>
      </c>
      <c r="R1970" t="b">
        <v>0</v>
      </c>
      <c r="S1970" t="b">
        <v>0</v>
      </c>
      <c r="T1970" t="b">
        <v>0</v>
      </c>
      <c r="U1970" t="s">
        <v>5023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b">
        <v>0</v>
      </c>
      <c r="AB1970" t="b">
        <v>0</v>
      </c>
      <c r="AC1970" t="b">
        <v>0</v>
      </c>
      <c r="AD1970" t="s">
        <v>669</v>
      </c>
      <c r="AE1970" t="s">
        <v>5024</v>
      </c>
    </row>
    <row r="1971" spans="1:31" x14ac:dyDescent="0.3">
      <c r="A1971">
        <v>-73.959188040010005</v>
      </c>
      <c r="B1971">
        <v>40.795007125280002</v>
      </c>
      <c r="C1971" t="s">
        <v>5025</v>
      </c>
      <c r="D1971" t="s">
        <v>1262</v>
      </c>
      <c r="E1971" t="s">
        <v>33</v>
      </c>
      <c r="F1971">
        <v>10132018</v>
      </c>
      <c r="G1971">
        <v>2</v>
      </c>
      <c r="H1971" t="s">
        <v>48</v>
      </c>
      <c r="I1971" t="s">
        <v>42</v>
      </c>
      <c r="K1971" t="s">
        <v>43</v>
      </c>
      <c r="M1971" t="s">
        <v>65</v>
      </c>
      <c r="N1971" t="b">
        <v>0</v>
      </c>
      <c r="O1971" t="s">
        <v>2451</v>
      </c>
      <c r="P1971" t="b">
        <v>0</v>
      </c>
      <c r="Q1971" t="b">
        <v>1</v>
      </c>
      <c r="R1971" t="b">
        <v>0</v>
      </c>
      <c r="S1971" t="b">
        <v>1</v>
      </c>
      <c r="T1971" t="b">
        <v>1</v>
      </c>
      <c r="V1971" t="b">
        <v>1</v>
      </c>
      <c r="W1971" t="b">
        <v>1</v>
      </c>
      <c r="X1971" t="b">
        <v>0</v>
      </c>
      <c r="Y1971" t="b">
        <v>0</v>
      </c>
      <c r="Z1971" t="b">
        <v>1</v>
      </c>
      <c r="AA1971" t="b">
        <v>0</v>
      </c>
      <c r="AB1971" t="b">
        <v>1</v>
      </c>
      <c r="AC1971" t="b">
        <v>0</v>
      </c>
      <c r="AE1971" t="s">
        <v>5026</v>
      </c>
    </row>
    <row r="1972" spans="1:31" x14ac:dyDescent="0.3">
      <c r="A1972">
        <v>-73.955837030980007</v>
      </c>
      <c r="B1972">
        <v>40.792197720849998</v>
      </c>
      <c r="C1972" t="s">
        <v>5027</v>
      </c>
      <c r="D1972" t="s">
        <v>2227</v>
      </c>
      <c r="E1972" t="s">
        <v>38</v>
      </c>
      <c r="F1972">
        <v>10072018</v>
      </c>
      <c r="G1972">
        <v>2</v>
      </c>
      <c r="H1972" t="s">
        <v>48</v>
      </c>
      <c r="I1972" t="s">
        <v>42</v>
      </c>
      <c r="J1972" t="s">
        <v>59</v>
      </c>
      <c r="K1972" t="s">
        <v>79</v>
      </c>
      <c r="M1972" t="s">
        <v>44</v>
      </c>
      <c r="N1972">
        <v>30</v>
      </c>
      <c r="P1972" t="b">
        <v>0</v>
      </c>
      <c r="Q1972" t="b">
        <v>0</v>
      </c>
      <c r="R1972" t="b">
        <v>1</v>
      </c>
      <c r="S1972" t="b">
        <v>0</v>
      </c>
      <c r="T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b">
        <v>0</v>
      </c>
      <c r="AB1972" t="b">
        <v>1</v>
      </c>
      <c r="AC1972" t="b">
        <v>0</v>
      </c>
      <c r="AE1972" t="s">
        <v>5028</v>
      </c>
    </row>
    <row r="1973" spans="1:31" x14ac:dyDescent="0.3">
      <c r="A1973">
        <v>-73.957138759789999</v>
      </c>
      <c r="B1973">
        <v>40.795592603510002</v>
      </c>
      <c r="C1973" t="s">
        <v>5029</v>
      </c>
      <c r="D1973" t="s">
        <v>835</v>
      </c>
      <c r="E1973" t="s">
        <v>33</v>
      </c>
      <c r="F1973">
        <v>10062018</v>
      </c>
      <c r="G1973">
        <v>2</v>
      </c>
      <c r="H1973" t="s">
        <v>48</v>
      </c>
      <c r="I1973" t="s">
        <v>42</v>
      </c>
      <c r="J1973" t="s">
        <v>53</v>
      </c>
      <c r="K1973" t="s">
        <v>54</v>
      </c>
      <c r="M1973" t="s">
        <v>65</v>
      </c>
      <c r="N1973" t="b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1</v>
      </c>
      <c r="V1973" t="b">
        <v>0</v>
      </c>
      <c r="W1973" t="b">
        <v>0</v>
      </c>
      <c r="X1973" t="b">
        <v>0</v>
      </c>
      <c r="Y1973" t="b">
        <v>0</v>
      </c>
      <c r="Z1973" t="b">
        <v>1</v>
      </c>
      <c r="AA1973" t="b">
        <v>0</v>
      </c>
      <c r="AB1973" t="b">
        <v>1</v>
      </c>
      <c r="AC1973" t="b">
        <v>0</v>
      </c>
      <c r="AE1973" t="s">
        <v>5030</v>
      </c>
    </row>
    <row r="1974" spans="1:31" x14ac:dyDescent="0.3">
      <c r="A1974">
        <v>-73.97724207345</v>
      </c>
      <c r="B1974">
        <v>40.77300251914</v>
      </c>
      <c r="C1974" t="s">
        <v>5031</v>
      </c>
      <c r="D1974" t="s">
        <v>493</v>
      </c>
      <c r="E1974" t="s">
        <v>33</v>
      </c>
      <c r="F1974">
        <v>10072018</v>
      </c>
      <c r="G1974">
        <v>1</v>
      </c>
      <c r="H1974" t="s">
        <v>48</v>
      </c>
      <c r="I1974" t="s">
        <v>42</v>
      </c>
      <c r="K1974" t="s">
        <v>43</v>
      </c>
      <c r="M1974" t="s">
        <v>44</v>
      </c>
      <c r="N1974">
        <v>8</v>
      </c>
      <c r="P1974" t="b">
        <v>0</v>
      </c>
      <c r="Q1974" t="b">
        <v>0</v>
      </c>
      <c r="R1974" t="b">
        <v>1</v>
      </c>
      <c r="S1974" t="b">
        <v>0</v>
      </c>
      <c r="T1974" t="b">
        <v>0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b">
        <v>0</v>
      </c>
      <c r="AB1974" t="b">
        <v>0</v>
      </c>
      <c r="AC1974" t="b">
        <v>0</v>
      </c>
      <c r="AE1974" t="s">
        <v>5032</v>
      </c>
    </row>
    <row r="1975" spans="1:31" x14ac:dyDescent="0.3">
      <c r="A1975">
        <v>-73.975329161679994</v>
      </c>
      <c r="B1975">
        <v>40.768737603289999</v>
      </c>
      <c r="C1975" t="s">
        <v>5033</v>
      </c>
      <c r="D1975" t="s">
        <v>782</v>
      </c>
      <c r="E1975" t="s">
        <v>33</v>
      </c>
      <c r="F1975">
        <v>10082018</v>
      </c>
      <c r="G1975">
        <v>1</v>
      </c>
      <c r="H1975" t="s">
        <v>48</v>
      </c>
      <c r="I1975" t="s">
        <v>42</v>
      </c>
      <c r="J1975" t="s">
        <v>53</v>
      </c>
      <c r="K1975" t="s">
        <v>54</v>
      </c>
      <c r="M1975" t="s">
        <v>65</v>
      </c>
      <c r="N1975" t="b">
        <v>0</v>
      </c>
      <c r="P1975" t="b">
        <v>1</v>
      </c>
      <c r="Q1975" t="b">
        <v>0</v>
      </c>
      <c r="R1975" t="b">
        <v>0</v>
      </c>
      <c r="S1975" t="b">
        <v>1</v>
      </c>
      <c r="T1975" t="b">
        <v>1</v>
      </c>
      <c r="V1975" t="b">
        <v>0</v>
      </c>
      <c r="W1975" t="b">
        <v>0</v>
      </c>
      <c r="X1975" t="b">
        <v>0</v>
      </c>
      <c r="Y1975" t="b">
        <v>0</v>
      </c>
      <c r="Z1975" t="b">
        <v>1</v>
      </c>
      <c r="AA1975" t="b">
        <v>0</v>
      </c>
      <c r="AB1975" t="b">
        <v>1</v>
      </c>
      <c r="AC1975" t="b">
        <v>0</v>
      </c>
      <c r="AE1975" t="s">
        <v>5034</v>
      </c>
    </row>
    <row r="1976" spans="1:31" x14ac:dyDescent="0.3">
      <c r="A1976">
        <v>-73.977092086080006</v>
      </c>
      <c r="B1976">
        <v>40.769469804010001</v>
      </c>
      <c r="C1976" t="s">
        <v>5035</v>
      </c>
      <c r="D1976" t="s">
        <v>1581</v>
      </c>
      <c r="E1976" t="s">
        <v>33</v>
      </c>
      <c r="F1976">
        <v>10102018</v>
      </c>
      <c r="G1976">
        <v>1</v>
      </c>
      <c r="H1976" t="s">
        <v>48</v>
      </c>
      <c r="I1976" t="s">
        <v>42</v>
      </c>
      <c r="J1976" t="s">
        <v>53</v>
      </c>
      <c r="K1976" t="s">
        <v>54</v>
      </c>
      <c r="M1976" t="s">
        <v>44</v>
      </c>
      <c r="N1976">
        <v>6</v>
      </c>
      <c r="P1976" t="b">
        <v>0</v>
      </c>
      <c r="Q1976" t="b">
        <v>0</v>
      </c>
      <c r="R1976" t="b">
        <v>1</v>
      </c>
      <c r="S1976" t="b">
        <v>0</v>
      </c>
      <c r="T1976" t="b">
        <v>0</v>
      </c>
      <c r="V1976" t="b">
        <v>0</v>
      </c>
      <c r="W1976" t="b">
        <v>1</v>
      </c>
      <c r="X1976" t="b">
        <v>0</v>
      </c>
      <c r="Y1976" t="b">
        <v>0</v>
      </c>
      <c r="Z1976" t="b">
        <v>0</v>
      </c>
      <c r="AA1976" t="b">
        <v>0</v>
      </c>
      <c r="AB1976" t="b">
        <v>1</v>
      </c>
      <c r="AC1976" t="b">
        <v>0</v>
      </c>
      <c r="AE1976" t="s">
        <v>5036</v>
      </c>
    </row>
    <row r="1977" spans="1:31" x14ac:dyDescent="0.3">
      <c r="A1977">
        <v>-73.958657054689994</v>
      </c>
      <c r="B1977">
        <v>40.796349417480002</v>
      </c>
      <c r="C1977" t="s">
        <v>5037</v>
      </c>
      <c r="D1977" t="s">
        <v>175</v>
      </c>
      <c r="E1977" t="s">
        <v>38</v>
      </c>
      <c r="F1977">
        <v>10192018</v>
      </c>
      <c r="G1977">
        <v>9</v>
      </c>
      <c r="H1977" t="s">
        <v>48</v>
      </c>
      <c r="I1977" t="s">
        <v>42</v>
      </c>
      <c r="J1977" t="s">
        <v>59</v>
      </c>
      <c r="K1977" t="s">
        <v>79</v>
      </c>
      <c r="L1977" t="s">
        <v>5038</v>
      </c>
      <c r="M1977" t="s">
        <v>44</v>
      </c>
      <c r="N1977">
        <v>3</v>
      </c>
      <c r="O1977" t="s">
        <v>5039</v>
      </c>
      <c r="P1977" t="b">
        <v>0</v>
      </c>
      <c r="Q1977" t="b">
        <v>0</v>
      </c>
      <c r="R1977" t="b">
        <v>0</v>
      </c>
      <c r="S1977" t="b">
        <v>1</v>
      </c>
      <c r="T1977" t="b">
        <v>1</v>
      </c>
      <c r="V1977" t="b">
        <v>0</v>
      </c>
      <c r="W1977" t="b">
        <v>0</v>
      </c>
      <c r="X1977" t="b">
        <v>0</v>
      </c>
      <c r="Y1977" t="b">
        <v>0</v>
      </c>
      <c r="Z1977" t="b">
        <v>1</v>
      </c>
      <c r="AA1977" t="b">
        <v>0</v>
      </c>
      <c r="AB1977" t="b">
        <v>0</v>
      </c>
      <c r="AC1977" t="b">
        <v>1</v>
      </c>
      <c r="AE1977" t="s">
        <v>5040</v>
      </c>
    </row>
    <row r="1978" spans="1:31" x14ac:dyDescent="0.3">
      <c r="A1978">
        <v>-73.957968999659997</v>
      </c>
      <c r="B1978">
        <v>40.794933848989999</v>
      </c>
      <c r="C1978" t="s">
        <v>5041</v>
      </c>
      <c r="D1978" t="s">
        <v>390</v>
      </c>
      <c r="E1978" t="s">
        <v>38</v>
      </c>
      <c r="F1978">
        <v>10182018</v>
      </c>
      <c r="G1978">
        <v>2</v>
      </c>
      <c r="H1978" t="s">
        <v>105</v>
      </c>
      <c r="I1978" t="s">
        <v>42</v>
      </c>
      <c r="J1978" t="s">
        <v>59</v>
      </c>
      <c r="K1978" t="s">
        <v>79</v>
      </c>
      <c r="M1978" t="s">
        <v>65</v>
      </c>
      <c r="N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1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b">
        <v>0</v>
      </c>
      <c r="AB1978" t="b">
        <v>1</v>
      </c>
      <c r="AC1978" t="b">
        <v>0</v>
      </c>
      <c r="AE1978" t="s">
        <v>5042</v>
      </c>
    </row>
    <row r="1979" spans="1:31" x14ac:dyDescent="0.3">
      <c r="A1979">
        <v>-73.961275929140001</v>
      </c>
      <c r="B1979">
        <v>40.793046832320002</v>
      </c>
      <c r="C1979" t="s">
        <v>5043</v>
      </c>
      <c r="D1979" t="s">
        <v>928</v>
      </c>
      <c r="E1979" t="s">
        <v>38</v>
      </c>
      <c r="F1979">
        <v>10102018</v>
      </c>
      <c r="G1979">
        <v>3</v>
      </c>
      <c r="H1979" t="s">
        <v>48</v>
      </c>
      <c r="I1979" t="s">
        <v>176</v>
      </c>
      <c r="K1979" t="s">
        <v>177</v>
      </c>
      <c r="M1979" t="s">
        <v>65</v>
      </c>
      <c r="N1979" t="b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1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b">
        <v>0</v>
      </c>
      <c r="AB1979" t="b">
        <v>1</v>
      </c>
      <c r="AC1979" t="b">
        <v>0</v>
      </c>
      <c r="AE1979" t="s">
        <v>5044</v>
      </c>
    </row>
    <row r="1980" spans="1:31" x14ac:dyDescent="0.3">
      <c r="A1980">
        <v>-73.968663501799995</v>
      </c>
      <c r="B1980">
        <v>40.78431767328</v>
      </c>
      <c r="C1980" t="s">
        <v>5045</v>
      </c>
      <c r="D1980" t="s">
        <v>320</v>
      </c>
      <c r="E1980" t="s">
        <v>33</v>
      </c>
      <c r="F1980">
        <v>10142018</v>
      </c>
      <c r="G1980">
        <v>1</v>
      </c>
      <c r="H1980" t="s">
        <v>105</v>
      </c>
      <c r="I1980" t="s">
        <v>42</v>
      </c>
      <c r="J1980" t="s">
        <v>53</v>
      </c>
      <c r="K1980" t="s">
        <v>54</v>
      </c>
      <c r="M1980" t="s">
        <v>65</v>
      </c>
      <c r="N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1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b">
        <v>0</v>
      </c>
      <c r="AB1980" t="b">
        <v>0</v>
      </c>
      <c r="AC1980" t="b">
        <v>0</v>
      </c>
      <c r="AE1980" t="s">
        <v>5046</v>
      </c>
    </row>
    <row r="1981" spans="1:31" x14ac:dyDescent="0.3">
      <c r="A1981">
        <v>-73.972154069979993</v>
      </c>
      <c r="B1981">
        <v>40.769012800970003</v>
      </c>
      <c r="C1981" t="s">
        <v>5047</v>
      </c>
      <c r="D1981" t="s">
        <v>221</v>
      </c>
      <c r="E1981" t="s">
        <v>38</v>
      </c>
      <c r="F1981">
        <v>10082018</v>
      </c>
      <c r="G1981">
        <v>3</v>
      </c>
      <c r="H1981" t="s">
        <v>48</v>
      </c>
      <c r="I1981" t="s">
        <v>42</v>
      </c>
      <c r="J1981" t="s">
        <v>59</v>
      </c>
      <c r="K1981" t="s">
        <v>79</v>
      </c>
      <c r="M1981" t="s">
        <v>65</v>
      </c>
      <c r="N1981" t="b">
        <v>0</v>
      </c>
      <c r="O1981" t="s">
        <v>4573</v>
      </c>
      <c r="P1981" t="b">
        <v>0</v>
      </c>
      <c r="Q1981" t="b">
        <v>0</v>
      </c>
      <c r="R1981" t="b">
        <v>0</v>
      </c>
      <c r="S1981" t="b">
        <v>1</v>
      </c>
      <c r="T1981" t="b">
        <v>1</v>
      </c>
      <c r="V1981" t="b">
        <v>0</v>
      </c>
      <c r="W1981" t="b">
        <v>0</v>
      </c>
      <c r="X1981" t="b">
        <v>0</v>
      </c>
      <c r="Y1981" t="b">
        <v>1</v>
      </c>
      <c r="Z1981" t="b">
        <v>0</v>
      </c>
      <c r="AA1981" t="b">
        <v>0</v>
      </c>
      <c r="AB1981" t="b">
        <v>1</v>
      </c>
      <c r="AC1981" t="b">
        <v>0</v>
      </c>
      <c r="AE1981" t="s">
        <v>5048</v>
      </c>
    </row>
    <row r="1982" spans="1:31" x14ac:dyDescent="0.3">
      <c r="A1982">
        <v>-73.972997917469996</v>
      </c>
      <c r="B1982">
        <v>40.774290435669997</v>
      </c>
      <c r="C1982" t="s">
        <v>5049</v>
      </c>
      <c r="D1982" t="s">
        <v>2255</v>
      </c>
      <c r="E1982" t="s">
        <v>33</v>
      </c>
      <c r="F1982">
        <v>10082018</v>
      </c>
      <c r="G1982">
        <v>1</v>
      </c>
      <c r="H1982" t="s">
        <v>48</v>
      </c>
      <c r="I1982" t="s">
        <v>53</v>
      </c>
      <c r="J1982" t="s">
        <v>42</v>
      </c>
      <c r="K1982" t="s">
        <v>89</v>
      </c>
      <c r="M1982" t="s">
        <v>65</v>
      </c>
      <c r="N1982" t="b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1</v>
      </c>
      <c r="V1982" t="b">
        <v>0</v>
      </c>
      <c r="W1982" t="b">
        <v>0</v>
      </c>
      <c r="X1982" t="b">
        <v>0</v>
      </c>
      <c r="Y1982" t="b">
        <v>1</v>
      </c>
      <c r="Z1982" t="b">
        <v>0</v>
      </c>
      <c r="AA1982" t="b">
        <v>0</v>
      </c>
      <c r="AB1982" t="b">
        <v>1</v>
      </c>
      <c r="AC1982" t="b">
        <v>0</v>
      </c>
      <c r="AE1982" t="s">
        <v>5050</v>
      </c>
    </row>
    <row r="1983" spans="1:31" x14ac:dyDescent="0.3">
      <c r="A1983">
        <v>-73.978414486760002</v>
      </c>
      <c r="B1983">
        <v>40.771817766749997</v>
      </c>
      <c r="C1983" t="s">
        <v>5051</v>
      </c>
      <c r="D1983" t="s">
        <v>870</v>
      </c>
      <c r="E1983" t="s">
        <v>38</v>
      </c>
      <c r="F1983">
        <v>10062018</v>
      </c>
      <c r="G1983">
        <v>1</v>
      </c>
      <c r="H1983" t="s">
        <v>48</v>
      </c>
      <c r="I1983" t="s">
        <v>42</v>
      </c>
      <c r="J1983" t="s">
        <v>59</v>
      </c>
      <c r="K1983" t="s">
        <v>79</v>
      </c>
      <c r="M1983" t="s">
        <v>65</v>
      </c>
      <c r="N1983" t="b">
        <v>0</v>
      </c>
      <c r="P1983" t="b">
        <v>0</v>
      </c>
      <c r="Q1983" t="b">
        <v>0</v>
      </c>
      <c r="R1983" t="b">
        <v>1</v>
      </c>
      <c r="S1983" t="b">
        <v>1</v>
      </c>
      <c r="T1983" t="b">
        <v>1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b">
        <v>0</v>
      </c>
      <c r="AB1983" t="b">
        <v>0</v>
      </c>
      <c r="AC1983" t="b">
        <v>0</v>
      </c>
      <c r="AE1983" t="s">
        <v>5052</v>
      </c>
    </row>
    <row r="1984" spans="1:31" x14ac:dyDescent="0.3">
      <c r="A1984">
        <v>-73.973924920990001</v>
      </c>
      <c r="B1984">
        <v>40.776852838689997</v>
      </c>
      <c r="C1984" t="s">
        <v>5053</v>
      </c>
      <c r="D1984" t="s">
        <v>1336</v>
      </c>
      <c r="E1984" t="s">
        <v>33</v>
      </c>
      <c r="F1984">
        <v>10082018</v>
      </c>
      <c r="G1984">
        <v>2</v>
      </c>
      <c r="H1984" t="s">
        <v>48</v>
      </c>
      <c r="I1984" t="s">
        <v>42</v>
      </c>
      <c r="J1984" t="s">
        <v>59</v>
      </c>
      <c r="K1984" t="s">
        <v>79</v>
      </c>
      <c r="M1984" t="s">
        <v>65</v>
      </c>
      <c r="N1984" t="b">
        <v>0</v>
      </c>
      <c r="P1984" t="b">
        <v>1</v>
      </c>
      <c r="Q1984" t="b">
        <v>0</v>
      </c>
      <c r="R1984" t="b">
        <v>1</v>
      </c>
      <c r="S1984" t="b">
        <v>0</v>
      </c>
      <c r="T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b">
        <v>0</v>
      </c>
      <c r="AB1984" t="b">
        <v>1</v>
      </c>
      <c r="AC1984" t="b">
        <v>0</v>
      </c>
      <c r="AE1984" t="s">
        <v>5054</v>
      </c>
    </row>
    <row r="1985" spans="1:31" x14ac:dyDescent="0.3">
      <c r="A1985">
        <v>-73.953079162250006</v>
      </c>
      <c r="B1985">
        <v>40.795988560399998</v>
      </c>
      <c r="C1985" t="s">
        <v>5055</v>
      </c>
      <c r="D1985" t="s">
        <v>1292</v>
      </c>
      <c r="E1985" t="s">
        <v>33</v>
      </c>
      <c r="F1985">
        <v>10132018</v>
      </c>
      <c r="G1985">
        <v>3</v>
      </c>
      <c r="H1985" t="s">
        <v>105</v>
      </c>
      <c r="I1985" t="s">
        <v>42</v>
      </c>
      <c r="K1985" t="s">
        <v>43</v>
      </c>
      <c r="M1985" t="s">
        <v>65</v>
      </c>
      <c r="N1985" t="b">
        <v>0</v>
      </c>
      <c r="P1985" t="b">
        <v>1</v>
      </c>
      <c r="Q1985" t="b">
        <v>0</v>
      </c>
      <c r="R1985" t="b">
        <v>0</v>
      </c>
      <c r="S1985" t="b">
        <v>0</v>
      </c>
      <c r="T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b">
        <v>0</v>
      </c>
      <c r="AB1985" t="b">
        <v>1</v>
      </c>
      <c r="AC1985" t="b">
        <v>0</v>
      </c>
      <c r="AE1985" t="s">
        <v>5056</v>
      </c>
    </row>
    <row r="1986" spans="1:31" x14ac:dyDescent="0.3">
      <c r="A1986">
        <v>-73.958247706430001</v>
      </c>
      <c r="B1986">
        <v>40.798907913679997</v>
      </c>
      <c r="C1986" t="s">
        <v>5057</v>
      </c>
      <c r="D1986" t="s">
        <v>212</v>
      </c>
      <c r="E1986" t="s">
        <v>38</v>
      </c>
      <c r="F1986">
        <v>10192018</v>
      </c>
      <c r="G1986">
        <v>7</v>
      </c>
      <c r="H1986" t="s">
        <v>48</v>
      </c>
      <c r="I1986" t="s">
        <v>42</v>
      </c>
      <c r="J1986" t="s">
        <v>59</v>
      </c>
      <c r="K1986" t="s">
        <v>79</v>
      </c>
      <c r="M1986" t="s">
        <v>65</v>
      </c>
      <c r="N1986" t="b">
        <v>0</v>
      </c>
      <c r="P1986" t="b">
        <v>0</v>
      </c>
      <c r="Q1986" t="b">
        <v>0</v>
      </c>
      <c r="R1986" t="b">
        <v>0</v>
      </c>
      <c r="S1986" t="b">
        <v>0</v>
      </c>
      <c r="T1986" t="b">
        <v>1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b">
        <v>0</v>
      </c>
      <c r="AB1986" t="b">
        <v>1</v>
      </c>
      <c r="AC1986" t="b">
        <v>1</v>
      </c>
      <c r="AE1986" t="s">
        <v>5058</v>
      </c>
    </row>
    <row r="1987" spans="1:31" x14ac:dyDescent="0.3">
      <c r="A1987">
        <v>-73.957369254219998</v>
      </c>
      <c r="B1987">
        <v>40.798925290829999</v>
      </c>
      <c r="C1987" t="s">
        <v>5059</v>
      </c>
      <c r="D1987" t="s">
        <v>367</v>
      </c>
      <c r="E1987" t="s">
        <v>33</v>
      </c>
      <c r="F1987">
        <v>10142018</v>
      </c>
      <c r="G1987">
        <v>3</v>
      </c>
      <c r="H1987" t="s">
        <v>48</v>
      </c>
      <c r="I1987" t="s">
        <v>42</v>
      </c>
      <c r="J1987" t="s">
        <v>59</v>
      </c>
      <c r="K1987" t="s">
        <v>79</v>
      </c>
      <c r="M1987" t="s">
        <v>44</v>
      </c>
      <c r="N1987">
        <v>28</v>
      </c>
      <c r="P1987" t="b">
        <v>0</v>
      </c>
      <c r="Q1987" t="b">
        <v>0</v>
      </c>
      <c r="R1987" t="b">
        <v>1</v>
      </c>
      <c r="S1987" t="b">
        <v>0</v>
      </c>
      <c r="T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b">
        <v>0</v>
      </c>
      <c r="AB1987" t="b">
        <v>0</v>
      </c>
      <c r="AC1987" t="b">
        <v>0</v>
      </c>
      <c r="AE1987" t="s">
        <v>5060</v>
      </c>
    </row>
    <row r="1988" spans="1:31" x14ac:dyDescent="0.3">
      <c r="A1988">
        <v>-73.957138794879995</v>
      </c>
      <c r="B1988">
        <v>40.798538982270003</v>
      </c>
      <c r="C1988" t="s">
        <v>5061</v>
      </c>
      <c r="D1988" t="s">
        <v>1245</v>
      </c>
      <c r="E1988" t="s">
        <v>38</v>
      </c>
      <c r="F1988">
        <v>10172018</v>
      </c>
      <c r="G1988">
        <v>3</v>
      </c>
      <c r="H1988" t="s">
        <v>48</v>
      </c>
      <c r="I1988" t="s">
        <v>42</v>
      </c>
      <c r="J1988" t="s">
        <v>59</v>
      </c>
      <c r="K1988" t="s">
        <v>79</v>
      </c>
      <c r="P1988" t="b">
        <v>1</v>
      </c>
      <c r="Q1988" t="b">
        <v>1</v>
      </c>
      <c r="R1988" t="b">
        <v>1</v>
      </c>
      <c r="S1988" t="b">
        <v>0</v>
      </c>
      <c r="T1988" t="b">
        <v>0</v>
      </c>
      <c r="U1988" t="s">
        <v>5062</v>
      </c>
      <c r="V1988" t="b">
        <v>0</v>
      </c>
      <c r="W1988" t="b">
        <v>0</v>
      </c>
      <c r="X1988" t="b">
        <v>0</v>
      </c>
      <c r="Y1988" t="b">
        <v>0</v>
      </c>
      <c r="Z1988" t="b">
        <v>1</v>
      </c>
      <c r="AA1988" t="b">
        <v>0</v>
      </c>
      <c r="AB1988" t="b">
        <v>1</v>
      </c>
      <c r="AC1988" t="b">
        <v>0</v>
      </c>
      <c r="AE1988" t="s">
        <v>5063</v>
      </c>
    </row>
    <row r="1989" spans="1:31" x14ac:dyDescent="0.3">
      <c r="A1989">
        <v>-73.963164675460007</v>
      </c>
      <c r="B1989">
        <v>40.792571681090003</v>
      </c>
      <c r="C1989" t="s">
        <v>5064</v>
      </c>
      <c r="D1989" t="s">
        <v>104</v>
      </c>
      <c r="E1989" t="s">
        <v>38</v>
      </c>
      <c r="F1989">
        <v>10182018</v>
      </c>
      <c r="G1989">
        <v>2</v>
      </c>
      <c r="H1989" t="s">
        <v>48</v>
      </c>
      <c r="I1989" t="s">
        <v>42</v>
      </c>
      <c r="K1989" t="s">
        <v>43</v>
      </c>
      <c r="M1989" t="s">
        <v>44</v>
      </c>
      <c r="N1989">
        <v>15</v>
      </c>
      <c r="P1989" t="b">
        <v>1</v>
      </c>
      <c r="Q1989" t="b">
        <v>1</v>
      </c>
      <c r="R1989" t="b">
        <v>0</v>
      </c>
      <c r="S1989" t="b">
        <v>0</v>
      </c>
      <c r="T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b">
        <v>0</v>
      </c>
      <c r="AB1989" t="b">
        <v>1</v>
      </c>
      <c r="AC1989" t="b">
        <v>0</v>
      </c>
      <c r="AE1989" t="s">
        <v>5065</v>
      </c>
    </row>
    <row r="1990" spans="1:31" x14ac:dyDescent="0.3">
      <c r="A1990">
        <v>-73.977458430509998</v>
      </c>
      <c r="B1990">
        <v>40.77081339862</v>
      </c>
      <c r="C1990" t="s">
        <v>5066</v>
      </c>
      <c r="D1990" t="s">
        <v>2861</v>
      </c>
      <c r="E1990" t="s">
        <v>38</v>
      </c>
      <c r="F1990">
        <v>10082018</v>
      </c>
      <c r="G1990">
        <v>2</v>
      </c>
      <c r="H1990" t="s">
        <v>48</v>
      </c>
      <c r="I1990" t="s">
        <v>42</v>
      </c>
      <c r="J1990" t="s">
        <v>53</v>
      </c>
      <c r="K1990" t="s">
        <v>54</v>
      </c>
      <c r="M1990" t="s">
        <v>65</v>
      </c>
      <c r="N1990" t="b">
        <v>0</v>
      </c>
      <c r="P1990" t="b">
        <v>1</v>
      </c>
      <c r="Q1990" t="b">
        <v>0</v>
      </c>
      <c r="R1990" t="b">
        <v>0</v>
      </c>
      <c r="S1990" t="b">
        <v>1</v>
      </c>
      <c r="T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b">
        <v>0</v>
      </c>
      <c r="AB1990" t="b">
        <v>1</v>
      </c>
      <c r="AC1990" t="b">
        <v>0</v>
      </c>
      <c r="AE1990" t="s">
        <v>5067</v>
      </c>
    </row>
    <row r="1991" spans="1:31" x14ac:dyDescent="0.3">
      <c r="A1991">
        <v>-73.965059909329995</v>
      </c>
      <c r="B1991">
        <v>40.776213188680003</v>
      </c>
      <c r="C1991" t="s">
        <v>5068</v>
      </c>
      <c r="D1991" t="s">
        <v>408</v>
      </c>
      <c r="E1991" t="s">
        <v>33</v>
      </c>
      <c r="F1991">
        <v>10122018</v>
      </c>
      <c r="G1991">
        <v>6</v>
      </c>
      <c r="H1991" t="s">
        <v>48</v>
      </c>
      <c r="I1991" t="s">
        <v>42</v>
      </c>
      <c r="K1991" t="s">
        <v>43</v>
      </c>
      <c r="M1991" t="s">
        <v>65</v>
      </c>
      <c r="N1991" t="b">
        <v>0</v>
      </c>
      <c r="P1991" t="b">
        <v>1</v>
      </c>
      <c r="Q1991" t="b">
        <v>0</v>
      </c>
      <c r="R1991" t="b">
        <v>0</v>
      </c>
      <c r="S1991" t="b">
        <v>0</v>
      </c>
      <c r="T1991" t="b">
        <v>1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b">
        <v>0</v>
      </c>
      <c r="AB1991" t="b">
        <v>0</v>
      </c>
      <c r="AC1991" t="b">
        <v>0</v>
      </c>
      <c r="AE1991" t="s">
        <v>5069</v>
      </c>
    </row>
    <row r="1992" spans="1:31" x14ac:dyDescent="0.3">
      <c r="A1992">
        <v>-73.958608584309999</v>
      </c>
      <c r="B1992">
        <v>40.794661768449998</v>
      </c>
      <c r="C1992" t="s">
        <v>5070</v>
      </c>
      <c r="D1992" t="s">
        <v>1262</v>
      </c>
      <c r="E1992" t="s">
        <v>38</v>
      </c>
      <c r="F1992">
        <v>10142018</v>
      </c>
      <c r="G1992">
        <v>3</v>
      </c>
      <c r="I1992" t="s">
        <v>42</v>
      </c>
      <c r="K1992" t="s">
        <v>43</v>
      </c>
      <c r="M1992" t="s">
        <v>65</v>
      </c>
      <c r="N1992" t="b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1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b">
        <v>0</v>
      </c>
      <c r="AB1992" t="b">
        <v>0</v>
      </c>
      <c r="AC1992" t="b">
        <v>1</v>
      </c>
      <c r="AE1992" t="s">
        <v>5071</v>
      </c>
    </row>
    <row r="1993" spans="1:31" x14ac:dyDescent="0.3">
      <c r="A1993">
        <v>-73.954636755869998</v>
      </c>
      <c r="B1993">
        <v>40.789840987799998</v>
      </c>
      <c r="C1993" t="s">
        <v>5072</v>
      </c>
      <c r="D1993" t="s">
        <v>921</v>
      </c>
      <c r="E1993" t="s">
        <v>38</v>
      </c>
      <c r="F1993">
        <v>10082018</v>
      </c>
      <c r="G1993">
        <v>4</v>
      </c>
      <c r="H1993" t="s">
        <v>48</v>
      </c>
      <c r="K1993" t="s">
        <v>34</v>
      </c>
      <c r="M1993" t="s">
        <v>44</v>
      </c>
      <c r="N1993">
        <v>100</v>
      </c>
      <c r="P1993" t="b">
        <v>0</v>
      </c>
      <c r="Q1993" t="b">
        <v>0</v>
      </c>
      <c r="R1993" t="b">
        <v>1</v>
      </c>
      <c r="S1993" t="b">
        <v>0</v>
      </c>
      <c r="T1993" t="b">
        <v>1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b">
        <v>0</v>
      </c>
      <c r="AB1993" t="b">
        <v>1</v>
      </c>
      <c r="AC1993" t="b">
        <v>0</v>
      </c>
      <c r="AE1993" t="s">
        <v>5073</v>
      </c>
    </row>
    <row r="1994" spans="1:31" x14ac:dyDescent="0.3">
      <c r="A1994">
        <v>-73.959846383780004</v>
      </c>
      <c r="B1994">
        <v>40.78345247243</v>
      </c>
      <c r="C1994" t="s">
        <v>5074</v>
      </c>
      <c r="D1994" t="s">
        <v>2573</v>
      </c>
      <c r="E1994" t="s">
        <v>33</v>
      </c>
      <c r="F1994">
        <v>10072018</v>
      </c>
      <c r="G1994">
        <v>5</v>
      </c>
      <c r="H1994" t="s">
        <v>48</v>
      </c>
      <c r="I1994" t="s">
        <v>42</v>
      </c>
      <c r="K1994" t="s">
        <v>43</v>
      </c>
      <c r="M1994" t="s">
        <v>44</v>
      </c>
      <c r="N1994">
        <v>30</v>
      </c>
      <c r="P1994" t="b">
        <v>0</v>
      </c>
      <c r="Q1994" t="b">
        <v>0</v>
      </c>
      <c r="R1994" t="b">
        <v>1</v>
      </c>
      <c r="S1994" t="b">
        <v>0</v>
      </c>
      <c r="T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b">
        <v>0</v>
      </c>
      <c r="AB1994" t="b">
        <v>0</v>
      </c>
      <c r="AC1994" t="b">
        <v>0</v>
      </c>
      <c r="AE1994" t="s">
        <v>5075</v>
      </c>
    </row>
    <row r="1995" spans="1:31" x14ac:dyDescent="0.3">
      <c r="A1995">
        <v>-73.960336699289996</v>
      </c>
      <c r="B1995">
        <v>40.789961288950003</v>
      </c>
      <c r="C1995" t="s">
        <v>5076</v>
      </c>
      <c r="D1995" t="s">
        <v>1407</v>
      </c>
      <c r="E1995" t="s">
        <v>33</v>
      </c>
      <c r="F1995">
        <v>10062018</v>
      </c>
      <c r="G1995">
        <v>5</v>
      </c>
      <c r="H1995" t="s">
        <v>48</v>
      </c>
      <c r="I1995" t="s">
        <v>42</v>
      </c>
      <c r="J1995" t="s">
        <v>53</v>
      </c>
      <c r="K1995" t="s">
        <v>54</v>
      </c>
      <c r="M1995" t="s">
        <v>65</v>
      </c>
      <c r="N1995" t="b">
        <v>0</v>
      </c>
      <c r="P1995" t="b">
        <v>0</v>
      </c>
      <c r="Q1995" t="b">
        <v>1</v>
      </c>
      <c r="R1995" t="b">
        <v>0</v>
      </c>
      <c r="S1995" t="b">
        <v>0</v>
      </c>
      <c r="T1995" t="b">
        <v>0</v>
      </c>
      <c r="V1995" t="b">
        <v>0</v>
      </c>
      <c r="W1995" t="b">
        <v>0</v>
      </c>
      <c r="X1995" t="b">
        <v>0</v>
      </c>
      <c r="Y1995" t="b">
        <v>1</v>
      </c>
      <c r="Z1995" t="b">
        <v>0</v>
      </c>
      <c r="AA1995" t="b">
        <v>0</v>
      </c>
      <c r="AB1995" t="b">
        <v>1</v>
      </c>
      <c r="AC1995" t="b">
        <v>0</v>
      </c>
      <c r="AE1995" t="s">
        <v>5077</v>
      </c>
    </row>
    <row r="1996" spans="1:31" x14ac:dyDescent="0.3">
      <c r="A1996">
        <v>-73.977641787699994</v>
      </c>
      <c r="B1996">
        <v>40.769583026580001</v>
      </c>
      <c r="C1996" t="s">
        <v>5078</v>
      </c>
      <c r="D1996" t="s">
        <v>1581</v>
      </c>
      <c r="E1996" t="s">
        <v>33</v>
      </c>
      <c r="F1996">
        <v>10102018</v>
      </c>
      <c r="G1996">
        <v>10</v>
      </c>
      <c r="H1996" t="s">
        <v>48</v>
      </c>
      <c r="I1996" t="s">
        <v>42</v>
      </c>
      <c r="J1996" t="s">
        <v>59</v>
      </c>
      <c r="K1996" t="s">
        <v>79</v>
      </c>
      <c r="M1996" t="s">
        <v>65</v>
      </c>
      <c r="N1996" t="b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1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b">
        <v>0</v>
      </c>
      <c r="AB1996" t="b">
        <v>0</v>
      </c>
      <c r="AC1996" t="b">
        <v>0</v>
      </c>
      <c r="AE1996" t="s">
        <v>5079</v>
      </c>
    </row>
    <row r="1997" spans="1:31" x14ac:dyDescent="0.3">
      <c r="A1997">
        <v>-73.971463768310002</v>
      </c>
      <c r="B1997">
        <v>40.776898456159998</v>
      </c>
      <c r="C1997" t="s">
        <v>5080</v>
      </c>
      <c r="D1997" t="s">
        <v>729</v>
      </c>
      <c r="E1997" t="s">
        <v>33</v>
      </c>
      <c r="F1997">
        <v>10192018</v>
      </c>
      <c r="G1997">
        <v>1</v>
      </c>
      <c r="H1997" t="s">
        <v>48</v>
      </c>
      <c r="I1997" t="s">
        <v>42</v>
      </c>
      <c r="K1997" t="s">
        <v>43</v>
      </c>
      <c r="M1997" t="s">
        <v>65</v>
      </c>
      <c r="N1997" t="b">
        <v>0</v>
      </c>
      <c r="P1997" t="b">
        <v>0</v>
      </c>
      <c r="Q1997" t="b">
        <v>1</v>
      </c>
      <c r="R1997" t="b">
        <v>0</v>
      </c>
      <c r="S1997" t="b">
        <v>0</v>
      </c>
      <c r="T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b">
        <v>0</v>
      </c>
      <c r="AB1997" t="b">
        <v>0</v>
      </c>
      <c r="AC1997" t="b">
        <v>0</v>
      </c>
      <c r="AE1997" t="s">
        <v>5081</v>
      </c>
    </row>
    <row r="1998" spans="1:31" x14ac:dyDescent="0.3">
      <c r="A1998">
        <v>-73.959568651360001</v>
      </c>
      <c r="B1998">
        <v>40.790685974870001</v>
      </c>
      <c r="C1998" t="s">
        <v>5082</v>
      </c>
      <c r="D1998" t="s">
        <v>47</v>
      </c>
      <c r="E1998" t="s">
        <v>38</v>
      </c>
      <c r="F1998">
        <v>10072018</v>
      </c>
      <c r="G1998">
        <v>6</v>
      </c>
      <c r="H1998" t="s">
        <v>48</v>
      </c>
      <c r="I1998" t="s">
        <v>42</v>
      </c>
      <c r="K1998" t="s">
        <v>43</v>
      </c>
      <c r="M1998" t="s">
        <v>44</v>
      </c>
      <c r="N1998">
        <v>40</v>
      </c>
      <c r="P1998" t="b">
        <v>0</v>
      </c>
      <c r="Q1998" t="b">
        <v>0</v>
      </c>
      <c r="R1998" t="b">
        <v>1</v>
      </c>
      <c r="S1998" t="b">
        <v>0</v>
      </c>
      <c r="T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b">
        <v>0</v>
      </c>
      <c r="AB1998" t="b">
        <v>1</v>
      </c>
      <c r="AC1998" t="b">
        <v>0</v>
      </c>
      <c r="AE1998" t="s">
        <v>5083</v>
      </c>
    </row>
    <row r="1999" spans="1:31" x14ac:dyDescent="0.3">
      <c r="A1999">
        <v>-73.954986094719999</v>
      </c>
      <c r="B1999">
        <v>40.791155032829998</v>
      </c>
      <c r="C1999" t="s">
        <v>5084</v>
      </c>
      <c r="D1999" t="s">
        <v>1352</v>
      </c>
      <c r="E1999" t="s">
        <v>33</v>
      </c>
      <c r="F1999">
        <v>10062018</v>
      </c>
      <c r="G1999">
        <v>7</v>
      </c>
      <c r="H1999" t="s">
        <v>105</v>
      </c>
      <c r="I1999" t="s">
        <v>42</v>
      </c>
      <c r="J1999" t="s">
        <v>59</v>
      </c>
      <c r="K1999" t="s">
        <v>79</v>
      </c>
      <c r="L1999" t="s">
        <v>2637</v>
      </c>
      <c r="M1999" t="s">
        <v>44</v>
      </c>
      <c r="N1999">
        <v>20</v>
      </c>
      <c r="P1999" t="b">
        <v>0</v>
      </c>
      <c r="Q1999" t="b">
        <v>0</v>
      </c>
      <c r="R1999" t="b">
        <v>1</v>
      </c>
      <c r="S1999" t="b">
        <v>0</v>
      </c>
      <c r="T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b">
        <v>0</v>
      </c>
      <c r="AB1999" t="b">
        <v>0</v>
      </c>
      <c r="AC1999" t="b">
        <v>1</v>
      </c>
      <c r="AE1999" t="s">
        <v>5085</v>
      </c>
    </row>
    <row r="2000" spans="1:31" x14ac:dyDescent="0.3">
      <c r="A2000">
        <v>-73.959107057919994</v>
      </c>
      <c r="B2000">
        <v>40.789677677119997</v>
      </c>
      <c r="C2000" t="s">
        <v>5086</v>
      </c>
      <c r="D2000" t="s">
        <v>893</v>
      </c>
      <c r="E2000" t="s">
        <v>33</v>
      </c>
      <c r="F2000">
        <v>10072018</v>
      </c>
      <c r="G2000">
        <v>5</v>
      </c>
      <c r="H2000" t="s">
        <v>48</v>
      </c>
      <c r="I2000" t="s">
        <v>42</v>
      </c>
      <c r="K2000" t="s">
        <v>43</v>
      </c>
      <c r="M2000" t="s">
        <v>65</v>
      </c>
      <c r="N2000" t="b">
        <v>0</v>
      </c>
      <c r="P2000" t="b">
        <v>1</v>
      </c>
      <c r="Q2000" t="b">
        <v>0</v>
      </c>
      <c r="R2000" t="b">
        <v>0</v>
      </c>
      <c r="S2000" t="b">
        <v>0</v>
      </c>
      <c r="T2000" t="b">
        <v>1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b">
        <v>0</v>
      </c>
      <c r="AB2000" t="b">
        <v>0</v>
      </c>
      <c r="AC2000" t="b">
        <v>1</v>
      </c>
      <c r="AE2000" t="s">
        <v>5087</v>
      </c>
    </row>
    <row r="2001" spans="1:31" x14ac:dyDescent="0.3">
      <c r="A2001">
        <v>-73.952165542000003</v>
      </c>
      <c r="B2001">
        <v>40.794878549769997</v>
      </c>
      <c r="C2001" t="s">
        <v>5088</v>
      </c>
      <c r="D2001" t="s">
        <v>549</v>
      </c>
      <c r="E2001" t="s">
        <v>38</v>
      </c>
      <c r="F2001">
        <v>10072018</v>
      </c>
      <c r="G2001">
        <v>4</v>
      </c>
      <c r="H2001" t="s">
        <v>48</v>
      </c>
      <c r="I2001" t="s">
        <v>53</v>
      </c>
      <c r="J2001" t="s">
        <v>42</v>
      </c>
      <c r="K2001" t="s">
        <v>89</v>
      </c>
      <c r="M2001" t="s">
        <v>65</v>
      </c>
      <c r="N2001" t="b">
        <v>0</v>
      </c>
      <c r="P2001" t="b">
        <v>0</v>
      </c>
      <c r="Q2001" t="b">
        <v>0</v>
      </c>
      <c r="R2001" t="b">
        <v>0</v>
      </c>
      <c r="S2001" t="b">
        <v>1</v>
      </c>
      <c r="T2001" t="b">
        <v>1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b">
        <v>0</v>
      </c>
      <c r="AB2001" t="b">
        <v>0</v>
      </c>
      <c r="AC2001" t="b">
        <v>0</v>
      </c>
      <c r="AE2001" t="s">
        <v>5089</v>
      </c>
    </row>
    <row r="2002" spans="1:31" x14ac:dyDescent="0.3">
      <c r="A2002">
        <v>-73.958170695060005</v>
      </c>
      <c r="B2002">
        <v>40.79063213973</v>
      </c>
      <c r="C2002" t="s">
        <v>5090</v>
      </c>
      <c r="D2002" t="s">
        <v>124</v>
      </c>
      <c r="E2002" t="s">
        <v>38</v>
      </c>
      <c r="F2002">
        <v>10122018</v>
      </c>
      <c r="G2002">
        <v>5</v>
      </c>
      <c r="H2002" t="s">
        <v>48</v>
      </c>
      <c r="I2002" t="s">
        <v>42</v>
      </c>
      <c r="J2002" t="s">
        <v>59</v>
      </c>
      <c r="K2002" t="s">
        <v>79</v>
      </c>
      <c r="M2002" t="s">
        <v>44</v>
      </c>
      <c r="N2002">
        <v>10</v>
      </c>
      <c r="P2002" t="b">
        <v>1</v>
      </c>
      <c r="Q2002" t="b">
        <v>0</v>
      </c>
      <c r="R2002" t="b">
        <v>1</v>
      </c>
      <c r="S2002" t="b">
        <v>0</v>
      </c>
      <c r="T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b">
        <v>0</v>
      </c>
      <c r="AB2002" t="b">
        <v>0</v>
      </c>
      <c r="AC2002" t="b">
        <v>0</v>
      </c>
      <c r="AE2002" t="s">
        <v>5091</v>
      </c>
    </row>
    <row r="2003" spans="1:31" x14ac:dyDescent="0.3">
      <c r="A2003">
        <v>-73.96405263586</v>
      </c>
      <c r="B2003">
        <v>40.790741157479999</v>
      </c>
      <c r="C2003" t="s">
        <v>5092</v>
      </c>
      <c r="D2003" t="s">
        <v>908</v>
      </c>
      <c r="E2003" t="s">
        <v>38</v>
      </c>
      <c r="F2003">
        <v>10072018</v>
      </c>
      <c r="G2003">
        <v>1</v>
      </c>
      <c r="H2003" t="s">
        <v>48</v>
      </c>
      <c r="I2003" t="s">
        <v>42</v>
      </c>
      <c r="K2003" t="s">
        <v>43</v>
      </c>
      <c r="M2003" t="s">
        <v>44</v>
      </c>
      <c r="N2003">
        <v>35</v>
      </c>
      <c r="P2003" t="b">
        <v>0</v>
      </c>
      <c r="Q2003" t="b">
        <v>0</v>
      </c>
      <c r="R2003" t="b">
        <v>1</v>
      </c>
      <c r="S2003" t="b">
        <v>0</v>
      </c>
      <c r="T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b">
        <v>0</v>
      </c>
      <c r="AB2003" t="b">
        <v>0</v>
      </c>
      <c r="AC2003" t="b">
        <v>0</v>
      </c>
      <c r="AE2003" t="s">
        <v>5093</v>
      </c>
    </row>
    <row r="2004" spans="1:31" x14ac:dyDescent="0.3">
      <c r="A2004">
        <v>-73.971987969729994</v>
      </c>
      <c r="B2004">
        <v>40.772562512459999</v>
      </c>
      <c r="C2004" t="s">
        <v>5094</v>
      </c>
      <c r="D2004" t="s">
        <v>517</v>
      </c>
      <c r="E2004" t="s">
        <v>38</v>
      </c>
      <c r="F2004">
        <v>10132018</v>
      </c>
      <c r="G2004">
        <v>2</v>
      </c>
      <c r="H2004" t="s">
        <v>48</v>
      </c>
      <c r="I2004" t="s">
        <v>176</v>
      </c>
      <c r="K2004" t="s">
        <v>177</v>
      </c>
      <c r="M2004" t="s">
        <v>44</v>
      </c>
      <c r="N2004">
        <v>10</v>
      </c>
      <c r="P2004" t="b">
        <v>0</v>
      </c>
      <c r="Q2004" t="b">
        <v>0</v>
      </c>
      <c r="R2004" t="b">
        <v>1</v>
      </c>
      <c r="S2004" t="b">
        <v>0</v>
      </c>
      <c r="T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b">
        <v>0</v>
      </c>
      <c r="AB2004" t="b">
        <v>0</v>
      </c>
      <c r="AC2004" t="b">
        <v>0</v>
      </c>
      <c r="AE2004" t="s">
        <v>5095</v>
      </c>
    </row>
    <row r="2005" spans="1:31" x14ac:dyDescent="0.3">
      <c r="A2005">
        <v>-73.963583895149995</v>
      </c>
      <c r="B2005">
        <v>40.791752461980003</v>
      </c>
      <c r="C2005" t="s">
        <v>5096</v>
      </c>
      <c r="D2005" t="s">
        <v>2511</v>
      </c>
      <c r="E2005" t="s">
        <v>38</v>
      </c>
      <c r="F2005">
        <v>10172018</v>
      </c>
      <c r="G2005">
        <v>2</v>
      </c>
      <c r="H2005" t="s">
        <v>48</v>
      </c>
      <c r="I2005" t="s">
        <v>42</v>
      </c>
      <c r="K2005" t="s">
        <v>43</v>
      </c>
      <c r="M2005" t="s">
        <v>65</v>
      </c>
      <c r="N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1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b">
        <v>0</v>
      </c>
      <c r="AB2005" t="b">
        <v>0</v>
      </c>
      <c r="AC2005" t="b">
        <v>1</v>
      </c>
      <c r="AE2005" t="s">
        <v>5097</v>
      </c>
    </row>
    <row r="2006" spans="1:31" x14ac:dyDescent="0.3">
      <c r="A2006">
        <v>-73.97552590878</v>
      </c>
      <c r="B2006">
        <v>40.770725612420001</v>
      </c>
      <c r="C2006" t="s">
        <v>5098</v>
      </c>
      <c r="D2006" t="s">
        <v>722</v>
      </c>
      <c r="E2006" t="s">
        <v>38</v>
      </c>
      <c r="F2006">
        <v>10082018</v>
      </c>
      <c r="G2006">
        <v>1</v>
      </c>
      <c r="H2006" t="s">
        <v>48</v>
      </c>
      <c r="I2006" t="s">
        <v>53</v>
      </c>
      <c r="J2006" t="s">
        <v>59</v>
      </c>
      <c r="K2006" t="s">
        <v>60</v>
      </c>
      <c r="M2006" t="s">
        <v>44</v>
      </c>
      <c r="N2006">
        <v>10</v>
      </c>
      <c r="P2006" t="b">
        <v>0</v>
      </c>
      <c r="Q2006" t="b">
        <v>0</v>
      </c>
      <c r="R2006" t="b">
        <v>1</v>
      </c>
      <c r="S2006" t="b">
        <v>1</v>
      </c>
      <c r="T2006" t="b">
        <v>0</v>
      </c>
      <c r="V2006" t="b">
        <v>1</v>
      </c>
      <c r="W2006" t="b">
        <v>0</v>
      </c>
      <c r="X2006" t="b">
        <v>0</v>
      </c>
      <c r="Y2006" t="b">
        <v>0</v>
      </c>
      <c r="Z2006" t="b">
        <v>0</v>
      </c>
      <c r="AA2006" t="b">
        <v>1</v>
      </c>
      <c r="AB2006" t="b">
        <v>0</v>
      </c>
      <c r="AC2006" t="b">
        <v>0</v>
      </c>
      <c r="AE2006" t="s">
        <v>5099</v>
      </c>
    </row>
    <row r="2007" spans="1:31" x14ac:dyDescent="0.3">
      <c r="A2007">
        <v>-73.969564112170005</v>
      </c>
      <c r="B2007">
        <v>40.77695628867</v>
      </c>
      <c r="C2007" t="s">
        <v>5100</v>
      </c>
      <c r="D2007" t="s">
        <v>100</v>
      </c>
      <c r="E2007" t="s">
        <v>38</v>
      </c>
      <c r="F2007">
        <v>10082018</v>
      </c>
      <c r="G2007">
        <v>3</v>
      </c>
      <c r="H2007" t="s">
        <v>48</v>
      </c>
      <c r="I2007" t="s">
        <v>42</v>
      </c>
      <c r="K2007" t="s">
        <v>43</v>
      </c>
      <c r="M2007" t="s">
        <v>65</v>
      </c>
      <c r="N2007" t="b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1</v>
      </c>
      <c r="U2007" t="s">
        <v>101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b">
        <v>0</v>
      </c>
      <c r="AB2007" t="b">
        <v>1</v>
      </c>
      <c r="AC2007" t="b">
        <v>0</v>
      </c>
      <c r="AD2007" t="s">
        <v>552</v>
      </c>
      <c r="AE2007" t="s">
        <v>5101</v>
      </c>
    </row>
    <row r="2008" spans="1:31" x14ac:dyDescent="0.3">
      <c r="A2008">
        <v>-73.968483413819996</v>
      </c>
      <c r="B2008">
        <v>40.772428912019997</v>
      </c>
      <c r="C2008" t="s">
        <v>5102</v>
      </c>
      <c r="D2008" t="s">
        <v>58</v>
      </c>
      <c r="E2008" t="s">
        <v>38</v>
      </c>
      <c r="F2008">
        <v>10102018</v>
      </c>
      <c r="G2008">
        <v>6</v>
      </c>
      <c r="H2008" t="s">
        <v>48</v>
      </c>
      <c r="I2008" t="s">
        <v>53</v>
      </c>
      <c r="J2008" t="s">
        <v>59</v>
      </c>
      <c r="K2008" t="s">
        <v>60</v>
      </c>
      <c r="M2008" t="s">
        <v>65</v>
      </c>
      <c r="N2008" t="b">
        <v>0</v>
      </c>
      <c r="P2008" t="b">
        <v>0</v>
      </c>
      <c r="Q2008" t="b">
        <v>1</v>
      </c>
      <c r="R2008" t="b">
        <v>0</v>
      </c>
      <c r="S2008" t="b">
        <v>0</v>
      </c>
      <c r="T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1</v>
      </c>
      <c r="AA2008" t="b">
        <v>0</v>
      </c>
      <c r="AB2008" t="b">
        <v>1</v>
      </c>
      <c r="AC2008" t="b">
        <v>0</v>
      </c>
      <c r="AE2008" t="s">
        <v>5103</v>
      </c>
    </row>
    <row r="2009" spans="1:31" x14ac:dyDescent="0.3">
      <c r="A2009">
        <v>-73.952436408739999</v>
      </c>
      <c r="B2009">
        <v>40.792846505429999</v>
      </c>
      <c r="C2009" t="s">
        <v>5104</v>
      </c>
      <c r="D2009" t="s">
        <v>933</v>
      </c>
      <c r="E2009" t="s">
        <v>33</v>
      </c>
      <c r="F2009">
        <v>10062018</v>
      </c>
      <c r="G2009">
        <v>1</v>
      </c>
      <c r="H2009" t="s">
        <v>48</v>
      </c>
      <c r="I2009" t="s">
        <v>53</v>
      </c>
      <c r="J2009" t="s">
        <v>5105</v>
      </c>
      <c r="K2009" t="s">
        <v>5106</v>
      </c>
      <c r="M2009" t="s">
        <v>44</v>
      </c>
      <c r="N2009">
        <v>5</v>
      </c>
      <c r="P2009" t="b">
        <v>0</v>
      </c>
      <c r="Q2009" t="b">
        <v>0</v>
      </c>
      <c r="R2009" t="b">
        <v>0</v>
      </c>
      <c r="S2009" t="b">
        <v>0</v>
      </c>
      <c r="T2009" t="b">
        <v>1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b">
        <v>0</v>
      </c>
      <c r="AB2009" t="b">
        <v>1</v>
      </c>
      <c r="AC2009" t="b">
        <v>0</v>
      </c>
      <c r="AE2009" t="s">
        <v>5107</v>
      </c>
    </row>
    <row r="2010" spans="1:31" x14ac:dyDescent="0.3">
      <c r="A2010">
        <v>-73.963950581020001</v>
      </c>
      <c r="B2010">
        <v>40.789573183580004</v>
      </c>
      <c r="C2010" t="s">
        <v>5108</v>
      </c>
      <c r="D2010" t="s">
        <v>1133</v>
      </c>
      <c r="E2010" t="s">
        <v>33</v>
      </c>
      <c r="F2010">
        <v>10102018</v>
      </c>
      <c r="G2010">
        <v>1</v>
      </c>
      <c r="H2010" t="s">
        <v>48</v>
      </c>
      <c r="I2010" t="s">
        <v>53</v>
      </c>
      <c r="J2010" t="s">
        <v>115</v>
      </c>
      <c r="K2010" t="s">
        <v>116</v>
      </c>
      <c r="M2010" t="s">
        <v>44</v>
      </c>
      <c r="N2010">
        <v>4</v>
      </c>
      <c r="O2010" t="s">
        <v>5109</v>
      </c>
      <c r="P2010" t="b">
        <v>0</v>
      </c>
      <c r="Q2010" t="b">
        <v>0</v>
      </c>
      <c r="R2010" t="b">
        <v>1</v>
      </c>
      <c r="S2010" t="b">
        <v>1</v>
      </c>
      <c r="T2010" t="b">
        <v>1</v>
      </c>
      <c r="U2010" t="s">
        <v>5110</v>
      </c>
      <c r="V2010" t="b">
        <v>0</v>
      </c>
      <c r="W2010" t="b">
        <v>0</v>
      </c>
      <c r="X2010" t="b">
        <v>0</v>
      </c>
      <c r="Y2010" t="b">
        <v>0</v>
      </c>
      <c r="Z2010" t="b">
        <v>1</v>
      </c>
      <c r="AA2010" t="b">
        <v>0</v>
      </c>
      <c r="AB2010" t="b">
        <v>1</v>
      </c>
      <c r="AC2010" t="b">
        <v>0</v>
      </c>
      <c r="AE2010" t="s">
        <v>5111</v>
      </c>
    </row>
    <row r="2011" spans="1:31" x14ac:dyDescent="0.3">
      <c r="A2011">
        <v>-73.967382155750002</v>
      </c>
      <c r="B2011">
        <v>40.778637526769998</v>
      </c>
      <c r="C2011" t="s">
        <v>5112</v>
      </c>
      <c r="D2011" t="s">
        <v>111</v>
      </c>
      <c r="E2011" t="s">
        <v>33</v>
      </c>
      <c r="F2011">
        <v>10202018</v>
      </c>
      <c r="G2011">
        <v>6</v>
      </c>
      <c r="H2011" t="s">
        <v>48</v>
      </c>
      <c r="I2011" t="s">
        <v>42</v>
      </c>
      <c r="K2011" t="s">
        <v>43</v>
      </c>
      <c r="M2011" t="s">
        <v>44</v>
      </c>
      <c r="N2011">
        <v>20</v>
      </c>
      <c r="P2011" t="b">
        <v>0</v>
      </c>
      <c r="Q2011" t="b">
        <v>0</v>
      </c>
      <c r="R2011" t="b">
        <v>0</v>
      </c>
      <c r="S2011" t="b">
        <v>1</v>
      </c>
      <c r="T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b">
        <v>0</v>
      </c>
      <c r="AB2011" t="b">
        <v>0</v>
      </c>
      <c r="AC2011" t="b">
        <v>0</v>
      </c>
      <c r="AE2011" t="s">
        <v>5113</v>
      </c>
    </row>
    <row r="2012" spans="1:31" x14ac:dyDescent="0.3">
      <c r="A2012">
        <v>-73.960324580670004</v>
      </c>
      <c r="B2012">
        <v>40.794271247769998</v>
      </c>
      <c r="C2012" t="s">
        <v>5114</v>
      </c>
      <c r="D2012" t="s">
        <v>195</v>
      </c>
      <c r="E2012" t="s">
        <v>33</v>
      </c>
      <c r="F2012">
        <v>10132018</v>
      </c>
      <c r="G2012">
        <v>4</v>
      </c>
      <c r="I2012" t="s">
        <v>42</v>
      </c>
      <c r="J2012" t="s">
        <v>53</v>
      </c>
      <c r="K2012" t="s">
        <v>54</v>
      </c>
      <c r="M2012" t="s">
        <v>65</v>
      </c>
      <c r="N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1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b">
        <v>0</v>
      </c>
      <c r="AB2012" t="b">
        <v>0</v>
      </c>
      <c r="AC2012" t="b">
        <v>1</v>
      </c>
      <c r="AE2012" t="s">
        <v>5115</v>
      </c>
    </row>
    <row r="2013" spans="1:31" x14ac:dyDescent="0.3">
      <c r="A2013">
        <v>-73.958746485259994</v>
      </c>
      <c r="B2013">
        <v>40.793496354079998</v>
      </c>
      <c r="C2013" t="s">
        <v>5116</v>
      </c>
      <c r="D2013" t="s">
        <v>505</v>
      </c>
      <c r="E2013" t="s">
        <v>33</v>
      </c>
      <c r="F2013">
        <v>10132018</v>
      </c>
      <c r="G2013">
        <v>5</v>
      </c>
      <c r="H2013" t="s">
        <v>48</v>
      </c>
      <c r="I2013" t="s">
        <v>42</v>
      </c>
      <c r="J2013" t="s">
        <v>59</v>
      </c>
      <c r="K2013" t="s">
        <v>79</v>
      </c>
      <c r="M2013" t="s">
        <v>65</v>
      </c>
      <c r="N2013" t="b">
        <v>0</v>
      </c>
      <c r="P2013" t="b">
        <v>0</v>
      </c>
      <c r="Q2013" t="b">
        <v>0</v>
      </c>
      <c r="R2013" t="b">
        <v>0</v>
      </c>
      <c r="S2013" t="b">
        <v>0</v>
      </c>
      <c r="T2013" t="b">
        <v>1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b">
        <v>0</v>
      </c>
      <c r="AB2013" t="b">
        <v>1</v>
      </c>
      <c r="AC2013" t="b">
        <v>0</v>
      </c>
      <c r="AE2013" t="s">
        <v>5117</v>
      </c>
    </row>
    <row r="2014" spans="1:31" x14ac:dyDescent="0.3">
      <c r="A2014">
        <v>-73.969534838580003</v>
      </c>
      <c r="B2014">
        <v>40.770365736179997</v>
      </c>
      <c r="C2014" t="s">
        <v>5118</v>
      </c>
      <c r="D2014" t="s">
        <v>1326</v>
      </c>
      <c r="E2014" t="s">
        <v>33</v>
      </c>
      <c r="F2014">
        <v>10132018</v>
      </c>
      <c r="G2014">
        <v>7</v>
      </c>
      <c r="H2014" t="s">
        <v>48</v>
      </c>
      <c r="I2014" t="s">
        <v>42</v>
      </c>
      <c r="J2014" t="s">
        <v>96</v>
      </c>
      <c r="K2014" t="s">
        <v>97</v>
      </c>
      <c r="M2014" t="s">
        <v>65</v>
      </c>
      <c r="N2014" t="b">
        <v>0</v>
      </c>
      <c r="P2014" t="b">
        <v>0</v>
      </c>
      <c r="Q2014" t="b">
        <v>0</v>
      </c>
      <c r="R2014" t="b">
        <v>0</v>
      </c>
      <c r="S2014" t="b">
        <v>0</v>
      </c>
      <c r="T2014" t="b">
        <v>1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b">
        <v>0</v>
      </c>
      <c r="AB2014" t="b">
        <v>1</v>
      </c>
      <c r="AC2014" t="b">
        <v>0</v>
      </c>
      <c r="AE2014" t="s">
        <v>5119</v>
      </c>
    </row>
    <row r="2015" spans="1:31" x14ac:dyDescent="0.3">
      <c r="A2015">
        <v>-73.978647480950002</v>
      </c>
      <c r="B2015">
        <v>40.767971534110004</v>
      </c>
      <c r="C2015" t="s">
        <v>5120</v>
      </c>
      <c r="D2015" t="s">
        <v>1232</v>
      </c>
      <c r="E2015" t="s">
        <v>33</v>
      </c>
      <c r="F2015">
        <v>10132018</v>
      </c>
      <c r="G2015">
        <v>4</v>
      </c>
      <c r="H2015" t="s">
        <v>48</v>
      </c>
      <c r="I2015" t="s">
        <v>42</v>
      </c>
      <c r="J2015" t="s">
        <v>59</v>
      </c>
      <c r="K2015" t="s">
        <v>79</v>
      </c>
      <c r="P2015" t="b">
        <v>0</v>
      </c>
      <c r="Q2015" t="b">
        <v>0</v>
      </c>
      <c r="R2015" t="b">
        <v>0</v>
      </c>
      <c r="S2015" t="b">
        <v>0</v>
      </c>
      <c r="T2015" t="b">
        <v>1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b">
        <v>0</v>
      </c>
      <c r="AB2015" t="b">
        <v>0</v>
      </c>
      <c r="AC2015" t="b">
        <v>0</v>
      </c>
      <c r="AE2015" t="s">
        <v>5121</v>
      </c>
    </row>
    <row r="2016" spans="1:31" x14ac:dyDescent="0.3">
      <c r="A2016">
        <v>-73.957436555079994</v>
      </c>
      <c r="B2016">
        <v>40.788692467510003</v>
      </c>
      <c r="C2016" t="s">
        <v>5122</v>
      </c>
      <c r="D2016" t="s">
        <v>180</v>
      </c>
      <c r="E2016" t="s">
        <v>33</v>
      </c>
      <c r="F2016">
        <v>10082018</v>
      </c>
      <c r="G2016">
        <v>3</v>
      </c>
      <c r="H2016" t="s">
        <v>48</v>
      </c>
      <c r="I2016" t="s">
        <v>42</v>
      </c>
      <c r="K2016" t="s">
        <v>43</v>
      </c>
      <c r="M2016" t="s">
        <v>44</v>
      </c>
      <c r="O2016" t="s">
        <v>5123</v>
      </c>
      <c r="P2016" t="b">
        <v>0</v>
      </c>
      <c r="Q2016" t="b">
        <v>0</v>
      </c>
      <c r="R2016" t="b">
        <v>1</v>
      </c>
      <c r="S2016" t="b">
        <v>0</v>
      </c>
      <c r="T2016" t="b">
        <v>1</v>
      </c>
      <c r="U2016" t="s">
        <v>5124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b">
        <v>0</v>
      </c>
      <c r="AB2016" t="b">
        <v>0</v>
      </c>
      <c r="AC2016" t="b">
        <v>0</v>
      </c>
      <c r="AE2016" t="s">
        <v>5125</v>
      </c>
    </row>
    <row r="2017" spans="1:31" x14ac:dyDescent="0.3">
      <c r="A2017">
        <v>-73.958949224080001</v>
      </c>
      <c r="B2017">
        <v>40.798901118970001</v>
      </c>
      <c r="C2017" t="s">
        <v>5126</v>
      </c>
      <c r="D2017" t="s">
        <v>448</v>
      </c>
      <c r="E2017" t="s">
        <v>33</v>
      </c>
      <c r="F2017">
        <v>10142018</v>
      </c>
      <c r="G2017">
        <v>1</v>
      </c>
      <c r="H2017" t="s">
        <v>48</v>
      </c>
      <c r="I2017" t="s">
        <v>42</v>
      </c>
      <c r="J2017" t="s">
        <v>53</v>
      </c>
      <c r="K2017" t="s">
        <v>54</v>
      </c>
      <c r="M2017" t="s">
        <v>44</v>
      </c>
      <c r="N2017">
        <v>30</v>
      </c>
      <c r="P2017" t="b">
        <v>0</v>
      </c>
      <c r="Q2017" t="b">
        <v>0</v>
      </c>
      <c r="R2017" t="b">
        <v>1</v>
      </c>
      <c r="S2017" t="b">
        <v>0</v>
      </c>
      <c r="T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1</v>
      </c>
      <c r="AA2017" t="b">
        <v>0</v>
      </c>
      <c r="AB2017" t="b">
        <v>1</v>
      </c>
      <c r="AC2017" t="b">
        <v>0</v>
      </c>
      <c r="AD2017" t="s">
        <v>5127</v>
      </c>
      <c r="AE2017" t="s">
        <v>5128</v>
      </c>
    </row>
    <row r="2018" spans="1:31" x14ac:dyDescent="0.3">
      <c r="A2018">
        <v>-73.977506739890003</v>
      </c>
      <c r="B2018">
        <v>40.772656614239999</v>
      </c>
      <c r="C2018" t="s">
        <v>5129</v>
      </c>
      <c r="D2018" t="s">
        <v>439</v>
      </c>
      <c r="E2018" t="s">
        <v>38</v>
      </c>
      <c r="F2018">
        <v>10082018</v>
      </c>
      <c r="G2018">
        <v>14</v>
      </c>
      <c r="H2018" t="s">
        <v>48</v>
      </c>
      <c r="I2018" t="s">
        <v>42</v>
      </c>
      <c r="K2018" t="s">
        <v>43</v>
      </c>
      <c r="M2018" t="s">
        <v>44</v>
      </c>
      <c r="O2018" t="s">
        <v>748</v>
      </c>
      <c r="P2018" t="b">
        <v>0</v>
      </c>
      <c r="Q2018" t="b">
        <v>0</v>
      </c>
      <c r="R2018" t="b">
        <v>1</v>
      </c>
      <c r="S2018" t="b">
        <v>0</v>
      </c>
      <c r="T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b">
        <v>0</v>
      </c>
      <c r="AB2018" t="b">
        <v>1</v>
      </c>
      <c r="AC2018" t="b">
        <v>0</v>
      </c>
      <c r="AE2018" t="s">
        <v>5130</v>
      </c>
    </row>
    <row r="2019" spans="1:31" x14ac:dyDescent="0.3">
      <c r="A2019">
        <v>-73.969792402660005</v>
      </c>
      <c r="B2019">
        <v>40.780361115200002</v>
      </c>
      <c r="C2019" t="s">
        <v>5131</v>
      </c>
      <c r="D2019" t="s">
        <v>622</v>
      </c>
      <c r="E2019" t="s">
        <v>33</v>
      </c>
      <c r="F2019">
        <v>10182018</v>
      </c>
      <c r="G2019">
        <v>4</v>
      </c>
      <c r="H2019" t="s">
        <v>105</v>
      </c>
      <c r="I2019" t="s">
        <v>42</v>
      </c>
      <c r="K2019" t="s">
        <v>43</v>
      </c>
      <c r="M2019" t="s">
        <v>44</v>
      </c>
      <c r="N2019">
        <v>1</v>
      </c>
      <c r="P2019" t="b">
        <v>1</v>
      </c>
      <c r="Q2019" t="b">
        <v>1</v>
      </c>
      <c r="R2019" t="b">
        <v>0</v>
      </c>
      <c r="S2019" t="b">
        <v>0</v>
      </c>
      <c r="T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b">
        <v>0</v>
      </c>
      <c r="AB2019" t="b">
        <v>0</v>
      </c>
      <c r="AC2019" t="b">
        <v>1</v>
      </c>
      <c r="AE2019" t="s">
        <v>5132</v>
      </c>
    </row>
    <row r="2020" spans="1:31" x14ac:dyDescent="0.3">
      <c r="A2020">
        <v>-73.956670541280005</v>
      </c>
      <c r="B2020">
        <v>40.793556064569998</v>
      </c>
      <c r="C2020" t="s">
        <v>5133</v>
      </c>
      <c r="D2020" t="s">
        <v>693</v>
      </c>
      <c r="E2020" t="s">
        <v>33</v>
      </c>
      <c r="F2020">
        <v>10122018</v>
      </c>
      <c r="G2020">
        <v>1</v>
      </c>
      <c r="H2020" t="s">
        <v>48</v>
      </c>
      <c r="I2020" t="s">
        <v>42</v>
      </c>
      <c r="J2020" t="s">
        <v>96</v>
      </c>
      <c r="K2020" t="s">
        <v>97</v>
      </c>
      <c r="M2020" t="s">
        <v>65</v>
      </c>
      <c r="N2020" t="b">
        <v>0</v>
      </c>
      <c r="O2020" t="s">
        <v>752</v>
      </c>
      <c r="P2020" t="b">
        <v>0</v>
      </c>
      <c r="Q2020" t="b">
        <v>0</v>
      </c>
      <c r="R2020" t="b">
        <v>0</v>
      </c>
      <c r="S2020" t="b">
        <v>0</v>
      </c>
      <c r="T2020" t="b">
        <v>1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b">
        <v>1</v>
      </c>
      <c r="AB2020" t="b">
        <v>0</v>
      </c>
      <c r="AC2020" t="b">
        <v>0</v>
      </c>
      <c r="AE2020" t="s">
        <v>5134</v>
      </c>
    </row>
    <row r="2021" spans="1:31" x14ac:dyDescent="0.3">
      <c r="A2021">
        <v>-73.969145388599998</v>
      </c>
      <c r="B2021">
        <v>40.77705240897</v>
      </c>
      <c r="C2021" t="s">
        <v>5135</v>
      </c>
      <c r="D2021" t="s">
        <v>130</v>
      </c>
      <c r="E2021" t="s">
        <v>33</v>
      </c>
      <c r="F2021">
        <v>10082018</v>
      </c>
      <c r="G2021">
        <v>2</v>
      </c>
      <c r="H2021" t="s">
        <v>48</v>
      </c>
      <c r="I2021" t="s">
        <v>42</v>
      </c>
      <c r="K2021" t="s">
        <v>43</v>
      </c>
      <c r="M2021" t="s">
        <v>65</v>
      </c>
      <c r="N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1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b">
        <v>0</v>
      </c>
      <c r="AB2021" t="b">
        <v>1</v>
      </c>
      <c r="AC2021" t="b">
        <v>0</v>
      </c>
      <c r="AE2021" t="s">
        <v>5136</v>
      </c>
    </row>
    <row r="2022" spans="1:31" x14ac:dyDescent="0.3">
      <c r="A2022">
        <v>-73.95828003055</v>
      </c>
      <c r="B2022">
        <v>40.798947371300002</v>
      </c>
      <c r="C2022" t="s">
        <v>5137</v>
      </c>
      <c r="D2022" t="s">
        <v>212</v>
      </c>
      <c r="E2022" t="s">
        <v>33</v>
      </c>
      <c r="F2022">
        <v>10142018</v>
      </c>
      <c r="G2022">
        <v>3</v>
      </c>
      <c r="H2022" t="s">
        <v>48</v>
      </c>
      <c r="I2022" t="s">
        <v>42</v>
      </c>
      <c r="J2022" t="s">
        <v>53</v>
      </c>
      <c r="K2022" t="s">
        <v>54</v>
      </c>
      <c r="M2022" t="s">
        <v>65</v>
      </c>
      <c r="N2022" t="b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1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b">
        <v>0</v>
      </c>
      <c r="AB2022" t="b">
        <v>1</v>
      </c>
      <c r="AC2022" t="b">
        <v>0</v>
      </c>
      <c r="AE2022" t="s">
        <v>5138</v>
      </c>
    </row>
    <row r="2023" spans="1:31" x14ac:dyDescent="0.3">
      <c r="A2023">
        <v>-73.971958349220003</v>
      </c>
      <c r="B2023">
        <v>40.776343496720003</v>
      </c>
      <c r="C2023" t="s">
        <v>5139</v>
      </c>
      <c r="D2023" t="s">
        <v>415</v>
      </c>
      <c r="E2023" t="s">
        <v>38</v>
      </c>
      <c r="F2023">
        <v>10142018</v>
      </c>
      <c r="G2023">
        <v>11</v>
      </c>
      <c r="H2023" t="s">
        <v>48</v>
      </c>
      <c r="I2023" t="s">
        <v>42</v>
      </c>
      <c r="J2023" t="s">
        <v>53</v>
      </c>
      <c r="K2023" t="s">
        <v>54</v>
      </c>
      <c r="M2023" t="s">
        <v>65</v>
      </c>
      <c r="N2023" t="b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1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b">
        <v>0</v>
      </c>
      <c r="AB2023" t="b">
        <v>1</v>
      </c>
      <c r="AC2023" t="b">
        <v>0</v>
      </c>
      <c r="AE2023" t="s">
        <v>5140</v>
      </c>
    </row>
    <row r="2024" spans="1:31" x14ac:dyDescent="0.3">
      <c r="A2024">
        <v>-73.966397726189996</v>
      </c>
      <c r="B2024">
        <v>40.775645134229997</v>
      </c>
      <c r="C2024" t="s">
        <v>5141</v>
      </c>
      <c r="D2024" t="s">
        <v>1320</v>
      </c>
      <c r="E2024" t="s">
        <v>33</v>
      </c>
      <c r="F2024">
        <v>10122018</v>
      </c>
      <c r="G2024">
        <v>8</v>
      </c>
      <c r="H2024" t="s">
        <v>48</v>
      </c>
      <c r="I2024" t="s">
        <v>42</v>
      </c>
      <c r="J2024" t="s">
        <v>53</v>
      </c>
      <c r="K2024" t="s">
        <v>54</v>
      </c>
      <c r="M2024" t="s">
        <v>65</v>
      </c>
      <c r="N2024" t="b">
        <v>0</v>
      </c>
      <c r="P2024" t="b">
        <v>0</v>
      </c>
      <c r="Q2024" t="b">
        <v>0</v>
      </c>
      <c r="R2024" t="b">
        <v>0</v>
      </c>
      <c r="S2024" t="b">
        <v>1</v>
      </c>
      <c r="T2024" t="b">
        <v>1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b">
        <v>0</v>
      </c>
      <c r="AB2024" t="b">
        <v>1</v>
      </c>
      <c r="AC2024" t="b">
        <v>0</v>
      </c>
      <c r="AE2024" t="s">
        <v>5142</v>
      </c>
    </row>
    <row r="2025" spans="1:31" x14ac:dyDescent="0.3">
      <c r="A2025">
        <v>-73.972247228620006</v>
      </c>
      <c r="B2025">
        <v>40.769955047620002</v>
      </c>
      <c r="C2025" t="s">
        <v>5143</v>
      </c>
      <c r="D2025" t="s">
        <v>221</v>
      </c>
      <c r="E2025" t="s">
        <v>33</v>
      </c>
      <c r="F2025">
        <v>10202018</v>
      </c>
      <c r="G2025">
        <v>4</v>
      </c>
      <c r="H2025" t="s">
        <v>48</v>
      </c>
      <c r="I2025" t="s">
        <v>42</v>
      </c>
      <c r="K2025" t="s">
        <v>43</v>
      </c>
      <c r="M2025" t="s">
        <v>65</v>
      </c>
      <c r="N2025" t="b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1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b">
        <v>0</v>
      </c>
      <c r="AB2025" t="b">
        <v>0</v>
      </c>
      <c r="AC2025" t="b">
        <v>0</v>
      </c>
      <c r="AE2025" t="s">
        <v>5144</v>
      </c>
    </row>
    <row r="2026" spans="1:31" x14ac:dyDescent="0.3">
      <c r="A2026">
        <v>-73.976654187899996</v>
      </c>
      <c r="B2026">
        <v>40.76740772654</v>
      </c>
      <c r="C2026" t="s">
        <v>5145</v>
      </c>
      <c r="D2026" t="s">
        <v>879</v>
      </c>
      <c r="E2026" t="s">
        <v>38</v>
      </c>
      <c r="F2026">
        <v>10102018</v>
      </c>
      <c r="G2026">
        <v>6</v>
      </c>
      <c r="H2026" t="s">
        <v>48</v>
      </c>
      <c r="I2026" t="s">
        <v>53</v>
      </c>
      <c r="K2026" t="s">
        <v>155</v>
      </c>
      <c r="M2026" t="s">
        <v>44</v>
      </c>
      <c r="N2026">
        <v>35</v>
      </c>
      <c r="P2026" t="b">
        <v>0</v>
      </c>
      <c r="Q2026" t="b">
        <v>0</v>
      </c>
      <c r="R2026" t="b">
        <v>0</v>
      </c>
      <c r="S2026" t="b">
        <v>0</v>
      </c>
      <c r="T2026" t="b">
        <v>0</v>
      </c>
      <c r="U2026" t="s">
        <v>5146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b">
        <v>0</v>
      </c>
      <c r="AB2026" t="b">
        <v>1</v>
      </c>
      <c r="AC2026" t="b">
        <v>0</v>
      </c>
      <c r="AE2026" t="s">
        <v>5147</v>
      </c>
    </row>
    <row r="2027" spans="1:31" x14ac:dyDescent="0.3">
      <c r="A2027">
        <v>-73.962275276900002</v>
      </c>
      <c r="B2027">
        <v>40.781492191310001</v>
      </c>
      <c r="C2027" t="s">
        <v>5148</v>
      </c>
      <c r="D2027" t="s">
        <v>2654</v>
      </c>
      <c r="E2027" t="s">
        <v>33</v>
      </c>
      <c r="F2027">
        <v>10072018</v>
      </c>
      <c r="G2027">
        <v>2</v>
      </c>
      <c r="H2027" t="s">
        <v>48</v>
      </c>
      <c r="I2027" t="s">
        <v>53</v>
      </c>
      <c r="J2027" t="s">
        <v>42</v>
      </c>
      <c r="K2027" t="s">
        <v>89</v>
      </c>
      <c r="M2027" t="s">
        <v>44</v>
      </c>
      <c r="N2027">
        <v>4</v>
      </c>
      <c r="O2027" t="s">
        <v>5149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s">
        <v>5150</v>
      </c>
      <c r="V2027" t="b">
        <v>1</v>
      </c>
      <c r="W2027" t="b">
        <v>0</v>
      </c>
      <c r="X2027" t="b">
        <v>0</v>
      </c>
      <c r="Y2027" t="b">
        <v>1</v>
      </c>
      <c r="Z2027" t="b">
        <v>0</v>
      </c>
      <c r="AA2027" t="b">
        <v>0</v>
      </c>
      <c r="AB2027" t="b">
        <v>1</v>
      </c>
      <c r="AC2027" t="b">
        <v>0</v>
      </c>
      <c r="AE2027" t="s">
        <v>5151</v>
      </c>
    </row>
    <row r="2028" spans="1:31" x14ac:dyDescent="0.3">
      <c r="A2028">
        <v>-73.964449990389994</v>
      </c>
      <c r="B2028">
        <v>40.783002316059999</v>
      </c>
      <c r="C2028" t="s">
        <v>5152</v>
      </c>
      <c r="D2028" t="s">
        <v>82</v>
      </c>
      <c r="E2028" t="s">
        <v>33</v>
      </c>
      <c r="F2028">
        <v>10142018</v>
      </c>
      <c r="G2028">
        <v>4</v>
      </c>
      <c r="H2028" t="s">
        <v>48</v>
      </c>
      <c r="I2028" t="s">
        <v>42</v>
      </c>
      <c r="K2028" t="s">
        <v>43</v>
      </c>
      <c r="M2028" t="s">
        <v>65</v>
      </c>
      <c r="N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1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b">
        <v>0</v>
      </c>
      <c r="AB2028" t="b">
        <v>1</v>
      </c>
      <c r="AC2028" t="b">
        <v>0</v>
      </c>
      <c r="AE2028" t="s">
        <v>5153</v>
      </c>
    </row>
    <row r="2029" spans="1:31" x14ac:dyDescent="0.3">
      <c r="A2029">
        <v>-73.968734773189993</v>
      </c>
      <c r="B2029">
        <v>40.771895559439997</v>
      </c>
      <c r="C2029" t="s">
        <v>5154</v>
      </c>
      <c r="D2029" t="s">
        <v>1251</v>
      </c>
      <c r="E2029" t="s">
        <v>38</v>
      </c>
      <c r="F2029">
        <v>10142018</v>
      </c>
      <c r="G2029">
        <v>3</v>
      </c>
      <c r="H2029" t="s">
        <v>105</v>
      </c>
      <c r="K2029" t="s">
        <v>34</v>
      </c>
      <c r="M2029" t="s">
        <v>44</v>
      </c>
      <c r="N2029">
        <v>20</v>
      </c>
      <c r="P2029" t="b">
        <v>0</v>
      </c>
      <c r="Q2029" t="b">
        <v>0</v>
      </c>
      <c r="R2029" t="b">
        <v>1</v>
      </c>
      <c r="S2029" t="b">
        <v>0</v>
      </c>
      <c r="T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b">
        <v>0</v>
      </c>
      <c r="AB2029" t="b">
        <v>0</v>
      </c>
      <c r="AC2029" t="b">
        <v>0</v>
      </c>
      <c r="AE2029" t="s">
        <v>5155</v>
      </c>
    </row>
    <row r="2030" spans="1:31" x14ac:dyDescent="0.3">
      <c r="A2030">
        <v>-73.968721382769999</v>
      </c>
      <c r="B2030">
        <v>40.784358637460002</v>
      </c>
      <c r="C2030" t="s">
        <v>5156</v>
      </c>
      <c r="D2030" t="s">
        <v>320</v>
      </c>
      <c r="E2030" t="s">
        <v>33</v>
      </c>
      <c r="F2030">
        <v>10142018</v>
      </c>
      <c r="G2030">
        <v>2</v>
      </c>
      <c r="H2030" t="s">
        <v>105</v>
      </c>
      <c r="I2030" t="s">
        <v>42</v>
      </c>
      <c r="J2030" t="s">
        <v>53</v>
      </c>
      <c r="K2030" t="s">
        <v>54</v>
      </c>
      <c r="M2030" t="s">
        <v>44</v>
      </c>
      <c r="N2030">
        <v>8</v>
      </c>
      <c r="P2030" t="b">
        <v>1</v>
      </c>
      <c r="Q2030" t="b">
        <v>1</v>
      </c>
      <c r="R2030" t="b">
        <v>0</v>
      </c>
      <c r="S2030" t="b">
        <v>0</v>
      </c>
      <c r="T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b">
        <v>0</v>
      </c>
      <c r="AB2030" t="b">
        <v>0</v>
      </c>
      <c r="AC2030" t="b">
        <v>0</v>
      </c>
      <c r="AE2030" t="s">
        <v>5157</v>
      </c>
    </row>
    <row r="2031" spans="1:31" x14ac:dyDescent="0.3">
      <c r="A2031">
        <v>-73.974925126740004</v>
      </c>
      <c r="B2031">
        <v>40.767911197129997</v>
      </c>
      <c r="C2031" t="s">
        <v>5158</v>
      </c>
      <c r="D2031" t="s">
        <v>911</v>
      </c>
      <c r="E2031" t="s">
        <v>33</v>
      </c>
      <c r="F2031">
        <v>10132018</v>
      </c>
      <c r="G2031">
        <v>1</v>
      </c>
      <c r="H2031" t="s">
        <v>48</v>
      </c>
      <c r="I2031" t="s">
        <v>53</v>
      </c>
      <c r="J2031" t="s">
        <v>5105</v>
      </c>
      <c r="K2031" t="s">
        <v>5106</v>
      </c>
      <c r="M2031" t="s">
        <v>65</v>
      </c>
      <c r="N2031" t="b">
        <v>0</v>
      </c>
      <c r="P2031" t="b">
        <v>0</v>
      </c>
      <c r="Q2031" t="b">
        <v>0</v>
      </c>
      <c r="R2031" t="b">
        <v>0</v>
      </c>
      <c r="S2031" t="b">
        <v>1</v>
      </c>
      <c r="T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1</v>
      </c>
      <c r="AA2031" t="b">
        <v>1</v>
      </c>
      <c r="AB2031" t="b">
        <v>0</v>
      </c>
      <c r="AC2031" t="b">
        <v>0</v>
      </c>
      <c r="AE2031" t="s">
        <v>5159</v>
      </c>
    </row>
    <row r="2032" spans="1:31" x14ac:dyDescent="0.3">
      <c r="A2032">
        <v>-73.979545478760002</v>
      </c>
      <c r="B2032">
        <v>40.768802689269997</v>
      </c>
      <c r="C2032" t="s">
        <v>5160</v>
      </c>
      <c r="D2032" t="s">
        <v>455</v>
      </c>
      <c r="E2032" t="s">
        <v>33</v>
      </c>
      <c r="F2032">
        <v>10072018</v>
      </c>
      <c r="G2032">
        <v>9</v>
      </c>
      <c r="H2032" t="s">
        <v>48</v>
      </c>
      <c r="K2032" t="s">
        <v>34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b">
        <v>0</v>
      </c>
      <c r="AB2032" t="b">
        <v>1</v>
      </c>
      <c r="AC2032" t="b">
        <v>0</v>
      </c>
      <c r="AE2032" t="s">
        <v>5161</v>
      </c>
    </row>
    <row r="2033" spans="1:31" x14ac:dyDescent="0.3">
      <c r="A2033">
        <v>-73.959015710489993</v>
      </c>
      <c r="B2033">
        <v>40.795688449339998</v>
      </c>
      <c r="C2033" t="s">
        <v>5162</v>
      </c>
      <c r="D2033" t="s">
        <v>925</v>
      </c>
      <c r="E2033" t="s">
        <v>33</v>
      </c>
      <c r="F2033">
        <v>10132018</v>
      </c>
      <c r="G2033">
        <v>5</v>
      </c>
      <c r="H2033" t="s">
        <v>48</v>
      </c>
      <c r="I2033" t="s">
        <v>42</v>
      </c>
      <c r="K2033" t="s">
        <v>43</v>
      </c>
      <c r="M2033" t="s">
        <v>65</v>
      </c>
      <c r="N2033" t="b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b">
        <v>0</v>
      </c>
      <c r="AB2033" t="b">
        <v>1</v>
      </c>
      <c r="AC2033" t="b">
        <v>0</v>
      </c>
      <c r="AE2033" t="s">
        <v>5163</v>
      </c>
    </row>
    <row r="2034" spans="1:31" x14ac:dyDescent="0.3">
      <c r="A2034">
        <v>-73.950016757029999</v>
      </c>
      <c r="B2034">
        <v>40.796618583670003</v>
      </c>
      <c r="C2034" t="s">
        <v>5164</v>
      </c>
      <c r="D2034" t="s">
        <v>1377</v>
      </c>
      <c r="E2034" t="s">
        <v>38</v>
      </c>
      <c r="F2034">
        <v>10182018</v>
      </c>
      <c r="G2034">
        <v>1</v>
      </c>
      <c r="H2034" t="s">
        <v>105</v>
      </c>
      <c r="I2034" t="s">
        <v>53</v>
      </c>
      <c r="J2034" t="s">
        <v>42</v>
      </c>
      <c r="K2034" t="s">
        <v>89</v>
      </c>
      <c r="M2034" t="s">
        <v>65</v>
      </c>
      <c r="N2034" t="b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1</v>
      </c>
      <c r="AA2034" t="b">
        <v>0</v>
      </c>
      <c r="AB2034" t="b">
        <v>0</v>
      </c>
      <c r="AC2034" t="b">
        <v>0</v>
      </c>
      <c r="AD2034" t="s">
        <v>5165</v>
      </c>
      <c r="AE2034" t="s">
        <v>5166</v>
      </c>
    </row>
    <row r="2035" spans="1:31" x14ac:dyDescent="0.3">
      <c r="A2035">
        <v>-73.969913518729996</v>
      </c>
      <c r="B2035">
        <v>40.77823541862</v>
      </c>
      <c r="C2035" t="s">
        <v>5167</v>
      </c>
      <c r="D2035" t="s">
        <v>709</v>
      </c>
      <c r="E2035" t="s">
        <v>38</v>
      </c>
      <c r="F2035">
        <v>10072018</v>
      </c>
      <c r="G2035">
        <v>3</v>
      </c>
      <c r="H2035" t="s">
        <v>48</v>
      </c>
      <c r="K2035" t="s">
        <v>34</v>
      </c>
      <c r="L2035" t="s">
        <v>5168</v>
      </c>
      <c r="M2035" t="s">
        <v>44</v>
      </c>
      <c r="N2035">
        <v>2</v>
      </c>
      <c r="P2035" t="b">
        <v>0</v>
      </c>
      <c r="Q2035" t="b">
        <v>0</v>
      </c>
      <c r="R2035" t="b">
        <v>1</v>
      </c>
      <c r="S2035" t="b">
        <v>0</v>
      </c>
      <c r="T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b">
        <v>0</v>
      </c>
      <c r="AB2035" t="b">
        <v>0</v>
      </c>
      <c r="AC2035" t="b">
        <v>1</v>
      </c>
      <c r="AE2035" t="s">
        <v>5169</v>
      </c>
    </row>
    <row r="2036" spans="1:31" x14ac:dyDescent="0.3">
      <c r="A2036">
        <v>-73.952718491420001</v>
      </c>
      <c r="B2036">
        <v>40.792678590480001</v>
      </c>
      <c r="C2036" t="s">
        <v>5170</v>
      </c>
      <c r="D2036" t="s">
        <v>933</v>
      </c>
      <c r="E2036" t="s">
        <v>33</v>
      </c>
      <c r="F2036">
        <v>10062018</v>
      </c>
      <c r="G2036">
        <v>2</v>
      </c>
      <c r="H2036" t="s">
        <v>48</v>
      </c>
      <c r="I2036" t="s">
        <v>42</v>
      </c>
      <c r="K2036" t="s">
        <v>43</v>
      </c>
      <c r="M2036" t="s">
        <v>65</v>
      </c>
      <c r="N2036" t="b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1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b">
        <v>0</v>
      </c>
      <c r="AB2036" t="b">
        <v>1</v>
      </c>
      <c r="AC2036" t="b">
        <v>0</v>
      </c>
      <c r="AE2036" t="s">
        <v>5171</v>
      </c>
    </row>
    <row r="2037" spans="1:31" x14ac:dyDescent="0.3">
      <c r="A2037">
        <v>-73.968337041759995</v>
      </c>
      <c r="B2037">
        <v>40.781359835049997</v>
      </c>
      <c r="C2037" t="s">
        <v>5172</v>
      </c>
      <c r="D2037" t="s">
        <v>208</v>
      </c>
      <c r="E2037" t="s">
        <v>38</v>
      </c>
      <c r="F2037">
        <v>10072018</v>
      </c>
      <c r="G2037">
        <v>2</v>
      </c>
      <c r="H2037" t="s">
        <v>48</v>
      </c>
      <c r="I2037" t="s">
        <v>42</v>
      </c>
      <c r="J2037" t="s">
        <v>53</v>
      </c>
      <c r="K2037" t="s">
        <v>54</v>
      </c>
      <c r="M2037" t="s">
        <v>44</v>
      </c>
      <c r="N2037">
        <v>2</v>
      </c>
      <c r="P2037" t="b">
        <v>0</v>
      </c>
      <c r="Q2037" t="b">
        <v>0</v>
      </c>
      <c r="R2037" t="b">
        <v>1</v>
      </c>
      <c r="S2037" t="b">
        <v>0</v>
      </c>
      <c r="T2037" t="b">
        <v>1</v>
      </c>
      <c r="V2037" t="b">
        <v>0</v>
      </c>
      <c r="W2037" t="b">
        <v>0</v>
      </c>
      <c r="X2037" t="b">
        <v>0</v>
      </c>
      <c r="Y2037" t="b">
        <v>0</v>
      </c>
      <c r="Z2037" t="b">
        <v>1</v>
      </c>
      <c r="AA2037" t="b">
        <v>0</v>
      </c>
      <c r="AB2037" t="b">
        <v>0</v>
      </c>
      <c r="AC2037" t="b">
        <v>0</v>
      </c>
      <c r="AD2037" t="s">
        <v>5173</v>
      </c>
      <c r="AE2037" t="s">
        <v>5174</v>
      </c>
    </row>
    <row r="2038" spans="1:31" x14ac:dyDescent="0.3">
      <c r="A2038">
        <v>-73.980356213700006</v>
      </c>
      <c r="B2038">
        <v>40.768578099060001</v>
      </c>
      <c r="C2038" t="s">
        <v>5175</v>
      </c>
      <c r="D2038" t="s">
        <v>204</v>
      </c>
      <c r="E2038" t="s">
        <v>38</v>
      </c>
      <c r="F2038">
        <v>10102018</v>
      </c>
      <c r="G2038">
        <v>2</v>
      </c>
      <c r="H2038" t="s">
        <v>105</v>
      </c>
      <c r="I2038" t="s">
        <v>42</v>
      </c>
      <c r="K2038" t="s">
        <v>43</v>
      </c>
      <c r="M2038" t="s">
        <v>65</v>
      </c>
      <c r="N2038" t="b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V2038" t="b">
        <v>0</v>
      </c>
      <c r="W2038" t="b">
        <v>0</v>
      </c>
      <c r="X2038" t="b">
        <v>0</v>
      </c>
      <c r="Y2038" t="b">
        <v>1</v>
      </c>
      <c r="Z2038" t="b">
        <v>0</v>
      </c>
      <c r="AA2038" t="b">
        <v>0</v>
      </c>
      <c r="AB2038" t="b">
        <v>0</v>
      </c>
      <c r="AC2038" t="b">
        <v>1</v>
      </c>
      <c r="AE2038" t="s">
        <v>5176</v>
      </c>
    </row>
    <row r="2039" spans="1:31" x14ac:dyDescent="0.3">
      <c r="A2039">
        <v>-73.970837180640004</v>
      </c>
      <c r="B2039">
        <v>40.776481366669998</v>
      </c>
      <c r="C2039" t="s">
        <v>5177</v>
      </c>
      <c r="D2039" t="s">
        <v>729</v>
      </c>
      <c r="E2039" t="s">
        <v>38</v>
      </c>
      <c r="F2039">
        <v>10142018</v>
      </c>
      <c r="G2039">
        <v>14</v>
      </c>
      <c r="H2039" t="s">
        <v>48</v>
      </c>
      <c r="I2039" t="s">
        <v>42</v>
      </c>
      <c r="J2039" t="s">
        <v>96</v>
      </c>
      <c r="K2039" t="s">
        <v>97</v>
      </c>
      <c r="P2039" t="b">
        <v>0</v>
      </c>
      <c r="Q2039" t="b">
        <v>0</v>
      </c>
      <c r="R2039" t="b">
        <v>0</v>
      </c>
      <c r="S2039" t="b">
        <v>0</v>
      </c>
      <c r="T2039" t="b">
        <v>1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b">
        <v>0</v>
      </c>
      <c r="AB2039" t="b">
        <v>1</v>
      </c>
      <c r="AC2039" t="b">
        <v>0</v>
      </c>
      <c r="AE2039" t="s">
        <v>5178</v>
      </c>
    </row>
    <row r="2040" spans="1:31" x14ac:dyDescent="0.3">
      <c r="A2040">
        <v>-73.964816733410004</v>
      </c>
      <c r="B2040">
        <v>40.781116497630002</v>
      </c>
      <c r="C2040" t="s">
        <v>5179</v>
      </c>
      <c r="D2040" t="s">
        <v>564</v>
      </c>
      <c r="E2040" t="s">
        <v>33</v>
      </c>
      <c r="F2040">
        <v>10072018</v>
      </c>
      <c r="G2040">
        <v>2</v>
      </c>
      <c r="H2040" t="s">
        <v>48</v>
      </c>
      <c r="I2040" t="s">
        <v>42</v>
      </c>
      <c r="J2040" t="s">
        <v>59</v>
      </c>
      <c r="K2040" t="s">
        <v>79</v>
      </c>
      <c r="L2040" t="s">
        <v>5180</v>
      </c>
      <c r="M2040" t="s">
        <v>65</v>
      </c>
      <c r="N2040" t="b">
        <v>0</v>
      </c>
      <c r="P2040" t="b">
        <v>0</v>
      </c>
      <c r="Q2040" t="b">
        <v>0</v>
      </c>
      <c r="R2040" t="b">
        <v>0</v>
      </c>
      <c r="S2040" t="b">
        <v>1</v>
      </c>
      <c r="T2040" t="b">
        <v>1</v>
      </c>
      <c r="U2040" t="s">
        <v>5181</v>
      </c>
      <c r="V2040" t="b">
        <v>0</v>
      </c>
      <c r="W2040" t="b">
        <v>0</v>
      </c>
      <c r="X2040" t="b">
        <v>0</v>
      </c>
      <c r="Y2040" t="b">
        <v>0</v>
      </c>
      <c r="Z2040" t="b">
        <v>1</v>
      </c>
      <c r="AA2040" t="b">
        <v>0</v>
      </c>
      <c r="AB2040" t="b">
        <v>0</v>
      </c>
      <c r="AC2040" t="b">
        <v>1</v>
      </c>
      <c r="AE2040" t="s">
        <v>5182</v>
      </c>
    </row>
    <row r="2041" spans="1:31" x14ac:dyDescent="0.3">
      <c r="A2041">
        <v>-73.965179668510004</v>
      </c>
      <c r="B2041">
        <v>40.77855782676</v>
      </c>
      <c r="C2041" t="s">
        <v>5183</v>
      </c>
      <c r="D2041" t="s">
        <v>510</v>
      </c>
      <c r="E2041" t="s">
        <v>38</v>
      </c>
      <c r="F2041">
        <v>10142018</v>
      </c>
      <c r="G2041">
        <v>3</v>
      </c>
      <c r="H2041" t="s">
        <v>48</v>
      </c>
      <c r="I2041" t="s">
        <v>42</v>
      </c>
      <c r="J2041" t="s">
        <v>59</v>
      </c>
      <c r="K2041" t="s">
        <v>79</v>
      </c>
      <c r="M2041" t="s">
        <v>65</v>
      </c>
      <c r="N2041" t="b">
        <v>0</v>
      </c>
      <c r="P2041" t="b">
        <v>1</v>
      </c>
      <c r="Q2041" t="b">
        <v>0</v>
      </c>
      <c r="R2041" t="b">
        <v>0</v>
      </c>
      <c r="S2041" t="b">
        <v>0</v>
      </c>
      <c r="T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b">
        <v>0</v>
      </c>
      <c r="AB2041" t="b">
        <v>1</v>
      </c>
      <c r="AC2041" t="b">
        <v>0</v>
      </c>
      <c r="AE2041" t="s">
        <v>5184</v>
      </c>
    </row>
    <row r="2042" spans="1:31" x14ac:dyDescent="0.3">
      <c r="A2042">
        <v>-73.980089662170002</v>
      </c>
      <c r="B2042">
        <v>40.768437981029997</v>
      </c>
      <c r="C2042" t="s">
        <v>5185</v>
      </c>
      <c r="D2042" t="s">
        <v>204</v>
      </c>
      <c r="E2042" t="s">
        <v>33</v>
      </c>
      <c r="F2042">
        <v>10132018</v>
      </c>
      <c r="G2042">
        <v>3</v>
      </c>
      <c r="H2042" t="s">
        <v>48</v>
      </c>
      <c r="I2042" t="s">
        <v>42</v>
      </c>
      <c r="J2042" t="s">
        <v>59</v>
      </c>
      <c r="K2042" t="s">
        <v>79</v>
      </c>
      <c r="M2042" t="s">
        <v>65</v>
      </c>
      <c r="N2042" t="b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b">
        <v>0</v>
      </c>
      <c r="AB2042" t="b">
        <v>0</v>
      </c>
      <c r="AC2042" t="b">
        <v>0</v>
      </c>
      <c r="AE2042" t="s">
        <v>5186</v>
      </c>
    </row>
    <row r="2043" spans="1:31" x14ac:dyDescent="0.3">
      <c r="A2043">
        <v>-73.964322301660005</v>
      </c>
      <c r="B2043">
        <v>40.781431908720002</v>
      </c>
      <c r="C2043" t="s">
        <v>5187</v>
      </c>
      <c r="D2043" t="s">
        <v>1199</v>
      </c>
      <c r="E2043" t="s">
        <v>38</v>
      </c>
      <c r="F2043">
        <v>10182018</v>
      </c>
      <c r="G2043">
        <v>3</v>
      </c>
      <c r="H2043" t="s">
        <v>48</v>
      </c>
      <c r="I2043" t="s">
        <v>53</v>
      </c>
      <c r="J2043" t="s">
        <v>42</v>
      </c>
      <c r="K2043" t="s">
        <v>89</v>
      </c>
      <c r="M2043" t="s">
        <v>65</v>
      </c>
      <c r="N2043" t="b">
        <v>0</v>
      </c>
      <c r="P2043" t="b">
        <v>0</v>
      </c>
      <c r="Q2043" t="b">
        <v>0</v>
      </c>
      <c r="R2043" t="b">
        <v>0</v>
      </c>
      <c r="S2043" t="b">
        <v>0</v>
      </c>
      <c r="T2043" t="b">
        <v>0</v>
      </c>
      <c r="U2043" t="s">
        <v>5188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b">
        <v>0</v>
      </c>
      <c r="AB2043" t="b">
        <v>0</v>
      </c>
      <c r="AC2043" t="b">
        <v>1</v>
      </c>
      <c r="AE2043" t="s">
        <v>5189</v>
      </c>
    </row>
    <row r="2044" spans="1:31" x14ac:dyDescent="0.3">
      <c r="A2044">
        <v>-73.977155232620007</v>
      </c>
      <c r="B2044">
        <v>40.770691759530003</v>
      </c>
      <c r="C2044" t="s">
        <v>5190</v>
      </c>
      <c r="D2044" t="s">
        <v>88</v>
      </c>
      <c r="E2044" t="s">
        <v>38</v>
      </c>
      <c r="F2044">
        <v>10062018</v>
      </c>
      <c r="G2044">
        <v>1</v>
      </c>
      <c r="H2044" t="s">
        <v>48</v>
      </c>
      <c r="I2044" t="s">
        <v>53</v>
      </c>
      <c r="J2044" t="s">
        <v>59</v>
      </c>
      <c r="K2044" t="s">
        <v>60</v>
      </c>
      <c r="M2044" t="s">
        <v>65</v>
      </c>
      <c r="N2044" t="b">
        <v>0</v>
      </c>
      <c r="P2044" t="b">
        <v>1</v>
      </c>
      <c r="Q2044" t="b">
        <v>0</v>
      </c>
      <c r="R2044" t="b">
        <v>1</v>
      </c>
      <c r="S2044" t="b">
        <v>0</v>
      </c>
      <c r="T2044" t="b">
        <v>0</v>
      </c>
      <c r="V2044" t="b">
        <v>0</v>
      </c>
      <c r="W2044" t="b">
        <v>0</v>
      </c>
      <c r="X2044" t="b">
        <v>0</v>
      </c>
      <c r="Y2044" t="b">
        <v>1</v>
      </c>
      <c r="Z2044" t="b">
        <v>0</v>
      </c>
      <c r="AA2044" t="b">
        <v>1</v>
      </c>
      <c r="AB2044" t="b">
        <v>0</v>
      </c>
      <c r="AC2044" t="b">
        <v>0</v>
      </c>
      <c r="AE2044" t="s">
        <v>5191</v>
      </c>
    </row>
    <row r="2045" spans="1:31" x14ac:dyDescent="0.3">
      <c r="A2045">
        <v>-73.956417314909999</v>
      </c>
      <c r="B2045">
        <v>40.799155854479999</v>
      </c>
      <c r="C2045" t="s">
        <v>5192</v>
      </c>
      <c r="D2045" t="s">
        <v>335</v>
      </c>
      <c r="E2045" t="s">
        <v>33</v>
      </c>
      <c r="F2045">
        <v>10132018</v>
      </c>
      <c r="G2045">
        <v>2</v>
      </c>
      <c r="H2045" t="s">
        <v>48</v>
      </c>
      <c r="I2045" t="s">
        <v>42</v>
      </c>
      <c r="J2045" t="s">
        <v>53</v>
      </c>
      <c r="K2045" t="s">
        <v>54</v>
      </c>
      <c r="M2045" t="s">
        <v>65</v>
      </c>
      <c r="N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1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b">
        <v>0</v>
      </c>
      <c r="AB2045" t="b">
        <v>1</v>
      </c>
      <c r="AC2045" t="b">
        <v>0</v>
      </c>
      <c r="AE2045" t="s">
        <v>5193</v>
      </c>
    </row>
    <row r="2046" spans="1:31" x14ac:dyDescent="0.3">
      <c r="A2046">
        <v>-73.970641486359995</v>
      </c>
      <c r="B2046">
        <v>40.773275483710002</v>
      </c>
      <c r="C2046" t="s">
        <v>5194</v>
      </c>
      <c r="D2046" t="s">
        <v>1165</v>
      </c>
      <c r="E2046" t="s">
        <v>33</v>
      </c>
      <c r="F2046">
        <v>10062018</v>
      </c>
      <c r="G2046">
        <v>1</v>
      </c>
      <c r="H2046" t="s">
        <v>48</v>
      </c>
      <c r="I2046" t="s">
        <v>42</v>
      </c>
      <c r="K2046" t="s">
        <v>43</v>
      </c>
      <c r="M2046" t="s">
        <v>65</v>
      </c>
      <c r="N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s">
        <v>121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b">
        <v>0</v>
      </c>
      <c r="AB2046" t="b">
        <v>1</v>
      </c>
      <c r="AC2046" t="b">
        <v>0</v>
      </c>
      <c r="AE2046" t="s">
        <v>5195</v>
      </c>
    </row>
    <row r="2047" spans="1:31" x14ac:dyDescent="0.3">
      <c r="A2047">
        <v>-73.972165641359993</v>
      </c>
      <c r="B2047">
        <v>40.772286906559998</v>
      </c>
      <c r="C2047" t="s">
        <v>5196</v>
      </c>
      <c r="D2047" t="s">
        <v>517</v>
      </c>
      <c r="E2047" t="s">
        <v>33</v>
      </c>
      <c r="F2047">
        <v>10142018</v>
      </c>
      <c r="G2047">
        <v>8</v>
      </c>
      <c r="H2047" t="s">
        <v>48</v>
      </c>
      <c r="I2047" t="s">
        <v>42</v>
      </c>
      <c r="J2047" t="s">
        <v>53</v>
      </c>
      <c r="K2047" t="s">
        <v>54</v>
      </c>
      <c r="M2047" t="s">
        <v>65</v>
      </c>
      <c r="N2047" t="b">
        <v>0</v>
      </c>
      <c r="P2047" t="b">
        <v>0</v>
      </c>
      <c r="Q2047" t="b">
        <v>0</v>
      </c>
      <c r="R2047" t="b">
        <v>0</v>
      </c>
      <c r="S2047" t="b">
        <v>1</v>
      </c>
      <c r="T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b">
        <v>0</v>
      </c>
      <c r="AB2047" t="b">
        <v>0</v>
      </c>
      <c r="AC2047" t="b">
        <v>0</v>
      </c>
      <c r="AD2047" t="s">
        <v>5197</v>
      </c>
      <c r="AE2047" t="s">
        <v>5198</v>
      </c>
    </row>
    <row r="2048" spans="1:31" x14ac:dyDescent="0.3">
      <c r="A2048">
        <v>-73.962766146540005</v>
      </c>
      <c r="B2048">
        <v>40.781935681059998</v>
      </c>
      <c r="C2048" t="s">
        <v>5199</v>
      </c>
      <c r="D2048" t="s">
        <v>1287</v>
      </c>
      <c r="E2048" t="s">
        <v>33</v>
      </c>
      <c r="F2048">
        <v>10182018</v>
      </c>
      <c r="G2048">
        <v>2</v>
      </c>
      <c r="H2048" t="s">
        <v>48</v>
      </c>
      <c r="I2048" t="s">
        <v>42</v>
      </c>
      <c r="J2048" t="s">
        <v>96</v>
      </c>
      <c r="K2048" t="s">
        <v>97</v>
      </c>
      <c r="M2048" t="s">
        <v>65</v>
      </c>
      <c r="N2048" t="b">
        <v>0</v>
      </c>
      <c r="P2048" t="b">
        <v>0</v>
      </c>
      <c r="Q2048" t="b">
        <v>0</v>
      </c>
      <c r="R2048" t="b">
        <v>0</v>
      </c>
      <c r="S2048" t="b">
        <v>1</v>
      </c>
      <c r="T2048" t="b">
        <v>1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b">
        <v>0</v>
      </c>
      <c r="AB2048" t="b">
        <v>1</v>
      </c>
      <c r="AC2048" t="b">
        <v>0</v>
      </c>
      <c r="AE2048" t="s">
        <v>5200</v>
      </c>
    </row>
    <row r="2049" spans="1:31" x14ac:dyDescent="0.3">
      <c r="A2049">
        <v>-73.969265085100005</v>
      </c>
      <c r="B2049">
        <v>40.771379384600003</v>
      </c>
      <c r="C2049" t="s">
        <v>5201</v>
      </c>
      <c r="D2049" t="s">
        <v>2056</v>
      </c>
      <c r="E2049" t="s">
        <v>33</v>
      </c>
      <c r="F2049">
        <v>10182018</v>
      </c>
      <c r="G2049">
        <v>3</v>
      </c>
      <c r="H2049" t="s">
        <v>48</v>
      </c>
      <c r="I2049" t="s">
        <v>42</v>
      </c>
      <c r="K2049" t="s">
        <v>43</v>
      </c>
      <c r="M2049" t="s">
        <v>65</v>
      </c>
      <c r="N2049" t="b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1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b">
        <v>0</v>
      </c>
      <c r="AB2049" t="b">
        <v>0</v>
      </c>
      <c r="AC2049" t="b">
        <v>0</v>
      </c>
      <c r="AE2049" t="s">
        <v>5202</v>
      </c>
    </row>
    <row r="2050" spans="1:31" x14ac:dyDescent="0.3">
      <c r="A2050">
        <v>-73.955525595059996</v>
      </c>
      <c r="B2050">
        <v>40.797772080800002</v>
      </c>
      <c r="C2050" t="s">
        <v>5203</v>
      </c>
      <c r="D2050" t="s">
        <v>428</v>
      </c>
      <c r="E2050" t="s">
        <v>38</v>
      </c>
      <c r="F2050">
        <v>10132018</v>
      </c>
      <c r="G2050">
        <v>4</v>
      </c>
      <c r="H2050" t="s">
        <v>48</v>
      </c>
      <c r="I2050" t="s">
        <v>42</v>
      </c>
      <c r="J2050" t="s">
        <v>53</v>
      </c>
      <c r="K2050" t="s">
        <v>54</v>
      </c>
      <c r="L2050" t="s">
        <v>1012</v>
      </c>
      <c r="M2050" t="s">
        <v>65</v>
      </c>
      <c r="N2050" t="b">
        <v>0</v>
      </c>
      <c r="P2050" t="b">
        <v>0</v>
      </c>
      <c r="Q2050" t="b">
        <v>0</v>
      </c>
      <c r="R2050" t="b">
        <v>0</v>
      </c>
      <c r="S2050" t="b">
        <v>1</v>
      </c>
      <c r="T2050" t="b">
        <v>1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b">
        <v>0</v>
      </c>
      <c r="AB2050" t="b">
        <v>1</v>
      </c>
      <c r="AC2050" t="b">
        <v>0</v>
      </c>
      <c r="AE2050" t="s">
        <v>5204</v>
      </c>
    </row>
    <row r="2051" spans="1:31" x14ac:dyDescent="0.3">
      <c r="A2051">
        <v>-73.954480870820007</v>
      </c>
      <c r="B2051">
        <v>40.790657585230001</v>
      </c>
      <c r="C2051" t="s">
        <v>5205</v>
      </c>
      <c r="D2051" t="s">
        <v>1025</v>
      </c>
      <c r="E2051" t="s">
        <v>38</v>
      </c>
      <c r="F2051">
        <v>10122018</v>
      </c>
      <c r="G2051">
        <v>2</v>
      </c>
      <c r="H2051" t="s">
        <v>48</v>
      </c>
      <c r="I2051" t="s">
        <v>42</v>
      </c>
      <c r="J2051" t="s">
        <v>59</v>
      </c>
      <c r="K2051" t="s">
        <v>79</v>
      </c>
      <c r="L2051" t="s">
        <v>5206</v>
      </c>
      <c r="M2051" t="s">
        <v>65</v>
      </c>
      <c r="N2051" t="b">
        <v>0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s">
        <v>1222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b">
        <v>0</v>
      </c>
      <c r="AB2051" t="b">
        <v>0</v>
      </c>
      <c r="AC2051" t="b">
        <v>1</v>
      </c>
      <c r="AE2051" t="s">
        <v>5207</v>
      </c>
    </row>
    <row r="2052" spans="1:31" x14ac:dyDescent="0.3">
      <c r="A2052">
        <v>-73.974649344140005</v>
      </c>
      <c r="B2052">
        <v>40.775047873490003</v>
      </c>
      <c r="C2052" t="s">
        <v>5208</v>
      </c>
      <c r="D2052" t="s">
        <v>41</v>
      </c>
      <c r="E2052" t="s">
        <v>33</v>
      </c>
      <c r="F2052">
        <v>10142018</v>
      </c>
      <c r="G2052">
        <v>6</v>
      </c>
      <c r="H2052" t="s">
        <v>48</v>
      </c>
      <c r="I2052" t="s">
        <v>42</v>
      </c>
      <c r="J2052" t="s">
        <v>53</v>
      </c>
      <c r="K2052" t="s">
        <v>54</v>
      </c>
      <c r="M2052" t="s">
        <v>44</v>
      </c>
      <c r="N2052">
        <v>15</v>
      </c>
      <c r="P2052" t="b">
        <v>0</v>
      </c>
      <c r="Q2052" t="b">
        <v>0</v>
      </c>
      <c r="R2052" t="b">
        <v>0</v>
      </c>
      <c r="S2052" t="b">
        <v>0</v>
      </c>
      <c r="T2052" t="b">
        <v>0</v>
      </c>
      <c r="U2052" t="s">
        <v>3061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b">
        <v>0</v>
      </c>
      <c r="AB2052" t="b">
        <v>1</v>
      </c>
      <c r="AC2052" t="b">
        <v>0</v>
      </c>
      <c r="AE2052" t="s">
        <v>5209</v>
      </c>
    </row>
    <row r="2053" spans="1:31" x14ac:dyDescent="0.3">
      <c r="A2053">
        <v>-73.971181022240003</v>
      </c>
      <c r="B2053">
        <v>40.777344561200003</v>
      </c>
      <c r="C2053" t="s">
        <v>5210</v>
      </c>
      <c r="D2053" t="s">
        <v>729</v>
      </c>
      <c r="E2053" t="s">
        <v>33</v>
      </c>
      <c r="F2053">
        <v>10192018</v>
      </c>
      <c r="G2053">
        <v>5</v>
      </c>
      <c r="H2053" t="s">
        <v>48</v>
      </c>
      <c r="I2053" t="s">
        <v>42</v>
      </c>
      <c r="K2053" t="s">
        <v>43</v>
      </c>
      <c r="M2053" t="s">
        <v>65</v>
      </c>
      <c r="N2053" t="b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b">
        <v>0</v>
      </c>
      <c r="AB2053" t="b">
        <v>0</v>
      </c>
      <c r="AC2053" t="b">
        <v>0</v>
      </c>
      <c r="AE2053" t="s">
        <v>5211</v>
      </c>
    </row>
    <row r="2054" spans="1:31" x14ac:dyDescent="0.3">
      <c r="A2054">
        <v>-73.972638123470006</v>
      </c>
      <c r="B2054">
        <v>40.775269481599999</v>
      </c>
      <c r="C2054" t="s">
        <v>5212</v>
      </c>
      <c r="D2054" t="s">
        <v>1145</v>
      </c>
      <c r="E2054" t="s">
        <v>33</v>
      </c>
      <c r="F2054">
        <v>10142018</v>
      </c>
      <c r="G2054">
        <v>1</v>
      </c>
      <c r="H2054" t="s">
        <v>48</v>
      </c>
      <c r="I2054" t="s">
        <v>42</v>
      </c>
      <c r="J2054" t="s">
        <v>96</v>
      </c>
      <c r="K2054" t="s">
        <v>97</v>
      </c>
      <c r="M2054" t="s">
        <v>44</v>
      </c>
      <c r="N2054">
        <v>10</v>
      </c>
      <c r="P2054" t="b">
        <v>0</v>
      </c>
      <c r="Q2054" t="b">
        <v>0</v>
      </c>
      <c r="R2054" t="b">
        <v>1</v>
      </c>
      <c r="S2054" t="b">
        <v>0</v>
      </c>
      <c r="T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b">
        <v>0</v>
      </c>
      <c r="AB2054" t="b">
        <v>1</v>
      </c>
      <c r="AC2054" t="b">
        <v>0</v>
      </c>
      <c r="AE2054" t="s">
        <v>5213</v>
      </c>
    </row>
    <row r="2055" spans="1:31" x14ac:dyDescent="0.3">
      <c r="A2055">
        <v>-73.980692800770001</v>
      </c>
      <c r="B2055">
        <v>40.768255422030002</v>
      </c>
      <c r="C2055" t="s">
        <v>5214</v>
      </c>
      <c r="D2055" t="s">
        <v>1775</v>
      </c>
      <c r="E2055" t="s">
        <v>33</v>
      </c>
      <c r="F2055">
        <v>10142018</v>
      </c>
      <c r="G2055">
        <v>3</v>
      </c>
      <c r="H2055" t="s">
        <v>48</v>
      </c>
      <c r="I2055" t="s">
        <v>42</v>
      </c>
      <c r="J2055" t="s">
        <v>176</v>
      </c>
      <c r="K2055" t="s">
        <v>339</v>
      </c>
      <c r="M2055" t="s">
        <v>65</v>
      </c>
      <c r="N2055" t="b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1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b">
        <v>0</v>
      </c>
      <c r="AB2055" t="b">
        <v>0</v>
      </c>
      <c r="AC2055" t="b">
        <v>1</v>
      </c>
      <c r="AE2055" t="s">
        <v>5215</v>
      </c>
    </row>
    <row r="2056" spans="1:31" x14ac:dyDescent="0.3">
      <c r="A2056">
        <v>-73.958960062640003</v>
      </c>
      <c r="B2056">
        <v>40.791369026509997</v>
      </c>
      <c r="C2056" t="s">
        <v>5216</v>
      </c>
      <c r="D2056" t="s">
        <v>1211</v>
      </c>
      <c r="E2056" t="s">
        <v>38</v>
      </c>
      <c r="F2056">
        <v>10142018</v>
      </c>
      <c r="G2056">
        <v>8</v>
      </c>
      <c r="H2056" t="s">
        <v>48</v>
      </c>
      <c r="I2056" t="s">
        <v>42</v>
      </c>
      <c r="J2056" t="s">
        <v>96</v>
      </c>
      <c r="K2056" t="s">
        <v>97</v>
      </c>
      <c r="M2056" t="s">
        <v>44</v>
      </c>
      <c r="N2056">
        <v>5</v>
      </c>
      <c r="P2056" t="b">
        <v>0</v>
      </c>
      <c r="Q2056" t="b">
        <v>0</v>
      </c>
      <c r="R2056" t="b">
        <v>1</v>
      </c>
      <c r="S2056" t="b">
        <v>0</v>
      </c>
      <c r="T2056" t="b">
        <v>0</v>
      </c>
      <c r="V2056" t="b">
        <v>1</v>
      </c>
      <c r="W2056" t="b">
        <v>0</v>
      </c>
      <c r="X2056" t="b">
        <v>0</v>
      </c>
      <c r="Y2056" t="b">
        <v>0</v>
      </c>
      <c r="Z2056" t="b">
        <v>0</v>
      </c>
      <c r="AA2056" t="b">
        <v>0</v>
      </c>
      <c r="AB2056" t="b">
        <v>1</v>
      </c>
      <c r="AC2056" t="b">
        <v>0</v>
      </c>
      <c r="AE2056" t="s">
        <v>5217</v>
      </c>
    </row>
    <row r="2057" spans="1:31" x14ac:dyDescent="0.3">
      <c r="A2057">
        <v>-73.957965954320002</v>
      </c>
      <c r="B2057">
        <v>40.790564688700002</v>
      </c>
      <c r="C2057" t="s">
        <v>5218</v>
      </c>
      <c r="D2057" t="s">
        <v>124</v>
      </c>
      <c r="E2057" t="s">
        <v>38</v>
      </c>
      <c r="F2057">
        <v>10122018</v>
      </c>
      <c r="G2057">
        <v>7</v>
      </c>
      <c r="H2057" t="s">
        <v>48</v>
      </c>
      <c r="I2057" t="s">
        <v>42</v>
      </c>
      <c r="J2057" t="s">
        <v>59</v>
      </c>
      <c r="K2057" t="s">
        <v>79</v>
      </c>
      <c r="M2057" t="s">
        <v>65</v>
      </c>
      <c r="N2057" t="b">
        <v>0</v>
      </c>
      <c r="P2057" t="b">
        <v>0</v>
      </c>
      <c r="Q2057" t="b">
        <v>0</v>
      </c>
      <c r="R2057" t="b">
        <v>0</v>
      </c>
      <c r="S2057" t="b">
        <v>0</v>
      </c>
      <c r="T2057" t="b">
        <v>1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b">
        <v>0</v>
      </c>
      <c r="AB2057" t="b">
        <v>0</v>
      </c>
      <c r="AC2057" t="b">
        <v>0</v>
      </c>
      <c r="AE2057" t="s">
        <v>5219</v>
      </c>
    </row>
    <row r="2058" spans="1:31" x14ac:dyDescent="0.3">
      <c r="A2058">
        <v>-73.966901734529998</v>
      </c>
      <c r="B2058">
        <v>40.776692898710003</v>
      </c>
      <c r="C2058" t="s">
        <v>5220</v>
      </c>
      <c r="D2058" t="s">
        <v>311</v>
      </c>
      <c r="E2058" t="s">
        <v>38</v>
      </c>
      <c r="F2058">
        <v>10082018</v>
      </c>
      <c r="G2058">
        <v>1</v>
      </c>
      <c r="H2058" t="s">
        <v>48</v>
      </c>
      <c r="I2058" t="s">
        <v>42</v>
      </c>
      <c r="J2058" t="s">
        <v>53</v>
      </c>
      <c r="K2058" t="s">
        <v>54</v>
      </c>
      <c r="M2058" t="s">
        <v>65</v>
      </c>
      <c r="N2058" t="b">
        <v>0</v>
      </c>
      <c r="P2058" t="b">
        <v>1</v>
      </c>
      <c r="Q2058" t="b">
        <v>0</v>
      </c>
      <c r="R2058" t="b">
        <v>0</v>
      </c>
      <c r="S2058" t="b">
        <v>0</v>
      </c>
      <c r="T2058" t="b">
        <v>1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b">
        <v>0</v>
      </c>
      <c r="AB2058" t="b">
        <v>1</v>
      </c>
      <c r="AC2058" t="b">
        <v>0</v>
      </c>
      <c r="AE2058" t="s">
        <v>5221</v>
      </c>
    </row>
    <row r="2059" spans="1:31" x14ac:dyDescent="0.3">
      <c r="A2059">
        <v>-73.97100267047</v>
      </c>
      <c r="B2059">
        <v>40.776105276460001</v>
      </c>
      <c r="C2059" t="s">
        <v>5222</v>
      </c>
      <c r="D2059" t="s">
        <v>415</v>
      </c>
      <c r="E2059" t="s">
        <v>38</v>
      </c>
      <c r="F2059">
        <v>10142018</v>
      </c>
      <c r="G2059">
        <v>4</v>
      </c>
      <c r="H2059" t="s">
        <v>48</v>
      </c>
      <c r="I2059" t="s">
        <v>42</v>
      </c>
      <c r="J2059" t="s">
        <v>96</v>
      </c>
      <c r="K2059" t="s">
        <v>97</v>
      </c>
      <c r="L2059" t="s">
        <v>1381</v>
      </c>
      <c r="M2059" t="s">
        <v>65</v>
      </c>
      <c r="N2059" t="b">
        <v>0</v>
      </c>
      <c r="P2059" t="b">
        <v>0</v>
      </c>
      <c r="Q2059" t="b">
        <v>1</v>
      </c>
      <c r="R2059" t="b">
        <v>0</v>
      </c>
      <c r="S2059" t="b">
        <v>0</v>
      </c>
      <c r="T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b">
        <v>0</v>
      </c>
      <c r="AB2059" t="b">
        <v>1</v>
      </c>
      <c r="AC2059" t="b">
        <v>0</v>
      </c>
      <c r="AE2059" t="s">
        <v>5223</v>
      </c>
    </row>
    <row r="2060" spans="1:31" x14ac:dyDescent="0.3">
      <c r="A2060">
        <v>-73.957579800410002</v>
      </c>
      <c r="B2060">
        <v>40.795701403549998</v>
      </c>
      <c r="C2060" t="s">
        <v>5224</v>
      </c>
      <c r="D2060" t="s">
        <v>835</v>
      </c>
      <c r="E2060" t="s">
        <v>33</v>
      </c>
      <c r="F2060">
        <v>10062018</v>
      </c>
      <c r="G2060">
        <v>4</v>
      </c>
      <c r="H2060" t="s">
        <v>48</v>
      </c>
      <c r="I2060" t="s">
        <v>53</v>
      </c>
      <c r="J2060" t="s">
        <v>42</v>
      </c>
      <c r="K2060" t="s">
        <v>89</v>
      </c>
      <c r="M2060" t="s">
        <v>65</v>
      </c>
      <c r="N2060" t="b">
        <v>0</v>
      </c>
      <c r="P2060" t="b">
        <v>1</v>
      </c>
      <c r="Q2060" t="b">
        <v>0</v>
      </c>
      <c r="R2060" t="b">
        <v>0</v>
      </c>
      <c r="S2060" t="b">
        <v>0</v>
      </c>
      <c r="T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b">
        <v>0</v>
      </c>
      <c r="AB2060" t="b">
        <v>0</v>
      </c>
      <c r="AC2060" t="b">
        <v>1</v>
      </c>
      <c r="AD2060" t="s">
        <v>5225</v>
      </c>
      <c r="AE2060" t="s">
        <v>5226</v>
      </c>
    </row>
    <row r="2061" spans="1:31" x14ac:dyDescent="0.3">
      <c r="A2061">
        <v>-73.960883410240001</v>
      </c>
      <c r="B2061">
        <v>40.79062471001</v>
      </c>
      <c r="C2061" t="s">
        <v>5227</v>
      </c>
      <c r="D2061" t="s">
        <v>612</v>
      </c>
      <c r="E2061" t="s">
        <v>38</v>
      </c>
      <c r="F2061">
        <v>10142018</v>
      </c>
      <c r="G2061">
        <v>5</v>
      </c>
      <c r="H2061" t="s">
        <v>105</v>
      </c>
      <c r="I2061" t="s">
        <v>42</v>
      </c>
      <c r="J2061" t="s">
        <v>59</v>
      </c>
      <c r="K2061" t="s">
        <v>79</v>
      </c>
      <c r="M2061" t="s">
        <v>65</v>
      </c>
      <c r="N2061" t="b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1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b">
        <v>0</v>
      </c>
      <c r="AB2061" t="b">
        <v>0</v>
      </c>
      <c r="AC2061" t="b">
        <v>1</v>
      </c>
      <c r="AE2061" t="s">
        <v>5228</v>
      </c>
    </row>
    <row r="2062" spans="1:31" x14ac:dyDescent="0.3">
      <c r="A2062">
        <v>-73.961817309240004</v>
      </c>
      <c r="B2062">
        <v>40.792580018149998</v>
      </c>
      <c r="C2062" t="s">
        <v>5229</v>
      </c>
      <c r="D2062" t="s">
        <v>928</v>
      </c>
      <c r="E2062" t="s">
        <v>33</v>
      </c>
      <c r="F2062">
        <v>10102018</v>
      </c>
      <c r="G2062">
        <v>4</v>
      </c>
      <c r="H2062" t="s">
        <v>48</v>
      </c>
      <c r="I2062" t="s">
        <v>42</v>
      </c>
      <c r="J2062" t="s">
        <v>53</v>
      </c>
      <c r="K2062" t="s">
        <v>54</v>
      </c>
      <c r="M2062" t="s">
        <v>65</v>
      </c>
      <c r="N2062" t="b">
        <v>0</v>
      </c>
      <c r="P2062" t="b">
        <v>0</v>
      </c>
      <c r="Q2062" t="b">
        <v>0</v>
      </c>
      <c r="R2062" t="b">
        <v>0</v>
      </c>
      <c r="S2062" t="b">
        <v>1</v>
      </c>
      <c r="T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b">
        <v>0</v>
      </c>
      <c r="AB2062" t="b">
        <v>1</v>
      </c>
      <c r="AC2062" t="b">
        <v>0</v>
      </c>
      <c r="AE2062" t="s">
        <v>5230</v>
      </c>
    </row>
    <row r="2063" spans="1:31" x14ac:dyDescent="0.3">
      <c r="A2063">
        <v>-73.954476328189998</v>
      </c>
      <c r="B2063">
        <v>40.796964547629997</v>
      </c>
      <c r="C2063" t="s">
        <v>5231</v>
      </c>
      <c r="D2063" t="s">
        <v>5232</v>
      </c>
      <c r="E2063" t="s">
        <v>33</v>
      </c>
      <c r="F2063">
        <v>10062018</v>
      </c>
      <c r="G2063">
        <v>3</v>
      </c>
      <c r="H2063" t="s">
        <v>48</v>
      </c>
      <c r="I2063" t="s">
        <v>42</v>
      </c>
      <c r="J2063" t="s">
        <v>53</v>
      </c>
      <c r="K2063" t="s">
        <v>54</v>
      </c>
      <c r="M2063" t="s">
        <v>65</v>
      </c>
      <c r="N2063" t="b">
        <v>0</v>
      </c>
      <c r="P2063" t="b">
        <v>0</v>
      </c>
      <c r="Q2063" t="b">
        <v>0</v>
      </c>
      <c r="R2063" t="b">
        <v>0</v>
      </c>
      <c r="S2063" t="b">
        <v>1</v>
      </c>
      <c r="T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b">
        <v>0</v>
      </c>
      <c r="AB2063" t="b">
        <v>1</v>
      </c>
      <c r="AC2063" t="b">
        <v>0</v>
      </c>
      <c r="AE2063" t="s">
        <v>5233</v>
      </c>
    </row>
    <row r="2064" spans="1:31" x14ac:dyDescent="0.3">
      <c r="A2064">
        <v>-73.97026089917</v>
      </c>
      <c r="B2064">
        <v>40.783651724869998</v>
      </c>
      <c r="C2064" t="s">
        <v>5234</v>
      </c>
      <c r="D2064" t="s">
        <v>2011</v>
      </c>
      <c r="E2064" t="s">
        <v>38</v>
      </c>
      <c r="F2064">
        <v>10192018</v>
      </c>
      <c r="G2064">
        <v>5</v>
      </c>
      <c r="H2064" t="s">
        <v>48</v>
      </c>
      <c r="I2064" t="s">
        <v>42</v>
      </c>
      <c r="K2064" t="s">
        <v>43</v>
      </c>
      <c r="M2064" t="s">
        <v>44</v>
      </c>
      <c r="N2064">
        <v>2</v>
      </c>
      <c r="P2064" t="b">
        <v>0</v>
      </c>
      <c r="Q2064" t="b">
        <v>0</v>
      </c>
      <c r="R2064" t="b">
        <v>1</v>
      </c>
      <c r="S2064" t="b">
        <v>0</v>
      </c>
      <c r="T2064" t="b">
        <v>0</v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b">
        <v>0</v>
      </c>
      <c r="AB2064" t="b">
        <v>1</v>
      </c>
      <c r="AC2064" t="b">
        <v>0</v>
      </c>
      <c r="AE2064" t="s">
        <v>5235</v>
      </c>
    </row>
    <row r="2065" spans="1:31" x14ac:dyDescent="0.3">
      <c r="A2065">
        <v>-73.97684115477</v>
      </c>
      <c r="B2065">
        <v>40.774137701889998</v>
      </c>
      <c r="C2065" t="s">
        <v>5236</v>
      </c>
      <c r="D2065" t="s">
        <v>855</v>
      </c>
      <c r="E2065" t="s">
        <v>38</v>
      </c>
      <c r="F2065">
        <v>10132018</v>
      </c>
      <c r="G2065">
        <v>3</v>
      </c>
      <c r="H2065" t="s">
        <v>105</v>
      </c>
      <c r="I2065" t="s">
        <v>42</v>
      </c>
      <c r="J2065" t="s">
        <v>53</v>
      </c>
      <c r="K2065" t="s">
        <v>54</v>
      </c>
      <c r="M2065" t="s">
        <v>65</v>
      </c>
      <c r="N2065" t="b">
        <v>0</v>
      </c>
      <c r="P2065" t="b">
        <v>0</v>
      </c>
      <c r="Q2065" t="b">
        <v>0</v>
      </c>
      <c r="R2065" t="b">
        <v>0</v>
      </c>
      <c r="S2065" t="b">
        <v>0</v>
      </c>
      <c r="T2065" t="b">
        <v>1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b">
        <v>0</v>
      </c>
      <c r="AB2065" t="b">
        <v>1</v>
      </c>
      <c r="AC2065" t="b">
        <v>0</v>
      </c>
      <c r="AE2065" t="s">
        <v>5237</v>
      </c>
    </row>
    <row r="2066" spans="1:31" x14ac:dyDescent="0.3">
      <c r="A2066">
        <v>-73.978461003160007</v>
      </c>
      <c r="B2066">
        <v>40.766883996620003</v>
      </c>
      <c r="C2066" t="s">
        <v>5238</v>
      </c>
      <c r="D2066" t="s">
        <v>1278</v>
      </c>
      <c r="E2066" t="s">
        <v>38</v>
      </c>
      <c r="F2066">
        <v>10062018</v>
      </c>
      <c r="G2066">
        <v>7</v>
      </c>
      <c r="H2066" t="s">
        <v>48</v>
      </c>
      <c r="I2066" t="s">
        <v>42</v>
      </c>
      <c r="J2066" t="s">
        <v>96</v>
      </c>
      <c r="K2066" t="s">
        <v>97</v>
      </c>
      <c r="L2066" t="s">
        <v>1381</v>
      </c>
      <c r="M2066" t="s">
        <v>65</v>
      </c>
      <c r="N2066" t="b">
        <v>0</v>
      </c>
      <c r="P2066" t="b">
        <v>0</v>
      </c>
      <c r="Q2066" t="b">
        <v>0</v>
      </c>
      <c r="R2066" t="b">
        <v>0</v>
      </c>
      <c r="S2066" t="b">
        <v>1</v>
      </c>
      <c r="T2066" t="b">
        <v>1</v>
      </c>
      <c r="V2066" t="b">
        <v>0</v>
      </c>
      <c r="W2066" t="b">
        <v>0</v>
      </c>
      <c r="X2066" t="b">
        <v>0</v>
      </c>
      <c r="Y2066" t="b">
        <v>0</v>
      </c>
      <c r="Z2066" t="b">
        <v>1</v>
      </c>
      <c r="AA2066" t="b">
        <v>0</v>
      </c>
      <c r="AB2066" t="b">
        <v>0</v>
      </c>
      <c r="AC2066" t="b">
        <v>0</v>
      </c>
      <c r="AE2066" t="s">
        <v>5239</v>
      </c>
    </row>
    <row r="2067" spans="1:31" x14ac:dyDescent="0.3">
      <c r="A2067">
        <v>-73.973558756079996</v>
      </c>
      <c r="B2067">
        <v>40.767234625519997</v>
      </c>
      <c r="C2067" t="s">
        <v>5240</v>
      </c>
      <c r="D2067" t="s">
        <v>660</v>
      </c>
      <c r="E2067" t="s">
        <v>33</v>
      </c>
      <c r="F2067">
        <v>10132018</v>
      </c>
      <c r="G2067">
        <v>2</v>
      </c>
      <c r="H2067" t="s">
        <v>48</v>
      </c>
      <c r="I2067" t="s">
        <v>42</v>
      </c>
      <c r="J2067" t="s">
        <v>96</v>
      </c>
      <c r="K2067" t="s">
        <v>97</v>
      </c>
      <c r="M2067" t="s">
        <v>65</v>
      </c>
      <c r="N2067" t="b">
        <v>0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s">
        <v>5241</v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b">
        <v>1</v>
      </c>
      <c r="AB2067" t="b">
        <v>0</v>
      </c>
      <c r="AC2067" t="b">
        <v>0</v>
      </c>
      <c r="AD2067" t="s">
        <v>5242</v>
      </c>
      <c r="AE2067" t="s">
        <v>5243</v>
      </c>
    </row>
    <row r="2068" spans="1:31" x14ac:dyDescent="0.3">
      <c r="A2068">
        <v>-73.95383770398</v>
      </c>
      <c r="B2068">
        <v>40.798060533499999</v>
      </c>
      <c r="C2068" t="s">
        <v>5244</v>
      </c>
      <c r="D2068" t="s">
        <v>317</v>
      </c>
      <c r="E2068" t="s">
        <v>33</v>
      </c>
      <c r="F2068">
        <v>10122018</v>
      </c>
      <c r="G2068">
        <v>3</v>
      </c>
      <c r="H2068" t="s">
        <v>48</v>
      </c>
      <c r="I2068" t="s">
        <v>42</v>
      </c>
      <c r="J2068" t="s">
        <v>59</v>
      </c>
      <c r="K2068" t="s">
        <v>79</v>
      </c>
      <c r="M2068" t="s">
        <v>44</v>
      </c>
      <c r="N2068">
        <v>20</v>
      </c>
      <c r="O2068" t="s">
        <v>456</v>
      </c>
      <c r="P2068" t="b">
        <v>0</v>
      </c>
      <c r="Q2068" t="b">
        <v>0</v>
      </c>
      <c r="R2068" t="b">
        <v>1</v>
      </c>
      <c r="S2068" t="b">
        <v>0</v>
      </c>
      <c r="T2068" t="b">
        <v>1</v>
      </c>
      <c r="V2068" t="b">
        <v>1</v>
      </c>
      <c r="W2068" t="b">
        <v>0</v>
      </c>
      <c r="X2068" t="b">
        <v>0</v>
      </c>
      <c r="Y2068" t="b">
        <v>0</v>
      </c>
      <c r="Z2068" t="b">
        <v>0</v>
      </c>
      <c r="AA2068" t="b">
        <v>0</v>
      </c>
      <c r="AB2068" t="b">
        <v>1</v>
      </c>
      <c r="AC2068" t="b">
        <v>0</v>
      </c>
      <c r="AE2068" t="s">
        <v>5245</v>
      </c>
    </row>
    <row r="2069" spans="1:31" x14ac:dyDescent="0.3">
      <c r="A2069">
        <v>-73.972570026189999</v>
      </c>
      <c r="B2069">
        <v>40.766879333040002</v>
      </c>
      <c r="C2069" t="s">
        <v>5246</v>
      </c>
      <c r="D2069" t="s">
        <v>1899</v>
      </c>
      <c r="E2069" t="s">
        <v>33</v>
      </c>
      <c r="F2069">
        <v>10142018</v>
      </c>
      <c r="G2069">
        <v>1</v>
      </c>
      <c r="H2069" t="s">
        <v>48</v>
      </c>
      <c r="I2069" t="s">
        <v>42</v>
      </c>
      <c r="K2069" t="s">
        <v>43</v>
      </c>
      <c r="M2069" t="s">
        <v>65</v>
      </c>
      <c r="N2069" t="b">
        <v>0</v>
      </c>
      <c r="O2069" t="s">
        <v>5247</v>
      </c>
      <c r="P2069" t="b">
        <v>1</v>
      </c>
      <c r="Q2069" t="b">
        <v>0</v>
      </c>
      <c r="R2069" t="b">
        <v>0</v>
      </c>
      <c r="S2069" t="b">
        <v>0</v>
      </c>
      <c r="T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b">
        <v>0</v>
      </c>
      <c r="AB2069" t="b">
        <v>0</v>
      </c>
      <c r="AC2069" t="b">
        <v>1</v>
      </c>
      <c r="AE2069" t="s">
        <v>5248</v>
      </c>
    </row>
    <row r="2070" spans="1:31" x14ac:dyDescent="0.3">
      <c r="A2070">
        <v>-73.966769443990003</v>
      </c>
      <c r="B2070">
        <v>40.777950180909997</v>
      </c>
      <c r="C2070" t="s">
        <v>5249</v>
      </c>
      <c r="D2070" t="s">
        <v>2217</v>
      </c>
      <c r="E2070" t="s">
        <v>33</v>
      </c>
      <c r="F2070">
        <v>10172018</v>
      </c>
      <c r="G2070">
        <v>3</v>
      </c>
      <c r="H2070" t="s">
        <v>48</v>
      </c>
      <c r="I2070" t="s">
        <v>42</v>
      </c>
      <c r="J2070" t="s">
        <v>59</v>
      </c>
      <c r="K2070" t="s">
        <v>79</v>
      </c>
      <c r="M2070" t="s">
        <v>44</v>
      </c>
      <c r="N2070">
        <v>10</v>
      </c>
      <c r="O2070" t="s">
        <v>3185</v>
      </c>
      <c r="P2070" t="b">
        <v>1</v>
      </c>
      <c r="Q2070" t="b">
        <v>1</v>
      </c>
      <c r="R2070" t="b">
        <v>1</v>
      </c>
      <c r="S2070" t="b">
        <v>0</v>
      </c>
      <c r="T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b">
        <v>0</v>
      </c>
      <c r="AB2070" t="b">
        <v>1</v>
      </c>
      <c r="AC2070" t="b">
        <v>0</v>
      </c>
      <c r="AE2070" t="s">
        <v>5250</v>
      </c>
    </row>
    <row r="2071" spans="1:31" x14ac:dyDescent="0.3">
      <c r="A2071">
        <v>-73.961870958939997</v>
      </c>
      <c r="B2071">
        <v>40.794496906680003</v>
      </c>
      <c r="C2071" t="s">
        <v>5251</v>
      </c>
      <c r="D2071" t="s">
        <v>286</v>
      </c>
      <c r="E2071" t="s">
        <v>33</v>
      </c>
      <c r="F2071">
        <v>10132018</v>
      </c>
      <c r="G2071">
        <v>2</v>
      </c>
      <c r="H2071" t="s">
        <v>48</v>
      </c>
      <c r="I2071" t="s">
        <v>42</v>
      </c>
      <c r="J2071" t="s">
        <v>59</v>
      </c>
      <c r="K2071" t="s">
        <v>79</v>
      </c>
      <c r="M2071" t="s">
        <v>65</v>
      </c>
      <c r="N2071" t="b">
        <v>0</v>
      </c>
      <c r="P2071" t="b">
        <v>0</v>
      </c>
      <c r="Q2071" t="b">
        <v>0</v>
      </c>
      <c r="R2071" t="b">
        <v>0</v>
      </c>
      <c r="S2071" t="b">
        <v>0</v>
      </c>
      <c r="T2071" t="b">
        <v>1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b">
        <v>0</v>
      </c>
      <c r="AB2071" t="b">
        <v>0</v>
      </c>
      <c r="AC2071" t="b">
        <v>1</v>
      </c>
      <c r="AE2071" t="s">
        <v>5252</v>
      </c>
    </row>
    <row r="2072" spans="1:31" x14ac:dyDescent="0.3">
      <c r="A2072">
        <v>-73.966110824840001</v>
      </c>
      <c r="B2072">
        <v>40.78919451238</v>
      </c>
      <c r="C2072" t="s">
        <v>5253</v>
      </c>
      <c r="D2072" t="s">
        <v>154</v>
      </c>
      <c r="E2072" t="s">
        <v>38</v>
      </c>
      <c r="F2072">
        <v>10142018</v>
      </c>
      <c r="G2072">
        <v>1</v>
      </c>
      <c r="H2072" t="s">
        <v>48</v>
      </c>
      <c r="I2072" t="s">
        <v>42</v>
      </c>
      <c r="K2072" t="s">
        <v>43</v>
      </c>
      <c r="M2072" t="s">
        <v>65</v>
      </c>
      <c r="N2072" t="b">
        <v>0</v>
      </c>
      <c r="P2072" t="b">
        <v>0</v>
      </c>
      <c r="Q2072" t="b">
        <v>0</v>
      </c>
      <c r="R2072" t="b">
        <v>0</v>
      </c>
      <c r="S2072" t="b">
        <v>1</v>
      </c>
      <c r="T2072" t="b">
        <v>1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b">
        <v>0</v>
      </c>
      <c r="AB2072" t="b">
        <v>0</v>
      </c>
      <c r="AC2072" t="b">
        <v>0</v>
      </c>
      <c r="AE2072" t="s">
        <v>5254</v>
      </c>
    </row>
    <row r="2073" spans="1:31" x14ac:dyDescent="0.3">
      <c r="A2073">
        <v>-73.967624601409995</v>
      </c>
      <c r="B2073">
        <v>40.786355136090002</v>
      </c>
      <c r="C2073" t="s">
        <v>5255</v>
      </c>
      <c r="D2073" t="s">
        <v>1439</v>
      </c>
      <c r="E2073" t="s">
        <v>33</v>
      </c>
      <c r="F2073">
        <v>10072018</v>
      </c>
      <c r="G2073">
        <v>5</v>
      </c>
      <c r="H2073" t="s">
        <v>105</v>
      </c>
      <c r="I2073" t="s">
        <v>42</v>
      </c>
      <c r="J2073" t="s">
        <v>53</v>
      </c>
      <c r="K2073" t="s">
        <v>54</v>
      </c>
      <c r="M2073" t="s">
        <v>44</v>
      </c>
      <c r="N2073">
        <v>45</v>
      </c>
      <c r="O2073" t="s">
        <v>456</v>
      </c>
      <c r="P2073" t="b">
        <v>0</v>
      </c>
      <c r="Q2073" t="b">
        <v>0</v>
      </c>
      <c r="R2073" t="b">
        <v>1</v>
      </c>
      <c r="S2073" t="b">
        <v>0</v>
      </c>
      <c r="T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b">
        <v>0</v>
      </c>
      <c r="AB2073" t="b">
        <v>0</v>
      </c>
      <c r="AC2073" t="b">
        <v>0</v>
      </c>
      <c r="AE2073" t="s">
        <v>5256</v>
      </c>
    </row>
    <row r="2074" spans="1:31" x14ac:dyDescent="0.3">
      <c r="A2074">
        <v>-73.963623495329998</v>
      </c>
      <c r="B2074">
        <v>40.77751385477</v>
      </c>
      <c r="C2074" t="s">
        <v>5257</v>
      </c>
      <c r="D2074" t="s">
        <v>1141</v>
      </c>
      <c r="E2074" t="s">
        <v>33</v>
      </c>
      <c r="F2074">
        <v>10072018</v>
      </c>
      <c r="G2074">
        <v>6</v>
      </c>
      <c r="H2074" t="s">
        <v>48</v>
      </c>
      <c r="I2074" t="s">
        <v>53</v>
      </c>
      <c r="J2074" t="s">
        <v>42</v>
      </c>
      <c r="K2074" t="s">
        <v>89</v>
      </c>
      <c r="M2074" t="s">
        <v>65</v>
      </c>
      <c r="N2074" t="b">
        <v>0</v>
      </c>
      <c r="P2074" t="b">
        <v>0</v>
      </c>
      <c r="Q2074" t="b">
        <v>0</v>
      </c>
      <c r="R2074" t="b">
        <v>0</v>
      </c>
      <c r="S2074" t="b">
        <v>0</v>
      </c>
      <c r="T2074" t="b">
        <v>1</v>
      </c>
      <c r="U2074" t="s">
        <v>340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b">
        <v>0</v>
      </c>
      <c r="AB2074" t="b">
        <v>1</v>
      </c>
      <c r="AC2074" t="b">
        <v>0</v>
      </c>
      <c r="AE2074" t="s">
        <v>5258</v>
      </c>
    </row>
    <row r="2075" spans="1:31" x14ac:dyDescent="0.3">
      <c r="A2075">
        <v>-73.971263693200001</v>
      </c>
      <c r="B2075">
        <v>40.779980987729999</v>
      </c>
      <c r="C2075" t="s">
        <v>5259</v>
      </c>
      <c r="D2075" t="s">
        <v>2418</v>
      </c>
      <c r="E2075" t="s">
        <v>38</v>
      </c>
      <c r="F2075">
        <v>10102018</v>
      </c>
      <c r="G2075">
        <v>3</v>
      </c>
      <c r="H2075" t="s">
        <v>48</v>
      </c>
      <c r="I2075" t="s">
        <v>42</v>
      </c>
      <c r="K2075" t="s">
        <v>43</v>
      </c>
      <c r="M2075" t="s">
        <v>44</v>
      </c>
      <c r="N2075">
        <v>25</v>
      </c>
      <c r="P2075" t="b">
        <v>0</v>
      </c>
      <c r="Q2075" t="b">
        <v>0</v>
      </c>
      <c r="R2075" t="b">
        <v>1</v>
      </c>
      <c r="S2075" t="b">
        <v>0</v>
      </c>
      <c r="T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b">
        <v>0</v>
      </c>
      <c r="AB2075" t="b">
        <v>0</v>
      </c>
      <c r="AC2075" t="b">
        <v>0</v>
      </c>
      <c r="AE2075" t="s">
        <v>5260</v>
      </c>
    </row>
    <row r="2076" spans="1:31" x14ac:dyDescent="0.3">
      <c r="A2076">
        <v>-73.956273351099995</v>
      </c>
      <c r="B2076">
        <v>40.79931421018</v>
      </c>
      <c r="C2076" t="s">
        <v>5261</v>
      </c>
      <c r="D2076" t="s">
        <v>335</v>
      </c>
      <c r="E2076" t="s">
        <v>33</v>
      </c>
      <c r="F2076">
        <v>10132018</v>
      </c>
      <c r="G2076">
        <v>3</v>
      </c>
      <c r="H2076" t="s">
        <v>48</v>
      </c>
      <c r="I2076" t="s">
        <v>42</v>
      </c>
      <c r="K2076" t="s">
        <v>43</v>
      </c>
      <c r="M2076" t="s">
        <v>65</v>
      </c>
      <c r="N2076" t="b">
        <v>0</v>
      </c>
      <c r="O2076" t="s">
        <v>5262</v>
      </c>
      <c r="P2076" t="b">
        <v>0</v>
      </c>
      <c r="Q2076" t="b">
        <v>0</v>
      </c>
      <c r="R2076" t="b">
        <v>0</v>
      </c>
      <c r="S2076" t="b">
        <v>0</v>
      </c>
      <c r="T2076" t="b">
        <v>1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b">
        <v>0</v>
      </c>
      <c r="AB2076" t="b">
        <v>1</v>
      </c>
      <c r="AC2076" t="b">
        <v>0</v>
      </c>
      <c r="AE2076" t="s">
        <v>5263</v>
      </c>
    </row>
    <row r="2077" spans="1:31" x14ac:dyDescent="0.3">
      <c r="A2077">
        <v>-73.970604117350007</v>
      </c>
      <c r="B2077">
        <v>40.778015278479998</v>
      </c>
      <c r="C2077" t="s">
        <v>5264</v>
      </c>
      <c r="D2077" t="s">
        <v>544</v>
      </c>
      <c r="E2077" t="s">
        <v>33</v>
      </c>
      <c r="F2077">
        <v>10172018</v>
      </c>
      <c r="G2077">
        <v>5</v>
      </c>
      <c r="H2077" t="s">
        <v>48</v>
      </c>
      <c r="I2077" t="s">
        <v>42</v>
      </c>
      <c r="J2077" t="s">
        <v>59</v>
      </c>
      <c r="K2077" t="s">
        <v>79</v>
      </c>
      <c r="M2077" t="s">
        <v>65</v>
      </c>
      <c r="N2077" t="b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1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b">
        <v>0</v>
      </c>
      <c r="AB2077" t="b">
        <v>1</v>
      </c>
      <c r="AC2077" t="b">
        <v>0</v>
      </c>
      <c r="AE2077" t="s">
        <v>5265</v>
      </c>
    </row>
    <row r="2078" spans="1:31" x14ac:dyDescent="0.3">
      <c r="A2078">
        <v>-73.964302517190006</v>
      </c>
      <c r="B2078">
        <v>40.790570391519999</v>
      </c>
      <c r="C2078" t="s">
        <v>5266</v>
      </c>
      <c r="D2078" t="s">
        <v>908</v>
      </c>
      <c r="E2078" t="s">
        <v>33</v>
      </c>
      <c r="F2078">
        <v>10192018</v>
      </c>
      <c r="G2078">
        <v>6</v>
      </c>
      <c r="H2078" t="s">
        <v>48</v>
      </c>
      <c r="I2078" t="s">
        <v>42</v>
      </c>
      <c r="J2078" t="s">
        <v>148</v>
      </c>
      <c r="K2078" t="s">
        <v>149</v>
      </c>
      <c r="M2078" t="s">
        <v>65</v>
      </c>
      <c r="N2078" t="b">
        <v>0</v>
      </c>
      <c r="P2078" t="b">
        <v>0</v>
      </c>
      <c r="Q2078" t="b">
        <v>0</v>
      </c>
      <c r="R2078" t="b">
        <v>1</v>
      </c>
      <c r="S2078" t="b">
        <v>0</v>
      </c>
      <c r="T2078" t="b">
        <v>1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b">
        <v>0</v>
      </c>
      <c r="AB2078" t="b">
        <v>0</v>
      </c>
      <c r="AC2078" t="b">
        <v>1</v>
      </c>
      <c r="AE2078" t="s">
        <v>5267</v>
      </c>
    </row>
    <row r="2079" spans="1:31" x14ac:dyDescent="0.3">
      <c r="A2079">
        <v>-73.954530253849995</v>
      </c>
      <c r="B2079">
        <v>40.791024748989997</v>
      </c>
      <c r="C2079" t="s">
        <v>5268</v>
      </c>
      <c r="D2079" t="s">
        <v>1025</v>
      </c>
      <c r="E2079" t="s">
        <v>33</v>
      </c>
      <c r="F2079">
        <v>10102018</v>
      </c>
      <c r="G2079">
        <v>7</v>
      </c>
      <c r="H2079" t="s">
        <v>48</v>
      </c>
      <c r="I2079" t="s">
        <v>42</v>
      </c>
      <c r="K2079" t="s">
        <v>43</v>
      </c>
      <c r="P2079" t="b">
        <v>1</v>
      </c>
      <c r="Q2079" t="b">
        <v>0</v>
      </c>
      <c r="R2079" t="b">
        <v>0</v>
      </c>
      <c r="S2079" t="b">
        <v>0</v>
      </c>
      <c r="T2079" t="b">
        <v>1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b">
        <v>0</v>
      </c>
      <c r="AB2079" t="b">
        <v>0</v>
      </c>
      <c r="AC2079" t="b">
        <v>0</v>
      </c>
      <c r="AE2079" t="s">
        <v>5269</v>
      </c>
    </row>
    <row r="2080" spans="1:31" x14ac:dyDescent="0.3">
      <c r="A2080">
        <v>-73.967571805950001</v>
      </c>
      <c r="B2080">
        <v>40.778604914150002</v>
      </c>
      <c r="C2080" t="s">
        <v>5270</v>
      </c>
      <c r="D2080" t="s">
        <v>111</v>
      </c>
      <c r="E2080" t="s">
        <v>38</v>
      </c>
      <c r="F2080">
        <v>10072018</v>
      </c>
      <c r="G2080">
        <v>6</v>
      </c>
      <c r="H2080" t="s">
        <v>105</v>
      </c>
      <c r="I2080" t="s">
        <v>53</v>
      </c>
      <c r="J2080" t="s">
        <v>59</v>
      </c>
      <c r="K2080" t="s">
        <v>60</v>
      </c>
      <c r="M2080" t="s">
        <v>44</v>
      </c>
      <c r="N2080">
        <v>8</v>
      </c>
      <c r="P2080" t="b">
        <v>0</v>
      </c>
      <c r="Q2080" t="b">
        <v>0</v>
      </c>
      <c r="R2080" t="b">
        <v>1</v>
      </c>
      <c r="S2080" t="b">
        <v>0</v>
      </c>
      <c r="T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b">
        <v>0</v>
      </c>
      <c r="AB2080" t="b">
        <v>1</v>
      </c>
      <c r="AC2080" t="b">
        <v>0</v>
      </c>
      <c r="AE2080" t="s">
        <v>5271</v>
      </c>
    </row>
    <row r="2081" spans="1:31" x14ac:dyDescent="0.3">
      <c r="A2081">
        <v>-73.969680205299994</v>
      </c>
      <c r="B2081">
        <v>40.781605740609997</v>
      </c>
      <c r="C2081" t="s">
        <v>5272</v>
      </c>
      <c r="D2081" t="s">
        <v>411</v>
      </c>
      <c r="E2081" t="s">
        <v>33</v>
      </c>
      <c r="F2081">
        <v>10182018</v>
      </c>
      <c r="G2081">
        <v>3</v>
      </c>
      <c r="H2081" t="s">
        <v>48</v>
      </c>
      <c r="I2081" t="s">
        <v>42</v>
      </c>
      <c r="J2081" t="s">
        <v>96</v>
      </c>
      <c r="K2081" t="s">
        <v>97</v>
      </c>
      <c r="L2081" t="s">
        <v>4308</v>
      </c>
      <c r="M2081" t="s">
        <v>65</v>
      </c>
      <c r="N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1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b">
        <v>0</v>
      </c>
      <c r="AB2081" t="b">
        <v>0</v>
      </c>
      <c r="AC2081" t="b">
        <v>0</v>
      </c>
      <c r="AE2081" t="s">
        <v>5273</v>
      </c>
    </row>
    <row r="2082" spans="1:31" x14ac:dyDescent="0.3">
      <c r="A2082">
        <v>-73.970238227479996</v>
      </c>
      <c r="B2082">
        <v>40.772175484889999</v>
      </c>
      <c r="C2082" t="s">
        <v>5274</v>
      </c>
      <c r="D2082" t="s">
        <v>600</v>
      </c>
      <c r="E2082" t="s">
        <v>33</v>
      </c>
      <c r="F2082">
        <v>10172018</v>
      </c>
      <c r="G2082">
        <v>3</v>
      </c>
      <c r="H2082" t="s">
        <v>48</v>
      </c>
      <c r="I2082" t="s">
        <v>42</v>
      </c>
      <c r="K2082" t="s">
        <v>43</v>
      </c>
      <c r="M2082" t="s">
        <v>65</v>
      </c>
      <c r="N2082" t="b">
        <v>0</v>
      </c>
      <c r="P2082" t="b">
        <v>0</v>
      </c>
      <c r="Q2082" t="b">
        <v>0</v>
      </c>
      <c r="R2082" t="b">
        <v>0</v>
      </c>
      <c r="S2082" t="b">
        <v>1</v>
      </c>
      <c r="T2082" t="b">
        <v>0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b">
        <v>0</v>
      </c>
      <c r="AB2082" t="b">
        <v>1</v>
      </c>
      <c r="AC2082" t="b">
        <v>0</v>
      </c>
      <c r="AE2082" t="s">
        <v>5275</v>
      </c>
    </row>
    <row r="2083" spans="1:31" x14ac:dyDescent="0.3">
      <c r="A2083">
        <v>-73.956725576330001</v>
      </c>
      <c r="B2083">
        <v>40.793633189929999</v>
      </c>
      <c r="C2083" t="s">
        <v>5276</v>
      </c>
      <c r="D2083" t="s">
        <v>693</v>
      </c>
      <c r="E2083" t="s">
        <v>38</v>
      </c>
      <c r="F2083">
        <v>10172018</v>
      </c>
      <c r="G2083">
        <v>5</v>
      </c>
      <c r="H2083" t="s">
        <v>48</v>
      </c>
      <c r="I2083" t="s">
        <v>42</v>
      </c>
      <c r="J2083" t="s">
        <v>59</v>
      </c>
      <c r="K2083" t="s">
        <v>79</v>
      </c>
      <c r="M2083" t="s">
        <v>44</v>
      </c>
      <c r="N2083">
        <v>8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s">
        <v>5277</v>
      </c>
      <c r="V2083" t="b">
        <v>0</v>
      </c>
      <c r="W2083" t="b">
        <v>0</v>
      </c>
      <c r="X2083" t="b">
        <v>0</v>
      </c>
      <c r="Y2083" t="b">
        <v>0</v>
      </c>
      <c r="Z2083" t="b">
        <v>0</v>
      </c>
      <c r="AA2083" t="b">
        <v>0</v>
      </c>
      <c r="AB2083" t="b">
        <v>0</v>
      </c>
      <c r="AC2083" t="b">
        <v>0</v>
      </c>
      <c r="AD2083" t="s">
        <v>5278</v>
      </c>
      <c r="AE2083" t="s">
        <v>5279</v>
      </c>
    </row>
    <row r="2084" spans="1:31" x14ac:dyDescent="0.3">
      <c r="A2084">
        <v>-73.969055147709994</v>
      </c>
      <c r="B2084">
        <v>40.782368566320002</v>
      </c>
      <c r="C2084" t="s">
        <v>5280</v>
      </c>
      <c r="D2084" t="s">
        <v>78</v>
      </c>
      <c r="E2084" t="s">
        <v>33</v>
      </c>
      <c r="F2084">
        <v>10132018</v>
      </c>
      <c r="G2084">
        <v>7</v>
      </c>
      <c r="H2084" t="s">
        <v>48</v>
      </c>
      <c r="I2084" t="s">
        <v>42</v>
      </c>
      <c r="J2084" t="s">
        <v>59</v>
      </c>
      <c r="K2084" t="s">
        <v>79</v>
      </c>
      <c r="M2084" t="s">
        <v>65</v>
      </c>
      <c r="N2084" t="b">
        <v>0</v>
      </c>
      <c r="P2084" t="b">
        <v>0</v>
      </c>
      <c r="Q2084" t="b">
        <v>1</v>
      </c>
      <c r="R2084" t="b">
        <v>0</v>
      </c>
      <c r="S2084" t="b">
        <v>0</v>
      </c>
      <c r="T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b">
        <v>0</v>
      </c>
      <c r="AB2084" t="b">
        <v>1</v>
      </c>
      <c r="AC2084" t="b">
        <v>0</v>
      </c>
      <c r="AE2084" t="s">
        <v>5281</v>
      </c>
    </row>
    <row r="2085" spans="1:31" x14ac:dyDescent="0.3">
      <c r="A2085">
        <v>-73.952562711940004</v>
      </c>
      <c r="B2085">
        <v>40.793860286749997</v>
      </c>
      <c r="C2085" t="s">
        <v>5282</v>
      </c>
      <c r="D2085" t="s">
        <v>2053</v>
      </c>
      <c r="E2085" t="s">
        <v>33</v>
      </c>
      <c r="F2085">
        <v>10142018</v>
      </c>
      <c r="G2085">
        <v>2</v>
      </c>
      <c r="H2085" t="s">
        <v>48</v>
      </c>
      <c r="I2085" t="s">
        <v>42</v>
      </c>
      <c r="J2085" t="s">
        <v>96</v>
      </c>
      <c r="K2085" t="s">
        <v>97</v>
      </c>
      <c r="M2085" t="s">
        <v>65</v>
      </c>
      <c r="N2085" t="b">
        <v>0</v>
      </c>
      <c r="O2085" t="s">
        <v>5283</v>
      </c>
      <c r="P2085" t="b">
        <v>0</v>
      </c>
      <c r="Q2085" t="b">
        <v>0</v>
      </c>
      <c r="R2085" t="b">
        <v>0</v>
      </c>
      <c r="S2085" t="b">
        <v>0</v>
      </c>
      <c r="T2085" t="b">
        <v>0</v>
      </c>
      <c r="U2085" t="s">
        <v>5284</v>
      </c>
      <c r="V2085" t="b">
        <v>0</v>
      </c>
      <c r="W2085" t="b">
        <v>0</v>
      </c>
      <c r="X2085" t="b">
        <v>0</v>
      </c>
      <c r="Y2085" t="b">
        <v>0</v>
      </c>
      <c r="Z2085" t="b">
        <v>1</v>
      </c>
      <c r="AA2085" t="b">
        <v>0</v>
      </c>
      <c r="AB2085" t="b">
        <v>0</v>
      </c>
      <c r="AC2085" t="b">
        <v>1</v>
      </c>
      <c r="AE2085" t="s">
        <v>5285</v>
      </c>
    </row>
    <row r="2086" spans="1:31" x14ac:dyDescent="0.3">
      <c r="A2086">
        <v>-73.956502663009999</v>
      </c>
      <c r="B2086">
        <v>40.788160908880002</v>
      </c>
      <c r="C2086" t="s">
        <v>5286</v>
      </c>
      <c r="D2086" t="s">
        <v>1912</v>
      </c>
      <c r="E2086" t="s">
        <v>33</v>
      </c>
      <c r="F2086">
        <v>10062018</v>
      </c>
      <c r="G2086">
        <v>5</v>
      </c>
      <c r="H2086" t="s">
        <v>48</v>
      </c>
      <c r="I2086" t="s">
        <v>42</v>
      </c>
      <c r="J2086" t="s">
        <v>59</v>
      </c>
      <c r="K2086" t="s">
        <v>79</v>
      </c>
      <c r="M2086" t="s">
        <v>65</v>
      </c>
      <c r="N2086" t="b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b">
        <v>1</v>
      </c>
      <c r="AB2086" t="b">
        <v>0</v>
      </c>
      <c r="AC2086" t="b">
        <v>0</v>
      </c>
      <c r="AE2086" t="s">
        <v>5287</v>
      </c>
    </row>
    <row r="2087" spans="1:31" x14ac:dyDescent="0.3">
      <c r="A2087">
        <v>-73.965115588030002</v>
      </c>
      <c r="B2087">
        <v>40.790694632579999</v>
      </c>
      <c r="C2087" t="s">
        <v>5288</v>
      </c>
      <c r="D2087" t="s">
        <v>1608</v>
      </c>
      <c r="E2087" t="s">
        <v>33</v>
      </c>
      <c r="F2087">
        <v>10202018</v>
      </c>
      <c r="G2087">
        <v>1</v>
      </c>
      <c r="H2087" t="s">
        <v>48</v>
      </c>
      <c r="I2087" t="s">
        <v>42</v>
      </c>
      <c r="J2087" t="s">
        <v>59</v>
      </c>
      <c r="K2087" t="s">
        <v>79</v>
      </c>
      <c r="M2087" t="s">
        <v>65</v>
      </c>
      <c r="N2087" t="b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1</v>
      </c>
      <c r="V2087" t="b">
        <v>0</v>
      </c>
      <c r="W2087" t="b">
        <v>0</v>
      </c>
      <c r="X2087" t="b">
        <v>0</v>
      </c>
      <c r="Y2087" t="b">
        <v>0</v>
      </c>
      <c r="Z2087" t="b">
        <v>1</v>
      </c>
      <c r="AA2087" t="b">
        <v>0</v>
      </c>
      <c r="AB2087" t="b">
        <v>0</v>
      </c>
      <c r="AC2087" t="b">
        <v>0</v>
      </c>
      <c r="AE2087" t="s">
        <v>5289</v>
      </c>
    </row>
    <row r="2088" spans="1:31" x14ac:dyDescent="0.3">
      <c r="A2088">
        <v>-73.95359803417</v>
      </c>
      <c r="B2088">
        <v>40.79811868222</v>
      </c>
      <c r="C2088" t="s">
        <v>5290</v>
      </c>
      <c r="D2088" t="s">
        <v>317</v>
      </c>
      <c r="E2088" t="s">
        <v>33</v>
      </c>
      <c r="F2088">
        <v>10122018</v>
      </c>
      <c r="G2088">
        <v>1</v>
      </c>
      <c r="H2088" t="s">
        <v>48</v>
      </c>
      <c r="I2088" t="s">
        <v>42</v>
      </c>
      <c r="J2088" t="s">
        <v>59</v>
      </c>
      <c r="K2088" t="s">
        <v>79</v>
      </c>
      <c r="M2088" t="s">
        <v>65</v>
      </c>
      <c r="N2088" t="b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1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b">
        <v>0</v>
      </c>
      <c r="AB2088" t="b">
        <v>0</v>
      </c>
      <c r="AC2088" t="b">
        <v>0</v>
      </c>
      <c r="AE2088" t="s">
        <v>5291</v>
      </c>
    </row>
    <row r="2089" spans="1:31" x14ac:dyDescent="0.3">
      <c r="A2089">
        <v>-73.956975997079994</v>
      </c>
      <c r="B2089">
        <v>40.793149745229996</v>
      </c>
      <c r="C2089" t="s">
        <v>5292</v>
      </c>
      <c r="D2089" t="s">
        <v>2046</v>
      </c>
      <c r="E2089" t="s">
        <v>33</v>
      </c>
      <c r="F2089">
        <v>10122018</v>
      </c>
      <c r="G2089">
        <v>3</v>
      </c>
      <c r="H2089" t="s">
        <v>48</v>
      </c>
      <c r="I2089" t="s">
        <v>42</v>
      </c>
      <c r="J2089" t="s">
        <v>96</v>
      </c>
      <c r="K2089" t="s">
        <v>97</v>
      </c>
      <c r="M2089" t="s">
        <v>44</v>
      </c>
      <c r="N2089">
        <v>7</v>
      </c>
      <c r="P2089" t="b">
        <v>0</v>
      </c>
      <c r="Q2089" t="b">
        <v>0</v>
      </c>
      <c r="R2089" t="b">
        <v>1</v>
      </c>
      <c r="S2089" t="b">
        <v>1</v>
      </c>
      <c r="T2089" t="b">
        <v>1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b">
        <v>0</v>
      </c>
      <c r="AB2089" t="b">
        <v>0</v>
      </c>
      <c r="AC2089" t="b">
        <v>1</v>
      </c>
      <c r="AE2089" t="s">
        <v>5293</v>
      </c>
    </row>
    <row r="2090" spans="1:31" x14ac:dyDescent="0.3">
      <c r="A2090">
        <v>-73.967611286429999</v>
      </c>
      <c r="B2090">
        <v>40.777279208609997</v>
      </c>
      <c r="C2090" t="s">
        <v>5294</v>
      </c>
      <c r="D2090" t="s">
        <v>957</v>
      </c>
      <c r="E2090" t="s">
        <v>38</v>
      </c>
      <c r="F2090">
        <v>10082018</v>
      </c>
      <c r="G2090">
        <v>3</v>
      </c>
      <c r="H2090" t="s">
        <v>48</v>
      </c>
      <c r="I2090" t="s">
        <v>42</v>
      </c>
      <c r="J2090" t="s">
        <v>96</v>
      </c>
      <c r="K2090" t="s">
        <v>97</v>
      </c>
      <c r="M2090" t="s">
        <v>65</v>
      </c>
      <c r="N2090" t="b">
        <v>0</v>
      </c>
      <c r="O2090" t="s">
        <v>5295</v>
      </c>
      <c r="P2090" t="b">
        <v>1</v>
      </c>
      <c r="Q2090" t="b">
        <v>0</v>
      </c>
      <c r="R2090" t="b">
        <v>0</v>
      </c>
      <c r="S2090" t="b">
        <v>0</v>
      </c>
      <c r="T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1</v>
      </c>
      <c r="AA2090" t="b">
        <v>0</v>
      </c>
      <c r="AB2090" t="b">
        <v>1</v>
      </c>
      <c r="AC2090" t="b">
        <v>0</v>
      </c>
      <c r="AE2090" t="s">
        <v>5296</v>
      </c>
    </row>
    <row r="2091" spans="1:31" x14ac:dyDescent="0.3">
      <c r="A2091">
        <v>-73.969823146989995</v>
      </c>
      <c r="B2091">
        <v>40.77020483111</v>
      </c>
      <c r="C2091" t="s">
        <v>5297</v>
      </c>
      <c r="D2091" t="s">
        <v>1326</v>
      </c>
      <c r="E2091" t="s">
        <v>33</v>
      </c>
      <c r="F2091">
        <v>10132018</v>
      </c>
      <c r="G2091">
        <v>4</v>
      </c>
      <c r="H2091" t="s">
        <v>48</v>
      </c>
      <c r="I2091" t="s">
        <v>42</v>
      </c>
      <c r="J2091" t="s">
        <v>96</v>
      </c>
      <c r="K2091" t="s">
        <v>97</v>
      </c>
      <c r="M2091" t="s">
        <v>65</v>
      </c>
      <c r="N2091" t="b">
        <v>0</v>
      </c>
      <c r="P2091" t="b">
        <v>0</v>
      </c>
      <c r="Q2091" t="b">
        <v>0</v>
      </c>
      <c r="R2091" t="b">
        <v>0</v>
      </c>
      <c r="S2091" t="b">
        <v>0</v>
      </c>
      <c r="T2091" t="b">
        <v>1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b">
        <v>0</v>
      </c>
      <c r="AB2091" t="b">
        <v>1</v>
      </c>
      <c r="AC2091" t="b">
        <v>0</v>
      </c>
      <c r="AE2091" t="s">
        <v>5298</v>
      </c>
    </row>
    <row r="2092" spans="1:31" x14ac:dyDescent="0.3">
      <c r="A2092">
        <v>-73.959799467409994</v>
      </c>
      <c r="B2092">
        <v>40.797298837760003</v>
      </c>
      <c r="C2092" t="s">
        <v>5299</v>
      </c>
      <c r="D2092" t="s">
        <v>680</v>
      </c>
      <c r="E2092" t="s">
        <v>33</v>
      </c>
      <c r="F2092">
        <v>10132018</v>
      </c>
      <c r="G2092">
        <v>2</v>
      </c>
      <c r="H2092" t="s">
        <v>48</v>
      </c>
      <c r="I2092" t="s">
        <v>42</v>
      </c>
      <c r="J2092" t="s">
        <v>53</v>
      </c>
      <c r="K2092" t="s">
        <v>54</v>
      </c>
      <c r="M2092" t="s">
        <v>65</v>
      </c>
      <c r="N2092" t="b">
        <v>0</v>
      </c>
      <c r="P2092" t="b">
        <v>0</v>
      </c>
      <c r="Q2092" t="b">
        <v>0</v>
      </c>
      <c r="R2092" t="b">
        <v>0</v>
      </c>
      <c r="S2092" t="b">
        <v>1</v>
      </c>
      <c r="T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b">
        <v>0</v>
      </c>
      <c r="AB2092" t="b">
        <v>1</v>
      </c>
      <c r="AC2092" t="b">
        <v>0</v>
      </c>
      <c r="AE2092" t="s">
        <v>5300</v>
      </c>
    </row>
    <row r="2093" spans="1:31" x14ac:dyDescent="0.3">
      <c r="A2093">
        <v>-73.970163053929994</v>
      </c>
      <c r="B2093">
        <v>40.777955396110002</v>
      </c>
      <c r="C2093" t="s">
        <v>5301</v>
      </c>
      <c r="D2093" t="s">
        <v>544</v>
      </c>
      <c r="E2093" t="s">
        <v>38</v>
      </c>
      <c r="F2093">
        <v>10072018</v>
      </c>
      <c r="G2093">
        <v>4</v>
      </c>
      <c r="H2093" t="s">
        <v>48</v>
      </c>
      <c r="I2093" t="s">
        <v>42</v>
      </c>
      <c r="J2093" t="s">
        <v>59</v>
      </c>
      <c r="K2093" t="s">
        <v>79</v>
      </c>
      <c r="M2093" t="s">
        <v>65</v>
      </c>
      <c r="N2093" t="b">
        <v>0</v>
      </c>
      <c r="P2093" t="b">
        <v>1</v>
      </c>
      <c r="Q2093" t="b">
        <v>0</v>
      </c>
      <c r="R2093" t="b">
        <v>0</v>
      </c>
      <c r="S2093" t="b">
        <v>0</v>
      </c>
      <c r="T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b">
        <v>0</v>
      </c>
      <c r="AB2093" t="b">
        <v>0</v>
      </c>
      <c r="AC2093" t="b">
        <v>1</v>
      </c>
      <c r="AE2093" t="s">
        <v>5302</v>
      </c>
    </row>
    <row r="2094" spans="1:31" x14ac:dyDescent="0.3">
      <c r="A2094">
        <v>-73.974776299289999</v>
      </c>
      <c r="B2094">
        <v>40.776857907859998</v>
      </c>
      <c r="C2094" t="s">
        <v>5303</v>
      </c>
      <c r="D2094" t="s">
        <v>1028</v>
      </c>
      <c r="E2094" t="s">
        <v>38</v>
      </c>
      <c r="F2094">
        <v>10082018</v>
      </c>
      <c r="G2094">
        <v>2</v>
      </c>
      <c r="H2094" t="s">
        <v>48</v>
      </c>
      <c r="I2094" t="s">
        <v>42</v>
      </c>
      <c r="K2094" t="s">
        <v>43</v>
      </c>
      <c r="M2094" t="s">
        <v>44</v>
      </c>
      <c r="N2094">
        <v>5</v>
      </c>
      <c r="P2094" t="b">
        <v>0</v>
      </c>
      <c r="Q2094" t="b">
        <v>0</v>
      </c>
      <c r="R2094" t="b">
        <v>1</v>
      </c>
      <c r="S2094" t="b">
        <v>0</v>
      </c>
      <c r="T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0</v>
      </c>
      <c r="AA2094" t="b">
        <v>0</v>
      </c>
      <c r="AB2094" t="b">
        <v>1</v>
      </c>
      <c r="AC2094" t="b">
        <v>0</v>
      </c>
      <c r="AE2094" t="s">
        <v>5304</v>
      </c>
    </row>
    <row r="2095" spans="1:31" x14ac:dyDescent="0.3">
      <c r="A2095">
        <v>-73.970890386220006</v>
      </c>
      <c r="B2095">
        <v>40.77873706746</v>
      </c>
      <c r="C2095" t="s">
        <v>5305</v>
      </c>
      <c r="D2095" t="s">
        <v>95</v>
      </c>
      <c r="E2095" t="s">
        <v>38</v>
      </c>
      <c r="F2095">
        <v>10142018</v>
      </c>
      <c r="G2095">
        <v>3</v>
      </c>
      <c r="H2095" t="s">
        <v>48</v>
      </c>
      <c r="I2095" t="s">
        <v>42</v>
      </c>
      <c r="J2095" t="s">
        <v>148</v>
      </c>
      <c r="K2095" t="s">
        <v>149</v>
      </c>
      <c r="M2095" t="s">
        <v>65</v>
      </c>
      <c r="N2095" t="b">
        <v>0</v>
      </c>
      <c r="P2095" t="b">
        <v>0</v>
      </c>
      <c r="Q2095" t="b">
        <v>0</v>
      </c>
      <c r="R2095" t="b">
        <v>0</v>
      </c>
      <c r="S2095" t="b">
        <v>0</v>
      </c>
      <c r="T2095" t="b">
        <v>1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b">
        <v>0</v>
      </c>
      <c r="AB2095" t="b">
        <v>1</v>
      </c>
      <c r="AC2095" t="b">
        <v>0</v>
      </c>
      <c r="AE2095" t="s">
        <v>5306</v>
      </c>
    </row>
    <row r="2096" spans="1:31" x14ac:dyDescent="0.3">
      <c r="A2096">
        <v>-73.977348652160003</v>
      </c>
      <c r="B2096">
        <v>40.77084549021</v>
      </c>
      <c r="C2096" t="s">
        <v>5307</v>
      </c>
      <c r="D2096" t="s">
        <v>88</v>
      </c>
      <c r="E2096" t="s">
        <v>33</v>
      </c>
      <c r="F2096">
        <v>10102018</v>
      </c>
      <c r="G2096">
        <v>2</v>
      </c>
      <c r="H2096" t="s">
        <v>48</v>
      </c>
      <c r="I2096" t="s">
        <v>42</v>
      </c>
      <c r="J2096" t="s">
        <v>59</v>
      </c>
      <c r="K2096" t="s">
        <v>79</v>
      </c>
      <c r="M2096" t="s">
        <v>65</v>
      </c>
      <c r="N2096" t="b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1</v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b">
        <v>0</v>
      </c>
      <c r="AB2096" t="b">
        <v>0</v>
      </c>
      <c r="AC2096" t="b">
        <v>1</v>
      </c>
      <c r="AE2096" t="s">
        <v>5308</v>
      </c>
    </row>
    <row r="2097" spans="1:31" x14ac:dyDescent="0.3">
      <c r="A2097">
        <v>-73.970077972629994</v>
      </c>
      <c r="B2097">
        <v>40.772208625109997</v>
      </c>
      <c r="C2097" t="s">
        <v>5309</v>
      </c>
      <c r="D2097" t="s">
        <v>600</v>
      </c>
      <c r="E2097" t="s">
        <v>38</v>
      </c>
      <c r="F2097">
        <v>10062018</v>
      </c>
      <c r="G2097">
        <v>11</v>
      </c>
      <c r="H2097" t="s">
        <v>105</v>
      </c>
      <c r="I2097" t="s">
        <v>42</v>
      </c>
      <c r="K2097" t="s">
        <v>43</v>
      </c>
      <c r="M2097" t="s">
        <v>44</v>
      </c>
      <c r="N2097">
        <v>2</v>
      </c>
      <c r="P2097" t="b">
        <v>0</v>
      </c>
      <c r="Q2097" t="b">
        <v>0</v>
      </c>
      <c r="R2097" t="b">
        <v>1</v>
      </c>
      <c r="S2097" t="b">
        <v>0</v>
      </c>
      <c r="T2097" t="b">
        <v>0</v>
      </c>
      <c r="V2097" t="b">
        <v>0</v>
      </c>
      <c r="W2097" t="b">
        <v>0</v>
      </c>
      <c r="X2097" t="b">
        <v>0</v>
      </c>
      <c r="Y2097" t="b">
        <v>0</v>
      </c>
      <c r="Z2097" t="b">
        <v>1</v>
      </c>
      <c r="AA2097" t="b">
        <v>0</v>
      </c>
      <c r="AB2097" t="b">
        <v>0</v>
      </c>
      <c r="AC2097" t="b">
        <v>0</v>
      </c>
      <c r="AE2097" t="s">
        <v>5310</v>
      </c>
    </row>
    <row r="2098" spans="1:31" x14ac:dyDescent="0.3">
      <c r="A2098">
        <v>-73.972507793359995</v>
      </c>
      <c r="B2098">
        <v>40.765456271029997</v>
      </c>
      <c r="C2098" t="s">
        <v>5311</v>
      </c>
      <c r="D2098" t="s">
        <v>2244</v>
      </c>
      <c r="E2098" t="s">
        <v>33</v>
      </c>
      <c r="F2098">
        <v>10062018</v>
      </c>
      <c r="G2098">
        <v>1</v>
      </c>
      <c r="H2098" t="s">
        <v>48</v>
      </c>
      <c r="I2098" t="s">
        <v>42</v>
      </c>
      <c r="J2098" t="s">
        <v>96</v>
      </c>
      <c r="K2098" t="s">
        <v>97</v>
      </c>
      <c r="M2098" t="s">
        <v>44</v>
      </c>
      <c r="N2098">
        <v>2</v>
      </c>
      <c r="O2098" t="s">
        <v>5312</v>
      </c>
      <c r="P2098" t="b">
        <v>0</v>
      </c>
      <c r="Q2098" t="b">
        <v>0</v>
      </c>
      <c r="R2098" t="b">
        <v>0</v>
      </c>
      <c r="S2098" t="b">
        <v>0</v>
      </c>
      <c r="T2098" t="b">
        <v>0</v>
      </c>
      <c r="U2098" t="s">
        <v>3888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b">
        <v>0</v>
      </c>
      <c r="AB2098" t="b">
        <v>0</v>
      </c>
      <c r="AC2098" t="b">
        <v>1</v>
      </c>
      <c r="AE2098" t="s">
        <v>5313</v>
      </c>
    </row>
    <row r="2099" spans="1:31" x14ac:dyDescent="0.3">
      <c r="A2099">
        <v>-73.96102667081</v>
      </c>
      <c r="B2099">
        <v>40.781751210739998</v>
      </c>
      <c r="C2099" t="s">
        <v>5314</v>
      </c>
      <c r="D2099" t="s">
        <v>3109</v>
      </c>
      <c r="E2099" t="s">
        <v>33</v>
      </c>
      <c r="F2099">
        <v>10192018</v>
      </c>
      <c r="G2099">
        <v>3</v>
      </c>
      <c r="H2099" t="s">
        <v>48</v>
      </c>
      <c r="I2099" t="s">
        <v>42</v>
      </c>
      <c r="K2099" t="s">
        <v>43</v>
      </c>
      <c r="M2099" t="s">
        <v>65</v>
      </c>
      <c r="N2099" t="b">
        <v>0</v>
      </c>
      <c r="P2099" t="b">
        <v>0</v>
      </c>
      <c r="Q2099" t="b">
        <v>0</v>
      </c>
      <c r="R2099" t="b">
        <v>0</v>
      </c>
      <c r="S2099" t="b">
        <v>0</v>
      </c>
      <c r="T2099" t="b">
        <v>1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b">
        <v>0</v>
      </c>
      <c r="AB2099" t="b">
        <v>0</v>
      </c>
      <c r="AC2099" t="b">
        <v>0</v>
      </c>
      <c r="AE2099" t="s">
        <v>5315</v>
      </c>
    </row>
    <row r="2100" spans="1:31" x14ac:dyDescent="0.3">
      <c r="A2100">
        <v>-73.968561228989998</v>
      </c>
      <c r="B2100">
        <v>40.777848882919997</v>
      </c>
      <c r="C2100" t="s">
        <v>5316</v>
      </c>
      <c r="D2100" t="s">
        <v>256</v>
      </c>
      <c r="E2100" t="s">
        <v>33</v>
      </c>
      <c r="F2100">
        <v>10182018</v>
      </c>
      <c r="G2100">
        <v>8</v>
      </c>
      <c r="H2100" t="s">
        <v>48</v>
      </c>
      <c r="I2100" t="s">
        <v>53</v>
      </c>
      <c r="J2100" t="s">
        <v>59</v>
      </c>
      <c r="K2100" t="s">
        <v>60</v>
      </c>
      <c r="M2100" t="s">
        <v>65</v>
      </c>
      <c r="N2100" t="b">
        <v>0</v>
      </c>
      <c r="P2100" t="b">
        <v>0</v>
      </c>
      <c r="Q2100" t="b">
        <v>0</v>
      </c>
      <c r="R2100" t="b">
        <v>0</v>
      </c>
      <c r="S2100" t="b">
        <v>0</v>
      </c>
      <c r="T2100" t="b">
        <v>1</v>
      </c>
      <c r="V2100" t="b">
        <v>0</v>
      </c>
      <c r="W2100" t="b">
        <v>0</v>
      </c>
      <c r="X2100" t="b">
        <v>0</v>
      </c>
      <c r="Y2100" t="b">
        <v>0</v>
      </c>
      <c r="Z2100" t="b">
        <v>1</v>
      </c>
      <c r="AA2100" t="b">
        <v>0</v>
      </c>
      <c r="AB2100" t="b">
        <v>1</v>
      </c>
      <c r="AC2100" t="b">
        <v>0</v>
      </c>
      <c r="AE2100" t="s">
        <v>5317</v>
      </c>
    </row>
    <row r="2101" spans="1:31" x14ac:dyDescent="0.3">
      <c r="A2101">
        <v>-73.963831202530002</v>
      </c>
      <c r="B2101">
        <v>40.790382665960003</v>
      </c>
      <c r="C2101" t="s">
        <v>5318</v>
      </c>
      <c r="D2101" t="s">
        <v>908</v>
      </c>
      <c r="E2101" t="s">
        <v>38</v>
      </c>
      <c r="F2101">
        <v>10072018</v>
      </c>
      <c r="G2101">
        <v>7</v>
      </c>
      <c r="H2101" t="s">
        <v>48</v>
      </c>
      <c r="I2101" t="s">
        <v>42</v>
      </c>
      <c r="K2101" t="s">
        <v>43</v>
      </c>
      <c r="M2101" t="s">
        <v>65</v>
      </c>
      <c r="N2101" t="b">
        <v>0</v>
      </c>
      <c r="P2101" t="b">
        <v>0</v>
      </c>
      <c r="Q2101" t="b">
        <v>0</v>
      </c>
      <c r="R2101" t="b">
        <v>0</v>
      </c>
      <c r="S2101" t="b">
        <v>1</v>
      </c>
      <c r="T2101" t="b">
        <v>1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b">
        <v>0</v>
      </c>
      <c r="AB2101" t="b">
        <v>0</v>
      </c>
      <c r="AC2101" t="b">
        <v>1</v>
      </c>
      <c r="AE2101" t="s">
        <v>5319</v>
      </c>
    </row>
    <row r="2102" spans="1:31" x14ac:dyDescent="0.3">
      <c r="A2102">
        <v>-73.957600085249993</v>
      </c>
      <c r="B2102">
        <v>40.79361116079</v>
      </c>
      <c r="C2102" t="s">
        <v>5320</v>
      </c>
      <c r="D2102" t="s">
        <v>483</v>
      </c>
      <c r="E2102" t="s">
        <v>33</v>
      </c>
      <c r="F2102">
        <v>10062018</v>
      </c>
      <c r="G2102">
        <v>4</v>
      </c>
      <c r="H2102" t="s">
        <v>48</v>
      </c>
      <c r="I2102" t="s">
        <v>42</v>
      </c>
      <c r="K2102" t="s">
        <v>43</v>
      </c>
      <c r="M2102" t="s">
        <v>65</v>
      </c>
      <c r="N2102" t="b">
        <v>0</v>
      </c>
      <c r="P2102" t="b">
        <v>1</v>
      </c>
      <c r="Q2102" t="b">
        <v>0</v>
      </c>
      <c r="R2102" t="b">
        <v>0</v>
      </c>
      <c r="S2102" t="b">
        <v>0</v>
      </c>
      <c r="T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b">
        <v>0</v>
      </c>
      <c r="AB2102" t="b">
        <v>0</v>
      </c>
      <c r="AC2102" t="b">
        <v>1</v>
      </c>
      <c r="AE2102" t="s">
        <v>5321</v>
      </c>
    </row>
    <row r="2103" spans="1:31" x14ac:dyDescent="0.3">
      <c r="A2103">
        <v>-73.959390938170003</v>
      </c>
      <c r="B2103">
        <v>40.796103698190002</v>
      </c>
      <c r="C2103" t="s">
        <v>5322</v>
      </c>
      <c r="D2103" t="s">
        <v>969</v>
      </c>
      <c r="E2103" t="s">
        <v>33</v>
      </c>
      <c r="F2103">
        <v>10132018</v>
      </c>
      <c r="G2103">
        <v>3</v>
      </c>
      <c r="H2103" t="s">
        <v>48</v>
      </c>
      <c r="I2103" t="s">
        <v>53</v>
      </c>
      <c r="J2103" t="s">
        <v>59</v>
      </c>
      <c r="K2103" t="s">
        <v>60</v>
      </c>
      <c r="L2103" t="s">
        <v>5323</v>
      </c>
      <c r="P2103" t="b">
        <v>0</v>
      </c>
      <c r="Q2103" t="b">
        <v>0</v>
      </c>
      <c r="R2103" t="b">
        <v>0</v>
      </c>
      <c r="S2103" t="b">
        <v>1</v>
      </c>
      <c r="T2103" t="b">
        <v>1</v>
      </c>
      <c r="U2103" t="s">
        <v>669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b">
        <v>0</v>
      </c>
      <c r="AB2103" t="b">
        <v>0</v>
      </c>
      <c r="AC2103" t="b">
        <v>1</v>
      </c>
      <c r="AE2103" t="s">
        <v>5324</v>
      </c>
    </row>
    <row r="2104" spans="1:31" x14ac:dyDescent="0.3">
      <c r="A2104">
        <v>-73.978298363479993</v>
      </c>
      <c r="B2104">
        <v>40.766831436430003</v>
      </c>
      <c r="C2104" t="s">
        <v>5325</v>
      </c>
      <c r="D2104" t="s">
        <v>1278</v>
      </c>
      <c r="E2104" t="s">
        <v>38</v>
      </c>
      <c r="F2104">
        <v>10062018</v>
      </c>
      <c r="G2104">
        <v>4</v>
      </c>
      <c r="H2104" t="s">
        <v>48</v>
      </c>
      <c r="I2104" t="s">
        <v>42</v>
      </c>
      <c r="J2104" t="s">
        <v>59</v>
      </c>
      <c r="K2104" t="s">
        <v>79</v>
      </c>
      <c r="M2104" t="s">
        <v>44</v>
      </c>
      <c r="N2104">
        <v>30</v>
      </c>
      <c r="P2104" t="b">
        <v>0</v>
      </c>
      <c r="Q2104" t="b">
        <v>0</v>
      </c>
      <c r="R2104" t="b">
        <v>1</v>
      </c>
      <c r="S2104" t="b">
        <v>0</v>
      </c>
      <c r="T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b">
        <v>0</v>
      </c>
      <c r="AB2104" t="b">
        <v>0</v>
      </c>
      <c r="AC2104" t="b">
        <v>0</v>
      </c>
      <c r="AE2104" t="s">
        <v>5326</v>
      </c>
    </row>
    <row r="2105" spans="1:31" x14ac:dyDescent="0.3">
      <c r="A2105">
        <v>-73.962241991759996</v>
      </c>
      <c r="B2105">
        <v>40.794579797899999</v>
      </c>
      <c r="C2105" t="s">
        <v>5327</v>
      </c>
      <c r="D2105" t="s">
        <v>286</v>
      </c>
      <c r="E2105" t="s">
        <v>38</v>
      </c>
      <c r="F2105">
        <v>10142018</v>
      </c>
      <c r="G2105">
        <v>7</v>
      </c>
      <c r="H2105" t="s">
        <v>48</v>
      </c>
      <c r="I2105" t="s">
        <v>42</v>
      </c>
      <c r="J2105" t="s">
        <v>59</v>
      </c>
      <c r="K2105" t="s">
        <v>79</v>
      </c>
      <c r="M2105" t="s">
        <v>65</v>
      </c>
      <c r="N2105" t="b">
        <v>0</v>
      </c>
      <c r="P2105" t="b">
        <v>0</v>
      </c>
      <c r="Q2105" t="b">
        <v>1</v>
      </c>
      <c r="R2105" t="b">
        <v>0</v>
      </c>
      <c r="S2105" t="b">
        <v>0</v>
      </c>
      <c r="T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b">
        <v>0</v>
      </c>
      <c r="AB2105" t="b">
        <v>1</v>
      </c>
      <c r="AC2105" t="b">
        <v>0</v>
      </c>
      <c r="AE2105" t="s">
        <v>5328</v>
      </c>
    </row>
    <row r="2106" spans="1:31" x14ac:dyDescent="0.3">
      <c r="A2106">
        <v>-73.973872311709997</v>
      </c>
      <c r="B2106">
        <v>40.778684561219997</v>
      </c>
      <c r="C2106" t="s">
        <v>5329</v>
      </c>
      <c r="D2106" t="s">
        <v>785</v>
      </c>
      <c r="E2106" t="s">
        <v>38</v>
      </c>
      <c r="F2106">
        <v>10142018</v>
      </c>
      <c r="G2106">
        <v>1</v>
      </c>
      <c r="H2106" t="s">
        <v>48</v>
      </c>
      <c r="I2106" t="s">
        <v>42</v>
      </c>
      <c r="J2106" t="s">
        <v>59</v>
      </c>
      <c r="K2106" t="s">
        <v>79</v>
      </c>
      <c r="M2106" t="s">
        <v>65</v>
      </c>
      <c r="N2106" t="b">
        <v>0</v>
      </c>
      <c r="P2106" t="b">
        <v>0</v>
      </c>
      <c r="Q2106" t="b">
        <v>0</v>
      </c>
      <c r="R2106" t="b">
        <v>0</v>
      </c>
      <c r="S2106" t="b">
        <v>0</v>
      </c>
      <c r="T2106" t="b">
        <v>1</v>
      </c>
      <c r="U2106" t="s">
        <v>5330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b">
        <v>0</v>
      </c>
      <c r="AB2106" t="b">
        <v>1</v>
      </c>
      <c r="AC2106" t="b">
        <v>1</v>
      </c>
      <c r="AD2106" t="s">
        <v>5331</v>
      </c>
      <c r="AE2106" t="s">
        <v>5332</v>
      </c>
    </row>
    <row r="2107" spans="1:31" x14ac:dyDescent="0.3">
      <c r="A2107">
        <v>-73.980165147039997</v>
      </c>
      <c r="B2107">
        <v>40.767769865689999</v>
      </c>
      <c r="C2107" t="s">
        <v>5333</v>
      </c>
      <c r="D2107" t="s">
        <v>851</v>
      </c>
      <c r="E2107" t="s">
        <v>38</v>
      </c>
      <c r="F2107">
        <v>10122018</v>
      </c>
      <c r="G2107">
        <v>5</v>
      </c>
      <c r="H2107" t="s">
        <v>48</v>
      </c>
      <c r="I2107" t="s">
        <v>42</v>
      </c>
      <c r="J2107" t="s">
        <v>53</v>
      </c>
      <c r="K2107" t="s">
        <v>54</v>
      </c>
      <c r="M2107" t="s">
        <v>65</v>
      </c>
      <c r="N2107" t="b">
        <v>0</v>
      </c>
      <c r="P2107" t="b">
        <v>0</v>
      </c>
      <c r="Q2107" t="b">
        <v>1</v>
      </c>
      <c r="R2107" t="b">
        <v>0</v>
      </c>
      <c r="S2107" t="b">
        <v>1</v>
      </c>
      <c r="T2107" t="b">
        <v>1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b">
        <v>0</v>
      </c>
      <c r="AB2107" t="b">
        <v>1</v>
      </c>
      <c r="AC2107" t="b">
        <v>0</v>
      </c>
      <c r="AE2107" t="s">
        <v>5334</v>
      </c>
    </row>
    <row r="2108" spans="1:31" x14ac:dyDescent="0.3">
      <c r="A2108">
        <v>-73.977262483480004</v>
      </c>
      <c r="B2108">
        <v>40.769282191850003</v>
      </c>
      <c r="C2108" t="s">
        <v>5335</v>
      </c>
      <c r="D2108" t="s">
        <v>1581</v>
      </c>
      <c r="E2108" t="s">
        <v>33</v>
      </c>
      <c r="F2108">
        <v>10102018</v>
      </c>
      <c r="G2108">
        <v>5</v>
      </c>
      <c r="H2108" t="s">
        <v>48</v>
      </c>
      <c r="I2108" t="s">
        <v>42</v>
      </c>
      <c r="J2108" t="s">
        <v>53</v>
      </c>
      <c r="K2108" t="s">
        <v>54</v>
      </c>
      <c r="M2108" t="s">
        <v>65</v>
      </c>
      <c r="N2108" t="b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b">
        <v>0</v>
      </c>
      <c r="AB2108" t="b">
        <v>0</v>
      </c>
      <c r="AC2108" t="b">
        <v>0</v>
      </c>
      <c r="AE2108" t="s">
        <v>5336</v>
      </c>
    </row>
    <row r="2109" spans="1:31" x14ac:dyDescent="0.3">
      <c r="A2109">
        <v>-73.970242010030006</v>
      </c>
      <c r="B2109">
        <v>40.777272088990003</v>
      </c>
      <c r="C2109" t="s">
        <v>5337</v>
      </c>
      <c r="D2109" t="s">
        <v>729</v>
      </c>
      <c r="E2109" t="s">
        <v>38</v>
      </c>
      <c r="F2109">
        <v>10142018</v>
      </c>
      <c r="G2109">
        <v>2</v>
      </c>
      <c r="H2109" t="s">
        <v>48</v>
      </c>
      <c r="I2109" t="s">
        <v>42</v>
      </c>
      <c r="J2109" t="s">
        <v>96</v>
      </c>
      <c r="K2109" t="s">
        <v>97</v>
      </c>
      <c r="M2109" t="s">
        <v>65</v>
      </c>
      <c r="N2109" t="b">
        <v>0</v>
      </c>
      <c r="P2109" t="b">
        <v>0</v>
      </c>
      <c r="Q2109" t="b">
        <v>0</v>
      </c>
      <c r="R2109" t="b">
        <v>0</v>
      </c>
      <c r="S2109" t="b">
        <v>0</v>
      </c>
      <c r="T2109" t="b">
        <v>1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b">
        <v>0</v>
      </c>
      <c r="AB2109" t="b">
        <v>1</v>
      </c>
      <c r="AC2109" t="b">
        <v>0</v>
      </c>
      <c r="AE2109" t="s">
        <v>5338</v>
      </c>
    </row>
    <row r="2110" spans="1:31" x14ac:dyDescent="0.3">
      <c r="A2110">
        <v>-73.974448858439999</v>
      </c>
      <c r="B2110">
        <v>40.774162722089997</v>
      </c>
      <c r="C2110" t="s">
        <v>5339</v>
      </c>
      <c r="D2110" t="s">
        <v>839</v>
      </c>
      <c r="E2110" t="s">
        <v>33</v>
      </c>
      <c r="F2110">
        <v>10132018</v>
      </c>
      <c r="G2110">
        <v>3</v>
      </c>
      <c r="H2110" t="s">
        <v>48</v>
      </c>
      <c r="I2110" t="s">
        <v>42</v>
      </c>
      <c r="J2110" t="s">
        <v>53</v>
      </c>
      <c r="K2110" t="s">
        <v>54</v>
      </c>
      <c r="M2110" t="s">
        <v>65</v>
      </c>
      <c r="N2110" t="b">
        <v>0</v>
      </c>
      <c r="P2110" t="b">
        <v>0</v>
      </c>
      <c r="Q2110" t="b">
        <v>0</v>
      </c>
      <c r="R2110" t="b">
        <v>0</v>
      </c>
      <c r="S2110" t="b">
        <v>1</v>
      </c>
      <c r="T2110" t="b">
        <v>1</v>
      </c>
      <c r="V2110" t="b">
        <v>0</v>
      </c>
      <c r="W2110" t="b">
        <v>0</v>
      </c>
      <c r="X2110" t="b">
        <v>0</v>
      </c>
      <c r="Y2110" t="b">
        <v>0</v>
      </c>
      <c r="Z2110" t="b">
        <v>1</v>
      </c>
      <c r="AA2110" t="b">
        <v>0</v>
      </c>
      <c r="AB2110" t="b">
        <v>1</v>
      </c>
      <c r="AC2110" t="b">
        <v>0</v>
      </c>
      <c r="AE2110" t="s">
        <v>5340</v>
      </c>
    </row>
    <row r="2111" spans="1:31" x14ac:dyDescent="0.3">
      <c r="A2111">
        <v>-73.964715130360005</v>
      </c>
      <c r="B2111">
        <v>40.791268106079997</v>
      </c>
      <c r="C2111" t="s">
        <v>5341</v>
      </c>
      <c r="D2111" t="s">
        <v>1608</v>
      </c>
      <c r="E2111" t="s">
        <v>33</v>
      </c>
      <c r="F2111">
        <v>10202018</v>
      </c>
      <c r="G2111">
        <v>3</v>
      </c>
      <c r="H2111" t="s">
        <v>48</v>
      </c>
      <c r="I2111" t="s">
        <v>42</v>
      </c>
      <c r="J2111" t="s">
        <v>53</v>
      </c>
      <c r="K2111" t="s">
        <v>54</v>
      </c>
      <c r="M2111" t="s">
        <v>65</v>
      </c>
      <c r="N2111" t="b">
        <v>0</v>
      </c>
      <c r="O2111" t="s">
        <v>1311</v>
      </c>
      <c r="P2111" t="b">
        <v>0</v>
      </c>
      <c r="Q2111" t="b">
        <v>0</v>
      </c>
      <c r="R2111" t="b">
        <v>0</v>
      </c>
      <c r="S2111" t="b">
        <v>1</v>
      </c>
      <c r="T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b">
        <v>0</v>
      </c>
      <c r="AB2111" t="b">
        <v>0</v>
      </c>
      <c r="AC2111" t="b">
        <v>1</v>
      </c>
      <c r="AE2111" t="s">
        <v>5342</v>
      </c>
    </row>
    <row r="2112" spans="1:31" x14ac:dyDescent="0.3">
      <c r="A2112">
        <v>-73.968446056809995</v>
      </c>
      <c r="B2112">
        <v>40.785824818869997</v>
      </c>
      <c r="C2112" t="s">
        <v>5343</v>
      </c>
      <c r="D2112" t="s">
        <v>1439</v>
      </c>
      <c r="E2112" t="s">
        <v>33</v>
      </c>
      <c r="F2112">
        <v>10072018</v>
      </c>
      <c r="G2112">
        <v>1</v>
      </c>
      <c r="H2112" t="s">
        <v>48</v>
      </c>
      <c r="I2112" t="s">
        <v>42</v>
      </c>
      <c r="J2112" t="s">
        <v>59</v>
      </c>
      <c r="K2112" t="s">
        <v>79</v>
      </c>
      <c r="M2112" t="s">
        <v>65</v>
      </c>
      <c r="N2112" t="b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b">
        <v>0</v>
      </c>
      <c r="AB2112" t="b">
        <v>1</v>
      </c>
      <c r="AC2112" t="b">
        <v>0</v>
      </c>
      <c r="AE2112" t="s">
        <v>5344</v>
      </c>
    </row>
    <row r="2113" spans="1:31" x14ac:dyDescent="0.3">
      <c r="A2113">
        <v>-73.965520657110005</v>
      </c>
      <c r="B2113">
        <v>40.776485156870002</v>
      </c>
      <c r="C2113" t="s">
        <v>5345</v>
      </c>
      <c r="D2113" t="s">
        <v>1525</v>
      </c>
      <c r="E2113" t="s">
        <v>33</v>
      </c>
      <c r="F2113">
        <v>10142018</v>
      </c>
      <c r="G2113">
        <v>2</v>
      </c>
      <c r="H2113" t="s">
        <v>48</v>
      </c>
      <c r="I2113" t="s">
        <v>42</v>
      </c>
      <c r="J2113" t="s">
        <v>59</v>
      </c>
      <c r="K2113" t="s">
        <v>79</v>
      </c>
      <c r="M2113" t="s">
        <v>65</v>
      </c>
      <c r="N2113" t="b">
        <v>0</v>
      </c>
      <c r="P2113" t="b">
        <v>1</v>
      </c>
      <c r="Q2113" t="b">
        <v>0</v>
      </c>
      <c r="R2113" t="b">
        <v>0</v>
      </c>
      <c r="S2113" t="b">
        <v>0</v>
      </c>
      <c r="T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b">
        <v>0</v>
      </c>
      <c r="AB2113" t="b">
        <v>1</v>
      </c>
      <c r="AC2113" t="b">
        <v>0</v>
      </c>
      <c r="AE2113" t="s">
        <v>5346</v>
      </c>
    </row>
    <row r="2114" spans="1:31" x14ac:dyDescent="0.3">
      <c r="A2114">
        <v>-73.958290481470002</v>
      </c>
      <c r="B2114">
        <v>40.790591574959997</v>
      </c>
      <c r="C2114" t="s">
        <v>5347</v>
      </c>
      <c r="D2114" t="s">
        <v>124</v>
      </c>
      <c r="E2114" t="s">
        <v>38</v>
      </c>
      <c r="F2114">
        <v>10122018</v>
      </c>
      <c r="G2114">
        <v>4</v>
      </c>
      <c r="H2114" t="s">
        <v>48</v>
      </c>
      <c r="I2114" t="s">
        <v>176</v>
      </c>
      <c r="K2114" t="s">
        <v>177</v>
      </c>
      <c r="M2114" t="s">
        <v>65</v>
      </c>
      <c r="N2114" t="b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b">
        <v>0</v>
      </c>
      <c r="AB2114" t="b">
        <v>0</v>
      </c>
      <c r="AC2114" t="b">
        <v>0</v>
      </c>
      <c r="AE2114" t="s">
        <v>5348</v>
      </c>
    </row>
    <row r="2115" spans="1:31" x14ac:dyDescent="0.3">
      <c r="A2115">
        <v>-73.965154139540005</v>
      </c>
      <c r="B2115">
        <v>40.779828320870003</v>
      </c>
      <c r="C2115" t="s">
        <v>5349</v>
      </c>
      <c r="D2115" t="s">
        <v>1427</v>
      </c>
      <c r="E2115" t="s">
        <v>33</v>
      </c>
      <c r="F2115">
        <v>10172018</v>
      </c>
      <c r="G2115">
        <v>1</v>
      </c>
      <c r="H2115" t="s">
        <v>48</v>
      </c>
      <c r="I2115" t="s">
        <v>53</v>
      </c>
      <c r="J2115" t="s">
        <v>59</v>
      </c>
      <c r="K2115" t="s">
        <v>60</v>
      </c>
      <c r="M2115" t="s">
        <v>44</v>
      </c>
      <c r="N2115">
        <v>12</v>
      </c>
      <c r="P2115" t="b">
        <v>0</v>
      </c>
      <c r="Q2115" t="b">
        <v>0</v>
      </c>
      <c r="R2115" t="b">
        <v>0</v>
      </c>
      <c r="S2115" t="b">
        <v>0</v>
      </c>
      <c r="T2115" t="b">
        <v>0</v>
      </c>
      <c r="U2115" t="s">
        <v>669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b">
        <v>1</v>
      </c>
      <c r="AB2115" t="b">
        <v>0</v>
      </c>
      <c r="AC2115" t="b">
        <v>0</v>
      </c>
      <c r="AE2115" t="s">
        <v>5350</v>
      </c>
    </row>
    <row r="2116" spans="1:31" x14ac:dyDescent="0.3">
      <c r="A2116">
        <v>-73.96582039994</v>
      </c>
      <c r="B2116">
        <v>40.777587402679998</v>
      </c>
      <c r="C2116" t="s">
        <v>5351</v>
      </c>
      <c r="D2116" t="s">
        <v>2217</v>
      </c>
      <c r="E2116" t="s">
        <v>33</v>
      </c>
      <c r="F2116">
        <v>10172018</v>
      </c>
      <c r="G2116">
        <v>1</v>
      </c>
      <c r="H2116" t="s">
        <v>48</v>
      </c>
      <c r="I2116" t="s">
        <v>42</v>
      </c>
      <c r="K2116" t="s">
        <v>43</v>
      </c>
      <c r="M2116" t="s">
        <v>65</v>
      </c>
      <c r="N2116" t="b">
        <v>0</v>
      </c>
      <c r="O2116" t="s">
        <v>4712</v>
      </c>
      <c r="P2116" t="b">
        <v>0</v>
      </c>
      <c r="Q2116" t="b">
        <v>0</v>
      </c>
      <c r="R2116" t="b">
        <v>0</v>
      </c>
      <c r="S2116" t="b">
        <v>0</v>
      </c>
      <c r="T2116" t="b">
        <v>1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b">
        <v>0</v>
      </c>
      <c r="AB2116" t="b">
        <v>1</v>
      </c>
      <c r="AC2116" t="b">
        <v>0</v>
      </c>
      <c r="AE2116" t="s">
        <v>5352</v>
      </c>
    </row>
    <row r="2117" spans="1:31" x14ac:dyDescent="0.3">
      <c r="A2117">
        <v>-73.980156252729998</v>
      </c>
      <c r="B2117">
        <v>40.76872673271</v>
      </c>
      <c r="C2117" t="s">
        <v>5353</v>
      </c>
      <c r="D2117" t="s">
        <v>204</v>
      </c>
      <c r="E2117" t="s">
        <v>38</v>
      </c>
      <c r="F2117">
        <v>10102018</v>
      </c>
      <c r="G2117">
        <v>1</v>
      </c>
      <c r="H2117" t="s">
        <v>105</v>
      </c>
      <c r="I2117" t="s">
        <v>42</v>
      </c>
      <c r="J2117" t="s">
        <v>59</v>
      </c>
      <c r="K2117" t="s">
        <v>79</v>
      </c>
      <c r="M2117" t="s">
        <v>65</v>
      </c>
      <c r="N2117" t="b">
        <v>0</v>
      </c>
      <c r="P2117" t="b">
        <v>0</v>
      </c>
      <c r="Q2117" t="b">
        <v>0</v>
      </c>
      <c r="R2117" t="b">
        <v>0</v>
      </c>
      <c r="S2117" t="b">
        <v>1</v>
      </c>
      <c r="T2117" t="b">
        <v>1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b">
        <v>0</v>
      </c>
      <c r="AB2117" t="b">
        <v>1</v>
      </c>
      <c r="AC2117" t="b">
        <v>0</v>
      </c>
      <c r="AE2117" t="s">
        <v>5354</v>
      </c>
    </row>
    <row r="2118" spans="1:31" x14ac:dyDescent="0.3">
      <c r="A2118">
        <v>-73.959719245550005</v>
      </c>
      <c r="B2118">
        <v>40.79733161787</v>
      </c>
      <c r="C2118" t="s">
        <v>5355</v>
      </c>
      <c r="D2118" t="s">
        <v>680</v>
      </c>
      <c r="E2118" t="s">
        <v>38</v>
      </c>
      <c r="F2118">
        <v>10192018</v>
      </c>
      <c r="G2118">
        <v>3</v>
      </c>
      <c r="H2118" t="s">
        <v>48</v>
      </c>
      <c r="I2118" t="s">
        <v>42</v>
      </c>
      <c r="J2118" t="s">
        <v>59</v>
      </c>
      <c r="K2118" t="s">
        <v>79</v>
      </c>
      <c r="L2118" t="s">
        <v>2382</v>
      </c>
      <c r="M2118" t="s">
        <v>65</v>
      </c>
      <c r="N2118" t="b">
        <v>0</v>
      </c>
      <c r="P2118" t="b">
        <v>0</v>
      </c>
      <c r="Q2118" t="b">
        <v>0</v>
      </c>
      <c r="R2118" t="b">
        <v>0</v>
      </c>
      <c r="S2118" t="b">
        <v>0</v>
      </c>
      <c r="T2118" t="b">
        <v>1</v>
      </c>
      <c r="U2118" t="s">
        <v>5356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b">
        <v>1</v>
      </c>
      <c r="AB2118" t="b">
        <v>1</v>
      </c>
      <c r="AC2118" t="b">
        <v>1</v>
      </c>
      <c r="AE2118" t="s">
        <v>5357</v>
      </c>
    </row>
    <row r="2119" spans="1:31" x14ac:dyDescent="0.3">
      <c r="A2119">
        <v>-73.958369699409999</v>
      </c>
      <c r="B2119">
        <v>40.790245666830003</v>
      </c>
      <c r="C2119" t="s">
        <v>5358</v>
      </c>
      <c r="D2119" t="s">
        <v>124</v>
      </c>
      <c r="E2119" t="s">
        <v>33</v>
      </c>
      <c r="F2119">
        <v>10082018</v>
      </c>
      <c r="G2119">
        <v>1</v>
      </c>
      <c r="H2119" t="s">
        <v>48</v>
      </c>
      <c r="I2119" t="s">
        <v>42</v>
      </c>
      <c r="K2119" t="s">
        <v>43</v>
      </c>
      <c r="M2119" t="s">
        <v>65</v>
      </c>
      <c r="N2119" t="b">
        <v>0</v>
      </c>
      <c r="P2119" t="b">
        <v>1</v>
      </c>
      <c r="Q2119" t="b">
        <v>1</v>
      </c>
      <c r="R2119" t="b">
        <v>1</v>
      </c>
      <c r="S2119" t="b">
        <v>1</v>
      </c>
      <c r="T2119" t="b">
        <v>1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b">
        <v>0</v>
      </c>
      <c r="AB2119" t="b">
        <v>1</v>
      </c>
      <c r="AC2119" t="b">
        <v>0</v>
      </c>
      <c r="AE2119" t="s">
        <v>5359</v>
      </c>
    </row>
    <row r="2120" spans="1:31" x14ac:dyDescent="0.3">
      <c r="A2120">
        <v>-73.964158439529996</v>
      </c>
      <c r="B2120">
        <v>40.781657164409999</v>
      </c>
      <c r="C2120" t="s">
        <v>5360</v>
      </c>
      <c r="D2120" t="s">
        <v>343</v>
      </c>
      <c r="E2120" t="s">
        <v>38</v>
      </c>
      <c r="F2120">
        <v>10142018</v>
      </c>
      <c r="G2120">
        <v>1</v>
      </c>
      <c r="H2120" t="s">
        <v>48</v>
      </c>
      <c r="I2120" t="s">
        <v>42</v>
      </c>
      <c r="J2120" t="s">
        <v>59</v>
      </c>
      <c r="K2120" t="s">
        <v>79</v>
      </c>
      <c r="M2120" t="s">
        <v>65</v>
      </c>
      <c r="N2120" t="b">
        <v>0</v>
      </c>
      <c r="P2120" t="b">
        <v>0</v>
      </c>
      <c r="Q2120" t="b">
        <v>0</v>
      </c>
      <c r="R2120" t="b">
        <v>0</v>
      </c>
      <c r="S2120" t="b">
        <v>0</v>
      </c>
      <c r="T2120" t="b">
        <v>1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b">
        <v>0</v>
      </c>
      <c r="AB2120" t="b">
        <v>1</v>
      </c>
      <c r="AC2120" t="b">
        <v>0</v>
      </c>
      <c r="AE2120" t="s">
        <v>5361</v>
      </c>
    </row>
    <row r="2121" spans="1:31" x14ac:dyDescent="0.3">
      <c r="A2121">
        <v>-73.973390546030004</v>
      </c>
      <c r="B2121">
        <v>40.765633714780002</v>
      </c>
      <c r="C2121" t="s">
        <v>5362</v>
      </c>
      <c r="D2121" t="s">
        <v>767</v>
      </c>
      <c r="E2121" t="s">
        <v>33</v>
      </c>
      <c r="F2121">
        <v>10062018</v>
      </c>
      <c r="G2121">
        <v>3</v>
      </c>
      <c r="H2121" t="s">
        <v>48</v>
      </c>
      <c r="I2121" t="s">
        <v>176</v>
      </c>
      <c r="K2121" t="s">
        <v>177</v>
      </c>
      <c r="M2121" t="s">
        <v>65</v>
      </c>
      <c r="N2121" t="b">
        <v>0</v>
      </c>
      <c r="P2121" t="b">
        <v>0</v>
      </c>
      <c r="Q2121" t="b">
        <v>0</v>
      </c>
      <c r="R2121" t="b">
        <v>0</v>
      </c>
      <c r="S2121" t="b">
        <v>1</v>
      </c>
      <c r="T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b">
        <v>0</v>
      </c>
      <c r="AB2121" t="b">
        <v>1</v>
      </c>
      <c r="AC2121" t="b">
        <v>0</v>
      </c>
      <c r="AE2121" t="s">
        <v>5363</v>
      </c>
    </row>
    <row r="2122" spans="1:31" x14ac:dyDescent="0.3">
      <c r="A2122">
        <v>-73.969346235429995</v>
      </c>
      <c r="B2122">
        <v>40.776444438550001</v>
      </c>
      <c r="C2122" t="s">
        <v>5364</v>
      </c>
      <c r="D2122" t="s">
        <v>100</v>
      </c>
      <c r="E2122" t="s">
        <v>33</v>
      </c>
      <c r="F2122">
        <v>10172018</v>
      </c>
      <c r="G2122">
        <v>1</v>
      </c>
      <c r="H2122" t="s">
        <v>105</v>
      </c>
      <c r="I2122" t="s">
        <v>42</v>
      </c>
      <c r="J2122" t="s">
        <v>53</v>
      </c>
      <c r="K2122" t="s">
        <v>54</v>
      </c>
      <c r="M2122" t="s">
        <v>65</v>
      </c>
      <c r="N2122" t="b">
        <v>0</v>
      </c>
      <c r="P2122" t="b">
        <v>0</v>
      </c>
      <c r="Q2122" t="b">
        <v>0</v>
      </c>
      <c r="R2122" t="b">
        <v>0</v>
      </c>
      <c r="S2122" t="b">
        <v>1</v>
      </c>
      <c r="T2122" t="b">
        <v>1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b">
        <v>0</v>
      </c>
      <c r="AB2122" t="b">
        <v>1</v>
      </c>
      <c r="AC2122" t="b">
        <v>0</v>
      </c>
      <c r="AE2122" t="s">
        <v>5365</v>
      </c>
    </row>
    <row r="2123" spans="1:31" x14ac:dyDescent="0.3">
      <c r="A2123">
        <v>-73.969294693890006</v>
      </c>
      <c r="B2123">
        <v>40.776738979149997</v>
      </c>
      <c r="C2123" t="s">
        <v>5366</v>
      </c>
      <c r="D2123" t="s">
        <v>100</v>
      </c>
      <c r="E2123" t="s">
        <v>38</v>
      </c>
      <c r="F2123">
        <v>10082018</v>
      </c>
      <c r="G2123">
        <v>13</v>
      </c>
      <c r="H2123" t="s">
        <v>48</v>
      </c>
      <c r="I2123" t="s">
        <v>42</v>
      </c>
      <c r="K2123" t="s">
        <v>43</v>
      </c>
      <c r="M2123" t="s">
        <v>44</v>
      </c>
      <c r="N2123">
        <v>1</v>
      </c>
      <c r="P2123" t="b">
        <v>0</v>
      </c>
      <c r="Q2123" t="b">
        <v>0</v>
      </c>
      <c r="R2123" t="b">
        <v>1</v>
      </c>
      <c r="S2123" t="b">
        <v>1</v>
      </c>
      <c r="T2123" t="b">
        <v>1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b">
        <v>0</v>
      </c>
      <c r="AB2123" t="b">
        <v>1</v>
      </c>
      <c r="AC2123" t="b">
        <v>0</v>
      </c>
      <c r="AD2123" t="s">
        <v>1746</v>
      </c>
      <c r="AE2123" t="s">
        <v>5367</v>
      </c>
    </row>
    <row r="2124" spans="1:31" x14ac:dyDescent="0.3">
      <c r="A2124">
        <v>-73.959874668289999</v>
      </c>
      <c r="B2124">
        <v>40.790700423350003</v>
      </c>
      <c r="C2124" t="s">
        <v>5368</v>
      </c>
      <c r="D2124" t="s">
        <v>47</v>
      </c>
      <c r="E2124" t="s">
        <v>38</v>
      </c>
      <c r="F2124">
        <v>10072018</v>
      </c>
      <c r="G2124">
        <v>9</v>
      </c>
      <c r="H2124" t="s">
        <v>48</v>
      </c>
      <c r="I2124" t="s">
        <v>42</v>
      </c>
      <c r="J2124" t="s">
        <v>59</v>
      </c>
      <c r="K2124" t="s">
        <v>79</v>
      </c>
      <c r="M2124" t="s">
        <v>65</v>
      </c>
      <c r="N2124" t="b">
        <v>0</v>
      </c>
      <c r="P2124" t="b">
        <v>0</v>
      </c>
      <c r="Q2124" t="b">
        <v>0</v>
      </c>
      <c r="R2124" t="b">
        <v>1</v>
      </c>
      <c r="S2124" t="b">
        <v>0</v>
      </c>
      <c r="T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b">
        <v>1</v>
      </c>
      <c r="AB2124" t="b">
        <v>0</v>
      </c>
      <c r="AC2124" t="b">
        <v>0</v>
      </c>
      <c r="AE2124" t="s">
        <v>5369</v>
      </c>
    </row>
    <row r="2125" spans="1:31" x14ac:dyDescent="0.3">
      <c r="A2125">
        <v>-73.973003958150002</v>
      </c>
      <c r="B2125">
        <v>40.773068839849998</v>
      </c>
      <c r="C2125" t="s">
        <v>5370</v>
      </c>
      <c r="D2125" t="s">
        <v>1920</v>
      </c>
      <c r="E2125" t="s">
        <v>33</v>
      </c>
      <c r="F2125">
        <v>10142018</v>
      </c>
      <c r="G2125">
        <v>3</v>
      </c>
      <c r="H2125" t="s">
        <v>48</v>
      </c>
      <c r="I2125" t="s">
        <v>42</v>
      </c>
      <c r="J2125" t="s">
        <v>148</v>
      </c>
      <c r="K2125" t="s">
        <v>149</v>
      </c>
      <c r="M2125" t="s">
        <v>65</v>
      </c>
      <c r="N2125" t="b">
        <v>0</v>
      </c>
      <c r="O2125" t="s">
        <v>5371</v>
      </c>
      <c r="P2125" t="b">
        <v>0</v>
      </c>
      <c r="Q2125" t="b">
        <v>0</v>
      </c>
      <c r="R2125" t="b">
        <v>0</v>
      </c>
      <c r="S2125" t="b">
        <v>1</v>
      </c>
      <c r="T2125" t="b">
        <v>1</v>
      </c>
      <c r="V2125" t="b">
        <v>0</v>
      </c>
      <c r="W2125" t="b">
        <v>0</v>
      </c>
      <c r="X2125" t="b">
        <v>0</v>
      </c>
      <c r="Y2125" t="b">
        <v>0</v>
      </c>
      <c r="Z2125" t="b">
        <v>1</v>
      </c>
      <c r="AA2125" t="b">
        <v>0</v>
      </c>
      <c r="AB2125" t="b">
        <v>0</v>
      </c>
      <c r="AC2125" t="b">
        <v>0</v>
      </c>
      <c r="AE2125" t="s">
        <v>5372</v>
      </c>
    </row>
    <row r="2126" spans="1:31" x14ac:dyDescent="0.3">
      <c r="A2126">
        <v>-73.968793322959996</v>
      </c>
      <c r="B2126">
        <v>40.778860024250001</v>
      </c>
      <c r="C2126" t="s">
        <v>5373</v>
      </c>
      <c r="D2126" t="s">
        <v>200</v>
      </c>
      <c r="E2126" t="s">
        <v>33</v>
      </c>
      <c r="F2126">
        <v>10182018</v>
      </c>
      <c r="G2126">
        <v>1</v>
      </c>
      <c r="H2126" t="s">
        <v>48</v>
      </c>
      <c r="I2126" t="s">
        <v>42</v>
      </c>
      <c r="J2126" t="s">
        <v>59</v>
      </c>
      <c r="K2126" t="s">
        <v>79</v>
      </c>
      <c r="M2126" t="s">
        <v>65</v>
      </c>
      <c r="N2126" t="b">
        <v>0</v>
      </c>
      <c r="P2126" t="b">
        <v>0</v>
      </c>
      <c r="Q2126" t="b">
        <v>0</v>
      </c>
      <c r="R2126" t="b">
        <v>0</v>
      </c>
      <c r="S2126" t="b">
        <v>1</v>
      </c>
      <c r="T2126" t="b">
        <v>1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b">
        <v>0</v>
      </c>
      <c r="AB2126" t="b">
        <v>1</v>
      </c>
      <c r="AC2126" t="b">
        <v>0</v>
      </c>
      <c r="AE2126" t="s">
        <v>5374</v>
      </c>
    </row>
    <row r="2127" spans="1:31" x14ac:dyDescent="0.3">
      <c r="A2127">
        <v>-73.961262357750002</v>
      </c>
      <c r="B2127">
        <v>40.791155871450002</v>
      </c>
      <c r="C2127" t="s">
        <v>5375</v>
      </c>
      <c r="D2127" t="s">
        <v>294</v>
      </c>
      <c r="E2127" t="s">
        <v>38</v>
      </c>
      <c r="F2127">
        <v>10132018</v>
      </c>
      <c r="G2127">
        <v>2</v>
      </c>
      <c r="H2127" t="s">
        <v>48</v>
      </c>
      <c r="I2127" t="s">
        <v>42</v>
      </c>
      <c r="J2127" t="s">
        <v>53</v>
      </c>
      <c r="K2127" t="s">
        <v>54</v>
      </c>
      <c r="M2127" t="s">
        <v>65</v>
      </c>
      <c r="N2127" t="b">
        <v>0</v>
      </c>
      <c r="P2127" t="b">
        <v>0</v>
      </c>
      <c r="Q2127" t="b">
        <v>0</v>
      </c>
      <c r="R2127" t="b">
        <v>0</v>
      </c>
      <c r="S2127" t="b">
        <v>0</v>
      </c>
      <c r="T2127" t="b">
        <v>1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b">
        <v>0</v>
      </c>
      <c r="AB2127" t="b">
        <v>1</v>
      </c>
      <c r="AC2127" t="b">
        <v>0</v>
      </c>
      <c r="AE2127" t="s">
        <v>5376</v>
      </c>
    </row>
    <row r="2128" spans="1:31" x14ac:dyDescent="0.3">
      <c r="A2128">
        <v>-73.95624426226</v>
      </c>
      <c r="B2128">
        <v>40.795728554260002</v>
      </c>
      <c r="C2128" t="s">
        <v>5377</v>
      </c>
      <c r="D2128" t="s">
        <v>520</v>
      </c>
      <c r="E2128" t="s">
        <v>38</v>
      </c>
      <c r="F2128">
        <v>10102018</v>
      </c>
      <c r="G2128">
        <v>3</v>
      </c>
      <c r="H2128" t="s">
        <v>48</v>
      </c>
      <c r="I2128" t="s">
        <v>42</v>
      </c>
      <c r="J2128" t="s">
        <v>53</v>
      </c>
      <c r="K2128" t="s">
        <v>54</v>
      </c>
      <c r="M2128" t="s">
        <v>65</v>
      </c>
      <c r="N2128" t="b">
        <v>0</v>
      </c>
      <c r="P2128" t="b">
        <v>0</v>
      </c>
      <c r="Q2128" t="b">
        <v>0</v>
      </c>
      <c r="R2128" t="b">
        <v>0</v>
      </c>
      <c r="S2128" t="b">
        <v>1</v>
      </c>
      <c r="T2128" t="b">
        <v>1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b">
        <v>0</v>
      </c>
      <c r="AB2128" t="b">
        <v>0</v>
      </c>
      <c r="AC2128" t="b">
        <v>0</v>
      </c>
      <c r="AE2128" t="s">
        <v>5378</v>
      </c>
    </row>
    <row r="2129" spans="1:31" x14ac:dyDescent="0.3">
      <c r="A2129">
        <v>-73.975767319369993</v>
      </c>
      <c r="B2129">
        <v>40.766961432259997</v>
      </c>
      <c r="C2129" t="s">
        <v>5379</v>
      </c>
      <c r="D2129" t="s">
        <v>471</v>
      </c>
      <c r="E2129" t="s">
        <v>33</v>
      </c>
      <c r="F2129">
        <v>10142018</v>
      </c>
      <c r="G2129">
        <v>4</v>
      </c>
      <c r="H2129" t="s">
        <v>48</v>
      </c>
      <c r="I2129" t="s">
        <v>42</v>
      </c>
      <c r="K2129" t="s">
        <v>43</v>
      </c>
      <c r="M2129" t="s">
        <v>44</v>
      </c>
      <c r="N2129">
        <v>20</v>
      </c>
      <c r="P2129" t="b">
        <v>0</v>
      </c>
      <c r="Q2129" t="b">
        <v>0</v>
      </c>
      <c r="R2129" t="b">
        <v>0</v>
      </c>
      <c r="S2129" t="b">
        <v>1</v>
      </c>
      <c r="T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b">
        <v>0</v>
      </c>
      <c r="AB2129" t="b">
        <v>1</v>
      </c>
      <c r="AC2129" t="b">
        <v>0</v>
      </c>
      <c r="AE2129" t="s">
        <v>5380</v>
      </c>
    </row>
    <row r="2130" spans="1:31" x14ac:dyDescent="0.3">
      <c r="A2130">
        <v>-73.970118245479995</v>
      </c>
      <c r="B2130">
        <v>40.777280550089998</v>
      </c>
      <c r="C2130" t="s">
        <v>5381</v>
      </c>
      <c r="D2130" t="s">
        <v>544</v>
      </c>
      <c r="E2130" t="s">
        <v>33</v>
      </c>
      <c r="F2130">
        <v>10172018</v>
      </c>
      <c r="G2130">
        <v>3</v>
      </c>
      <c r="H2130" t="s">
        <v>48</v>
      </c>
      <c r="I2130" t="s">
        <v>42</v>
      </c>
      <c r="J2130" t="s">
        <v>59</v>
      </c>
      <c r="K2130" t="s">
        <v>79</v>
      </c>
      <c r="M2130" t="s">
        <v>65</v>
      </c>
      <c r="N2130" t="b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1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b">
        <v>0</v>
      </c>
      <c r="AB2130" t="b">
        <v>1</v>
      </c>
      <c r="AC2130" t="b">
        <v>0</v>
      </c>
      <c r="AE2130" t="s">
        <v>5382</v>
      </c>
    </row>
    <row r="2131" spans="1:31" x14ac:dyDescent="0.3">
      <c r="A2131">
        <v>-73.969557290340006</v>
      </c>
      <c r="B2131">
        <v>40.780822981710003</v>
      </c>
      <c r="C2131" t="s">
        <v>5383</v>
      </c>
      <c r="D2131" t="s">
        <v>622</v>
      </c>
      <c r="E2131" t="s">
        <v>38</v>
      </c>
      <c r="F2131">
        <v>10182018</v>
      </c>
      <c r="G2131">
        <v>1</v>
      </c>
      <c r="H2131" t="s">
        <v>48</v>
      </c>
      <c r="I2131" t="s">
        <v>42</v>
      </c>
      <c r="J2131" t="s">
        <v>176</v>
      </c>
      <c r="K2131" t="s">
        <v>339</v>
      </c>
      <c r="M2131" t="s">
        <v>44</v>
      </c>
      <c r="N2131">
        <v>30</v>
      </c>
      <c r="P2131" t="b">
        <v>0</v>
      </c>
      <c r="Q2131" t="b">
        <v>0</v>
      </c>
      <c r="R2131" t="b">
        <v>1</v>
      </c>
      <c r="S2131" t="b">
        <v>0</v>
      </c>
      <c r="T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b">
        <v>0</v>
      </c>
      <c r="AB2131" t="b">
        <v>0</v>
      </c>
      <c r="AC2131" t="b">
        <v>0</v>
      </c>
      <c r="AE2131" t="s">
        <v>5384</v>
      </c>
    </row>
    <row r="2132" spans="1:31" x14ac:dyDescent="0.3">
      <c r="A2132">
        <v>-73.975222519509998</v>
      </c>
      <c r="B2132">
        <v>40.770374766990003</v>
      </c>
      <c r="C2132" t="s">
        <v>5385</v>
      </c>
      <c r="D2132" t="s">
        <v>722</v>
      </c>
      <c r="E2132" t="s">
        <v>33</v>
      </c>
      <c r="F2132">
        <v>10202018</v>
      </c>
      <c r="G2132">
        <v>5</v>
      </c>
      <c r="H2132" t="s">
        <v>48</v>
      </c>
      <c r="I2132" t="s">
        <v>42</v>
      </c>
      <c r="K2132" t="s">
        <v>43</v>
      </c>
      <c r="M2132" t="s">
        <v>65</v>
      </c>
      <c r="N2132" t="b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1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b">
        <v>1</v>
      </c>
      <c r="AB2132" t="b">
        <v>0</v>
      </c>
      <c r="AC2132" t="b">
        <v>0</v>
      </c>
      <c r="AE2132" t="s">
        <v>5386</v>
      </c>
    </row>
    <row r="2133" spans="1:31" x14ac:dyDescent="0.3">
      <c r="A2133">
        <v>-73.967472660349998</v>
      </c>
      <c r="B2133">
        <v>40.777212561970003</v>
      </c>
      <c r="C2133" t="s">
        <v>5387</v>
      </c>
      <c r="D2133" t="s">
        <v>957</v>
      </c>
      <c r="E2133" t="s">
        <v>33</v>
      </c>
      <c r="F2133">
        <v>10132018</v>
      </c>
      <c r="G2133">
        <v>3</v>
      </c>
      <c r="H2133" t="s">
        <v>105</v>
      </c>
      <c r="I2133" t="s">
        <v>42</v>
      </c>
      <c r="J2133" t="s">
        <v>53</v>
      </c>
      <c r="K2133" t="s">
        <v>54</v>
      </c>
      <c r="M2133" t="s">
        <v>44</v>
      </c>
      <c r="N2133">
        <v>4</v>
      </c>
      <c r="O2133" t="s">
        <v>958</v>
      </c>
      <c r="P2133" t="b">
        <v>0</v>
      </c>
      <c r="Q2133" t="b">
        <v>0</v>
      </c>
      <c r="R2133" t="b">
        <v>1</v>
      </c>
      <c r="S2133" t="b">
        <v>0</v>
      </c>
      <c r="T2133" t="b">
        <v>1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b">
        <v>0</v>
      </c>
      <c r="AB2133" t="b">
        <v>0</v>
      </c>
      <c r="AC2133" t="b">
        <v>1</v>
      </c>
      <c r="AE2133" t="s">
        <v>5388</v>
      </c>
    </row>
    <row r="2134" spans="1:31" x14ac:dyDescent="0.3">
      <c r="A2134">
        <v>-73.973616487119997</v>
      </c>
      <c r="B2134">
        <v>40.772569504860002</v>
      </c>
      <c r="C2134" t="s">
        <v>5389</v>
      </c>
      <c r="D2134" t="s">
        <v>2085</v>
      </c>
      <c r="E2134" t="s">
        <v>33</v>
      </c>
      <c r="F2134">
        <v>10072018</v>
      </c>
      <c r="G2134">
        <v>4</v>
      </c>
      <c r="H2134" t="s">
        <v>48</v>
      </c>
      <c r="I2134" t="s">
        <v>42</v>
      </c>
      <c r="J2134" t="s">
        <v>53</v>
      </c>
      <c r="K2134" t="s">
        <v>54</v>
      </c>
      <c r="M2134" t="s">
        <v>65</v>
      </c>
      <c r="N2134" t="b">
        <v>0</v>
      </c>
      <c r="P2134" t="b">
        <v>0</v>
      </c>
      <c r="Q2134" t="b">
        <v>0</v>
      </c>
      <c r="R2134" t="b">
        <v>0</v>
      </c>
      <c r="S2134" t="b">
        <v>0</v>
      </c>
      <c r="T2134" t="b">
        <v>1</v>
      </c>
      <c r="V2134" t="b">
        <v>0</v>
      </c>
      <c r="W2134" t="b">
        <v>0</v>
      </c>
      <c r="X2134" t="b">
        <v>0</v>
      </c>
      <c r="Y2134" t="b">
        <v>0</v>
      </c>
      <c r="Z2134" t="b">
        <v>1</v>
      </c>
      <c r="AA2134" t="b">
        <v>0</v>
      </c>
      <c r="AB2134" t="b">
        <v>0</v>
      </c>
      <c r="AC2134" t="b">
        <v>0</v>
      </c>
      <c r="AE2134" t="s">
        <v>5390</v>
      </c>
    </row>
    <row r="2135" spans="1:31" x14ac:dyDescent="0.3">
      <c r="A2135">
        <v>-73.961437363960002</v>
      </c>
      <c r="B2135">
        <v>40.794505196289997</v>
      </c>
      <c r="C2135" t="s">
        <v>5391</v>
      </c>
      <c r="D2135" t="s">
        <v>423</v>
      </c>
      <c r="E2135" t="s">
        <v>33</v>
      </c>
      <c r="F2135">
        <v>10132018</v>
      </c>
      <c r="G2135">
        <v>1</v>
      </c>
      <c r="H2135" t="s">
        <v>105</v>
      </c>
      <c r="I2135" t="s">
        <v>42</v>
      </c>
      <c r="J2135" t="s">
        <v>53</v>
      </c>
      <c r="K2135" t="s">
        <v>54</v>
      </c>
      <c r="M2135" t="s">
        <v>65</v>
      </c>
      <c r="N2135" t="b">
        <v>0</v>
      </c>
      <c r="P2135" t="b">
        <v>0</v>
      </c>
      <c r="Q2135" t="b">
        <v>0</v>
      </c>
      <c r="R2135" t="b">
        <v>0</v>
      </c>
      <c r="S2135" t="b">
        <v>1</v>
      </c>
      <c r="T2135" t="b">
        <v>0</v>
      </c>
      <c r="U2135" t="s">
        <v>5392</v>
      </c>
      <c r="V2135" t="b">
        <v>0</v>
      </c>
      <c r="W2135" t="b">
        <v>0</v>
      </c>
      <c r="X2135" t="b">
        <v>0</v>
      </c>
      <c r="Y2135" t="b">
        <v>1</v>
      </c>
      <c r="Z2135" t="b">
        <v>0</v>
      </c>
      <c r="AA2135" t="b">
        <v>0</v>
      </c>
      <c r="AB2135" t="b">
        <v>1</v>
      </c>
      <c r="AC2135" t="b">
        <v>0</v>
      </c>
      <c r="AE2135" t="s">
        <v>5393</v>
      </c>
    </row>
    <row r="2136" spans="1:31" x14ac:dyDescent="0.3">
      <c r="A2136">
        <v>-73.959625128460004</v>
      </c>
      <c r="B2136">
        <v>40.79162547976</v>
      </c>
      <c r="C2136" t="s">
        <v>5394</v>
      </c>
      <c r="D2136" t="s">
        <v>1202</v>
      </c>
      <c r="E2136" t="s">
        <v>38</v>
      </c>
      <c r="F2136">
        <v>10172018</v>
      </c>
      <c r="G2136">
        <v>5</v>
      </c>
      <c r="H2136" t="s">
        <v>48</v>
      </c>
      <c r="I2136" t="s">
        <v>176</v>
      </c>
      <c r="K2136" t="s">
        <v>177</v>
      </c>
      <c r="M2136" t="s">
        <v>44</v>
      </c>
      <c r="N2136">
        <v>5</v>
      </c>
      <c r="P2136" t="b">
        <v>0</v>
      </c>
      <c r="Q2136" t="b">
        <v>0</v>
      </c>
      <c r="R2136" t="b">
        <v>1</v>
      </c>
      <c r="S2136" t="b">
        <v>0</v>
      </c>
      <c r="T2136" t="b">
        <v>1</v>
      </c>
      <c r="V2136" t="b">
        <v>0</v>
      </c>
      <c r="W2136" t="b">
        <v>0</v>
      </c>
      <c r="X2136" t="b">
        <v>0</v>
      </c>
      <c r="Y2136" t="b">
        <v>0</v>
      </c>
      <c r="Z2136" t="b">
        <v>1</v>
      </c>
      <c r="AA2136" t="b">
        <v>0</v>
      </c>
      <c r="AB2136" t="b">
        <v>1</v>
      </c>
      <c r="AC2136" t="b">
        <v>0</v>
      </c>
      <c r="AE2136" t="s">
        <v>5395</v>
      </c>
    </row>
    <row r="2137" spans="1:31" x14ac:dyDescent="0.3">
      <c r="A2137">
        <v>-73.972189791519995</v>
      </c>
      <c r="B2137">
        <v>40.766043420309998</v>
      </c>
      <c r="C2137" t="s">
        <v>5396</v>
      </c>
      <c r="D2137" t="s">
        <v>985</v>
      </c>
      <c r="E2137" t="s">
        <v>38</v>
      </c>
      <c r="F2137">
        <v>10102018</v>
      </c>
      <c r="G2137">
        <v>2</v>
      </c>
      <c r="H2137" t="s">
        <v>48</v>
      </c>
      <c r="I2137" t="s">
        <v>42</v>
      </c>
      <c r="K2137" t="s">
        <v>43</v>
      </c>
      <c r="M2137" t="s">
        <v>44</v>
      </c>
      <c r="N2137">
        <v>40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V2137" t="b">
        <v>0</v>
      </c>
      <c r="W2137" t="b">
        <v>0</v>
      </c>
      <c r="X2137" t="b">
        <v>0</v>
      </c>
      <c r="Y2137" t="b">
        <v>0</v>
      </c>
      <c r="Z2137" t="b">
        <v>0</v>
      </c>
      <c r="AA2137" t="b">
        <v>0</v>
      </c>
      <c r="AB2137" t="b">
        <v>1</v>
      </c>
      <c r="AC2137" t="b">
        <v>0</v>
      </c>
      <c r="AE2137" t="s">
        <v>5397</v>
      </c>
    </row>
    <row r="2138" spans="1:31" x14ac:dyDescent="0.3">
      <c r="A2138">
        <v>-73.964883161160003</v>
      </c>
      <c r="B2138">
        <v>40.780132641500003</v>
      </c>
      <c r="C2138" t="s">
        <v>5398</v>
      </c>
      <c r="D2138" t="s">
        <v>1427</v>
      </c>
      <c r="E2138" t="s">
        <v>33</v>
      </c>
      <c r="F2138">
        <v>10172018</v>
      </c>
      <c r="G2138">
        <v>2</v>
      </c>
      <c r="H2138" t="s">
        <v>48</v>
      </c>
      <c r="I2138" t="s">
        <v>42</v>
      </c>
      <c r="J2138" t="s">
        <v>53</v>
      </c>
      <c r="K2138" t="s">
        <v>54</v>
      </c>
      <c r="M2138" t="s">
        <v>65</v>
      </c>
      <c r="N2138" t="b">
        <v>0</v>
      </c>
      <c r="P2138" t="b">
        <v>0</v>
      </c>
      <c r="Q2138" t="b">
        <v>0</v>
      </c>
      <c r="R2138" t="b">
        <v>0</v>
      </c>
      <c r="S2138" t="b">
        <v>0</v>
      </c>
      <c r="T2138" t="b">
        <v>0</v>
      </c>
      <c r="U2138" t="s">
        <v>5399</v>
      </c>
      <c r="V2138" t="b">
        <v>0</v>
      </c>
      <c r="W2138" t="b">
        <v>0</v>
      </c>
      <c r="X2138" t="b">
        <v>0</v>
      </c>
      <c r="Y2138" t="b">
        <v>0</v>
      </c>
      <c r="Z2138" t="b">
        <v>1</v>
      </c>
      <c r="AA2138" t="b">
        <v>0</v>
      </c>
      <c r="AB2138" t="b">
        <v>0</v>
      </c>
      <c r="AC2138" t="b">
        <v>1</v>
      </c>
      <c r="AE2138" t="s">
        <v>5400</v>
      </c>
    </row>
    <row r="2139" spans="1:31" x14ac:dyDescent="0.3">
      <c r="A2139">
        <v>-73.979153618319998</v>
      </c>
      <c r="B2139">
        <v>40.767270593189998</v>
      </c>
      <c r="C2139" t="s">
        <v>5401</v>
      </c>
      <c r="D2139" t="s">
        <v>1301</v>
      </c>
      <c r="E2139" t="s">
        <v>33</v>
      </c>
      <c r="F2139">
        <v>10132018</v>
      </c>
      <c r="G2139">
        <v>3</v>
      </c>
      <c r="H2139" t="s">
        <v>48</v>
      </c>
      <c r="I2139" t="s">
        <v>53</v>
      </c>
      <c r="J2139" t="s">
        <v>59</v>
      </c>
      <c r="K2139" t="s">
        <v>60</v>
      </c>
      <c r="M2139" t="s">
        <v>65</v>
      </c>
      <c r="N2139" t="b">
        <v>0</v>
      </c>
      <c r="P2139" t="b">
        <v>0</v>
      </c>
      <c r="Q2139" t="b">
        <v>0</v>
      </c>
      <c r="R2139" t="b">
        <v>0</v>
      </c>
      <c r="S2139" t="b">
        <v>0</v>
      </c>
      <c r="T2139" t="b">
        <v>1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b">
        <v>0</v>
      </c>
      <c r="AB2139" t="b">
        <v>0</v>
      </c>
      <c r="AC2139" t="b">
        <v>0</v>
      </c>
      <c r="AE2139" t="s">
        <v>5402</v>
      </c>
    </row>
    <row r="2140" spans="1:31" x14ac:dyDescent="0.3">
      <c r="A2140">
        <v>-73.969747112350007</v>
      </c>
      <c r="B2140">
        <v>40.777316338829998</v>
      </c>
      <c r="C2140" t="s">
        <v>5403</v>
      </c>
      <c r="D2140" t="s">
        <v>130</v>
      </c>
      <c r="E2140" t="s">
        <v>33</v>
      </c>
      <c r="F2140">
        <v>10082018</v>
      </c>
      <c r="G2140">
        <v>10</v>
      </c>
      <c r="H2140" t="s">
        <v>48</v>
      </c>
      <c r="I2140" t="s">
        <v>42</v>
      </c>
      <c r="K2140" t="s">
        <v>43</v>
      </c>
      <c r="M2140" t="s">
        <v>65</v>
      </c>
      <c r="N2140" t="b">
        <v>0</v>
      </c>
      <c r="P2140" t="b">
        <v>0</v>
      </c>
      <c r="Q2140" t="b">
        <v>0</v>
      </c>
      <c r="R2140" t="b">
        <v>0</v>
      </c>
      <c r="S2140" t="b">
        <v>1</v>
      </c>
      <c r="T2140" t="b">
        <v>1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b">
        <v>0</v>
      </c>
      <c r="AB2140" t="b">
        <v>1</v>
      </c>
      <c r="AC2140" t="b">
        <v>0</v>
      </c>
      <c r="AE2140" t="s">
        <v>5404</v>
      </c>
    </row>
    <row r="2141" spans="1:31" x14ac:dyDescent="0.3">
      <c r="A2141">
        <v>-73.959887554130006</v>
      </c>
      <c r="B2141">
        <v>40.797341558070002</v>
      </c>
      <c r="C2141" t="s">
        <v>5405</v>
      </c>
      <c r="D2141" t="s">
        <v>680</v>
      </c>
      <c r="E2141" t="s">
        <v>38</v>
      </c>
      <c r="F2141">
        <v>10192018</v>
      </c>
      <c r="G2141">
        <v>4</v>
      </c>
      <c r="H2141" t="s">
        <v>48</v>
      </c>
      <c r="I2141" t="s">
        <v>42</v>
      </c>
      <c r="K2141" t="s">
        <v>43</v>
      </c>
      <c r="M2141" t="s">
        <v>44</v>
      </c>
      <c r="N2141">
        <v>2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s">
        <v>101</v>
      </c>
      <c r="V2141" t="b">
        <v>0</v>
      </c>
      <c r="W2141" t="b">
        <v>0</v>
      </c>
      <c r="X2141" t="b">
        <v>0</v>
      </c>
      <c r="Y2141" t="b">
        <v>0</v>
      </c>
      <c r="Z2141" t="b">
        <v>0</v>
      </c>
      <c r="AA2141" t="b">
        <v>0</v>
      </c>
      <c r="AB2141" t="b">
        <v>1</v>
      </c>
      <c r="AC2141" t="b">
        <v>0</v>
      </c>
      <c r="AE2141" t="s">
        <v>5406</v>
      </c>
    </row>
    <row r="2142" spans="1:31" x14ac:dyDescent="0.3">
      <c r="A2142">
        <v>-73.978701518470004</v>
      </c>
      <c r="B2142">
        <v>40.769011458569999</v>
      </c>
      <c r="C2142" t="s">
        <v>5407</v>
      </c>
      <c r="D2142" t="s">
        <v>455</v>
      </c>
      <c r="E2142" t="s">
        <v>33</v>
      </c>
      <c r="F2142">
        <v>10072018</v>
      </c>
      <c r="G2142">
        <v>6</v>
      </c>
      <c r="H2142" t="s">
        <v>105</v>
      </c>
      <c r="K2142" t="s">
        <v>34</v>
      </c>
      <c r="P2142" t="b">
        <v>0</v>
      </c>
      <c r="Q2142" t="b">
        <v>0</v>
      </c>
      <c r="R2142" t="b">
        <v>0</v>
      </c>
      <c r="S2142" t="b">
        <v>1</v>
      </c>
      <c r="T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b">
        <v>0</v>
      </c>
      <c r="AB2142" t="b">
        <v>1</v>
      </c>
      <c r="AC2142" t="b">
        <v>0</v>
      </c>
      <c r="AE2142" t="s">
        <v>5408</v>
      </c>
    </row>
    <row r="2143" spans="1:31" x14ac:dyDescent="0.3">
      <c r="A2143">
        <v>-73.959853542570002</v>
      </c>
      <c r="B2143">
        <v>40.791558934370002</v>
      </c>
      <c r="C2143" t="s">
        <v>5409</v>
      </c>
      <c r="D2143" t="s">
        <v>1202</v>
      </c>
      <c r="E2143" t="s">
        <v>33</v>
      </c>
      <c r="F2143">
        <v>10062018</v>
      </c>
      <c r="G2143">
        <v>1</v>
      </c>
      <c r="I2143" t="s">
        <v>42</v>
      </c>
      <c r="J2143" t="s">
        <v>53</v>
      </c>
      <c r="K2143" t="s">
        <v>54</v>
      </c>
      <c r="M2143" t="s">
        <v>44</v>
      </c>
      <c r="N2143">
        <v>15</v>
      </c>
      <c r="P2143" t="b">
        <v>0</v>
      </c>
      <c r="Q2143" t="b">
        <v>1</v>
      </c>
      <c r="R2143" t="b">
        <v>0</v>
      </c>
      <c r="S2143" t="b">
        <v>0</v>
      </c>
      <c r="T2143" t="b">
        <v>0</v>
      </c>
      <c r="U2143" t="s">
        <v>5410</v>
      </c>
      <c r="V2143" t="b">
        <v>1</v>
      </c>
      <c r="W2143" t="b">
        <v>0</v>
      </c>
      <c r="X2143" t="b">
        <v>0</v>
      </c>
      <c r="Y2143" t="b">
        <v>1</v>
      </c>
      <c r="Z2143" t="b">
        <v>0</v>
      </c>
      <c r="AA2143" t="b">
        <v>0</v>
      </c>
      <c r="AB2143" t="b">
        <v>0</v>
      </c>
      <c r="AC2143" t="b">
        <v>1</v>
      </c>
      <c r="AE2143" t="s">
        <v>5411</v>
      </c>
    </row>
    <row r="2144" spans="1:31" x14ac:dyDescent="0.3">
      <c r="A2144">
        <v>-73.959623217019995</v>
      </c>
      <c r="B2144">
        <v>40.795955084319999</v>
      </c>
      <c r="C2144" t="s">
        <v>5412</v>
      </c>
      <c r="D2144" t="s">
        <v>969</v>
      </c>
      <c r="E2144" t="s">
        <v>33</v>
      </c>
      <c r="F2144">
        <v>10132018</v>
      </c>
      <c r="G2144">
        <v>1</v>
      </c>
      <c r="H2144" t="s">
        <v>48</v>
      </c>
      <c r="I2144" t="s">
        <v>42</v>
      </c>
      <c r="K2144" t="s">
        <v>43</v>
      </c>
      <c r="L2144" t="s">
        <v>5413</v>
      </c>
      <c r="M2144" t="s">
        <v>65</v>
      </c>
      <c r="N2144" t="b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b">
        <v>0</v>
      </c>
      <c r="AB2144" t="b">
        <v>0</v>
      </c>
      <c r="AC2144" t="b">
        <v>1</v>
      </c>
      <c r="AE2144" t="s">
        <v>5414</v>
      </c>
    </row>
    <row r="2145" spans="1:31" x14ac:dyDescent="0.3">
      <c r="A2145">
        <v>-73.975198284550004</v>
      </c>
      <c r="B2145">
        <v>40.774034376339998</v>
      </c>
      <c r="C2145" t="s">
        <v>5415</v>
      </c>
      <c r="D2145" t="s">
        <v>790</v>
      </c>
      <c r="E2145" t="s">
        <v>38</v>
      </c>
      <c r="F2145">
        <v>10102018</v>
      </c>
      <c r="G2145">
        <v>6</v>
      </c>
      <c r="H2145" t="s">
        <v>105</v>
      </c>
      <c r="I2145" t="s">
        <v>42</v>
      </c>
      <c r="J2145" t="s">
        <v>59</v>
      </c>
      <c r="K2145" t="s">
        <v>79</v>
      </c>
      <c r="M2145" t="s">
        <v>44</v>
      </c>
      <c r="N2145">
        <v>16</v>
      </c>
      <c r="O2145" t="s">
        <v>190</v>
      </c>
      <c r="P2145" t="b">
        <v>0</v>
      </c>
      <c r="Q2145" t="b">
        <v>0</v>
      </c>
      <c r="R2145" t="b">
        <v>1</v>
      </c>
      <c r="S2145" t="b">
        <v>0</v>
      </c>
      <c r="T2145" t="b">
        <v>0</v>
      </c>
      <c r="U2145" t="s">
        <v>3061</v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 t="b">
        <v>0</v>
      </c>
      <c r="AB2145" t="b">
        <v>1</v>
      </c>
      <c r="AC2145" t="b">
        <v>0</v>
      </c>
      <c r="AE2145" t="s">
        <v>5416</v>
      </c>
    </row>
    <row r="2146" spans="1:31" x14ac:dyDescent="0.3">
      <c r="A2146">
        <v>-73.965125040260006</v>
      </c>
      <c r="B2146">
        <v>40.781288492910001</v>
      </c>
      <c r="C2146" t="s">
        <v>5417</v>
      </c>
      <c r="D2146" t="s">
        <v>564</v>
      </c>
      <c r="E2146" t="s">
        <v>33</v>
      </c>
      <c r="F2146">
        <v>10072018</v>
      </c>
      <c r="G2146">
        <v>4</v>
      </c>
      <c r="H2146" t="s">
        <v>105</v>
      </c>
      <c r="I2146" t="s">
        <v>42</v>
      </c>
      <c r="J2146" t="s">
        <v>59</v>
      </c>
      <c r="K2146" t="s">
        <v>79</v>
      </c>
      <c r="L2146" t="s">
        <v>5180</v>
      </c>
      <c r="M2146" t="s">
        <v>44</v>
      </c>
      <c r="N2146">
        <v>20</v>
      </c>
      <c r="O2146" t="s">
        <v>1432</v>
      </c>
      <c r="P2146" t="b">
        <v>0</v>
      </c>
      <c r="Q2146" t="b">
        <v>0</v>
      </c>
      <c r="R2146" t="b">
        <v>1</v>
      </c>
      <c r="S2146" t="b">
        <v>0</v>
      </c>
      <c r="T2146" t="b">
        <v>1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b">
        <v>0</v>
      </c>
      <c r="AB2146" t="b">
        <v>0</v>
      </c>
      <c r="AC2146" t="b">
        <v>0</v>
      </c>
      <c r="AE2146" t="s">
        <v>5418</v>
      </c>
    </row>
    <row r="2147" spans="1:31" x14ac:dyDescent="0.3">
      <c r="A2147">
        <v>-73.954739868480004</v>
      </c>
      <c r="B2147">
        <v>40.78964837953</v>
      </c>
      <c r="C2147" t="s">
        <v>5419</v>
      </c>
      <c r="D2147" t="s">
        <v>921</v>
      </c>
      <c r="E2147" t="s">
        <v>38</v>
      </c>
      <c r="F2147">
        <v>10082018</v>
      </c>
      <c r="G2147">
        <v>1</v>
      </c>
      <c r="H2147" t="s">
        <v>48</v>
      </c>
      <c r="I2147" t="s">
        <v>42</v>
      </c>
      <c r="J2147" t="s">
        <v>53</v>
      </c>
      <c r="K2147" t="s">
        <v>54</v>
      </c>
      <c r="M2147" t="s">
        <v>65</v>
      </c>
      <c r="N2147" t="b">
        <v>0</v>
      </c>
      <c r="O2147" t="s">
        <v>5420</v>
      </c>
      <c r="P2147" t="b">
        <v>0</v>
      </c>
      <c r="Q2147" t="b">
        <v>0</v>
      </c>
      <c r="R2147" t="b">
        <v>0</v>
      </c>
      <c r="S2147" t="b">
        <v>0</v>
      </c>
      <c r="T2147" t="b">
        <v>1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b">
        <v>0</v>
      </c>
      <c r="AB2147" t="b">
        <v>1</v>
      </c>
      <c r="AC2147" t="b">
        <v>0</v>
      </c>
      <c r="AE2147" t="s">
        <v>5421</v>
      </c>
    </row>
    <row r="2148" spans="1:31" x14ac:dyDescent="0.3">
      <c r="A2148">
        <v>-73.965121799840006</v>
      </c>
      <c r="B2148">
        <v>40.776111539269998</v>
      </c>
      <c r="C2148" t="s">
        <v>5422</v>
      </c>
      <c r="D2148" t="s">
        <v>408</v>
      </c>
      <c r="E2148" t="s">
        <v>33</v>
      </c>
      <c r="F2148">
        <v>10122018</v>
      </c>
      <c r="G2148">
        <v>1</v>
      </c>
      <c r="H2148" t="s">
        <v>48</v>
      </c>
      <c r="I2148" t="s">
        <v>42</v>
      </c>
      <c r="J2148" t="s">
        <v>53</v>
      </c>
      <c r="K2148" t="s">
        <v>54</v>
      </c>
      <c r="M2148" t="s">
        <v>65</v>
      </c>
      <c r="N2148" t="b">
        <v>0</v>
      </c>
      <c r="P2148" t="b">
        <v>1</v>
      </c>
      <c r="Q2148" t="b">
        <v>0</v>
      </c>
      <c r="R2148" t="b">
        <v>0</v>
      </c>
      <c r="S2148" t="b">
        <v>1</v>
      </c>
      <c r="T2148" t="b">
        <v>1</v>
      </c>
      <c r="V2148" t="b">
        <v>0</v>
      </c>
      <c r="W2148" t="b">
        <v>0</v>
      </c>
      <c r="X2148" t="b">
        <v>0</v>
      </c>
      <c r="Y2148" t="b">
        <v>0</v>
      </c>
      <c r="Z2148" t="b">
        <v>1</v>
      </c>
      <c r="AA2148" t="b">
        <v>0</v>
      </c>
      <c r="AB2148" t="b">
        <v>0</v>
      </c>
      <c r="AC2148" t="b">
        <v>0</v>
      </c>
      <c r="AE2148" t="s">
        <v>5423</v>
      </c>
    </row>
    <row r="2149" spans="1:31" x14ac:dyDescent="0.3">
      <c r="A2149">
        <v>-73.976731753950006</v>
      </c>
      <c r="B2149">
        <v>40.771760045059999</v>
      </c>
      <c r="C2149" t="s">
        <v>5424</v>
      </c>
      <c r="D2149" t="s">
        <v>796</v>
      </c>
      <c r="E2149" t="s">
        <v>33</v>
      </c>
      <c r="F2149">
        <v>10172018</v>
      </c>
      <c r="G2149">
        <v>5</v>
      </c>
      <c r="H2149" t="s">
        <v>48</v>
      </c>
      <c r="I2149" t="s">
        <v>42</v>
      </c>
      <c r="J2149" t="s">
        <v>53</v>
      </c>
      <c r="K2149" t="s">
        <v>54</v>
      </c>
      <c r="M2149" t="s">
        <v>65</v>
      </c>
      <c r="N2149" t="b">
        <v>0</v>
      </c>
      <c r="P2149" t="b">
        <v>1</v>
      </c>
      <c r="Q2149" t="b">
        <v>1</v>
      </c>
      <c r="R2149" t="b">
        <v>0</v>
      </c>
      <c r="S2149" t="b">
        <v>0</v>
      </c>
      <c r="T2149" t="b">
        <v>1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b">
        <v>0</v>
      </c>
      <c r="AB2149" t="b">
        <v>0</v>
      </c>
      <c r="AC2149" t="b">
        <v>0</v>
      </c>
      <c r="AE2149" t="s">
        <v>5425</v>
      </c>
    </row>
    <row r="2150" spans="1:31" x14ac:dyDescent="0.3">
      <c r="A2150">
        <v>-73.969184542020002</v>
      </c>
      <c r="B2150">
        <v>40.770774989929997</v>
      </c>
      <c r="C2150" t="s">
        <v>5426</v>
      </c>
      <c r="D2150" t="s">
        <v>1780</v>
      </c>
      <c r="E2150" t="s">
        <v>38</v>
      </c>
      <c r="F2150">
        <v>10142018</v>
      </c>
      <c r="G2150">
        <v>3</v>
      </c>
      <c r="H2150" t="s">
        <v>48</v>
      </c>
      <c r="I2150" t="s">
        <v>42</v>
      </c>
      <c r="K2150" t="s">
        <v>43</v>
      </c>
      <c r="M2150" t="s">
        <v>65</v>
      </c>
      <c r="N2150" t="b">
        <v>0</v>
      </c>
      <c r="P2150" t="b">
        <v>0</v>
      </c>
      <c r="Q2150" t="b">
        <v>0</v>
      </c>
      <c r="R2150" t="b">
        <v>0</v>
      </c>
      <c r="S2150" t="b">
        <v>0</v>
      </c>
      <c r="T2150" t="b">
        <v>1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b">
        <v>1</v>
      </c>
      <c r="AB2150" t="b">
        <v>0</v>
      </c>
      <c r="AC2150" t="b">
        <v>0</v>
      </c>
      <c r="AE2150" t="s">
        <v>5427</v>
      </c>
    </row>
    <row r="2151" spans="1:31" x14ac:dyDescent="0.3">
      <c r="A2151">
        <v>-73.955771011829995</v>
      </c>
      <c r="B2151">
        <v>40.791916118560003</v>
      </c>
      <c r="C2151" t="s">
        <v>5428</v>
      </c>
      <c r="D2151" t="s">
        <v>4588</v>
      </c>
      <c r="E2151" t="s">
        <v>33</v>
      </c>
      <c r="F2151">
        <v>10062018</v>
      </c>
      <c r="G2151">
        <v>1</v>
      </c>
      <c r="H2151" t="s">
        <v>48</v>
      </c>
      <c r="I2151" t="s">
        <v>176</v>
      </c>
      <c r="K2151" t="s">
        <v>177</v>
      </c>
      <c r="L2151" t="s">
        <v>5429</v>
      </c>
      <c r="M2151" t="s">
        <v>65</v>
      </c>
      <c r="N2151" t="b">
        <v>0</v>
      </c>
      <c r="P2151" t="b">
        <v>0</v>
      </c>
      <c r="Q2151" t="b">
        <v>0</v>
      </c>
      <c r="R2151" t="b">
        <v>0</v>
      </c>
      <c r="S2151" t="b">
        <v>0</v>
      </c>
      <c r="T2151" t="b">
        <v>0</v>
      </c>
      <c r="U2151" t="s">
        <v>340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b">
        <v>0</v>
      </c>
      <c r="AB2151" t="b">
        <v>0</v>
      </c>
      <c r="AC2151" t="b">
        <v>0</v>
      </c>
      <c r="AE2151" t="s">
        <v>5430</v>
      </c>
    </row>
    <row r="2152" spans="1:31" x14ac:dyDescent="0.3">
      <c r="A2152">
        <v>-73.969717876979999</v>
      </c>
      <c r="B2152">
        <v>40.779154410239997</v>
      </c>
      <c r="C2152" t="s">
        <v>5431</v>
      </c>
      <c r="D2152" t="s">
        <v>1995</v>
      </c>
      <c r="E2152" t="s">
        <v>38</v>
      </c>
      <c r="F2152">
        <v>10082018</v>
      </c>
      <c r="G2152">
        <v>3</v>
      </c>
      <c r="H2152" t="s">
        <v>48</v>
      </c>
      <c r="I2152" t="s">
        <v>42</v>
      </c>
      <c r="J2152" t="s">
        <v>59</v>
      </c>
      <c r="K2152" t="s">
        <v>79</v>
      </c>
      <c r="M2152" t="s">
        <v>65</v>
      </c>
      <c r="N2152" t="b">
        <v>0</v>
      </c>
      <c r="P2152" t="b">
        <v>0</v>
      </c>
      <c r="Q2152" t="b">
        <v>0</v>
      </c>
      <c r="R2152" t="b">
        <v>0</v>
      </c>
      <c r="S2152" t="b">
        <v>1</v>
      </c>
      <c r="T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1</v>
      </c>
      <c r="AA2152" t="b">
        <v>0</v>
      </c>
      <c r="AB2152" t="b">
        <v>1</v>
      </c>
      <c r="AC2152" t="b">
        <v>0</v>
      </c>
      <c r="AE2152" t="s">
        <v>5432</v>
      </c>
    </row>
    <row r="2153" spans="1:31" x14ac:dyDescent="0.3">
      <c r="A2153">
        <v>-73.968692578130003</v>
      </c>
      <c r="B2153">
        <v>40.770568867309997</v>
      </c>
      <c r="C2153" t="s">
        <v>5433</v>
      </c>
      <c r="D2153" t="s">
        <v>1780</v>
      </c>
      <c r="E2153" t="s">
        <v>33</v>
      </c>
      <c r="F2153">
        <v>10102018</v>
      </c>
      <c r="G2153">
        <v>5</v>
      </c>
      <c r="H2153" t="s">
        <v>48</v>
      </c>
      <c r="I2153" t="s">
        <v>53</v>
      </c>
      <c r="J2153" t="s">
        <v>115</v>
      </c>
      <c r="K2153" t="s">
        <v>116</v>
      </c>
      <c r="M2153" t="s">
        <v>65</v>
      </c>
      <c r="N2153" t="b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1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b">
        <v>0</v>
      </c>
      <c r="AB2153" t="b">
        <v>0</v>
      </c>
      <c r="AC2153" t="b">
        <v>1</v>
      </c>
      <c r="AE2153" t="s">
        <v>5434</v>
      </c>
    </row>
    <row r="2154" spans="1:31" x14ac:dyDescent="0.3">
      <c r="A2154">
        <v>-73.979712232279994</v>
      </c>
      <c r="B2154">
        <v>40.767834758740001</v>
      </c>
      <c r="C2154" t="s">
        <v>5435</v>
      </c>
      <c r="D2154" t="s">
        <v>851</v>
      </c>
      <c r="E2154" t="s">
        <v>33</v>
      </c>
      <c r="F2154">
        <v>10192018</v>
      </c>
      <c r="G2154">
        <v>10</v>
      </c>
      <c r="H2154" t="s">
        <v>48</v>
      </c>
      <c r="I2154" t="s">
        <v>53</v>
      </c>
      <c r="J2154" t="s">
        <v>59</v>
      </c>
      <c r="K2154" t="s">
        <v>60</v>
      </c>
      <c r="M2154" t="s">
        <v>44</v>
      </c>
      <c r="O2154" t="s">
        <v>5436</v>
      </c>
      <c r="P2154" t="b">
        <v>0</v>
      </c>
      <c r="Q2154" t="b">
        <v>0</v>
      </c>
      <c r="R2154" t="b">
        <v>1</v>
      </c>
      <c r="S2154" t="b">
        <v>0</v>
      </c>
      <c r="T2154" t="b">
        <v>0</v>
      </c>
      <c r="V2154" t="b">
        <v>0</v>
      </c>
      <c r="W2154" t="b">
        <v>0</v>
      </c>
      <c r="X2154" t="b">
        <v>0</v>
      </c>
      <c r="Y2154" t="b">
        <v>0</v>
      </c>
      <c r="Z2154" t="b">
        <v>1</v>
      </c>
      <c r="AA2154" t="b">
        <v>0</v>
      </c>
      <c r="AB2154" t="b">
        <v>0</v>
      </c>
      <c r="AC2154" t="b">
        <v>0</v>
      </c>
      <c r="AE2154" t="s">
        <v>5437</v>
      </c>
    </row>
    <row r="2155" spans="1:31" x14ac:dyDescent="0.3">
      <c r="A2155">
        <v>-73.976716425800007</v>
      </c>
      <c r="B2155">
        <v>40.773688997999997</v>
      </c>
      <c r="C2155" t="s">
        <v>5438</v>
      </c>
      <c r="D2155" t="s">
        <v>741</v>
      </c>
      <c r="E2155" t="s">
        <v>33</v>
      </c>
      <c r="F2155">
        <v>10142018</v>
      </c>
      <c r="G2155">
        <v>3</v>
      </c>
      <c r="H2155" t="s">
        <v>105</v>
      </c>
      <c r="I2155" t="s">
        <v>42</v>
      </c>
      <c r="K2155" t="s">
        <v>43</v>
      </c>
      <c r="M2155" t="s">
        <v>44</v>
      </c>
      <c r="N2155">
        <v>23</v>
      </c>
      <c r="P2155" t="b">
        <v>0</v>
      </c>
      <c r="Q2155" t="b">
        <v>0</v>
      </c>
      <c r="R2155" t="b">
        <v>1</v>
      </c>
      <c r="S2155" t="b">
        <v>1</v>
      </c>
      <c r="T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b">
        <v>0</v>
      </c>
      <c r="AB2155" t="b">
        <v>0</v>
      </c>
      <c r="AC2155" t="b">
        <v>0</v>
      </c>
      <c r="AE2155" t="s">
        <v>5439</v>
      </c>
    </row>
    <row r="2156" spans="1:31" x14ac:dyDescent="0.3">
      <c r="A2156">
        <v>-73.9538938707</v>
      </c>
      <c r="B2156">
        <v>40.7981150066</v>
      </c>
      <c r="C2156" t="s">
        <v>5440</v>
      </c>
      <c r="D2156" t="s">
        <v>317</v>
      </c>
      <c r="E2156" t="s">
        <v>33</v>
      </c>
      <c r="F2156">
        <v>10122018</v>
      </c>
      <c r="G2156">
        <v>5</v>
      </c>
      <c r="H2156" t="s">
        <v>48</v>
      </c>
      <c r="I2156" t="s">
        <v>42</v>
      </c>
      <c r="J2156" t="s">
        <v>59</v>
      </c>
      <c r="K2156" t="s">
        <v>79</v>
      </c>
      <c r="M2156" t="s">
        <v>65</v>
      </c>
      <c r="N2156" t="b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1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b">
        <v>0</v>
      </c>
      <c r="AB2156" t="b">
        <v>1</v>
      </c>
      <c r="AC2156" t="b">
        <v>0</v>
      </c>
      <c r="AE2156" t="s">
        <v>5441</v>
      </c>
    </row>
    <row r="2157" spans="1:31" x14ac:dyDescent="0.3">
      <c r="A2157">
        <v>-73.965038784800001</v>
      </c>
      <c r="B2157">
        <v>40.781413443840002</v>
      </c>
      <c r="C2157" t="s">
        <v>5442</v>
      </c>
      <c r="D2157" t="s">
        <v>1199</v>
      </c>
      <c r="E2157" t="s">
        <v>38</v>
      </c>
      <c r="F2157">
        <v>10182018</v>
      </c>
      <c r="G2157">
        <v>4</v>
      </c>
      <c r="H2157" t="s">
        <v>48</v>
      </c>
      <c r="I2157" t="s">
        <v>53</v>
      </c>
      <c r="J2157" t="s">
        <v>42</v>
      </c>
      <c r="K2157" t="s">
        <v>89</v>
      </c>
      <c r="M2157" t="s">
        <v>65</v>
      </c>
      <c r="N2157" t="b">
        <v>0</v>
      </c>
      <c r="P2157" t="b">
        <v>0</v>
      </c>
      <c r="Q2157" t="b">
        <v>0</v>
      </c>
      <c r="R2157" t="b">
        <v>0</v>
      </c>
      <c r="S2157" t="b">
        <v>0</v>
      </c>
      <c r="T2157" t="b">
        <v>1</v>
      </c>
      <c r="V2157" t="b">
        <v>0</v>
      </c>
      <c r="W2157" t="b">
        <v>0</v>
      </c>
      <c r="X2157" t="b">
        <v>0</v>
      </c>
      <c r="Y2157" t="b">
        <v>0</v>
      </c>
      <c r="Z2157" t="b">
        <v>1</v>
      </c>
      <c r="AA2157" t="b">
        <v>0</v>
      </c>
      <c r="AB2157" t="b">
        <v>0</v>
      </c>
      <c r="AC2157" t="b">
        <v>0</v>
      </c>
      <c r="AE2157" t="s">
        <v>5443</v>
      </c>
    </row>
    <row r="2158" spans="1:31" x14ac:dyDescent="0.3">
      <c r="A2158">
        <v>-73.965717135779997</v>
      </c>
      <c r="B2158">
        <v>40.77732775322</v>
      </c>
      <c r="C2158" t="s">
        <v>5444</v>
      </c>
      <c r="D2158" t="s">
        <v>1525</v>
      </c>
      <c r="E2158" t="s">
        <v>33</v>
      </c>
      <c r="F2158">
        <v>10142018</v>
      </c>
      <c r="G2158">
        <v>5</v>
      </c>
      <c r="H2158" t="s">
        <v>48</v>
      </c>
      <c r="I2158" t="s">
        <v>42</v>
      </c>
      <c r="J2158" t="s">
        <v>59</v>
      </c>
      <c r="K2158" t="s">
        <v>79</v>
      </c>
      <c r="M2158" t="s">
        <v>44</v>
      </c>
      <c r="N2158">
        <v>5</v>
      </c>
      <c r="O2158" t="s">
        <v>190</v>
      </c>
      <c r="P2158" t="b">
        <v>1</v>
      </c>
      <c r="Q2158" t="b">
        <v>0</v>
      </c>
      <c r="R2158" t="b">
        <v>1</v>
      </c>
      <c r="S2158" t="b">
        <v>0</v>
      </c>
      <c r="T2158" t="b">
        <v>1</v>
      </c>
      <c r="V2158" t="b">
        <v>0</v>
      </c>
      <c r="W2158" t="b">
        <v>0</v>
      </c>
      <c r="X2158" t="b">
        <v>0</v>
      </c>
      <c r="Y2158" t="b">
        <v>0</v>
      </c>
      <c r="Z2158" t="b">
        <v>1</v>
      </c>
      <c r="AA2158" t="b">
        <v>0</v>
      </c>
      <c r="AB2158" t="b">
        <v>1</v>
      </c>
      <c r="AC2158" t="b">
        <v>0</v>
      </c>
      <c r="AE2158" t="s">
        <v>5445</v>
      </c>
    </row>
    <row r="2159" spans="1:31" x14ac:dyDescent="0.3">
      <c r="A2159">
        <v>-73.959759348510005</v>
      </c>
      <c r="B2159">
        <v>40.793752840320003</v>
      </c>
      <c r="C2159" t="s">
        <v>5446</v>
      </c>
      <c r="D2159" t="s">
        <v>195</v>
      </c>
      <c r="E2159" t="s">
        <v>38</v>
      </c>
      <c r="F2159">
        <v>10072018</v>
      </c>
      <c r="G2159">
        <v>4</v>
      </c>
      <c r="H2159" t="s">
        <v>48</v>
      </c>
      <c r="I2159" t="s">
        <v>42</v>
      </c>
      <c r="J2159" t="s">
        <v>53</v>
      </c>
      <c r="K2159" t="s">
        <v>54</v>
      </c>
      <c r="M2159" t="s">
        <v>65</v>
      </c>
      <c r="N2159" t="b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1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b">
        <v>0</v>
      </c>
      <c r="AB2159" t="b">
        <v>0</v>
      </c>
      <c r="AC2159" t="b">
        <v>1</v>
      </c>
      <c r="AE2159" t="s">
        <v>5447</v>
      </c>
    </row>
    <row r="2160" spans="1:31" x14ac:dyDescent="0.3">
      <c r="A2160">
        <v>-73.969668816240002</v>
      </c>
      <c r="B2160">
        <v>40.774142217719998</v>
      </c>
      <c r="C2160" t="s">
        <v>5448</v>
      </c>
      <c r="D2160" t="s">
        <v>646</v>
      </c>
      <c r="E2160" t="s">
        <v>38</v>
      </c>
      <c r="F2160">
        <v>10202018</v>
      </c>
      <c r="G2160">
        <v>5</v>
      </c>
      <c r="H2160" t="s">
        <v>48</v>
      </c>
      <c r="I2160" t="s">
        <v>176</v>
      </c>
      <c r="J2160" t="s">
        <v>53</v>
      </c>
      <c r="K2160" t="s">
        <v>705</v>
      </c>
      <c r="M2160" t="s">
        <v>65</v>
      </c>
      <c r="N2160" t="b">
        <v>0</v>
      </c>
      <c r="P2160" t="b">
        <v>0</v>
      </c>
      <c r="Q2160" t="b">
        <v>0</v>
      </c>
      <c r="R2160" t="b">
        <v>0</v>
      </c>
      <c r="S2160" t="b">
        <v>1</v>
      </c>
      <c r="T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1</v>
      </c>
      <c r="AA2160" t="b">
        <v>0</v>
      </c>
      <c r="AB2160" t="b">
        <v>0</v>
      </c>
      <c r="AC2160" t="b">
        <v>0</v>
      </c>
      <c r="AE2160" t="s">
        <v>5449</v>
      </c>
    </row>
    <row r="2161" spans="1:31" x14ac:dyDescent="0.3">
      <c r="A2161">
        <v>-73.975028558999995</v>
      </c>
      <c r="B2161">
        <v>40.766730733549998</v>
      </c>
      <c r="C2161" t="s">
        <v>5450</v>
      </c>
      <c r="D2161" t="s">
        <v>471</v>
      </c>
      <c r="E2161" t="s">
        <v>33</v>
      </c>
      <c r="F2161">
        <v>10142018</v>
      </c>
      <c r="G2161">
        <v>9</v>
      </c>
      <c r="H2161" t="s">
        <v>48</v>
      </c>
      <c r="I2161" t="s">
        <v>42</v>
      </c>
      <c r="J2161" t="s">
        <v>59</v>
      </c>
      <c r="K2161" t="s">
        <v>79</v>
      </c>
      <c r="M2161" t="s">
        <v>65</v>
      </c>
      <c r="N2161" t="b">
        <v>0</v>
      </c>
      <c r="P2161" t="b">
        <v>1</v>
      </c>
      <c r="Q2161" t="b">
        <v>0</v>
      </c>
      <c r="R2161" t="b">
        <v>0</v>
      </c>
      <c r="S2161" t="b">
        <v>0</v>
      </c>
      <c r="T2161" t="b">
        <v>0</v>
      </c>
      <c r="V2161" t="b">
        <v>0</v>
      </c>
      <c r="W2161" t="b">
        <v>0</v>
      </c>
      <c r="X2161" t="b">
        <v>0</v>
      </c>
      <c r="Y2161" t="b">
        <v>0</v>
      </c>
      <c r="Z2161" t="b">
        <v>0</v>
      </c>
      <c r="AA2161" t="b">
        <v>0</v>
      </c>
      <c r="AB2161" t="b">
        <v>1</v>
      </c>
      <c r="AC2161" t="b">
        <v>0</v>
      </c>
      <c r="AE2161" t="s">
        <v>5451</v>
      </c>
    </row>
    <row r="2162" spans="1:31" x14ac:dyDescent="0.3">
      <c r="A2162">
        <v>-73.97153759151</v>
      </c>
      <c r="B2162">
        <v>40.775121208880002</v>
      </c>
      <c r="C2162" t="s">
        <v>5452</v>
      </c>
      <c r="D2162" t="s">
        <v>1145</v>
      </c>
      <c r="E2162" t="s">
        <v>38</v>
      </c>
      <c r="F2162">
        <v>10132018</v>
      </c>
      <c r="G2162">
        <v>1</v>
      </c>
      <c r="H2162" t="s">
        <v>48</v>
      </c>
      <c r="I2162" t="s">
        <v>42</v>
      </c>
      <c r="J2162" t="s">
        <v>53</v>
      </c>
      <c r="K2162" t="s">
        <v>54</v>
      </c>
      <c r="M2162" t="s">
        <v>65</v>
      </c>
      <c r="N2162" t="b">
        <v>0</v>
      </c>
      <c r="P2162" t="b">
        <v>0</v>
      </c>
      <c r="Q2162" t="b">
        <v>0</v>
      </c>
      <c r="R2162" t="b">
        <v>0</v>
      </c>
      <c r="S2162" t="b">
        <v>0</v>
      </c>
      <c r="T2162" t="b">
        <v>1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b">
        <v>1</v>
      </c>
      <c r="AB2162" t="b">
        <v>0</v>
      </c>
      <c r="AC2162" t="b">
        <v>0</v>
      </c>
      <c r="AE2162" t="s">
        <v>5453</v>
      </c>
    </row>
    <row r="2163" spans="1:31" x14ac:dyDescent="0.3">
      <c r="A2163">
        <v>-73.958330028020001</v>
      </c>
      <c r="B2163">
        <v>40.785349500270001</v>
      </c>
      <c r="C2163" t="s">
        <v>5454</v>
      </c>
      <c r="D2163" t="s">
        <v>1083</v>
      </c>
      <c r="E2163" t="s">
        <v>33</v>
      </c>
      <c r="F2163">
        <v>10202018</v>
      </c>
      <c r="G2163">
        <v>4</v>
      </c>
      <c r="H2163" t="s">
        <v>48</v>
      </c>
      <c r="I2163" t="s">
        <v>42</v>
      </c>
      <c r="K2163" t="s">
        <v>43</v>
      </c>
      <c r="M2163" t="s">
        <v>65</v>
      </c>
      <c r="N2163" t="b">
        <v>0</v>
      </c>
      <c r="P2163" t="b">
        <v>1</v>
      </c>
      <c r="Q2163" t="b">
        <v>0</v>
      </c>
      <c r="R2163" t="b">
        <v>0</v>
      </c>
      <c r="S2163" t="b">
        <v>0</v>
      </c>
      <c r="T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b">
        <v>0</v>
      </c>
      <c r="AB2163" t="b">
        <v>0</v>
      </c>
      <c r="AC2163" t="b">
        <v>1</v>
      </c>
      <c r="AE2163" t="s">
        <v>5455</v>
      </c>
    </row>
    <row r="2164" spans="1:31" x14ac:dyDescent="0.3">
      <c r="A2164">
        <v>-73.964366440380005</v>
      </c>
      <c r="B2164">
        <v>40.77936707037</v>
      </c>
      <c r="C2164" t="s">
        <v>5456</v>
      </c>
      <c r="D2164" t="s">
        <v>1015</v>
      </c>
      <c r="E2164" t="s">
        <v>38</v>
      </c>
      <c r="F2164">
        <v>10102018</v>
      </c>
      <c r="G2164">
        <v>1</v>
      </c>
      <c r="I2164" t="s">
        <v>42</v>
      </c>
      <c r="J2164" t="s">
        <v>96</v>
      </c>
      <c r="K2164" t="s">
        <v>97</v>
      </c>
      <c r="M2164" t="s">
        <v>65</v>
      </c>
      <c r="N2164" t="b">
        <v>0</v>
      </c>
      <c r="O2164" t="s">
        <v>3542</v>
      </c>
      <c r="P2164" t="b">
        <v>1</v>
      </c>
      <c r="Q2164" t="b">
        <v>0</v>
      </c>
      <c r="R2164" t="b">
        <v>0</v>
      </c>
      <c r="S2164" t="b">
        <v>1</v>
      </c>
      <c r="T2164" t="b">
        <v>1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b">
        <v>0</v>
      </c>
      <c r="AB2164" t="b">
        <v>1</v>
      </c>
      <c r="AC2164" t="b">
        <v>0</v>
      </c>
      <c r="AD2164" t="s">
        <v>5457</v>
      </c>
      <c r="AE2164" t="s">
        <v>5458</v>
      </c>
    </row>
    <row r="2165" spans="1:31" x14ac:dyDescent="0.3">
      <c r="A2165">
        <v>-73.955013129400001</v>
      </c>
      <c r="B2165">
        <v>40.795402431150002</v>
      </c>
      <c r="C2165" t="s">
        <v>5459</v>
      </c>
      <c r="D2165" t="s">
        <v>363</v>
      </c>
      <c r="E2165" t="s">
        <v>38</v>
      </c>
      <c r="F2165">
        <v>10182018</v>
      </c>
      <c r="G2165">
        <v>5</v>
      </c>
      <c r="H2165" t="s">
        <v>48</v>
      </c>
      <c r="I2165" t="s">
        <v>42</v>
      </c>
      <c r="J2165" t="s">
        <v>53</v>
      </c>
      <c r="K2165" t="s">
        <v>54</v>
      </c>
      <c r="M2165" t="s">
        <v>65</v>
      </c>
      <c r="N2165" t="b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s">
        <v>1203</v>
      </c>
      <c r="V2165" t="b">
        <v>0</v>
      </c>
      <c r="W2165" t="b">
        <v>0</v>
      </c>
      <c r="X2165" t="b">
        <v>0</v>
      </c>
      <c r="Y2165" t="b">
        <v>0</v>
      </c>
      <c r="Z2165" t="b">
        <v>0</v>
      </c>
      <c r="AA2165" t="b">
        <v>0</v>
      </c>
      <c r="AB2165" t="b">
        <v>0</v>
      </c>
      <c r="AC2165" t="b">
        <v>1</v>
      </c>
      <c r="AE2165" t="s">
        <v>5460</v>
      </c>
    </row>
    <row r="2166" spans="1:31" x14ac:dyDescent="0.3">
      <c r="A2166">
        <v>-73.979437170980006</v>
      </c>
      <c r="B2166">
        <v>40.768387910249999</v>
      </c>
      <c r="C2166" t="s">
        <v>5461</v>
      </c>
      <c r="D2166" t="s">
        <v>204</v>
      </c>
      <c r="E2166" t="s">
        <v>33</v>
      </c>
      <c r="F2166">
        <v>10132018</v>
      </c>
      <c r="G2166">
        <v>7</v>
      </c>
      <c r="H2166" t="s">
        <v>48</v>
      </c>
      <c r="I2166" t="s">
        <v>53</v>
      </c>
      <c r="K2166" t="s">
        <v>155</v>
      </c>
      <c r="M2166" t="s">
        <v>65</v>
      </c>
      <c r="N2166" t="b">
        <v>0</v>
      </c>
      <c r="P2166" t="b">
        <v>0</v>
      </c>
      <c r="Q2166" t="b">
        <v>0</v>
      </c>
      <c r="R2166" t="b">
        <v>0</v>
      </c>
      <c r="S2166" t="b">
        <v>1</v>
      </c>
      <c r="T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b">
        <v>1</v>
      </c>
      <c r="AB2166" t="b">
        <v>0</v>
      </c>
      <c r="AC2166" t="b">
        <v>0</v>
      </c>
      <c r="AE2166" t="s">
        <v>5462</v>
      </c>
    </row>
    <row r="2167" spans="1:31" x14ac:dyDescent="0.3">
      <c r="A2167">
        <v>-73.971117812209997</v>
      </c>
      <c r="B2167">
        <v>40.76726429584</v>
      </c>
      <c r="C2167" t="s">
        <v>5463</v>
      </c>
      <c r="D2167" t="s">
        <v>1240</v>
      </c>
      <c r="E2167" t="s">
        <v>33</v>
      </c>
      <c r="F2167">
        <v>10072018</v>
      </c>
      <c r="G2167">
        <v>1</v>
      </c>
      <c r="H2167" t="s">
        <v>48</v>
      </c>
      <c r="I2167" t="s">
        <v>176</v>
      </c>
      <c r="K2167" t="s">
        <v>177</v>
      </c>
      <c r="M2167" t="s">
        <v>65</v>
      </c>
      <c r="N2167" t="b">
        <v>0</v>
      </c>
      <c r="P2167" t="b">
        <v>1</v>
      </c>
      <c r="Q2167" t="b">
        <v>0</v>
      </c>
      <c r="R2167" t="b">
        <v>0</v>
      </c>
      <c r="S2167" t="b">
        <v>0</v>
      </c>
      <c r="T2167" t="b">
        <v>1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b">
        <v>0</v>
      </c>
      <c r="AB2167" t="b">
        <v>0</v>
      </c>
      <c r="AC2167" t="b">
        <v>1</v>
      </c>
      <c r="AE2167" t="s">
        <v>5464</v>
      </c>
    </row>
    <row r="2168" spans="1:31" x14ac:dyDescent="0.3">
      <c r="A2168">
        <v>-73.979959428119997</v>
      </c>
      <c r="B2168">
        <v>40.770197814699998</v>
      </c>
      <c r="C2168" t="s">
        <v>5465</v>
      </c>
      <c r="D2168" t="s">
        <v>1362</v>
      </c>
      <c r="E2168" t="s">
        <v>38</v>
      </c>
      <c r="F2168">
        <v>10072018</v>
      </c>
      <c r="G2168">
        <v>5</v>
      </c>
      <c r="H2168" t="s">
        <v>48</v>
      </c>
      <c r="I2168" t="s">
        <v>42</v>
      </c>
      <c r="K2168" t="s">
        <v>43</v>
      </c>
      <c r="M2168" t="s">
        <v>65</v>
      </c>
      <c r="N2168" t="b">
        <v>0</v>
      </c>
      <c r="P2168" t="b">
        <v>0</v>
      </c>
      <c r="Q2168" t="b">
        <v>0</v>
      </c>
      <c r="R2168" t="b">
        <v>0</v>
      </c>
      <c r="S2168" t="b">
        <v>1</v>
      </c>
      <c r="T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b">
        <v>0</v>
      </c>
      <c r="AB2168" t="b">
        <v>1</v>
      </c>
      <c r="AC2168" t="b">
        <v>0</v>
      </c>
      <c r="AE2168" t="s">
        <v>5466</v>
      </c>
    </row>
    <row r="2169" spans="1:31" x14ac:dyDescent="0.3">
      <c r="A2169">
        <v>-73.958236343709999</v>
      </c>
      <c r="B2169">
        <v>40.798775230049998</v>
      </c>
      <c r="C2169" t="s">
        <v>4038</v>
      </c>
      <c r="D2169" t="s">
        <v>212</v>
      </c>
      <c r="E2169" t="s">
        <v>38</v>
      </c>
      <c r="F2169">
        <v>10192018</v>
      </c>
      <c r="G2169">
        <v>6</v>
      </c>
      <c r="H2169" t="s">
        <v>105</v>
      </c>
      <c r="I2169" t="s">
        <v>42</v>
      </c>
      <c r="J2169" t="s">
        <v>59</v>
      </c>
      <c r="K2169" t="s">
        <v>79</v>
      </c>
      <c r="M2169" t="s">
        <v>65</v>
      </c>
      <c r="N2169" t="b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1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b">
        <v>0</v>
      </c>
      <c r="AB2169" t="b">
        <v>0</v>
      </c>
      <c r="AC2169" t="b">
        <v>1</v>
      </c>
      <c r="AE2169" t="s">
        <v>5467</v>
      </c>
    </row>
    <row r="2170" spans="1:31" x14ac:dyDescent="0.3">
      <c r="A2170">
        <v>-73.978773627999999</v>
      </c>
      <c r="B2170">
        <v>40.76761267485</v>
      </c>
      <c r="C2170" t="s">
        <v>5468</v>
      </c>
      <c r="D2170" t="s">
        <v>1232</v>
      </c>
      <c r="E2170" t="s">
        <v>38</v>
      </c>
      <c r="F2170">
        <v>10102018</v>
      </c>
      <c r="G2170">
        <v>1</v>
      </c>
      <c r="H2170" t="s">
        <v>48</v>
      </c>
      <c r="I2170" t="s">
        <v>42</v>
      </c>
      <c r="J2170" t="s">
        <v>53</v>
      </c>
      <c r="K2170" t="s">
        <v>54</v>
      </c>
      <c r="M2170" t="s">
        <v>65</v>
      </c>
      <c r="N2170" t="b">
        <v>0</v>
      </c>
      <c r="P2170" t="b">
        <v>0</v>
      </c>
      <c r="Q2170" t="b">
        <v>0</v>
      </c>
      <c r="R2170" t="b">
        <v>0</v>
      </c>
      <c r="S2170" t="b">
        <v>1</v>
      </c>
      <c r="T2170" t="b">
        <v>1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b">
        <v>0</v>
      </c>
      <c r="AB2170" t="b">
        <v>0</v>
      </c>
      <c r="AC2170" t="b">
        <v>0</v>
      </c>
      <c r="AE2170" t="s">
        <v>5469</v>
      </c>
    </row>
    <row r="2171" spans="1:31" x14ac:dyDescent="0.3">
      <c r="A2171">
        <v>-73.967892366770002</v>
      </c>
      <c r="B2171">
        <v>40.781967562619997</v>
      </c>
      <c r="C2171" t="s">
        <v>5470</v>
      </c>
      <c r="D2171" t="s">
        <v>1035</v>
      </c>
      <c r="E2171" t="s">
        <v>33</v>
      </c>
      <c r="F2171">
        <v>10182018</v>
      </c>
      <c r="G2171">
        <v>5</v>
      </c>
      <c r="H2171" t="s">
        <v>105</v>
      </c>
      <c r="I2171" t="s">
        <v>42</v>
      </c>
      <c r="K2171" t="s">
        <v>43</v>
      </c>
      <c r="M2171" t="s">
        <v>65</v>
      </c>
      <c r="N2171" t="b">
        <v>0</v>
      </c>
      <c r="P2171" t="b">
        <v>1</v>
      </c>
      <c r="Q2171" t="b">
        <v>0</v>
      </c>
      <c r="R2171" t="b">
        <v>0</v>
      </c>
      <c r="S2171" t="b">
        <v>0</v>
      </c>
      <c r="T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b">
        <v>1</v>
      </c>
      <c r="AB2171" t="b">
        <v>0</v>
      </c>
      <c r="AC2171" t="b">
        <v>0</v>
      </c>
      <c r="AE2171" t="s">
        <v>5471</v>
      </c>
    </row>
    <row r="2172" spans="1:31" x14ac:dyDescent="0.3">
      <c r="A2172">
        <v>-73.968637072649997</v>
      </c>
      <c r="B2172">
        <v>40.77803823488</v>
      </c>
      <c r="C2172" t="s">
        <v>5472</v>
      </c>
      <c r="D2172" t="s">
        <v>256</v>
      </c>
      <c r="E2172" t="s">
        <v>33</v>
      </c>
      <c r="F2172">
        <v>10182018</v>
      </c>
      <c r="G2172">
        <v>9</v>
      </c>
      <c r="H2172" t="s">
        <v>105</v>
      </c>
      <c r="I2172" t="s">
        <v>53</v>
      </c>
      <c r="J2172" t="s">
        <v>59</v>
      </c>
      <c r="K2172" t="s">
        <v>60</v>
      </c>
      <c r="M2172" t="s">
        <v>44</v>
      </c>
      <c r="N2172">
        <v>3</v>
      </c>
      <c r="O2172" t="s">
        <v>5473</v>
      </c>
      <c r="P2172" t="b">
        <v>0</v>
      </c>
      <c r="Q2172" t="b">
        <v>0</v>
      </c>
      <c r="R2172" t="b">
        <v>1</v>
      </c>
      <c r="S2172" t="b">
        <v>0</v>
      </c>
      <c r="T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1</v>
      </c>
      <c r="AA2172" t="b">
        <v>0</v>
      </c>
      <c r="AB2172" t="b">
        <v>1</v>
      </c>
      <c r="AC2172" t="b">
        <v>0</v>
      </c>
      <c r="AE2172" t="s">
        <v>5474</v>
      </c>
    </row>
    <row r="2173" spans="1:31" x14ac:dyDescent="0.3">
      <c r="A2173">
        <v>-73.964290090380004</v>
      </c>
      <c r="B2173">
        <v>40.791701716879999</v>
      </c>
      <c r="C2173" t="s">
        <v>5475</v>
      </c>
      <c r="D2173" t="s">
        <v>383</v>
      </c>
      <c r="E2173" t="s">
        <v>38</v>
      </c>
      <c r="F2173">
        <v>10102018</v>
      </c>
      <c r="G2173">
        <v>3</v>
      </c>
      <c r="H2173" t="s">
        <v>48</v>
      </c>
      <c r="I2173" t="s">
        <v>42</v>
      </c>
      <c r="K2173" t="s">
        <v>43</v>
      </c>
      <c r="M2173" t="s">
        <v>65</v>
      </c>
      <c r="N2173" t="b">
        <v>0</v>
      </c>
      <c r="P2173" t="b">
        <v>1</v>
      </c>
      <c r="Q2173" t="b">
        <v>0</v>
      </c>
      <c r="R2173" t="b">
        <v>0</v>
      </c>
      <c r="S2173" t="b">
        <v>0</v>
      </c>
      <c r="T2173" t="b">
        <v>0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b">
        <v>0</v>
      </c>
      <c r="AB2173" t="b">
        <v>1</v>
      </c>
      <c r="AC2173" t="b">
        <v>0</v>
      </c>
      <c r="AE2173" t="s">
        <v>5476</v>
      </c>
    </row>
    <row r="2174" spans="1:31" x14ac:dyDescent="0.3">
      <c r="A2174">
        <v>-73.954612325940005</v>
      </c>
      <c r="B2174">
        <v>40.794143486209997</v>
      </c>
      <c r="C2174" t="s">
        <v>5477</v>
      </c>
      <c r="D2174" t="s">
        <v>936</v>
      </c>
      <c r="E2174" t="s">
        <v>33</v>
      </c>
      <c r="F2174">
        <v>10072018</v>
      </c>
      <c r="G2174">
        <v>5</v>
      </c>
      <c r="H2174" t="s">
        <v>48</v>
      </c>
      <c r="I2174" t="s">
        <v>42</v>
      </c>
      <c r="J2174" t="s">
        <v>59</v>
      </c>
      <c r="K2174" t="s">
        <v>79</v>
      </c>
      <c r="M2174" t="s">
        <v>65</v>
      </c>
      <c r="N2174" t="b">
        <v>0</v>
      </c>
      <c r="P2174" t="b">
        <v>1</v>
      </c>
      <c r="Q2174" t="b">
        <v>0</v>
      </c>
      <c r="R2174" t="b">
        <v>0</v>
      </c>
      <c r="S2174" t="b">
        <v>0</v>
      </c>
      <c r="T2174" t="b">
        <v>0</v>
      </c>
      <c r="U2174" t="s">
        <v>5478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b">
        <v>0</v>
      </c>
      <c r="AB2174" t="b">
        <v>0</v>
      </c>
      <c r="AC2174" t="b">
        <v>0</v>
      </c>
      <c r="AE2174" t="s">
        <v>5479</v>
      </c>
    </row>
    <row r="2175" spans="1:31" x14ac:dyDescent="0.3">
      <c r="A2175">
        <v>-73.968409281280003</v>
      </c>
      <c r="B2175">
        <v>40.771144584189997</v>
      </c>
      <c r="C2175" t="s">
        <v>5480</v>
      </c>
      <c r="D2175" t="s">
        <v>1780</v>
      </c>
      <c r="E2175" t="s">
        <v>38</v>
      </c>
      <c r="F2175">
        <v>10142018</v>
      </c>
      <c r="G2175">
        <v>7</v>
      </c>
      <c r="H2175" t="s">
        <v>48</v>
      </c>
      <c r="I2175" t="s">
        <v>53</v>
      </c>
      <c r="K2175" t="s">
        <v>155</v>
      </c>
      <c r="L2175" t="s">
        <v>5481</v>
      </c>
      <c r="M2175" t="s">
        <v>65</v>
      </c>
      <c r="N2175" t="b">
        <v>0</v>
      </c>
      <c r="P2175" t="b">
        <v>0</v>
      </c>
      <c r="Q2175" t="b">
        <v>0</v>
      </c>
      <c r="R2175" t="b">
        <v>1</v>
      </c>
      <c r="S2175" t="b">
        <v>1</v>
      </c>
      <c r="T2175" t="b">
        <v>1</v>
      </c>
      <c r="V2175" t="b">
        <v>0</v>
      </c>
      <c r="W2175" t="b">
        <v>0</v>
      </c>
      <c r="X2175" t="b">
        <v>0</v>
      </c>
      <c r="Y2175" t="b">
        <v>0</v>
      </c>
      <c r="Z2175" t="b">
        <v>0</v>
      </c>
      <c r="AA2175" t="b">
        <v>0</v>
      </c>
      <c r="AB2175" t="b">
        <v>1</v>
      </c>
      <c r="AC2175" t="b">
        <v>0</v>
      </c>
      <c r="AE2175" t="s">
        <v>5482</v>
      </c>
    </row>
    <row r="2176" spans="1:31" x14ac:dyDescent="0.3">
      <c r="A2176">
        <v>-73.965748792360003</v>
      </c>
      <c r="B2176">
        <v>40.77868230907</v>
      </c>
      <c r="C2176" t="s">
        <v>5483</v>
      </c>
      <c r="D2176" t="s">
        <v>510</v>
      </c>
      <c r="E2176" t="s">
        <v>33</v>
      </c>
      <c r="F2176">
        <v>10132018</v>
      </c>
      <c r="G2176">
        <v>4</v>
      </c>
      <c r="H2176" t="s">
        <v>48</v>
      </c>
      <c r="I2176" t="s">
        <v>42</v>
      </c>
      <c r="K2176" t="s">
        <v>43</v>
      </c>
      <c r="M2176" t="s">
        <v>44</v>
      </c>
      <c r="N2176">
        <v>3</v>
      </c>
      <c r="P2176" t="b">
        <v>0</v>
      </c>
      <c r="Q2176" t="b">
        <v>0</v>
      </c>
      <c r="R2176" t="b">
        <v>1</v>
      </c>
      <c r="S2176" t="b">
        <v>1</v>
      </c>
      <c r="T2176" t="b">
        <v>1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b">
        <v>0</v>
      </c>
      <c r="AB2176" t="b">
        <v>0</v>
      </c>
      <c r="AC2176" t="b">
        <v>1</v>
      </c>
      <c r="AE2176" t="s">
        <v>5484</v>
      </c>
    </row>
    <row r="2177" spans="1:31" x14ac:dyDescent="0.3">
      <c r="A2177">
        <v>-73.958320178959994</v>
      </c>
      <c r="B2177">
        <v>40.791393872249998</v>
      </c>
      <c r="C2177" t="s">
        <v>5485</v>
      </c>
      <c r="D2177" t="s">
        <v>68</v>
      </c>
      <c r="E2177" t="s">
        <v>33</v>
      </c>
      <c r="F2177">
        <v>10122018</v>
      </c>
      <c r="G2177">
        <v>5</v>
      </c>
      <c r="H2177" t="s">
        <v>48</v>
      </c>
      <c r="I2177" t="s">
        <v>42</v>
      </c>
      <c r="J2177" t="s">
        <v>148</v>
      </c>
      <c r="K2177" t="s">
        <v>149</v>
      </c>
      <c r="M2177" t="s">
        <v>65</v>
      </c>
      <c r="N2177" t="b">
        <v>0</v>
      </c>
      <c r="P2177" t="b">
        <v>1</v>
      </c>
      <c r="Q2177" t="b">
        <v>0</v>
      </c>
      <c r="R2177" t="b">
        <v>0</v>
      </c>
      <c r="S2177" t="b">
        <v>0</v>
      </c>
      <c r="T2177" t="b">
        <v>1</v>
      </c>
      <c r="V2177" t="b">
        <v>1</v>
      </c>
      <c r="W2177" t="b">
        <v>0</v>
      </c>
      <c r="X2177" t="b">
        <v>0</v>
      </c>
      <c r="Y2177" t="b">
        <v>1</v>
      </c>
      <c r="Z2177" t="b">
        <v>1</v>
      </c>
      <c r="AA2177" t="b">
        <v>0</v>
      </c>
      <c r="AB2177" t="b">
        <v>0</v>
      </c>
      <c r="AC2177" t="b">
        <v>1</v>
      </c>
      <c r="AE2177" t="s">
        <v>5486</v>
      </c>
    </row>
    <row r="2178" spans="1:31" x14ac:dyDescent="0.3">
      <c r="A2178">
        <v>-73.975821156099997</v>
      </c>
      <c r="B2178">
        <v>40.769342286079997</v>
      </c>
      <c r="C2178" t="s">
        <v>5487</v>
      </c>
      <c r="D2178" t="s">
        <v>245</v>
      </c>
      <c r="E2178" t="s">
        <v>38</v>
      </c>
      <c r="F2178">
        <v>10082018</v>
      </c>
      <c r="G2178">
        <v>10</v>
      </c>
      <c r="H2178" t="s">
        <v>48</v>
      </c>
      <c r="I2178" t="s">
        <v>42</v>
      </c>
      <c r="J2178" t="s">
        <v>96</v>
      </c>
      <c r="K2178" t="s">
        <v>97</v>
      </c>
      <c r="M2178" t="s">
        <v>44</v>
      </c>
      <c r="N2178">
        <v>6</v>
      </c>
      <c r="O2178" t="s">
        <v>5488</v>
      </c>
      <c r="P2178" t="b">
        <v>1</v>
      </c>
      <c r="Q2178" t="b">
        <v>0</v>
      </c>
      <c r="R2178" t="b">
        <v>0</v>
      </c>
      <c r="S2178" t="b">
        <v>0</v>
      </c>
      <c r="T2178" t="b">
        <v>1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b">
        <v>0</v>
      </c>
      <c r="AB2178" t="b">
        <v>1</v>
      </c>
      <c r="AC2178" t="b">
        <v>0</v>
      </c>
      <c r="AE2178" t="s">
        <v>5489</v>
      </c>
    </row>
    <row r="2179" spans="1:31" x14ac:dyDescent="0.3">
      <c r="A2179">
        <v>-73.955791800200004</v>
      </c>
      <c r="B2179">
        <v>40.797922887799999</v>
      </c>
      <c r="C2179" t="s">
        <v>5490</v>
      </c>
      <c r="D2179" t="s">
        <v>428</v>
      </c>
      <c r="E2179" t="s">
        <v>33</v>
      </c>
      <c r="F2179">
        <v>10132018</v>
      </c>
      <c r="G2179">
        <v>3</v>
      </c>
      <c r="H2179" t="s">
        <v>48</v>
      </c>
      <c r="I2179" t="s">
        <v>42</v>
      </c>
      <c r="J2179" t="s">
        <v>53</v>
      </c>
      <c r="K2179" t="s">
        <v>54</v>
      </c>
      <c r="M2179" t="s">
        <v>65</v>
      </c>
      <c r="N2179" t="b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1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b">
        <v>0</v>
      </c>
      <c r="AB2179" t="b">
        <v>1</v>
      </c>
      <c r="AC2179" t="b">
        <v>0</v>
      </c>
      <c r="AE2179" t="s">
        <v>5491</v>
      </c>
    </row>
    <row r="2180" spans="1:31" x14ac:dyDescent="0.3">
      <c r="A2180">
        <v>-73.955966394949996</v>
      </c>
      <c r="B2180">
        <v>40.797449726979998</v>
      </c>
      <c r="C2180" t="s">
        <v>5492</v>
      </c>
      <c r="D2180" t="s">
        <v>428</v>
      </c>
      <c r="E2180" t="s">
        <v>38</v>
      </c>
      <c r="F2180">
        <v>10132018</v>
      </c>
      <c r="G2180">
        <v>7</v>
      </c>
      <c r="H2180" t="s">
        <v>48</v>
      </c>
      <c r="I2180" t="s">
        <v>42</v>
      </c>
      <c r="K2180" t="s">
        <v>43</v>
      </c>
      <c r="M2180" t="s">
        <v>44</v>
      </c>
      <c r="N2180">
        <v>6</v>
      </c>
      <c r="P2180" t="b">
        <v>0</v>
      </c>
      <c r="Q2180" t="b">
        <v>0</v>
      </c>
      <c r="R2180" t="b">
        <v>1</v>
      </c>
      <c r="S2180" t="b">
        <v>0</v>
      </c>
      <c r="T2180" t="b">
        <v>1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b">
        <v>0</v>
      </c>
      <c r="AB2180" t="b">
        <v>0</v>
      </c>
      <c r="AC2180" t="b">
        <v>1</v>
      </c>
      <c r="AD2180" t="s">
        <v>1746</v>
      </c>
      <c r="AE2180" t="s">
        <v>5493</v>
      </c>
    </row>
    <row r="2181" spans="1:31" x14ac:dyDescent="0.3">
      <c r="A2181">
        <v>-73.96086432861</v>
      </c>
      <c r="B2181">
        <v>40.790212263459999</v>
      </c>
      <c r="C2181" t="s">
        <v>5494</v>
      </c>
      <c r="D2181" t="s">
        <v>612</v>
      </c>
      <c r="E2181" t="s">
        <v>33</v>
      </c>
      <c r="F2181">
        <v>10062018</v>
      </c>
      <c r="G2181">
        <v>2</v>
      </c>
      <c r="H2181" t="s">
        <v>48</v>
      </c>
      <c r="I2181" t="s">
        <v>42</v>
      </c>
      <c r="K2181" t="s">
        <v>43</v>
      </c>
      <c r="M2181" t="s">
        <v>44</v>
      </c>
      <c r="N2181">
        <v>15</v>
      </c>
      <c r="P2181" t="b">
        <v>0</v>
      </c>
      <c r="Q2181" t="b">
        <v>0</v>
      </c>
      <c r="R2181" t="b">
        <v>1</v>
      </c>
      <c r="S2181" t="b">
        <v>0</v>
      </c>
      <c r="T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b">
        <v>0</v>
      </c>
      <c r="AB2181" t="b">
        <v>1</v>
      </c>
      <c r="AC2181" t="b">
        <v>0</v>
      </c>
      <c r="AE2181" t="s">
        <v>5495</v>
      </c>
    </row>
    <row r="2182" spans="1:31" x14ac:dyDescent="0.3">
      <c r="A2182">
        <v>-73.970253017269997</v>
      </c>
      <c r="B2182">
        <v>40.773624120500003</v>
      </c>
      <c r="C2182" t="s">
        <v>5496</v>
      </c>
      <c r="D2182" t="s">
        <v>1165</v>
      </c>
      <c r="E2182" t="s">
        <v>38</v>
      </c>
      <c r="F2182">
        <v>10132018</v>
      </c>
      <c r="G2182">
        <v>1</v>
      </c>
      <c r="H2182" t="s">
        <v>48</v>
      </c>
      <c r="I2182" t="s">
        <v>42</v>
      </c>
      <c r="K2182" t="s">
        <v>43</v>
      </c>
      <c r="M2182" t="s">
        <v>65</v>
      </c>
      <c r="N2182" t="b">
        <v>0</v>
      </c>
      <c r="P2182" t="b">
        <v>1</v>
      </c>
      <c r="Q2182" t="b">
        <v>0</v>
      </c>
      <c r="R2182" t="b">
        <v>0</v>
      </c>
      <c r="S2182" t="b">
        <v>0</v>
      </c>
      <c r="T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b">
        <v>0</v>
      </c>
      <c r="AB2182" t="b">
        <v>1</v>
      </c>
      <c r="AC2182" t="b">
        <v>0</v>
      </c>
      <c r="AE2182" t="s">
        <v>5497</v>
      </c>
    </row>
    <row r="2183" spans="1:31" x14ac:dyDescent="0.3">
      <c r="A2183">
        <v>-73.957365652350006</v>
      </c>
      <c r="B2183">
        <v>40.797975456400003</v>
      </c>
      <c r="C2183" t="s">
        <v>5498</v>
      </c>
      <c r="D2183" t="s">
        <v>1245</v>
      </c>
      <c r="E2183" t="s">
        <v>38</v>
      </c>
      <c r="F2183">
        <v>10172018</v>
      </c>
      <c r="G2183">
        <v>1</v>
      </c>
      <c r="H2183" t="s">
        <v>48</v>
      </c>
      <c r="I2183" t="s">
        <v>42</v>
      </c>
      <c r="K2183" t="s">
        <v>43</v>
      </c>
      <c r="M2183" t="s">
        <v>65</v>
      </c>
      <c r="N2183" t="b">
        <v>0</v>
      </c>
      <c r="P2183" t="b">
        <v>0</v>
      </c>
      <c r="Q2183" t="b">
        <v>1</v>
      </c>
      <c r="R2183" t="b">
        <v>0</v>
      </c>
      <c r="S2183" t="b">
        <v>0</v>
      </c>
      <c r="T2183" t="b">
        <v>0</v>
      </c>
      <c r="U2183" t="s">
        <v>5499</v>
      </c>
      <c r="V2183" t="b">
        <v>0</v>
      </c>
      <c r="W2183" t="b">
        <v>0</v>
      </c>
      <c r="X2183" t="b">
        <v>0</v>
      </c>
      <c r="Y2183" t="b">
        <v>0</v>
      </c>
      <c r="Z2183" t="b">
        <v>0</v>
      </c>
      <c r="AA2183" t="b">
        <v>0</v>
      </c>
      <c r="AB2183" t="b">
        <v>0</v>
      </c>
      <c r="AC2183" t="b">
        <v>1</v>
      </c>
      <c r="AE2183" t="s">
        <v>5500</v>
      </c>
    </row>
    <row r="2184" spans="1:31" x14ac:dyDescent="0.3">
      <c r="A2184">
        <v>-73.967334936599997</v>
      </c>
      <c r="B2184">
        <v>40.777328972420001</v>
      </c>
      <c r="C2184" t="s">
        <v>5501</v>
      </c>
      <c r="D2184" t="s">
        <v>957</v>
      </c>
      <c r="E2184" t="s">
        <v>33</v>
      </c>
      <c r="F2184">
        <v>10132018</v>
      </c>
      <c r="G2184">
        <v>1</v>
      </c>
      <c r="H2184" t="s">
        <v>48</v>
      </c>
      <c r="I2184" t="s">
        <v>42</v>
      </c>
      <c r="J2184" t="s">
        <v>53</v>
      </c>
      <c r="K2184" t="s">
        <v>54</v>
      </c>
      <c r="M2184" t="s">
        <v>65</v>
      </c>
      <c r="N2184" t="b">
        <v>0</v>
      </c>
      <c r="O2184" t="s">
        <v>958</v>
      </c>
      <c r="P2184" t="b">
        <v>0</v>
      </c>
      <c r="Q2184" t="b">
        <v>0</v>
      </c>
      <c r="R2184" t="b">
        <v>0</v>
      </c>
      <c r="S2184" t="b">
        <v>1</v>
      </c>
      <c r="T2184" t="b">
        <v>1</v>
      </c>
      <c r="V2184" t="b">
        <v>0</v>
      </c>
      <c r="W2184" t="b">
        <v>0</v>
      </c>
      <c r="X2184" t="b">
        <v>0</v>
      </c>
      <c r="Y2184" t="b">
        <v>0</v>
      </c>
      <c r="Z2184" t="b">
        <v>0</v>
      </c>
      <c r="AA2184" t="b">
        <v>0</v>
      </c>
      <c r="AB2184" t="b">
        <v>0</v>
      </c>
      <c r="AC2184" t="b">
        <v>1</v>
      </c>
      <c r="AE2184" t="s">
        <v>5502</v>
      </c>
    </row>
    <row r="2185" spans="1:31" x14ac:dyDescent="0.3">
      <c r="A2185">
        <v>-73.969493860829999</v>
      </c>
      <c r="B2185">
        <v>40.774570010209999</v>
      </c>
      <c r="C2185" t="s">
        <v>5503</v>
      </c>
      <c r="D2185" t="s">
        <v>646</v>
      </c>
      <c r="E2185" t="s">
        <v>33</v>
      </c>
      <c r="F2185">
        <v>10072018</v>
      </c>
      <c r="G2185">
        <v>3</v>
      </c>
      <c r="H2185" t="s">
        <v>48</v>
      </c>
      <c r="I2185" t="s">
        <v>53</v>
      </c>
      <c r="J2185" t="s">
        <v>42</v>
      </c>
      <c r="K2185" t="s">
        <v>89</v>
      </c>
      <c r="M2185" t="s">
        <v>65</v>
      </c>
      <c r="N2185" t="b">
        <v>0</v>
      </c>
      <c r="P2185" t="b">
        <v>0</v>
      </c>
      <c r="Q2185" t="b">
        <v>0</v>
      </c>
      <c r="R2185" t="b">
        <v>0</v>
      </c>
      <c r="S2185" t="b">
        <v>1</v>
      </c>
      <c r="T2185" t="b">
        <v>1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b">
        <v>0</v>
      </c>
      <c r="AB2185" t="b">
        <v>1</v>
      </c>
      <c r="AC2185" t="b">
        <v>0</v>
      </c>
      <c r="AE2185" t="s">
        <v>5504</v>
      </c>
    </row>
    <row r="2186" spans="1:31" x14ac:dyDescent="0.3">
      <c r="A2186">
        <v>-73.97075713644</v>
      </c>
      <c r="B2186">
        <v>40.775885981249999</v>
      </c>
      <c r="C2186" t="s">
        <v>5505</v>
      </c>
      <c r="D2186" t="s">
        <v>52</v>
      </c>
      <c r="E2186" t="s">
        <v>33</v>
      </c>
      <c r="F2186">
        <v>10082018</v>
      </c>
      <c r="G2186">
        <v>2</v>
      </c>
      <c r="H2186" t="s">
        <v>48</v>
      </c>
      <c r="I2186" t="s">
        <v>42</v>
      </c>
      <c r="J2186" t="s">
        <v>59</v>
      </c>
      <c r="K2186" t="s">
        <v>79</v>
      </c>
      <c r="M2186" t="s">
        <v>44</v>
      </c>
      <c r="N2186">
        <v>10</v>
      </c>
      <c r="P2186" t="b">
        <v>0</v>
      </c>
      <c r="Q2186" t="b">
        <v>0</v>
      </c>
      <c r="R2186" t="b">
        <v>0</v>
      </c>
      <c r="S2186" t="b">
        <v>0</v>
      </c>
      <c r="T2186" t="b">
        <v>1</v>
      </c>
      <c r="V2186" t="b">
        <v>0</v>
      </c>
      <c r="W2186" t="b">
        <v>0</v>
      </c>
      <c r="X2186" t="b">
        <v>0</v>
      </c>
      <c r="Y2186" t="b">
        <v>1</v>
      </c>
      <c r="Z2186" t="b">
        <v>0</v>
      </c>
      <c r="AA2186" t="b">
        <v>0</v>
      </c>
      <c r="AB2186" t="b">
        <v>1</v>
      </c>
      <c r="AC2186" t="b">
        <v>0</v>
      </c>
      <c r="AE2186" t="s">
        <v>5506</v>
      </c>
    </row>
    <row r="2187" spans="1:31" x14ac:dyDescent="0.3">
      <c r="A2187">
        <v>-73.956110368859996</v>
      </c>
      <c r="B2187">
        <v>40.794914085000002</v>
      </c>
      <c r="C2187" t="s">
        <v>5507</v>
      </c>
      <c r="D2187" t="s">
        <v>394</v>
      </c>
      <c r="E2187" t="s">
        <v>38</v>
      </c>
      <c r="F2187">
        <v>10132018</v>
      </c>
      <c r="G2187">
        <v>3</v>
      </c>
      <c r="H2187" t="s">
        <v>48</v>
      </c>
      <c r="I2187" t="s">
        <v>42</v>
      </c>
      <c r="J2187" t="s">
        <v>53</v>
      </c>
      <c r="K2187" t="s">
        <v>54</v>
      </c>
      <c r="M2187" t="s">
        <v>65</v>
      </c>
      <c r="N2187" t="b">
        <v>0</v>
      </c>
      <c r="P2187" t="b">
        <v>0</v>
      </c>
      <c r="Q2187" t="b">
        <v>0</v>
      </c>
      <c r="R2187" t="b">
        <v>0</v>
      </c>
      <c r="S2187" t="b">
        <v>0</v>
      </c>
      <c r="T2187" t="b">
        <v>1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b">
        <v>0</v>
      </c>
      <c r="AB2187" t="b">
        <v>1</v>
      </c>
      <c r="AC2187" t="b">
        <v>0</v>
      </c>
      <c r="AE2187" t="s">
        <v>5508</v>
      </c>
    </row>
    <row r="2188" spans="1:31" x14ac:dyDescent="0.3">
      <c r="A2188">
        <v>-73.969913405260002</v>
      </c>
      <c r="B2188">
        <v>40.774446589039997</v>
      </c>
      <c r="C2188" t="s">
        <v>5509</v>
      </c>
      <c r="D2188" t="s">
        <v>646</v>
      </c>
      <c r="E2188" t="s">
        <v>33</v>
      </c>
      <c r="F2188">
        <v>10072018</v>
      </c>
      <c r="G2188">
        <v>14</v>
      </c>
      <c r="H2188" t="s">
        <v>48</v>
      </c>
      <c r="I2188" t="s">
        <v>42</v>
      </c>
      <c r="J2188" t="s">
        <v>96</v>
      </c>
      <c r="K2188" t="s">
        <v>97</v>
      </c>
      <c r="M2188" t="s">
        <v>65</v>
      </c>
      <c r="N2188" t="b">
        <v>0</v>
      </c>
      <c r="P2188" t="b">
        <v>0</v>
      </c>
      <c r="Q2188" t="b">
        <v>0</v>
      </c>
      <c r="R2188" t="b">
        <v>1</v>
      </c>
      <c r="S2188" t="b">
        <v>1</v>
      </c>
      <c r="T2188" t="b">
        <v>1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b">
        <v>1</v>
      </c>
      <c r="AB2188" t="b">
        <v>1</v>
      </c>
      <c r="AC2188" t="b">
        <v>0</v>
      </c>
      <c r="AE2188" t="s">
        <v>5510</v>
      </c>
    </row>
    <row r="2189" spans="1:31" x14ac:dyDescent="0.3">
      <c r="A2189">
        <v>-73.967611334579999</v>
      </c>
      <c r="B2189">
        <v>40.780348244850003</v>
      </c>
      <c r="C2189" t="s">
        <v>5511</v>
      </c>
      <c r="D2189" t="s">
        <v>2080</v>
      </c>
      <c r="E2189" t="s">
        <v>33</v>
      </c>
      <c r="F2189">
        <v>10182018</v>
      </c>
      <c r="G2189">
        <v>3</v>
      </c>
      <c r="H2189" t="s">
        <v>48</v>
      </c>
      <c r="I2189" t="s">
        <v>42</v>
      </c>
      <c r="K2189" t="s">
        <v>43</v>
      </c>
      <c r="M2189" t="s">
        <v>65</v>
      </c>
      <c r="N2189" t="b">
        <v>0</v>
      </c>
      <c r="O2189" t="s">
        <v>5512</v>
      </c>
      <c r="P2189" t="b">
        <v>0</v>
      </c>
      <c r="Q2189" t="b">
        <v>0</v>
      </c>
      <c r="R2189" t="b">
        <v>0</v>
      </c>
      <c r="S2189" t="b">
        <v>1</v>
      </c>
      <c r="T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b">
        <v>0</v>
      </c>
      <c r="AB2189" t="b">
        <v>0</v>
      </c>
      <c r="AC2189" t="b">
        <v>0</v>
      </c>
      <c r="AE2189" t="s">
        <v>5513</v>
      </c>
    </row>
    <row r="2190" spans="1:31" x14ac:dyDescent="0.3">
      <c r="A2190">
        <v>-73.976177642470006</v>
      </c>
      <c r="B2190">
        <v>40.769594184379997</v>
      </c>
      <c r="C2190" t="s">
        <v>5514</v>
      </c>
      <c r="D2190" t="s">
        <v>574</v>
      </c>
      <c r="E2190" t="s">
        <v>33</v>
      </c>
      <c r="F2190">
        <v>10182018</v>
      </c>
      <c r="G2190">
        <v>7</v>
      </c>
      <c r="H2190" t="s">
        <v>48</v>
      </c>
      <c r="I2190" t="s">
        <v>42</v>
      </c>
      <c r="J2190" t="s">
        <v>59</v>
      </c>
      <c r="K2190" t="s">
        <v>79</v>
      </c>
      <c r="M2190" t="s">
        <v>65</v>
      </c>
      <c r="N2190" t="b">
        <v>0</v>
      </c>
      <c r="P2190" t="b">
        <v>0</v>
      </c>
      <c r="Q2190" t="b">
        <v>0</v>
      </c>
      <c r="R2190" t="b">
        <v>0</v>
      </c>
      <c r="S2190" t="b">
        <v>1</v>
      </c>
      <c r="T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b">
        <v>0</v>
      </c>
      <c r="AB2190" t="b">
        <v>1</v>
      </c>
      <c r="AC2190" t="b">
        <v>0</v>
      </c>
      <c r="AE2190" t="s">
        <v>5515</v>
      </c>
    </row>
    <row r="2191" spans="1:31" x14ac:dyDescent="0.3">
      <c r="A2191">
        <v>-73.965704039160002</v>
      </c>
      <c r="B2191">
        <v>40.775556742820001</v>
      </c>
      <c r="C2191" t="s">
        <v>5516</v>
      </c>
      <c r="D2191" t="s">
        <v>408</v>
      </c>
      <c r="E2191" t="s">
        <v>38</v>
      </c>
      <c r="F2191">
        <v>10082018</v>
      </c>
      <c r="G2191">
        <v>6</v>
      </c>
      <c r="H2191" t="s">
        <v>48</v>
      </c>
      <c r="I2191" t="s">
        <v>53</v>
      </c>
      <c r="J2191" t="s">
        <v>59</v>
      </c>
      <c r="K2191" t="s">
        <v>60</v>
      </c>
      <c r="M2191" t="s">
        <v>44</v>
      </c>
      <c r="N2191">
        <v>12</v>
      </c>
      <c r="P2191" t="b">
        <v>0</v>
      </c>
      <c r="Q2191" t="b">
        <v>0</v>
      </c>
      <c r="R2191" t="b">
        <v>0</v>
      </c>
      <c r="S2191" t="b">
        <v>1</v>
      </c>
      <c r="T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b">
        <v>0</v>
      </c>
      <c r="AB2191" t="b">
        <v>1</v>
      </c>
      <c r="AC2191" t="b">
        <v>0</v>
      </c>
      <c r="AE2191" t="s">
        <v>5517</v>
      </c>
    </row>
    <row r="2192" spans="1:31" x14ac:dyDescent="0.3">
      <c r="A2192">
        <v>-73.973410873109998</v>
      </c>
      <c r="B2192">
        <v>40.767605139270003</v>
      </c>
      <c r="C2192" t="s">
        <v>5518</v>
      </c>
      <c r="D2192" t="s">
        <v>642</v>
      </c>
      <c r="E2192" t="s">
        <v>38</v>
      </c>
      <c r="F2192">
        <v>10062018</v>
      </c>
      <c r="G2192">
        <v>3</v>
      </c>
      <c r="I2192" t="s">
        <v>42</v>
      </c>
      <c r="J2192" t="s">
        <v>59</v>
      </c>
      <c r="K2192" t="s">
        <v>79</v>
      </c>
      <c r="M2192" t="s">
        <v>65</v>
      </c>
      <c r="N2192" t="b">
        <v>0</v>
      </c>
      <c r="P2192" t="b">
        <v>0</v>
      </c>
      <c r="Q2192" t="b">
        <v>0</v>
      </c>
      <c r="R2192" t="b">
        <v>0</v>
      </c>
      <c r="S2192" t="b">
        <v>0</v>
      </c>
      <c r="T2192" t="b">
        <v>1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b">
        <v>0</v>
      </c>
      <c r="AB2192" t="b">
        <v>1</v>
      </c>
      <c r="AC2192" t="b">
        <v>0</v>
      </c>
      <c r="AE2192" t="s">
        <v>5519</v>
      </c>
    </row>
    <row r="2193" spans="1:31" x14ac:dyDescent="0.3">
      <c r="A2193">
        <v>-73.959341096540001</v>
      </c>
      <c r="B2193">
        <v>40.792313401039998</v>
      </c>
      <c r="C2193" t="s">
        <v>5520</v>
      </c>
      <c r="D2193" t="s">
        <v>1202</v>
      </c>
      <c r="E2193" t="s">
        <v>38</v>
      </c>
      <c r="F2193">
        <v>10172018</v>
      </c>
      <c r="G2193">
        <v>8</v>
      </c>
      <c r="H2193" t="s">
        <v>48</v>
      </c>
      <c r="I2193" t="s">
        <v>176</v>
      </c>
      <c r="K2193" t="s">
        <v>177</v>
      </c>
      <c r="M2193" t="s">
        <v>65</v>
      </c>
      <c r="N2193" t="b">
        <v>0</v>
      </c>
      <c r="P2193" t="b">
        <v>0</v>
      </c>
      <c r="Q2193" t="b">
        <v>0</v>
      </c>
      <c r="R2193" t="b">
        <v>0</v>
      </c>
      <c r="S2193" t="b">
        <v>0</v>
      </c>
      <c r="T2193" t="b">
        <v>1</v>
      </c>
      <c r="V2193" t="b">
        <v>0</v>
      </c>
      <c r="W2193" t="b">
        <v>0</v>
      </c>
      <c r="X2193" t="b">
        <v>0</v>
      </c>
      <c r="Y2193" t="b">
        <v>0</v>
      </c>
      <c r="Z2193" t="b">
        <v>0</v>
      </c>
      <c r="AA2193" t="b">
        <v>0</v>
      </c>
      <c r="AB2193" t="b">
        <v>1</v>
      </c>
      <c r="AC2193" t="b">
        <v>0</v>
      </c>
      <c r="AE2193" t="s">
        <v>5521</v>
      </c>
    </row>
    <row r="2194" spans="1:31" x14ac:dyDescent="0.3">
      <c r="A2194">
        <v>-73.956931810529994</v>
      </c>
      <c r="B2194">
        <v>40.797344213899997</v>
      </c>
      <c r="C2194" t="s">
        <v>5522</v>
      </c>
      <c r="D2194" t="s">
        <v>1245</v>
      </c>
      <c r="E2194" t="s">
        <v>33</v>
      </c>
      <c r="F2194">
        <v>10062018</v>
      </c>
      <c r="G2194">
        <v>7</v>
      </c>
      <c r="H2194" t="s">
        <v>48</v>
      </c>
      <c r="I2194" t="s">
        <v>42</v>
      </c>
      <c r="K2194" t="s">
        <v>43</v>
      </c>
      <c r="M2194" t="s">
        <v>65</v>
      </c>
      <c r="N2194" t="b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b">
        <v>0</v>
      </c>
      <c r="AB2194" t="b">
        <v>0</v>
      </c>
      <c r="AC2194" t="b">
        <v>1</v>
      </c>
      <c r="AE2194" t="s">
        <v>5523</v>
      </c>
    </row>
    <row r="2195" spans="1:31" x14ac:dyDescent="0.3">
      <c r="A2195">
        <v>-73.960898739759998</v>
      </c>
      <c r="B2195">
        <v>40.79613930971</v>
      </c>
      <c r="C2195" t="s">
        <v>5524</v>
      </c>
      <c r="D2195" t="s">
        <v>2577</v>
      </c>
      <c r="E2195" t="s">
        <v>33</v>
      </c>
      <c r="F2195">
        <v>10132018</v>
      </c>
      <c r="G2195">
        <v>2</v>
      </c>
      <c r="H2195" t="s">
        <v>48</v>
      </c>
      <c r="I2195" t="s">
        <v>53</v>
      </c>
      <c r="J2195" t="s">
        <v>115</v>
      </c>
      <c r="K2195" t="s">
        <v>116</v>
      </c>
      <c r="M2195" t="s">
        <v>44</v>
      </c>
      <c r="N2195">
        <v>10</v>
      </c>
      <c r="P2195" t="b">
        <v>0</v>
      </c>
      <c r="Q2195" t="b">
        <v>0</v>
      </c>
      <c r="R2195" t="b">
        <v>1</v>
      </c>
      <c r="S2195" t="b">
        <v>0</v>
      </c>
      <c r="T2195" t="b">
        <v>0</v>
      </c>
      <c r="V2195" t="b">
        <v>0</v>
      </c>
      <c r="W2195" t="b">
        <v>0</v>
      </c>
      <c r="X2195" t="b">
        <v>0</v>
      </c>
      <c r="Y2195" t="b">
        <v>0</v>
      </c>
      <c r="Z2195" t="b">
        <v>0</v>
      </c>
      <c r="AA2195" t="b">
        <v>0</v>
      </c>
      <c r="AB2195" t="b">
        <v>0</v>
      </c>
      <c r="AC2195" t="b">
        <v>0</v>
      </c>
      <c r="AE2195" t="s">
        <v>5525</v>
      </c>
    </row>
    <row r="2196" spans="1:31" x14ac:dyDescent="0.3">
      <c r="A2196">
        <v>-73.955352152770004</v>
      </c>
      <c r="B2196">
        <v>40.798854952299997</v>
      </c>
      <c r="C2196" t="s">
        <v>5526</v>
      </c>
      <c r="D2196" t="s">
        <v>1424</v>
      </c>
      <c r="E2196" t="s">
        <v>38</v>
      </c>
      <c r="F2196">
        <v>10142018</v>
      </c>
      <c r="G2196">
        <v>1</v>
      </c>
      <c r="H2196" t="s">
        <v>48</v>
      </c>
      <c r="I2196" t="s">
        <v>42</v>
      </c>
      <c r="J2196" t="s">
        <v>96</v>
      </c>
      <c r="K2196" t="s">
        <v>97</v>
      </c>
      <c r="M2196" t="s">
        <v>44</v>
      </c>
      <c r="N2196">
        <v>20</v>
      </c>
      <c r="P2196" t="b">
        <v>0</v>
      </c>
      <c r="Q2196" t="b">
        <v>0</v>
      </c>
      <c r="R2196" t="b">
        <v>1</v>
      </c>
      <c r="S2196" t="b">
        <v>1</v>
      </c>
      <c r="T2196" t="b">
        <v>0</v>
      </c>
      <c r="V2196" t="b">
        <v>1</v>
      </c>
      <c r="W2196" t="b">
        <v>0</v>
      </c>
      <c r="X2196" t="b">
        <v>0</v>
      </c>
      <c r="Y2196" t="b">
        <v>0</v>
      </c>
      <c r="Z2196" t="b">
        <v>0</v>
      </c>
      <c r="AA2196" t="b">
        <v>0</v>
      </c>
      <c r="AB2196" t="b">
        <v>1</v>
      </c>
      <c r="AC2196" t="b">
        <v>0</v>
      </c>
      <c r="AE2196" t="s">
        <v>5527</v>
      </c>
    </row>
    <row r="2197" spans="1:31" x14ac:dyDescent="0.3">
      <c r="A2197">
        <v>-73.962335636939997</v>
      </c>
      <c r="B2197">
        <v>40.788869381520001</v>
      </c>
      <c r="C2197" t="s">
        <v>5528</v>
      </c>
      <c r="D2197" t="s">
        <v>1420</v>
      </c>
      <c r="E2197" t="s">
        <v>38</v>
      </c>
      <c r="F2197">
        <v>10142018</v>
      </c>
      <c r="G2197">
        <v>5</v>
      </c>
      <c r="H2197" t="s">
        <v>48</v>
      </c>
      <c r="I2197" t="s">
        <v>42</v>
      </c>
      <c r="J2197" t="s">
        <v>53</v>
      </c>
      <c r="K2197" t="s">
        <v>54</v>
      </c>
      <c r="M2197" t="s">
        <v>65</v>
      </c>
      <c r="N2197" t="b">
        <v>0</v>
      </c>
      <c r="O2197" t="s">
        <v>5529</v>
      </c>
      <c r="P2197" t="b">
        <v>0</v>
      </c>
      <c r="Q2197" t="b">
        <v>0</v>
      </c>
      <c r="R2197" t="b">
        <v>0</v>
      </c>
      <c r="S2197" t="b">
        <v>0</v>
      </c>
      <c r="T2197" t="b">
        <v>1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b">
        <v>1</v>
      </c>
      <c r="AB2197" t="b">
        <v>0</v>
      </c>
      <c r="AC2197" t="b">
        <v>0</v>
      </c>
      <c r="AE2197" t="s">
        <v>5530</v>
      </c>
    </row>
    <row r="2198" spans="1:31" x14ac:dyDescent="0.3">
      <c r="A2198">
        <v>-73.967241335460002</v>
      </c>
      <c r="B2198">
        <v>40.783811613819999</v>
      </c>
      <c r="C2198" t="s">
        <v>5531</v>
      </c>
      <c r="D2198" t="s">
        <v>689</v>
      </c>
      <c r="E2198" t="s">
        <v>33</v>
      </c>
      <c r="F2198">
        <v>10062018</v>
      </c>
      <c r="G2198">
        <v>3</v>
      </c>
      <c r="H2198" t="s">
        <v>48</v>
      </c>
      <c r="I2198" t="s">
        <v>42</v>
      </c>
      <c r="K2198" t="s">
        <v>43</v>
      </c>
      <c r="M2198" t="s">
        <v>65</v>
      </c>
      <c r="N2198" t="b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b">
        <v>0</v>
      </c>
      <c r="AB2198" t="b">
        <v>0</v>
      </c>
      <c r="AC2198" t="b">
        <v>0</v>
      </c>
      <c r="AE2198" t="s">
        <v>5532</v>
      </c>
    </row>
    <row r="2199" spans="1:31" x14ac:dyDescent="0.3">
      <c r="A2199">
        <v>-73.970973816650002</v>
      </c>
      <c r="B2199">
        <v>40.777410268970002</v>
      </c>
      <c r="C2199" t="s">
        <v>5533</v>
      </c>
      <c r="D2199" t="s">
        <v>729</v>
      </c>
      <c r="E2199" t="s">
        <v>33</v>
      </c>
      <c r="F2199">
        <v>10192018</v>
      </c>
      <c r="G2199">
        <v>8</v>
      </c>
      <c r="H2199" t="s">
        <v>48</v>
      </c>
      <c r="I2199" t="s">
        <v>42</v>
      </c>
      <c r="K2199" t="s">
        <v>43</v>
      </c>
      <c r="M2199" t="s">
        <v>65</v>
      </c>
      <c r="N2199" t="b">
        <v>0</v>
      </c>
      <c r="P2199" t="b">
        <v>0</v>
      </c>
      <c r="Q2199" t="b">
        <v>0</v>
      </c>
      <c r="R2199" t="b">
        <v>1</v>
      </c>
      <c r="S2199" t="b">
        <v>0</v>
      </c>
      <c r="T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b">
        <v>0</v>
      </c>
      <c r="AB2199" t="b">
        <v>0</v>
      </c>
      <c r="AC2199" t="b">
        <v>0</v>
      </c>
      <c r="AE2199" t="s">
        <v>5534</v>
      </c>
    </row>
    <row r="2200" spans="1:31" x14ac:dyDescent="0.3">
      <c r="A2200">
        <v>-73.967750086210003</v>
      </c>
      <c r="B2200">
        <v>40.772606098780003</v>
      </c>
      <c r="C2200" t="s">
        <v>5535</v>
      </c>
      <c r="D2200" t="s">
        <v>1270</v>
      </c>
      <c r="E2200" t="s">
        <v>38</v>
      </c>
      <c r="F2200">
        <v>10122018</v>
      </c>
      <c r="G2200">
        <v>1</v>
      </c>
      <c r="H2200" t="s">
        <v>48</v>
      </c>
      <c r="I2200" t="s">
        <v>42</v>
      </c>
      <c r="J2200" t="s">
        <v>96</v>
      </c>
      <c r="K2200" t="s">
        <v>97</v>
      </c>
      <c r="M2200" t="s">
        <v>65</v>
      </c>
      <c r="N2200" t="b">
        <v>0</v>
      </c>
      <c r="P2200" t="b">
        <v>0</v>
      </c>
      <c r="Q2200" t="b">
        <v>0</v>
      </c>
      <c r="R2200" t="b">
        <v>0</v>
      </c>
      <c r="S2200" t="b">
        <v>1</v>
      </c>
      <c r="T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1</v>
      </c>
      <c r="AA2200" t="b">
        <v>0</v>
      </c>
      <c r="AB2200" t="b">
        <v>0</v>
      </c>
      <c r="AC2200" t="b">
        <v>1</v>
      </c>
      <c r="AE2200" t="s">
        <v>5536</v>
      </c>
    </row>
    <row r="2201" spans="1:31" x14ac:dyDescent="0.3">
      <c r="A2201">
        <v>-73.969808032830002</v>
      </c>
      <c r="B2201">
        <v>40.784225294850003</v>
      </c>
      <c r="C2201" t="s">
        <v>5537</v>
      </c>
      <c r="D2201" t="s">
        <v>2011</v>
      </c>
      <c r="E2201" t="s">
        <v>38</v>
      </c>
      <c r="F2201">
        <v>10192018</v>
      </c>
      <c r="G2201">
        <v>2</v>
      </c>
      <c r="H2201" t="s">
        <v>48</v>
      </c>
      <c r="I2201" t="s">
        <v>42</v>
      </c>
      <c r="K2201" t="s">
        <v>43</v>
      </c>
      <c r="M2201" t="s">
        <v>65</v>
      </c>
      <c r="N2201" t="b">
        <v>0</v>
      </c>
      <c r="O2201" t="s">
        <v>4895</v>
      </c>
      <c r="P2201" t="b">
        <v>0</v>
      </c>
      <c r="Q2201" t="b">
        <v>1</v>
      </c>
      <c r="R2201" t="b">
        <v>0</v>
      </c>
      <c r="S2201" t="b">
        <v>0</v>
      </c>
      <c r="T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b">
        <v>0</v>
      </c>
      <c r="AB2201" t="b">
        <v>1</v>
      </c>
      <c r="AC2201" t="b">
        <v>0</v>
      </c>
      <c r="AE2201" t="s">
        <v>5538</v>
      </c>
    </row>
    <row r="2202" spans="1:31" x14ac:dyDescent="0.3">
      <c r="A2202">
        <v>-73.97171354612</v>
      </c>
      <c r="B2202">
        <v>40.776178068009997</v>
      </c>
      <c r="C2202" t="s">
        <v>5539</v>
      </c>
      <c r="D2202" t="s">
        <v>415</v>
      </c>
      <c r="E2202" t="s">
        <v>33</v>
      </c>
      <c r="F2202">
        <v>10182018</v>
      </c>
      <c r="G2202">
        <v>1</v>
      </c>
      <c r="H2202" t="s">
        <v>48</v>
      </c>
      <c r="I2202" t="s">
        <v>42</v>
      </c>
      <c r="J2202" t="s">
        <v>96</v>
      </c>
      <c r="K2202" t="s">
        <v>97</v>
      </c>
      <c r="M2202" t="s">
        <v>65</v>
      </c>
      <c r="N2202" t="b">
        <v>0</v>
      </c>
      <c r="P2202" t="b">
        <v>0</v>
      </c>
      <c r="Q2202" t="b">
        <v>0</v>
      </c>
      <c r="R2202" t="b">
        <v>0</v>
      </c>
      <c r="S2202" t="b">
        <v>0</v>
      </c>
      <c r="T2202" t="b">
        <v>1</v>
      </c>
      <c r="V2202" t="b">
        <v>0</v>
      </c>
      <c r="W2202" t="b">
        <v>0</v>
      </c>
      <c r="X2202" t="b">
        <v>0</v>
      </c>
      <c r="Y2202" t="b">
        <v>0</v>
      </c>
      <c r="Z2202" t="b">
        <v>1</v>
      </c>
      <c r="AA2202" t="b">
        <v>0</v>
      </c>
      <c r="AB2202" t="b">
        <v>1</v>
      </c>
      <c r="AC2202" t="b">
        <v>0</v>
      </c>
      <c r="AE2202" t="s">
        <v>5540</v>
      </c>
    </row>
    <row r="2203" spans="1:31" x14ac:dyDescent="0.3">
      <c r="A2203">
        <v>-73.955603999760001</v>
      </c>
      <c r="B2203">
        <v>40.797754915730003</v>
      </c>
      <c r="C2203" t="s">
        <v>5541</v>
      </c>
      <c r="D2203" t="s">
        <v>428</v>
      </c>
      <c r="E2203" t="s">
        <v>38</v>
      </c>
      <c r="F2203">
        <v>10132018</v>
      </c>
      <c r="G2203">
        <v>5</v>
      </c>
      <c r="H2203" t="s">
        <v>48</v>
      </c>
      <c r="I2203" t="s">
        <v>42</v>
      </c>
      <c r="K2203" t="s">
        <v>43</v>
      </c>
      <c r="M2203" t="s">
        <v>65</v>
      </c>
      <c r="N2203" t="b">
        <v>0</v>
      </c>
      <c r="P2203" t="b">
        <v>0</v>
      </c>
      <c r="Q2203" t="b">
        <v>0</v>
      </c>
      <c r="R2203" t="b">
        <v>0</v>
      </c>
      <c r="S2203" t="b">
        <v>1</v>
      </c>
      <c r="T2203" t="b">
        <v>1</v>
      </c>
      <c r="V2203" t="b">
        <v>0</v>
      </c>
      <c r="W2203" t="b">
        <v>0</v>
      </c>
      <c r="X2203" t="b">
        <v>0</v>
      </c>
      <c r="Y2203" t="b">
        <v>0</v>
      </c>
      <c r="Z2203" t="b">
        <v>1</v>
      </c>
      <c r="AA2203" t="b">
        <v>0</v>
      </c>
      <c r="AB2203" t="b">
        <v>1</v>
      </c>
      <c r="AC2203" t="b">
        <v>0</v>
      </c>
      <c r="AE2203" t="s">
        <v>5542</v>
      </c>
    </row>
    <row r="2204" spans="1:31" x14ac:dyDescent="0.3">
      <c r="A2204">
        <v>-73.971053148530004</v>
      </c>
      <c r="B2204">
        <v>40.777375706939999</v>
      </c>
      <c r="C2204" t="s">
        <v>5543</v>
      </c>
      <c r="D2204" t="s">
        <v>729</v>
      </c>
      <c r="E2204" t="s">
        <v>33</v>
      </c>
      <c r="F2204">
        <v>10192018</v>
      </c>
      <c r="G2204">
        <v>6</v>
      </c>
      <c r="H2204" t="s">
        <v>48</v>
      </c>
      <c r="I2204" t="s">
        <v>42</v>
      </c>
      <c r="K2204" t="s">
        <v>43</v>
      </c>
      <c r="M2204" t="s">
        <v>65</v>
      </c>
      <c r="N2204" t="b">
        <v>0</v>
      </c>
      <c r="P2204" t="b">
        <v>0</v>
      </c>
      <c r="Q2204" t="b">
        <v>0</v>
      </c>
      <c r="R2204" t="b">
        <v>0</v>
      </c>
      <c r="S2204" t="b">
        <v>1</v>
      </c>
      <c r="T2204" t="b">
        <v>0</v>
      </c>
      <c r="V2204" t="b">
        <v>0</v>
      </c>
      <c r="W2204" t="b">
        <v>0</v>
      </c>
      <c r="X2204" t="b">
        <v>0</v>
      </c>
      <c r="Y2204" t="b">
        <v>1</v>
      </c>
      <c r="Z2204" t="b">
        <v>0</v>
      </c>
      <c r="AA2204" t="b">
        <v>0</v>
      </c>
      <c r="AB2204" t="b">
        <v>1</v>
      </c>
      <c r="AC2204" t="b">
        <v>0</v>
      </c>
      <c r="AE2204" t="s">
        <v>5544</v>
      </c>
    </row>
    <row r="2205" spans="1:31" x14ac:dyDescent="0.3">
      <c r="A2205">
        <v>-73.953242769910005</v>
      </c>
      <c r="B2205">
        <v>40.796264376709999</v>
      </c>
      <c r="C2205" t="s">
        <v>5545</v>
      </c>
      <c r="D2205" t="s">
        <v>1292</v>
      </c>
      <c r="E2205" t="s">
        <v>33</v>
      </c>
      <c r="F2205">
        <v>10132018</v>
      </c>
      <c r="G2205">
        <v>4</v>
      </c>
      <c r="H2205" t="s">
        <v>48</v>
      </c>
      <c r="I2205" t="s">
        <v>42</v>
      </c>
      <c r="K2205" t="s">
        <v>43</v>
      </c>
      <c r="M2205" t="s">
        <v>65</v>
      </c>
      <c r="N2205" t="b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b">
        <v>0</v>
      </c>
      <c r="AB2205" t="b">
        <v>1</v>
      </c>
      <c r="AC2205" t="b">
        <v>0</v>
      </c>
      <c r="AE2205" t="s">
        <v>5546</v>
      </c>
    </row>
    <row r="2206" spans="1:31" x14ac:dyDescent="0.3">
      <c r="A2206">
        <v>-73.959498610799997</v>
      </c>
      <c r="B2206">
        <v>40.784008304060002</v>
      </c>
      <c r="C2206" t="s">
        <v>5547</v>
      </c>
      <c r="D2206" t="s">
        <v>2573</v>
      </c>
      <c r="E2206" t="s">
        <v>38</v>
      </c>
      <c r="F2206">
        <v>10122018</v>
      </c>
      <c r="G2206">
        <v>3</v>
      </c>
      <c r="H2206" t="s">
        <v>48</v>
      </c>
      <c r="I2206" t="s">
        <v>53</v>
      </c>
      <c r="K2206" t="s">
        <v>155</v>
      </c>
      <c r="M2206" t="s">
        <v>44</v>
      </c>
      <c r="N2206">
        <v>8</v>
      </c>
      <c r="O2206" t="s">
        <v>5548</v>
      </c>
      <c r="P2206" t="b">
        <v>1</v>
      </c>
      <c r="Q2206" t="b">
        <v>1</v>
      </c>
      <c r="R2206" t="b">
        <v>0</v>
      </c>
      <c r="S2206" t="b">
        <v>1</v>
      </c>
      <c r="T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1</v>
      </c>
      <c r="AA2206" t="b">
        <v>1</v>
      </c>
      <c r="AB2206" t="b">
        <v>0</v>
      </c>
      <c r="AC2206" t="b">
        <v>0</v>
      </c>
      <c r="AE2206" t="s">
        <v>5549</v>
      </c>
    </row>
    <row r="2207" spans="1:31" x14ac:dyDescent="0.3">
      <c r="A2207">
        <v>-73.95944460183</v>
      </c>
      <c r="B2207">
        <v>40.791780035199999</v>
      </c>
      <c r="C2207" t="s">
        <v>5550</v>
      </c>
      <c r="D2207" t="s">
        <v>1202</v>
      </c>
      <c r="E2207" t="s">
        <v>38</v>
      </c>
      <c r="F2207">
        <v>10172018</v>
      </c>
      <c r="G2207">
        <v>6</v>
      </c>
      <c r="H2207" t="s">
        <v>48</v>
      </c>
      <c r="I2207" t="s">
        <v>176</v>
      </c>
      <c r="K2207" t="s">
        <v>177</v>
      </c>
      <c r="M2207" t="s">
        <v>44</v>
      </c>
      <c r="N2207">
        <v>10</v>
      </c>
      <c r="P2207" t="b">
        <v>0</v>
      </c>
      <c r="Q2207" t="b">
        <v>0</v>
      </c>
      <c r="R2207" t="b">
        <v>1</v>
      </c>
      <c r="S2207" t="b">
        <v>0</v>
      </c>
      <c r="T2207" t="b">
        <v>0</v>
      </c>
      <c r="V2207" t="b">
        <v>1</v>
      </c>
      <c r="W2207" t="b">
        <v>1</v>
      </c>
      <c r="X2207" t="b">
        <v>0</v>
      </c>
      <c r="Y2207" t="b">
        <v>0</v>
      </c>
      <c r="Z2207" t="b">
        <v>0</v>
      </c>
      <c r="AA2207" t="b">
        <v>0</v>
      </c>
      <c r="AB2207" t="b">
        <v>0</v>
      </c>
      <c r="AC2207" t="b">
        <v>1</v>
      </c>
      <c r="AD2207" t="s">
        <v>5551</v>
      </c>
      <c r="AE2207" t="s">
        <v>5552</v>
      </c>
    </row>
    <row r="2208" spans="1:31" x14ac:dyDescent="0.3">
      <c r="A2208">
        <v>-73.974894339749994</v>
      </c>
      <c r="B2208">
        <v>40.770399256429997</v>
      </c>
      <c r="C2208" t="s">
        <v>5553</v>
      </c>
      <c r="D2208" t="s">
        <v>3049</v>
      </c>
      <c r="E2208" t="s">
        <v>38</v>
      </c>
      <c r="F2208">
        <v>10142018</v>
      </c>
      <c r="G2208">
        <v>1</v>
      </c>
      <c r="H2208" t="s">
        <v>105</v>
      </c>
      <c r="I2208" t="s">
        <v>42</v>
      </c>
      <c r="J2208" t="s">
        <v>53</v>
      </c>
      <c r="K2208" t="s">
        <v>54</v>
      </c>
      <c r="M2208" t="s">
        <v>65</v>
      </c>
      <c r="N2208" t="b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1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b">
        <v>0</v>
      </c>
      <c r="AB2208" t="b">
        <v>0</v>
      </c>
      <c r="AC2208" t="b">
        <v>0</v>
      </c>
      <c r="AE2208" t="s">
        <v>5554</v>
      </c>
    </row>
    <row r="2209" spans="1:31" x14ac:dyDescent="0.3">
      <c r="A2209">
        <v>-73.961497275729997</v>
      </c>
      <c r="B2209">
        <v>40.792140495129999</v>
      </c>
      <c r="C2209" t="s">
        <v>5555</v>
      </c>
      <c r="D2209" t="s">
        <v>275</v>
      </c>
      <c r="E2209" t="s">
        <v>33</v>
      </c>
      <c r="F2209">
        <v>10072018</v>
      </c>
      <c r="G2209">
        <v>2</v>
      </c>
      <c r="H2209" t="s">
        <v>48</v>
      </c>
      <c r="I2209" t="s">
        <v>42</v>
      </c>
      <c r="J2209" t="s">
        <v>737</v>
      </c>
      <c r="K2209" t="s">
        <v>738</v>
      </c>
      <c r="M2209" t="s">
        <v>65</v>
      </c>
      <c r="N2209" t="b">
        <v>0</v>
      </c>
      <c r="P2209" t="b">
        <v>0</v>
      </c>
      <c r="Q2209" t="b">
        <v>0</v>
      </c>
      <c r="R2209" t="b">
        <v>0</v>
      </c>
      <c r="S2209" t="b">
        <v>1</v>
      </c>
      <c r="T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b">
        <v>0</v>
      </c>
      <c r="AB2209" t="b">
        <v>1</v>
      </c>
      <c r="AC2209" t="b">
        <v>0</v>
      </c>
      <c r="AE2209" t="s">
        <v>5556</v>
      </c>
    </row>
    <row r="2210" spans="1:31" x14ac:dyDescent="0.3">
      <c r="A2210">
        <v>-73.969758323549996</v>
      </c>
      <c r="B2210">
        <v>40.778732039099999</v>
      </c>
      <c r="C2210" t="s">
        <v>5557</v>
      </c>
      <c r="D2210" t="s">
        <v>709</v>
      </c>
      <c r="E2210" t="s">
        <v>38</v>
      </c>
      <c r="F2210">
        <v>10072018</v>
      </c>
      <c r="G2210">
        <v>5</v>
      </c>
      <c r="H2210" t="s">
        <v>48</v>
      </c>
      <c r="I2210" t="s">
        <v>42</v>
      </c>
      <c r="K2210" t="s">
        <v>43</v>
      </c>
      <c r="L2210" t="s">
        <v>5558</v>
      </c>
      <c r="M2210" t="s">
        <v>65</v>
      </c>
      <c r="N2210" t="b">
        <v>0</v>
      </c>
      <c r="P2210" t="b">
        <v>1</v>
      </c>
      <c r="Q2210" t="b">
        <v>0</v>
      </c>
      <c r="R2210" t="b">
        <v>0</v>
      </c>
      <c r="S2210" t="b">
        <v>0</v>
      </c>
      <c r="T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b">
        <v>0</v>
      </c>
      <c r="AB2210" t="b">
        <v>0</v>
      </c>
      <c r="AC2210" t="b">
        <v>1</v>
      </c>
      <c r="AE2210" t="s">
        <v>5559</v>
      </c>
    </row>
    <row r="2211" spans="1:31" x14ac:dyDescent="0.3">
      <c r="A2211">
        <v>-73.96991248114</v>
      </c>
      <c r="B2211">
        <v>40.774301698149998</v>
      </c>
      <c r="C2211" t="s">
        <v>5560</v>
      </c>
      <c r="D2211" t="s">
        <v>646</v>
      </c>
      <c r="E2211" t="s">
        <v>33</v>
      </c>
      <c r="F2211">
        <v>10072018</v>
      </c>
      <c r="G2211">
        <v>7</v>
      </c>
      <c r="H2211" t="s">
        <v>48</v>
      </c>
      <c r="I2211" t="s">
        <v>42</v>
      </c>
      <c r="J2211" t="s">
        <v>96</v>
      </c>
      <c r="K2211" t="s">
        <v>97</v>
      </c>
      <c r="M2211" t="s">
        <v>65</v>
      </c>
      <c r="N2211" t="b">
        <v>0</v>
      </c>
      <c r="P2211" t="b">
        <v>1</v>
      </c>
      <c r="Q2211" t="b">
        <v>1</v>
      </c>
      <c r="R2211" t="b">
        <v>1</v>
      </c>
      <c r="S2211" t="b">
        <v>0</v>
      </c>
      <c r="T2211" t="b">
        <v>1</v>
      </c>
      <c r="V2211" t="b">
        <v>0</v>
      </c>
      <c r="W2211" t="b">
        <v>0</v>
      </c>
      <c r="X2211" t="b">
        <v>0</v>
      </c>
      <c r="Y2211" t="b">
        <v>1</v>
      </c>
      <c r="Z2211" t="b">
        <v>0</v>
      </c>
      <c r="AA2211" t="b">
        <v>0</v>
      </c>
      <c r="AB2211" t="b">
        <v>1</v>
      </c>
      <c r="AC2211" t="b">
        <v>0</v>
      </c>
      <c r="AE2211" t="s">
        <v>5561</v>
      </c>
    </row>
    <row r="2212" spans="1:31" x14ac:dyDescent="0.3">
      <c r="A2212">
        <v>-73.979925078229996</v>
      </c>
      <c r="B2212">
        <v>40.767610659890003</v>
      </c>
      <c r="C2212" t="s">
        <v>5562</v>
      </c>
      <c r="D2212" t="s">
        <v>851</v>
      </c>
      <c r="E2212" t="s">
        <v>38</v>
      </c>
      <c r="F2212">
        <v>10122018</v>
      </c>
      <c r="G2212">
        <v>3</v>
      </c>
      <c r="H2212" t="s">
        <v>48</v>
      </c>
      <c r="I2212" t="s">
        <v>42</v>
      </c>
      <c r="J2212" t="s">
        <v>96</v>
      </c>
      <c r="K2212" t="s">
        <v>97</v>
      </c>
      <c r="M2212" t="s">
        <v>65</v>
      </c>
      <c r="N2212" t="b">
        <v>0</v>
      </c>
      <c r="P2212" t="b">
        <v>0</v>
      </c>
      <c r="Q2212" t="b">
        <v>0</v>
      </c>
      <c r="R2212" t="b">
        <v>0</v>
      </c>
      <c r="S2212" t="b">
        <v>0</v>
      </c>
      <c r="T2212" t="b">
        <v>1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b">
        <v>0</v>
      </c>
      <c r="AB2212" t="b">
        <v>1</v>
      </c>
      <c r="AC2212" t="b">
        <v>0</v>
      </c>
      <c r="AE2212" t="s">
        <v>5563</v>
      </c>
    </row>
    <row r="2213" spans="1:31" x14ac:dyDescent="0.3">
      <c r="A2213">
        <v>-73.980113898370007</v>
      </c>
      <c r="B2213">
        <v>40.768572151560001</v>
      </c>
      <c r="C2213" t="s">
        <v>5564</v>
      </c>
      <c r="D2213" t="s">
        <v>204</v>
      </c>
      <c r="E2213" t="s">
        <v>33</v>
      </c>
      <c r="F2213">
        <v>10132018</v>
      </c>
      <c r="G2213">
        <v>2</v>
      </c>
      <c r="H2213" t="s">
        <v>48</v>
      </c>
      <c r="I2213" t="s">
        <v>42</v>
      </c>
      <c r="J2213" t="s">
        <v>59</v>
      </c>
      <c r="K2213" t="s">
        <v>79</v>
      </c>
      <c r="M2213" t="s">
        <v>65</v>
      </c>
      <c r="N2213" t="b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1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b">
        <v>0</v>
      </c>
      <c r="AB2213" t="b">
        <v>0</v>
      </c>
      <c r="AC2213" t="b">
        <v>0</v>
      </c>
      <c r="AE2213" t="s">
        <v>5565</v>
      </c>
    </row>
    <row r="2214" spans="1:31" x14ac:dyDescent="0.3">
      <c r="A2214">
        <v>-73.970748723729997</v>
      </c>
      <c r="B2214">
        <v>40.7800822831</v>
      </c>
      <c r="C2214" t="s">
        <v>5566</v>
      </c>
      <c r="D2214" t="s">
        <v>2418</v>
      </c>
      <c r="E2214" t="s">
        <v>33</v>
      </c>
      <c r="F2214">
        <v>10122018</v>
      </c>
      <c r="G2214">
        <v>3</v>
      </c>
      <c r="H2214" t="s">
        <v>48</v>
      </c>
      <c r="I2214" t="s">
        <v>42</v>
      </c>
      <c r="J2214" t="s">
        <v>59</v>
      </c>
      <c r="K2214" t="s">
        <v>79</v>
      </c>
      <c r="M2214" t="s">
        <v>44</v>
      </c>
      <c r="N2214">
        <v>10</v>
      </c>
      <c r="P2214" t="b">
        <v>1</v>
      </c>
      <c r="Q2214" t="b">
        <v>1</v>
      </c>
      <c r="R2214" t="b">
        <v>0</v>
      </c>
      <c r="S2214" t="b">
        <v>0</v>
      </c>
      <c r="T2214" t="b">
        <v>0</v>
      </c>
      <c r="U2214" t="s">
        <v>4998</v>
      </c>
      <c r="V2214" t="b">
        <v>0</v>
      </c>
      <c r="W2214" t="b">
        <v>0</v>
      </c>
      <c r="X2214" t="b">
        <v>0</v>
      </c>
      <c r="Y2214" t="b">
        <v>0</v>
      </c>
      <c r="Z2214" t="b">
        <v>1</v>
      </c>
      <c r="AA2214" t="b">
        <v>0</v>
      </c>
      <c r="AB2214" t="b">
        <v>1</v>
      </c>
      <c r="AC2214" t="b">
        <v>0</v>
      </c>
      <c r="AE2214" t="s">
        <v>5567</v>
      </c>
    </row>
    <row r="2215" spans="1:31" x14ac:dyDescent="0.3">
      <c r="A2215">
        <v>-73.958368863730001</v>
      </c>
      <c r="B2215">
        <v>40.791388958500001</v>
      </c>
      <c r="C2215" t="s">
        <v>5568</v>
      </c>
      <c r="D2215" t="s">
        <v>1211</v>
      </c>
      <c r="E2215" t="s">
        <v>33</v>
      </c>
      <c r="F2215">
        <v>10122018</v>
      </c>
      <c r="G2215">
        <v>8</v>
      </c>
      <c r="H2215" t="s">
        <v>48</v>
      </c>
      <c r="I2215" t="s">
        <v>42</v>
      </c>
      <c r="J2215" t="s">
        <v>59</v>
      </c>
      <c r="K2215" t="s">
        <v>79</v>
      </c>
      <c r="M2215" t="s">
        <v>65</v>
      </c>
      <c r="N2215" t="b">
        <v>0</v>
      </c>
      <c r="P2215" t="b">
        <v>1</v>
      </c>
      <c r="Q2215" t="b">
        <v>1</v>
      </c>
      <c r="R2215" t="b">
        <v>0</v>
      </c>
      <c r="S2215" t="b">
        <v>0</v>
      </c>
      <c r="T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b">
        <v>0</v>
      </c>
      <c r="AB2215" t="b">
        <v>0</v>
      </c>
      <c r="AC2215" t="b">
        <v>0</v>
      </c>
      <c r="AE2215" t="s">
        <v>5569</v>
      </c>
    </row>
    <row r="2216" spans="1:31" x14ac:dyDescent="0.3">
      <c r="A2216">
        <v>-73.967497882679993</v>
      </c>
      <c r="B2216">
        <v>40.77628841077</v>
      </c>
      <c r="C2216" t="s">
        <v>5570</v>
      </c>
      <c r="D2216" t="s">
        <v>311</v>
      </c>
      <c r="E2216" t="s">
        <v>33</v>
      </c>
      <c r="F2216">
        <v>10192018</v>
      </c>
      <c r="G2216">
        <v>10</v>
      </c>
      <c r="H2216" t="s">
        <v>48</v>
      </c>
      <c r="I2216" t="s">
        <v>42</v>
      </c>
      <c r="K2216" t="s">
        <v>43</v>
      </c>
      <c r="M2216" t="s">
        <v>44</v>
      </c>
      <c r="N2216">
        <v>1</v>
      </c>
      <c r="O2216" t="s">
        <v>5571</v>
      </c>
      <c r="P2216" t="b">
        <v>0</v>
      </c>
      <c r="Q2216" t="b">
        <v>0</v>
      </c>
      <c r="R2216" t="b">
        <v>0</v>
      </c>
      <c r="S2216" t="b">
        <v>1</v>
      </c>
      <c r="T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b">
        <v>0</v>
      </c>
      <c r="AB2216" t="b">
        <v>0</v>
      </c>
      <c r="AC2216" t="b">
        <v>1</v>
      </c>
      <c r="AE2216" t="s">
        <v>5572</v>
      </c>
    </row>
    <row r="2217" spans="1:31" x14ac:dyDescent="0.3">
      <c r="A2217">
        <v>-73.973519501840002</v>
      </c>
      <c r="B2217">
        <v>40.778714727969998</v>
      </c>
      <c r="C2217" t="s">
        <v>5573</v>
      </c>
      <c r="D2217" t="s">
        <v>785</v>
      </c>
      <c r="E2217" t="s">
        <v>38</v>
      </c>
      <c r="F2217">
        <v>10142018</v>
      </c>
      <c r="G2217">
        <v>2</v>
      </c>
      <c r="H2217" t="s">
        <v>48</v>
      </c>
      <c r="I2217" t="s">
        <v>42</v>
      </c>
      <c r="J2217" t="s">
        <v>59</v>
      </c>
      <c r="K2217" t="s">
        <v>79</v>
      </c>
      <c r="M2217" t="s">
        <v>65</v>
      </c>
      <c r="N2217" t="b">
        <v>0</v>
      </c>
      <c r="P2217" t="b">
        <v>0</v>
      </c>
      <c r="Q2217" t="b">
        <v>0</v>
      </c>
      <c r="R2217" t="b">
        <v>1</v>
      </c>
      <c r="S2217" t="b">
        <v>0</v>
      </c>
      <c r="T2217" t="b">
        <v>1</v>
      </c>
      <c r="V2217" t="b">
        <v>0</v>
      </c>
      <c r="W2217" t="b">
        <v>0</v>
      </c>
      <c r="X2217" t="b">
        <v>0</v>
      </c>
      <c r="Y2217" t="b">
        <v>0</v>
      </c>
      <c r="Z2217" t="b">
        <v>1</v>
      </c>
      <c r="AA2217" t="b">
        <v>0</v>
      </c>
      <c r="AB2217" t="b">
        <v>0</v>
      </c>
      <c r="AC2217" t="b">
        <v>0</v>
      </c>
      <c r="AE2217" t="s">
        <v>5574</v>
      </c>
    </row>
    <row r="2218" spans="1:31" x14ac:dyDescent="0.3">
      <c r="A2218">
        <v>-73.965274647749993</v>
      </c>
      <c r="B2218">
        <v>40.780932684850001</v>
      </c>
      <c r="C2218" t="s">
        <v>5575</v>
      </c>
      <c r="D2218" t="s">
        <v>564</v>
      </c>
      <c r="E2218" t="s">
        <v>33</v>
      </c>
      <c r="F2218">
        <v>10072018</v>
      </c>
      <c r="G2218">
        <v>7</v>
      </c>
      <c r="H2218" t="s">
        <v>48</v>
      </c>
      <c r="I2218" t="s">
        <v>42</v>
      </c>
      <c r="J2218" t="s">
        <v>53</v>
      </c>
      <c r="K2218" t="s">
        <v>54</v>
      </c>
      <c r="L2218" t="s">
        <v>565</v>
      </c>
      <c r="M2218" t="s">
        <v>65</v>
      </c>
      <c r="N2218" t="b">
        <v>0</v>
      </c>
      <c r="P2218" t="b">
        <v>1</v>
      </c>
      <c r="Q2218" t="b">
        <v>0</v>
      </c>
      <c r="R2218" t="b">
        <v>0</v>
      </c>
      <c r="S2218" t="b">
        <v>0</v>
      </c>
      <c r="T2218" t="b">
        <v>0</v>
      </c>
      <c r="U2218" t="s">
        <v>669</v>
      </c>
      <c r="V2218" t="b">
        <v>0</v>
      </c>
      <c r="W2218" t="b">
        <v>0</v>
      </c>
      <c r="X2218" t="b">
        <v>0</v>
      </c>
      <c r="Y2218" t="b">
        <v>1</v>
      </c>
      <c r="Z2218" t="b">
        <v>0</v>
      </c>
      <c r="AA2218" t="b">
        <v>0</v>
      </c>
      <c r="AB2218" t="b">
        <v>0</v>
      </c>
      <c r="AC2218" t="b">
        <v>1</v>
      </c>
      <c r="AE2218" t="s">
        <v>5576</v>
      </c>
    </row>
    <row r="2219" spans="1:31" x14ac:dyDescent="0.3">
      <c r="A2219">
        <v>-73.969438242799995</v>
      </c>
      <c r="B2219">
        <v>40.784635069289997</v>
      </c>
      <c r="C2219" t="s">
        <v>5577</v>
      </c>
      <c r="D2219" t="s">
        <v>298</v>
      </c>
      <c r="E2219" t="s">
        <v>38</v>
      </c>
      <c r="F2219">
        <v>10082018</v>
      </c>
      <c r="G2219">
        <v>4</v>
      </c>
      <c r="H2219" t="s">
        <v>48</v>
      </c>
      <c r="I2219" t="s">
        <v>53</v>
      </c>
      <c r="J2219" t="s">
        <v>42</v>
      </c>
      <c r="K2219" t="s">
        <v>89</v>
      </c>
      <c r="M2219" t="s">
        <v>65</v>
      </c>
      <c r="N2219" t="b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1</v>
      </c>
      <c r="V2219" t="b">
        <v>0</v>
      </c>
      <c r="W2219" t="b">
        <v>0</v>
      </c>
      <c r="X2219" t="b">
        <v>0</v>
      </c>
      <c r="Y2219" t="b">
        <v>0</v>
      </c>
      <c r="Z2219" t="b">
        <v>1</v>
      </c>
      <c r="AA2219" t="b">
        <v>0</v>
      </c>
      <c r="AB2219" t="b">
        <v>0</v>
      </c>
      <c r="AC2219" t="b">
        <v>1</v>
      </c>
      <c r="AE2219" t="s">
        <v>5578</v>
      </c>
    </row>
    <row r="2220" spans="1:31" x14ac:dyDescent="0.3">
      <c r="A2220">
        <v>-73.970924236469997</v>
      </c>
      <c r="B2220">
        <v>40.768421721560003</v>
      </c>
      <c r="C2220" t="s">
        <v>5579</v>
      </c>
      <c r="D2220" t="s">
        <v>704</v>
      </c>
      <c r="E2220" t="s">
        <v>38</v>
      </c>
      <c r="F2220">
        <v>10102018</v>
      </c>
      <c r="G2220">
        <v>4</v>
      </c>
      <c r="H2220" t="s">
        <v>48</v>
      </c>
      <c r="I2220" t="s">
        <v>42</v>
      </c>
      <c r="K2220" t="s">
        <v>43</v>
      </c>
      <c r="M2220" t="s">
        <v>65</v>
      </c>
      <c r="N2220" t="b">
        <v>0</v>
      </c>
      <c r="P2220" t="b">
        <v>0</v>
      </c>
      <c r="Q2220" t="b">
        <v>0</v>
      </c>
      <c r="R2220" t="b">
        <v>0</v>
      </c>
      <c r="S2220" t="b">
        <v>1</v>
      </c>
      <c r="T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1</v>
      </c>
      <c r="AA2220" t="b">
        <v>0</v>
      </c>
      <c r="AB2220" t="b">
        <v>1</v>
      </c>
      <c r="AC2220" t="b">
        <v>0</v>
      </c>
      <c r="AE2220" t="s">
        <v>5580</v>
      </c>
    </row>
    <row r="2221" spans="1:31" x14ac:dyDescent="0.3">
      <c r="A2221">
        <v>-73.963716747039996</v>
      </c>
      <c r="B2221">
        <v>40.789216013790004</v>
      </c>
      <c r="C2221" t="s">
        <v>5581</v>
      </c>
      <c r="D2221" t="s">
        <v>172</v>
      </c>
      <c r="E2221" t="s">
        <v>38</v>
      </c>
      <c r="F2221">
        <v>10072018</v>
      </c>
      <c r="G2221">
        <v>1</v>
      </c>
      <c r="H2221" t="s">
        <v>48</v>
      </c>
      <c r="I2221" t="s">
        <v>42</v>
      </c>
      <c r="J2221" t="s">
        <v>53</v>
      </c>
      <c r="K2221" t="s">
        <v>54</v>
      </c>
      <c r="M2221" t="s">
        <v>65</v>
      </c>
      <c r="N2221" t="b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1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b">
        <v>0</v>
      </c>
      <c r="AB2221" t="b">
        <v>1</v>
      </c>
      <c r="AC2221" t="b">
        <v>0</v>
      </c>
      <c r="AE2221" t="s">
        <v>5582</v>
      </c>
    </row>
    <row r="2222" spans="1:31" x14ac:dyDescent="0.3">
      <c r="A2222">
        <v>-73.977184772870004</v>
      </c>
      <c r="B2222">
        <v>40.769597116500002</v>
      </c>
      <c r="C2222" t="s">
        <v>5583</v>
      </c>
      <c r="D2222" t="s">
        <v>1581</v>
      </c>
      <c r="E2222" t="s">
        <v>38</v>
      </c>
      <c r="F2222">
        <v>10062018</v>
      </c>
      <c r="G2222">
        <v>1</v>
      </c>
      <c r="H2222" t="s">
        <v>105</v>
      </c>
      <c r="I2222" t="s">
        <v>42</v>
      </c>
      <c r="J2222" t="s">
        <v>59</v>
      </c>
      <c r="K2222" t="s">
        <v>79</v>
      </c>
      <c r="M2222" t="s">
        <v>65</v>
      </c>
      <c r="N2222" t="b">
        <v>0</v>
      </c>
      <c r="P2222" t="b">
        <v>0</v>
      </c>
      <c r="Q2222" t="b">
        <v>0</v>
      </c>
      <c r="R2222" t="b">
        <v>0</v>
      </c>
      <c r="S2222" t="b">
        <v>1</v>
      </c>
      <c r="T2222" t="b">
        <v>1</v>
      </c>
      <c r="V2222" t="b">
        <v>0</v>
      </c>
      <c r="W2222" t="b">
        <v>0</v>
      </c>
      <c r="X2222" t="b">
        <v>0</v>
      </c>
      <c r="Y2222" t="b">
        <v>0</v>
      </c>
      <c r="Z2222" t="b">
        <v>1</v>
      </c>
      <c r="AA2222" t="b">
        <v>0</v>
      </c>
      <c r="AB2222" t="b">
        <v>1</v>
      </c>
      <c r="AC2222" t="b">
        <v>0</v>
      </c>
      <c r="AE2222" t="s">
        <v>5584</v>
      </c>
    </row>
    <row r="2223" spans="1:31" x14ac:dyDescent="0.3">
      <c r="A2223">
        <v>-73.963904820950006</v>
      </c>
      <c r="B2223">
        <v>40.777737334560001</v>
      </c>
      <c r="C2223" t="s">
        <v>5585</v>
      </c>
      <c r="D2223" t="s">
        <v>1141</v>
      </c>
      <c r="E2223" t="s">
        <v>33</v>
      </c>
      <c r="F2223">
        <v>10072018</v>
      </c>
      <c r="G2223">
        <v>2</v>
      </c>
      <c r="H2223" t="s">
        <v>48</v>
      </c>
      <c r="I2223" t="s">
        <v>42</v>
      </c>
      <c r="J2223" t="s">
        <v>53</v>
      </c>
      <c r="K2223" t="s">
        <v>54</v>
      </c>
      <c r="M2223" t="s">
        <v>44</v>
      </c>
      <c r="N2223">
        <v>12</v>
      </c>
      <c r="P2223" t="b">
        <v>0</v>
      </c>
      <c r="Q2223" t="b">
        <v>0</v>
      </c>
      <c r="R2223" t="b">
        <v>1</v>
      </c>
      <c r="S2223" t="b">
        <v>1</v>
      </c>
      <c r="T2223" t="b">
        <v>1</v>
      </c>
      <c r="U2223" t="s">
        <v>4201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b">
        <v>0</v>
      </c>
      <c r="AB2223" t="b">
        <v>1</v>
      </c>
      <c r="AC2223" t="b">
        <v>0</v>
      </c>
      <c r="AE2223" t="s">
        <v>5586</v>
      </c>
    </row>
    <row r="2224" spans="1:31" x14ac:dyDescent="0.3">
      <c r="A2224">
        <v>-73.978486312369995</v>
      </c>
      <c r="B2224">
        <v>40.76692250208</v>
      </c>
      <c r="C2224" t="s">
        <v>5587</v>
      </c>
      <c r="D2224" t="s">
        <v>1278</v>
      </c>
      <c r="E2224" t="s">
        <v>38</v>
      </c>
      <c r="F2224">
        <v>10062018</v>
      </c>
      <c r="G2224">
        <v>8</v>
      </c>
      <c r="H2224" t="s">
        <v>105</v>
      </c>
      <c r="I2224" t="s">
        <v>42</v>
      </c>
      <c r="J2224" t="s">
        <v>53</v>
      </c>
      <c r="K2224" t="s">
        <v>54</v>
      </c>
      <c r="M2224" t="s">
        <v>44</v>
      </c>
      <c r="N2224">
        <v>45</v>
      </c>
      <c r="P2224" t="b">
        <v>0</v>
      </c>
      <c r="Q2224" t="b">
        <v>0</v>
      </c>
      <c r="R2224" t="b">
        <v>1</v>
      </c>
      <c r="S2224" t="b">
        <v>0</v>
      </c>
      <c r="T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b">
        <v>0</v>
      </c>
      <c r="AB2224" t="b">
        <v>0</v>
      </c>
      <c r="AC2224" t="b">
        <v>0</v>
      </c>
      <c r="AE2224" t="s">
        <v>5588</v>
      </c>
    </row>
    <row r="2225" spans="1:31" x14ac:dyDescent="0.3">
      <c r="A2225">
        <v>-73.966231060699997</v>
      </c>
      <c r="B2225">
        <v>40.774775822119999</v>
      </c>
      <c r="C2225" t="s">
        <v>5589</v>
      </c>
      <c r="D2225" t="s">
        <v>1090</v>
      </c>
      <c r="E2225" t="s">
        <v>38</v>
      </c>
      <c r="F2225">
        <v>10132018</v>
      </c>
      <c r="G2225">
        <v>1</v>
      </c>
      <c r="H2225" t="s">
        <v>48</v>
      </c>
      <c r="I2225" t="s">
        <v>42</v>
      </c>
      <c r="J2225" t="s">
        <v>59</v>
      </c>
      <c r="K2225" t="s">
        <v>79</v>
      </c>
      <c r="M2225" t="s">
        <v>44</v>
      </c>
      <c r="N2225">
        <v>10</v>
      </c>
      <c r="P2225" t="b">
        <v>1</v>
      </c>
      <c r="Q2225" t="b">
        <v>0</v>
      </c>
      <c r="R2225" t="b">
        <v>1</v>
      </c>
      <c r="S2225" t="b">
        <v>0</v>
      </c>
      <c r="T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b">
        <v>0</v>
      </c>
      <c r="AB2225" t="b">
        <v>1</v>
      </c>
      <c r="AC2225" t="b">
        <v>0</v>
      </c>
      <c r="AE2225" t="s">
        <v>5590</v>
      </c>
    </row>
    <row r="2226" spans="1:31" x14ac:dyDescent="0.3">
      <c r="A2226">
        <v>-73.956232345570001</v>
      </c>
      <c r="B2226">
        <v>40.794618065629997</v>
      </c>
      <c r="C2226" t="s">
        <v>5591</v>
      </c>
      <c r="D2226" t="s">
        <v>394</v>
      </c>
      <c r="E2226" t="s">
        <v>38</v>
      </c>
      <c r="F2226">
        <v>10132018</v>
      </c>
      <c r="G2226">
        <v>2</v>
      </c>
      <c r="I2226" t="s">
        <v>42</v>
      </c>
      <c r="J2226" t="s">
        <v>59</v>
      </c>
      <c r="K2226" t="s">
        <v>79</v>
      </c>
      <c r="M2226" t="s">
        <v>65</v>
      </c>
      <c r="N2226" t="b">
        <v>0</v>
      </c>
      <c r="P2226" t="b">
        <v>1</v>
      </c>
      <c r="Q2226" t="b">
        <v>1</v>
      </c>
      <c r="R2226" t="b">
        <v>0</v>
      </c>
      <c r="S2226" t="b">
        <v>0</v>
      </c>
      <c r="T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b">
        <v>0</v>
      </c>
      <c r="AB2226" t="b">
        <v>1</v>
      </c>
      <c r="AC2226" t="b">
        <v>0</v>
      </c>
      <c r="AE2226" t="s">
        <v>5592</v>
      </c>
    </row>
    <row r="2227" spans="1:31" x14ac:dyDescent="0.3">
      <c r="A2227">
        <v>-73.962429643579995</v>
      </c>
      <c r="B2227">
        <v>40.79132081369</v>
      </c>
      <c r="C2227" t="s">
        <v>5593</v>
      </c>
      <c r="D2227" t="s">
        <v>3392</v>
      </c>
      <c r="E2227" t="s">
        <v>33</v>
      </c>
      <c r="F2227">
        <v>10102018</v>
      </c>
      <c r="G2227">
        <v>2</v>
      </c>
      <c r="H2227" t="s">
        <v>48</v>
      </c>
      <c r="I2227" t="s">
        <v>42</v>
      </c>
      <c r="J2227" t="s">
        <v>59</v>
      </c>
      <c r="K2227" t="s">
        <v>79</v>
      </c>
      <c r="M2227" t="s">
        <v>44</v>
      </c>
      <c r="N2227">
        <v>10</v>
      </c>
      <c r="P2227" t="b">
        <v>0</v>
      </c>
      <c r="Q2227" t="b">
        <v>0</v>
      </c>
      <c r="R2227" t="b">
        <v>1</v>
      </c>
      <c r="S2227" t="b">
        <v>0</v>
      </c>
      <c r="T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b">
        <v>0</v>
      </c>
      <c r="AB2227" t="b">
        <v>1</v>
      </c>
      <c r="AC2227" t="b">
        <v>0</v>
      </c>
      <c r="AE2227" t="s">
        <v>5594</v>
      </c>
    </row>
    <row r="2228" spans="1:31" x14ac:dyDescent="0.3">
      <c r="A2228">
        <v>-73.979281424440003</v>
      </c>
      <c r="B2228">
        <v>40.770503194059998</v>
      </c>
      <c r="C2228" t="s">
        <v>5595</v>
      </c>
      <c r="D2228" t="s">
        <v>1362</v>
      </c>
      <c r="E2228" t="s">
        <v>38</v>
      </c>
      <c r="F2228">
        <v>10072018</v>
      </c>
      <c r="G2228">
        <v>4</v>
      </c>
      <c r="H2228" t="s">
        <v>48</v>
      </c>
      <c r="I2228" t="s">
        <v>42</v>
      </c>
      <c r="K2228" t="s">
        <v>43</v>
      </c>
      <c r="M2228" t="s">
        <v>65</v>
      </c>
      <c r="N2228" t="b">
        <v>0</v>
      </c>
      <c r="P2228" t="b">
        <v>0</v>
      </c>
      <c r="Q2228" t="b">
        <v>0</v>
      </c>
      <c r="R2228" t="b">
        <v>0</v>
      </c>
      <c r="S2228" t="b">
        <v>0</v>
      </c>
      <c r="T2228" t="b">
        <v>0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b">
        <v>0</v>
      </c>
      <c r="AB2228" t="b">
        <v>1</v>
      </c>
      <c r="AC2228" t="b">
        <v>0</v>
      </c>
      <c r="AE2228" t="s">
        <v>5596</v>
      </c>
    </row>
    <row r="2229" spans="1:31" x14ac:dyDescent="0.3">
      <c r="A2229">
        <v>-73.971404589160002</v>
      </c>
      <c r="B2229">
        <v>40.771541833400001</v>
      </c>
      <c r="C2229" t="s">
        <v>5597</v>
      </c>
      <c r="D2229" t="s">
        <v>571</v>
      </c>
      <c r="E2229" t="s">
        <v>38</v>
      </c>
      <c r="F2229">
        <v>10072018</v>
      </c>
      <c r="G2229">
        <v>3</v>
      </c>
      <c r="H2229" t="s">
        <v>48</v>
      </c>
      <c r="I2229" t="s">
        <v>42</v>
      </c>
      <c r="J2229" t="s">
        <v>176</v>
      </c>
      <c r="K2229" t="s">
        <v>339</v>
      </c>
      <c r="M2229" t="s">
        <v>44</v>
      </c>
      <c r="N2229">
        <v>30</v>
      </c>
      <c r="P2229" t="b">
        <v>0</v>
      </c>
      <c r="Q2229" t="b">
        <v>0</v>
      </c>
      <c r="R2229" t="b">
        <v>1</v>
      </c>
      <c r="S2229" t="b">
        <v>0</v>
      </c>
      <c r="T2229" t="b">
        <v>0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b">
        <v>0</v>
      </c>
      <c r="AB2229" t="b">
        <v>0</v>
      </c>
      <c r="AC2229" t="b">
        <v>0</v>
      </c>
      <c r="AE2229" t="s">
        <v>5598</v>
      </c>
    </row>
    <row r="2230" spans="1:31" x14ac:dyDescent="0.3">
      <c r="A2230">
        <v>-73.962071941429997</v>
      </c>
      <c r="B2230">
        <v>40.788637452990002</v>
      </c>
      <c r="C2230" t="s">
        <v>5599</v>
      </c>
      <c r="D2230" t="s">
        <v>1420</v>
      </c>
      <c r="E2230" t="s">
        <v>33</v>
      </c>
      <c r="F2230">
        <v>10102018</v>
      </c>
      <c r="G2230">
        <v>2</v>
      </c>
      <c r="H2230" t="s">
        <v>48</v>
      </c>
      <c r="I2230" t="s">
        <v>42</v>
      </c>
      <c r="J2230" t="s">
        <v>96</v>
      </c>
      <c r="K2230" t="s">
        <v>97</v>
      </c>
      <c r="M2230" t="s">
        <v>65</v>
      </c>
      <c r="N2230" t="b">
        <v>0</v>
      </c>
      <c r="P2230" t="b">
        <v>0</v>
      </c>
      <c r="Q2230" t="b">
        <v>0</v>
      </c>
      <c r="R2230" t="b">
        <v>0</v>
      </c>
      <c r="S2230" t="b">
        <v>1</v>
      </c>
      <c r="T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1</v>
      </c>
      <c r="AA2230" t="b">
        <v>0</v>
      </c>
      <c r="AB2230" t="b">
        <v>0</v>
      </c>
      <c r="AC2230" t="b">
        <v>1</v>
      </c>
      <c r="AE2230" t="s">
        <v>5600</v>
      </c>
    </row>
    <row r="2231" spans="1:31" x14ac:dyDescent="0.3">
      <c r="A2231">
        <v>-73.973081316220004</v>
      </c>
      <c r="B2231">
        <v>40.777931572089997</v>
      </c>
      <c r="C2231" t="s">
        <v>5601</v>
      </c>
      <c r="D2231" t="s">
        <v>1759</v>
      </c>
      <c r="E2231" t="s">
        <v>38</v>
      </c>
      <c r="F2231">
        <v>10072018</v>
      </c>
      <c r="G2231">
        <v>2</v>
      </c>
      <c r="H2231" t="s">
        <v>48</v>
      </c>
      <c r="I2231" t="s">
        <v>42</v>
      </c>
      <c r="K2231" t="s">
        <v>43</v>
      </c>
      <c r="M2231" t="s">
        <v>65</v>
      </c>
      <c r="N2231" t="b">
        <v>0</v>
      </c>
      <c r="P2231" t="b">
        <v>0</v>
      </c>
      <c r="Q2231" t="b">
        <v>0</v>
      </c>
      <c r="R2231" t="b">
        <v>0</v>
      </c>
      <c r="S2231" t="b">
        <v>0</v>
      </c>
      <c r="T2231" t="b">
        <v>1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b">
        <v>0</v>
      </c>
      <c r="AB2231" t="b">
        <v>1</v>
      </c>
      <c r="AC2231" t="b">
        <v>0</v>
      </c>
      <c r="AE2231" t="s">
        <v>5602</v>
      </c>
    </row>
    <row r="2232" spans="1:31" x14ac:dyDescent="0.3">
      <c r="A2232">
        <v>-73.954542761149995</v>
      </c>
      <c r="B2232">
        <v>40.793035381739998</v>
      </c>
      <c r="C2232" t="s">
        <v>5603</v>
      </c>
      <c r="D2232" t="s">
        <v>1648</v>
      </c>
      <c r="E2232" t="s">
        <v>33</v>
      </c>
      <c r="F2232">
        <v>10122018</v>
      </c>
      <c r="G2232">
        <v>2</v>
      </c>
      <c r="H2232" t="s">
        <v>48</v>
      </c>
      <c r="I2232" t="s">
        <v>42</v>
      </c>
      <c r="J2232" t="s">
        <v>59</v>
      </c>
      <c r="K2232" t="s">
        <v>79</v>
      </c>
      <c r="M2232" t="s">
        <v>44</v>
      </c>
      <c r="N2232">
        <v>10</v>
      </c>
      <c r="P2232" t="b">
        <v>0</v>
      </c>
      <c r="Q2232" t="b">
        <v>0</v>
      </c>
      <c r="R2232" t="b">
        <v>0</v>
      </c>
      <c r="S2232" t="b">
        <v>1</v>
      </c>
      <c r="T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b">
        <v>0</v>
      </c>
      <c r="AB2232" t="b">
        <v>0</v>
      </c>
      <c r="AC2232" t="b">
        <v>0</v>
      </c>
      <c r="AE2232" t="s">
        <v>5604</v>
      </c>
    </row>
    <row r="2233" spans="1:31" x14ac:dyDescent="0.3">
      <c r="A2233">
        <v>-73.956627772160004</v>
      </c>
      <c r="B2233">
        <v>40.79666745878</v>
      </c>
      <c r="C2233" t="s">
        <v>5605</v>
      </c>
      <c r="D2233" t="s">
        <v>1945</v>
      </c>
      <c r="E2233" t="s">
        <v>33</v>
      </c>
      <c r="F2233">
        <v>10122018</v>
      </c>
      <c r="G2233">
        <v>4</v>
      </c>
      <c r="H2233" t="s">
        <v>105</v>
      </c>
      <c r="I2233" t="s">
        <v>42</v>
      </c>
      <c r="J2233" t="s">
        <v>59</v>
      </c>
      <c r="K2233" t="s">
        <v>79</v>
      </c>
      <c r="M2233" t="s">
        <v>44</v>
      </c>
      <c r="N2233">
        <v>10</v>
      </c>
      <c r="O2233" t="s">
        <v>5606</v>
      </c>
      <c r="P2233" t="b">
        <v>0</v>
      </c>
      <c r="Q2233" t="b">
        <v>0</v>
      </c>
      <c r="R2233" t="b">
        <v>1</v>
      </c>
      <c r="S2233" t="b">
        <v>0</v>
      </c>
      <c r="T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b">
        <v>0</v>
      </c>
      <c r="AB2233" t="b">
        <v>1</v>
      </c>
      <c r="AC2233" t="b">
        <v>0</v>
      </c>
      <c r="AE2233" t="s">
        <v>5607</v>
      </c>
    </row>
    <row r="2234" spans="1:31" x14ac:dyDescent="0.3">
      <c r="A2234">
        <v>-73.975470911770003</v>
      </c>
      <c r="B2234">
        <v>40.768142186939997</v>
      </c>
      <c r="C2234" t="s">
        <v>5608</v>
      </c>
      <c r="D2234" t="s">
        <v>215</v>
      </c>
      <c r="E2234" t="s">
        <v>38</v>
      </c>
      <c r="F2234">
        <v>10062018</v>
      </c>
      <c r="G2234">
        <v>8</v>
      </c>
      <c r="H2234" t="s">
        <v>48</v>
      </c>
      <c r="I2234" t="s">
        <v>42</v>
      </c>
      <c r="J2234" t="s">
        <v>53</v>
      </c>
      <c r="K2234" t="s">
        <v>54</v>
      </c>
      <c r="M2234" t="s">
        <v>44</v>
      </c>
      <c r="N2234">
        <v>4</v>
      </c>
      <c r="P2234" t="b">
        <v>0</v>
      </c>
      <c r="Q2234" t="b">
        <v>0</v>
      </c>
      <c r="R2234" t="b">
        <v>0</v>
      </c>
      <c r="S2234" t="b">
        <v>1</v>
      </c>
      <c r="T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b">
        <v>1</v>
      </c>
      <c r="AB2234" t="b">
        <v>0</v>
      </c>
      <c r="AC2234" t="b">
        <v>0</v>
      </c>
      <c r="AE2234" t="s">
        <v>5609</v>
      </c>
    </row>
    <row r="2235" spans="1:31" x14ac:dyDescent="0.3">
      <c r="A2235">
        <v>-73.9734741818</v>
      </c>
      <c r="B2235">
        <v>40.766328451429999</v>
      </c>
      <c r="C2235" t="s">
        <v>5610</v>
      </c>
      <c r="D2235" t="s">
        <v>1899</v>
      </c>
      <c r="E2235" t="s">
        <v>33</v>
      </c>
      <c r="F2235">
        <v>10142018</v>
      </c>
      <c r="G2235">
        <v>3</v>
      </c>
      <c r="H2235" t="s">
        <v>48</v>
      </c>
      <c r="I2235" t="s">
        <v>53</v>
      </c>
      <c r="J2235" t="s">
        <v>42</v>
      </c>
      <c r="K2235" t="s">
        <v>89</v>
      </c>
      <c r="M2235" t="s">
        <v>65</v>
      </c>
      <c r="N2235" t="b">
        <v>0</v>
      </c>
      <c r="P2235" t="b">
        <v>0</v>
      </c>
      <c r="Q2235" t="b">
        <v>0</v>
      </c>
      <c r="R2235" t="b">
        <v>0</v>
      </c>
      <c r="S2235" t="b">
        <v>0</v>
      </c>
      <c r="T2235" t="b">
        <v>1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b">
        <v>0</v>
      </c>
      <c r="AB2235" t="b">
        <v>0</v>
      </c>
      <c r="AC2235" t="b">
        <v>1</v>
      </c>
      <c r="AE2235" t="s">
        <v>5611</v>
      </c>
    </row>
    <row r="2236" spans="1:31" x14ac:dyDescent="0.3">
      <c r="A2236">
        <v>-73.974852279649994</v>
      </c>
      <c r="B2236">
        <v>40.771958662099998</v>
      </c>
      <c r="C2236" t="s">
        <v>1573</v>
      </c>
      <c r="D2236" t="s">
        <v>1574</v>
      </c>
      <c r="E2236" t="s">
        <v>33</v>
      </c>
      <c r="F2236">
        <v>10102018</v>
      </c>
      <c r="G2236">
        <v>1</v>
      </c>
      <c r="H2236" t="s">
        <v>48</v>
      </c>
      <c r="I2236" t="s">
        <v>42</v>
      </c>
      <c r="J2236" t="s">
        <v>59</v>
      </c>
      <c r="K2236" t="s">
        <v>79</v>
      </c>
      <c r="M2236" t="s">
        <v>65</v>
      </c>
      <c r="N2236" t="b">
        <v>0</v>
      </c>
      <c r="O2236" t="s">
        <v>1575</v>
      </c>
      <c r="P2236" t="b">
        <v>1</v>
      </c>
      <c r="Q2236" t="b">
        <v>0</v>
      </c>
      <c r="R2236" t="b">
        <v>0</v>
      </c>
      <c r="S2236" t="b">
        <v>0</v>
      </c>
      <c r="T2236" t="b">
        <v>0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b">
        <v>0</v>
      </c>
      <c r="AB2236" t="b">
        <v>0</v>
      </c>
      <c r="AC2236" t="b">
        <v>0</v>
      </c>
      <c r="AE2236" t="s">
        <v>5612</v>
      </c>
    </row>
    <row r="2237" spans="1:31" x14ac:dyDescent="0.3">
      <c r="A2237">
        <v>-73.959784546999998</v>
      </c>
      <c r="B2237">
        <v>40.790617930339998</v>
      </c>
      <c r="C2237" t="s">
        <v>5613</v>
      </c>
      <c r="D2237" t="s">
        <v>47</v>
      </c>
      <c r="E2237" t="s">
        <v>38</v>
      </c>
      <c r="F2237">
        <v>10072018</v>
      </c>
      <c r="G2237">
        <v>11</v>
      </c>
      <c r="H2237" t="s">
        <v>48</v>
      </c>
      <c r="I2237" t="s">
        <v>42</v>
      </c>
      <c r="K2237" t="s">
        <v>43</v>
      </c>
      <c r="M2237" t="s">
        <v>65</v>
      </c>
      <c r="N2237" t="b">
        <v>0</v>
      </c>
      <c r="P2237" t="b">
        <v>0</v>
      </c>
      <c r="Q2237" t="b">
        <v>1</v>
      </c>
      <c r="R2237" t="b">
        <v>0</v>
      </c>
      <c r="S2237" t="b">
        <v>0</v>
      </c>
      <c r="T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b">
        <v>0</v>
      </c>
      <c r="AB2237" t="b">
        <v>0</v>
      </c>
      <c r="AC2237" t="b">
        <v>0</v>
      </c>
      <c r="AE2237" t="s">
        <v>5614</v>
      </c>
    </row>
    <row r="2238" spans="1:31" x14ac:dyDescent="0.3">
      <c r="A2238">
        <v>-73.970822571970004</v>
      </c>
      <c r="B2238">
        <v>40.777249780410003</v>
      </c>
      <c r="C2238" t="s">
        <v>5615</v>
      </c>
      <c r="D2238" t="s">
        <v>729</v>
      </c>
      <c r="E2238" t="s">
        <v>33</v>
      </c>
      <c r="F2238">
        <v>10192018</v>
      </c>
      <c r="G2238">
        <v>13</v>
      </c>
      <c r="H2238" t="s">
        <v>48</v>
      </c>
      <c r="I2238" t="s">
        <v>42</v>
      </c>
      <c r="K2238" t="s">
        <v>43</v>
      </c>
      <c r="P2238" t="b">
        <v>0</v>
      </c>
      <c r="Q2238" t="b">
        <v>0</v>
      </c>
      <c r="R2238" t="b">
        <v>0</v>
      </c>
      <c r="S2238" t="b">
        <v>0</v>
      </c>
      <c r="T2238" t="b">
        <v>0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b">
        <v>0</v>
      </c>
      <c r="AB2238" t="b">
        <v>0</v>
      </c>
      <c r="AC2238" t="b">
        <v>0</v>
      </c>
      <c r="AE2238" t="s">
        <v>5616</v>
      </c>
    </row>
    <row r="2239" spans="1:31" x14ac:dyDescent="0.3">
      <c r="A2239">
        <v>-73.953619872619996</v>
      </c>
      <c r="B2239">
        <v>40.798013510220002</v>
      </c>
      <c r="C2239" t="s">
        <v>5617</v>
      </c>
      <c r="D2239" t="s">
        <v>1515</v>
      </c>
      <c r="E2239" t="s">
        <v>38</v>
      </c>
      <c r="F2239">
        <v>10072018</v>
      </c>
      <c r="G2239">
        <v>3</v>
      </c>
      <c r="H2239" t="s">
        <v>48</v>
      </c>
      <c r="I2239" t="s">
        <v>42</v>
      </c>
      <c r="K2239" t="s">
        <v>43</v>
      </c>
      <c r="M2239" t="s">
        <v>65</v>
      </c>
      <c r="N2239" t="b">
        <v>0</v>
      </c>
      <c r="P2239" t="b">
        <v>0</v>
      </c>
      <c r="Q2239" t="b">
        <v>0</v>
      </c>
      <c r="R2239" t="b">
        <v>0</v>
      </c>
      <c r="S2239" t="b">
        <v>0</v>
      </c>
      <c r="T2239" t="b">
        <v>1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b">
        <v>0</v>
      </c>
      <c r="AB2239" t="b">
        <v>1</v>
      </c>
      <c r="AC2239" t="b">
        <v>0</v>
      </c>
      <c r="AE2239" t="s">
        <v>5618</v>
      </c>
    </row>
    <row r="2240" spans="1:31" x14ac:dyDescent="0.3">
      <c r="A2240">
        <v>-73.966892201470003</v>
      </c>
      <c r="B2240">
        <v>40.782353565379999</v>
      </c>
      <c r="C2240" t="s">
        <v>5619</v>
      </c>
      <c r="D2240" t="s">
        <v>459</v>
      </c>
      <c r="E2240" t="s">
        <v>38</v>
      </c>
      <c r="F2240">
        <v>10082018</v>
      </c>
      <c r="G2240">
        <v>6</v>
      </c>
      <c r="H2240" t="s">
        <v>48</v>
      </c>
      <c r="I2240" t="s">
        <v>42</v>
      </c>
      <c r="K2240" t="s">
        <v>43</v>
      </c>
      <c r="M2240" t="s">
        <v>65</v>
      </c>
      <c r="N2240" t="b">
        <v>0</v>
      </c>
      <c r="P2240" t="b">
        <v>0</v>
      </c>
      <c r="Q2240" t="b">
        <v>0</v>
      </c>
      <c r="R2240" t="b">
        <v>0</v>
      </c>
      <c r="S2240" t="b">
        <v>0</v>
      </c>
      <c r="T2240" t="b">
        <v>1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b">
        <v>0</v>
      </c>
      <c r="AB2240" t="b">
        <v>0</v>
      </c>
      <c r="AC2240" t="b">
        <v>1</v>
      </c>
      <c r="AE2240" t="s">
        <v>5620</v>
      </c>
    </row>
    <row r="2241" spans="1:31" x14ac:dyDescent="0.3">
      <c r="A2241">
        <v>-73.969778767380006</v>
      </c>
      <c r="B2241">
        <v>40.778174619540003</v>
      </c>
      <c r="C2241" t="s">
        <v>5621</v>
      </c>
      <c r="D2241" t="s">
        <v>709</v>
      </c>
      <c r="E2241" t="s">
        <v>33</v>
      </c>
      <c r="F2241">
        <v>10102018</v>
      </c>
      <c r="G2241">
        <v>5</v>
      </c>
      <c r="H2241" t="s">
        <v>48</v>
      </c>
      <c r="I2241" t="s">
        <v>42</v>
      </c>
      <c r="K2241" t="s">
        <v>43</v>
      </c>
      <c r="M2241" t="s">
        <v>65</v>
      </c>
      <c r="N2241" t="b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1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b">
        <v>0</v>
      </c>
      <c r="AB2241" t="b">
        <v>0</v>
      </c>
      <c r="AC2241" t="b">
        <v>1</v>
      </c>
      <c r="AE2241" t="s">
        <v>5622</v>
      </c>
    </row>
    <row r="2242" spans="1:31" x14ac:dyDescent="0.3">
      <c r="A2242">
        <v>-73.957525862799997</v>
      </c>
      <c r="B2242">
        <v>40.787715550750001</v>
      </c>
      <c r="C2242" t="s">
        <v>5623</v>
      </c>
      <c r="D2242" t="s">
        <v>5624</v>
      </c>
      <c r="E2242" t="s">
        <v>38</v>
      </c>
      <c r="F2242">
        <v>10072018</v>
      </c>
      <c r="G2242">
        <v>3</v>
      </c>
      <c r="H2242" t="s">
        <v>48</v>
      </c>
      <c r="I2242" t="s">
        <v>53</v>
      </c>
      <c r="K2242" t="s">
        <v>155</v>
      </c>
      <c r="M2242" t="s">
        <v>65</v>
      </c>
      <c r="N2242" t="b">
        <v>0</v>
      </c>
      <c r="P2242" t="b">
        <v>0</v>
      </c>
      <c r="Q2242" t="b">
        <v>0</v>
      </c>
      <c r="R2242" t="b">
        <v>0</v>
      </c>
      <c r="S2242" t="b">
        <v>0</v>
      </c>
      <c r="T2242" t="b">
        <v>1</v>
      </c>
      <c r="V2242" t="b">
        <v>0</v>
      </c>
      <c r="W2242" t="b">
        <v>0</v>
      </c>
      <c r="X2242" t="b">
        <v>0</v>
      </c>
      <c r="Y2242" t="b">
        <v>0</v>
      </c>
      <c r="Z2242" t="b">
        <v>1</v>
      </c>
      <c r="AA2242" t="b">
        <v>0</v>
      </c>
      <c r="AB2242" t="b">
        <v>1</v>
      </c>
      <c r="AC2242" t="b">
        <v>0</v>
      </c>
      <c r="AE2242" t="s">
        <v>5625</v>
      </c>
    </row>
    <row r="2243" spans="1:31" x14ac:dyDescent="0.3">
      <c r="A2243">
        <v>-73.956582418769997</v>
      </c>
      <c r="B2243">
        <v>40.797312050949998</v>
      </c>
      <c r="C2243" t="s">
        <v>5626</v>
      </c>
      <c r="D2243" t="s">
        <v>428</v>
      </c>
      <c r="E2243" t="s">
        <v>38</v>
      </c>
      <c r="F2243">
        <v>10132018</v>
      </c>
      <c r="G2243">
        <v>6</v>
      </c>
      <c r="H2243" t="s">
        <v>48</v>
      </c>
      <c r="I2243" t="s">
        <v>42</v>
      </c>
      <c r="J2243" t="s">
        <v>53</v>
      </c>
      <c r="K2243" t="s">
        <v>54</v>
      </c>
      <c r="M2243" t="s">
        <v>44</v>
      </c>
      <c r="N2243">
        <v>15</v>
      </c>
      <c r="P2243" t="b">
        <v>1</v>
      </c>
      <c r="Q2243" t="b">
        <v>0</v>
      </c>
      <c r="R2243" t="b">
        <v>1</v>
      </c>
      <c r="S2243" t="b">
        <v>0</v>
      </c>
      <c r="T2243" t="b">
        <v>1</v>
      </c>
      <c r="V2243" t="b">
        <v>1</v>
      </c>
      <c r="W2243" t="b">
        <v>0</v>
      </c>
      <c r="X2243" t="b">
        <v>0</v>
      </c>
      <c r="Y2243" t="b">
        <v>0</v>
      </c>
      <c r="Z2243" t="b">
        <v>1</v>
      </c>
      <c r="AA2243" t="b">
        <v>0</v>
      </c>
      <c r="AB2243" t="b">
        <v>0</v>
      </c>
      <c r="AC2243" t="b">
        <v>1</v>
      </c>
      <c r="AE2243" t="s">
        <v>5627</v>
      </c>
    </row>
    <row r="2244" spans="1:31" x14ac:dyDescent="0.3">
      <c r="A2244">
        <v>-73.957996704729993</v>
      </c>
      <c r="B2244">
        <v>40.794868204229999</v>
      </c>
      <c r="C2244" t="s">
        <v>5628</v>
      </c>
      <c r="D2244" t="s">
        <v>390</v>
      </c>
      <c r="E2244" t="s">
        <v>33</v>
      </c>
      <c r="F2244">
        <v>10142018</v>
      </c>
      <c r="G2244">
        <v>2</v>
      </c>
      <c r="H2244" t="s">
        <v>48</v>
      </c>
      <c r="I2244" t="s">
        <v>42</v>
      </c>
      <c r="K2244" t="s">
        <v>43</v>
      </c>
      <c r="M2244" t="s">
        <v>44</v>
      </c>
      <c r="N2244">
        <v>40</v>
      </c>
      <c r="P2244" t="b">
        <v>0</v>
      </c>
      <c r="Q2244" t="b">
        <v>0</v>
      </c>
      <c r="R2244" t="b">
        <v>1</v>
      </c>
      <c r="S2244" t="b">
        <v>0</v>
      </c>
      <c r="T2244" t="b">
        <v>0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b">
        <v>0</v>
      </c>
      <c r="AB2244" t="b">
        <v>0</v>
      </c>
      <c r="AC2244" t="b">
        <v>0</v>
      </c>
      <c r="AE2244" t="s">
        <v>5629</v>
      </c>
    </row>
    <row r="2245" spans="1:31" x14ac:dyDescent="0.3">
      <c r="A2245">
        <v>-73.95096281955</v>
      </c>
      <c r="B2245">
        <v>40.797777567419999</v>
      </c>
      <c r="C2245" t="s">
        <v>5630</v>
      </c>
      <c r="D2245" t="s">
        <v>677</v>
      </c>
      <c r="E2245" t="s">
        <v>33</v>
      </c>
      <c r="F2245">
        <v>10142018</v>
      </c>
      <c r="G2245">
        <v>1</v>
      </c>
      <c r="H2245" t="s">
        <v>48</v>
      </c>
      <c r="I2245" t="s">
        <v>53</v>
      </c>
      <c r="J2245" t="s">
        <v>42</v>
      </c>
      <c r="K2245" t="s">
        <v>89</v>
      </c>
      <c r="M2245" t="s">
        <v>44</v>
      </c>
      <c r="N2245">
        <v>2</v>
      </c>
      <c r="P2245" t="b">
        <v>0</v>
      </c>
      <c r="Q2245" t="b">
        <v>0</v>
      </c>
      <c r="R2245" t="b">
        <v>0</v>
      </c>
      <c r="S2245" t="b">
        <v>0</v>
      </c>
      <c r="T2245" t="b">
        <v>0</v>
      </c>
      <c r="V2245" t="b">
        <v>0</v>
      </c>
      <c r="W2245" t="b">
        <v>0</v>
      </c>
      <c r="X2245" t="b">
        <v>0</v>
      </c>
      <c r="Y2245" t="b">
        <v>0</v>
      </c>
      <c r="Z2245" t="b">
        <v>1</v>
      </c>
      <c r="AA2245" t="b">
        <v>0</v>
      </c>
      <c r="AB2245" t="b">
        <v>0</v>
      </c>
      <c r="AC2245" t="b">
        <v>1</v>
      </c>
      <c r="AE2245" t="s">
        <v>5631</v>
      </c>
    </row>
    <row r="2246" spans="1:31" x14ac:dyDescent="0.3">
      <c r="A2246">
        <v>-73.9774228454</v>
      </c>
      <c r="B2246">
        <v>40.768639983900002</v>
      </c>
      <c r="C2246" t="s">
        <v>5632</v>
      </c>
      <c r="D2246" t="s">
        <v>502</v>
      </c>
      <c r="E2246" t="s">
        <v>38</v>
      </c>
      <c r="F2246">
        <v>10062018</v>
      </c>
      <c r="G2246">
        <v>5</v>
      </c>
      <c r="H2246" t="s">
        <v>48</v>
      </c>
      <c r="I2246" t="s">
        <v>53</v>
      </c>
      <c r="J2246" t="s">
        <v>42</v>
      </c>
      <c r="K2246" t="s">
        <v>89</v>
      </c>
      <c r="M2246" t="s">
        <v>65</v>
      </c>
      <c r="N2246" t="b">
        <v>0</v>
      </c>
      <c r="P2246" t="b">
        <v>1</v>
      </c>
      <c r="Q2246" t="b">
        <v>0</v>
      </c>
      <c r="R2246" t="b">
        <v>0</v>
      </c>
      <c r="S2246" t="b">
        <v>0</v>
      </c>
      <c r="T2246" t="b">
        <v>0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b">
        <v>0</v>
      </c>
      <c r="AB2246" t="b">
        <v>0</v>
      </c>
      <c r="AC2246" t="b">
        <v>1</v>
      </c>
      <c r="AD2246" t="s">
        <v>5633</v>
      </c>
      <c r="AE2246" t="s">
        <v>5634</v>
      </c>
    </row>
    <row r="2247" spans="1:31" x14ac:dyDescent="0.3">
      <c r="A2247">
        <v>-73.971160754470006</v>
      </c>
      <c r="B2247">
        <v>40.774988247640003</v>
      </c>
      <c r="C2247" t="s">
        <v>5635</v>
      </c>
      <c r="D2247" t="s">
        <v>726</v>
      </c>
      <c r="E2247" t="s">
        <v>38</v>
      </c>
      <c r="F2247">
        <v>10172018</v>
      </c>
      <c r="G2247">
        <v>4</v>
      </c>
      <c r="H2247" t="s">
        <v>48</v>
      </c>
      <c r="I2247" t="s">
        <v>42</v>
      </c>
      <c r="K2247" t="s">
        <v>43</v>
      </c>
      <c r="M2247" t="s">
        <v>65</v>
      </c>
      <c r="N2247" t="b">
        <v>0</v>
      </c>
      <c r="P2247" t="b">
        <v>1</v>
      </c>
      <c r="Q2247" t="b">
        <v>0</v>
      </c>
      <c r="R2247" t="b">
        <v>0</v>
      </c>
      <c r="S2247" t="b">
        <v>0</v>
      </c>
      <c r="T2247" t="b">
        <v>0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b">
        <v>0</v>
      </c>
      <c r="AB2247" t="b">
        <v>1</v>
      </c>
      <c r="AC2247" t="b">
        <v>0</v>
      </c>
      <c r="AE2247" t="s">
        <v>5636</v>
      </c>
    </row>
    <row r="2248" spans="1:31" x14ac:dyDescent="0.3">
      <c r="A2248">
        <v>-73.955952013719994</v>
      </c>
      <c r="B2248">
        <v>40.795053628719998</v>
      </c>
      <c r="C2248" t="s">
        <v>5637</v>
      </c>
      <c r="D2248" t="s">
        <v>520</v>
      </c>
      <c r="E2248" t="s">
        <v>38</v>
      </c>
      <c r="F2248">
        <v>10102018</v>
      </c>
      <c r="G2248">
        <v>6</v>
      </c>
      <c r="H2248" t="s">
        <v>48</v>
      </c>
      <c r="I2248" t="s">
        <v>42</v>
      </c>
      <c r="J2248" t="s">
        <v>53</v>
      </c>
      <c r="K2248" t="s">
        <v>54</v>
      </c>
      <c r="M2248" t="s">
        <v>44</v>
      </c>
      <c r="N2248">
        <v>1</v>
      </c>
      <c r="O2248" t="s">
        <v>1642</v>
      </c>
      <c r="P2248" t="b">
        <v>1</v>
      </c>
      <c r="Q2248" t="b">
        <v>1</v>
      </c>
      <c r="R2248" t="b">
        <v>0</v>
      </c>
      <c r="S2248" t="b">
        <v>0</v>
      </c>
      <c r="T2248" t="b">
        <v>0</v>
      </c>
      <c r="U2248" t="s">
        <v>5638</v>
      </c>
      <c r="V2248" t="b">
        <v>0</v>
      </c>
      <c r="W2248" t="b">
        <v>0</v>
      </c>
      <c r="X2248" t="b">
        <v>0</v>
      </c>
      <c r="Y2248" t="b">
        <v>0</v>
      </c>
      <c r="Z2248" t="b">
        <v>1</v>
      </c>
      <c r="AA2248" t="b">
        <v>0</v>
      </c>
      <c r="AB2248" t="b">
        <v>1</v>
      </c>
      <c r="AC2248" t="b">
        <v>0</v>
      </c>
      <c r="AE2248" t="s">
        <v>5639</v>
      </c>
    </row>
    <row r="2249" spans="1:31" x14ac:dyDescent="0.3">
      <c r="A2249">
        <v>-73.976647702730006</v>
      </c>
      <c r="B2249">
        <v>40.77127374178</v>
      </c>
      <c r="C2249" t="s">
        <v>5640</v>
      </c>
      <c r="D2249" t="s">
        <v>2798</v>
      </c>
      <c r="E2249" t="s">
        <v>38</v>
      </c>
      <c r="F2249">
        <v>10072018</v>
      </c>
      <c r="G2249">
        <v>4</v>
      </c>
      <c r="H2249" t="s">
        <v>48</v>
      </c>
      <c r="I2249" t="s">
        <v>42</v>
      </c>
      <c r="K2249" t="s">
        <v>43</v>
      </c>
      <c r="M2249" t="s">
        <v>44</v>
      </c>
      <c r="N2249">
        <v>20</v>
      </c>
      <c r="P2249" t="b">
        <v>0</v>
      </c>
      <c r="Q2249" t="b">
        <v>1</v>
      </c>
      <c r="R2249" t="b">
        <v>1</v>
      </c>
      <c r="S2249" t="b">
        <v>0</v>
      </c>
      <c r="T2249" t="b">
        <v>0</v>
      </c>
      <c r="U2249" t="s">
        <v>3374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b">
        <v>0</v>
      </c>
      <c r="AB2249" t="b">
        <v>1</v>
      </c>
      <c r="AC2249" t="b">
        <v>0</v>
      </c>
      <c r="AE2249" t="s">
        <v>5641</v>
      </c>
    </row>
    <row r="2250" spans="1:31" x14ac:dyDescent="0.3">
      <c r="A2250">
        <v>-73.978570920120006</v>
      </c>
      <c r="B2250">
        <v>40.767439193420003</v>
      </c>
      <c r="C2250" t="s">
        <v>5642</v>
      </c>
      <c r="D2250" t="s">
        <v>1232</v>
      </c>
      <c r="E2250" t="s">
        <v>33</v>
      </c>
      <c r="F2250">
        <v>10132018</v>
      </c>
      <c r="G2250">
        <v>2</v>
      </c>
      <c r="H2250" t="s">
        <v>48</v>
      </c>
      <c r="I2250" t="s">
        <v>42</v>
      </c>
      <c r="J2250" t="s">
        <v>59</v>
      </c>
      <c r="K2250" t="s">
        <v>79</v>
      </c>
      <c r="M2250" t="s">
        <v>65</v>
      </c>
      <c r="N2250" t="b">
        <v>0</v>
      </c>
      <c r="P2250" t="b">
        <v>0</v>
      </c>
      <c r="Q2250" t="b">
        <v>1</v>
      </c>
      <c r="R2250" t="b">
        <v>0</v>
      </c>
      <c r="S2250" t="b">
        <v>0</v>
      </c>
      <c r="T2250" t="b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b">
        <v>0</v>
      </c>
      <c r="AB2250" t="b">
        <v>0</v>
      </c>
      <c r="AC2250" t="b">
        <v>0</v>
      </c>
      <c r="AE2250" t="s">
        <v>5643</v>
      </c>
    </row>
    <row r="2251" spans="1:31" x14ac:dyDescent="0.3">
      <c r="A2251">
        <v>-73.958901638590007</v>
      </c>
      <c r="B2251">
        <v>40.791172767959999</v>
      </c>
      <c r="C2251" t="s">
        <v>5644</v>
      </c>
      <c r="D2251" t="s">
        <v>1211</v>
      </c>
      <c r="E2251" t="s">
        <v>33</v>
      </c>
      <c r="F2251">
        <v>10122018</v>
      </c>
      <c r="G2251">
        <v>3</v>
      </c>
      <c r="H2251" t="s">
        <v>48</v>
      </c>
      <c r="I2251" t="s">
        <v>42</v>
      </c>
      <c r="J2251" t="s">
        <v>59</v>
      </c>
      <c r="K2251" t="s">
        <v>79</v>
      </c>
      <c r="M2251" t="s">
        <v>65</v>
      </c>
      <c r="N2251" t="b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1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b">
        <v>0</v>
      </c>
      <c r="AB2251" t="b">
        <v>0</v>
      </c>
      <c r="AC2251" t="b">
        <v>0</v>
      </c>
      <c r="AE2251" t="s">
        <v>5645</v>
      </c>
    </row>
    <row r="2252" spans="1:31" x14ac:dyDescent="0.3">
      <c r="A2252">
        <v>-73.958767856630004</v>
      </c>
      <c r="B2252">
        <v>40.796265603099997</v>
      </c>
      <c r="C2252" t="s">
        <v>5646</v>
      </c>
      <c r="D2252" t="s">
        <v>175</v>
      </c>
      <c r="E2252" t="s">
        <v>33</v>
      </c>
      <c r="F2252">
        <v>10142018</v>
      </c>
      <c r="G2252">
        <v>1</v>
      </c>
      <c r="H2252" t="s">
        <v>48</v>
      </c>
      <c r="I2252" t="s">
        <v>42</v>
      </c>
      <c r="J2252" t="s">
        <v>96</v>
      </c>
      <c r="K2252" t="s">
        <v>97</v>
      </c>
      <c r="M2252" t="s">
        <v>44</v>
      </c>
      <c r="N2252">
        <v>20</v>
      </c>
      <c r="P2252" t="b">
        <v>0</v>
      </c>
      <c r="Q2252" t="b">
        <v>0</v>
      </c>
      <c r="R2252" t="b">
        <v>1</v>
      </c>
      <c r="S2252" t="b">
        <v>0</v>
      </c>
      <c r="T2252" t="b">
        <v>0</v>
      </c>
      <c r="V2252" t="b">
        <v>1</v>
      </c>
      <c r="W2252" t="b">
        <v>0</v>
      </c>
      <c r="X2252" t="b">
        <v>0</v>
      </c>
      <c r="Y2252" t="b">
        <v>0</v>
      </c>
      <c r="Z2252" t="b">
        <v>0</v>
      </c>
      <c r="AA2252" t="b">
        <v>0</v>
      </c>
      <c r="AB2252" t="b">
        <v>0</v>
      </c>
      <c r="AC2252" t="b">
        <v>0</v>
      </c>
      <c r="AE2252" t="s">
        <v>5647</v>
      </c>
    </row>
    <row r="2253" spans="1:31" x14ac:dyDescent="0.3">
      <c r="A2253">
        <v>-73.953770323140006</v>
      </c>
      <c r="B2253">
        <v>40.791595939380002</v>
      </c>
      <c r="C2253" t="s">
        <v>5648</v>
      </c>
      <c r="D2253" t="s">
        <v>3750</v>
      </c>
      <c r="E2253" t="s">
        <v>38</v>
      </c>
      <c r="F2253">
        <v>10132018</v>
      </c>
      <c r="G2253">
        <v>1</v>
      </c>
      <c r="H2253" t="s">
        <v>48</v>
      </c>
      <c r="I2253" t="s">
        <v>53</v>
      </c>
      <c r="J2253" t="s">
        <v>59</v>
      </c>
      <c r="K2253" t="s">
        <v>60</v>
      </c>
      <c r="L2253" t="s">
        <v>5649</v>
      </c>
      <c r="M2253" t="s">
        <v>44</v>
      </c>
      <c r="N2253">
        <v>18</v>
      </c>
      <c r="P2253" t="b">
        <v>0</v>
      </c>
      <c r="Q2253" t="b">
        <v>0</v>
      </c>
      <c r="R2253" t="b">
        <v>1</v>
      </c>
      <c r="S2253" t="b">
        <v>0</v>
      </c>
      <c r="T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b">
        <v>0</v>
      </c>
      <c r="AB2253" t="b">
        <v>1</v>
      </c>
      <c r="AC2253" t="b">
        <v>0</v>
      </c>
      <c r="AE2253" t="s">
        <v>5650</v>
      </c>
    </row>
    <row r="2254" spans="1:31" x14ac:dyDescent="0.3">
      <c r="A2254">
        <v>-73.973394428190005</v>
      </c>
      <c r="B2254">
        <v>40.772293351309997</v>
      </c>
      <c r="C2254" t="s">
        <v>5651</v>
      </c>
      <c r="D2254" t="s">
        <v>1206</v>
      </c>
      <c r="E2254" t="s">
        <v>33</v>
      </c>
      <c r="F2254">
        <v>10082018</v>
      </c>
      <c r="G2254">
        <v>3</v>
      </c>
      <c r="H2254" t="s">
        <v>48</v>
      </c>
      <c r="I2254" t="s">
        <v>42</v>
      </c>
      <c r="J2254" t="s">
        <v>59</v>
      </c>
      <c r="K2254" t="s">
        <v>79</v>
      </c>
      <c r="M2254" t="s">
        <v>65</v>
      </c>
      <c r="N2254" t="b">
        <v>0</v>
      </c>
      <c r="O2254" t="s">
        <v>5652</v>
      </c>
      <c r="P2254" t="b">
        <v>0</v>
      </c>
      <c r="Q2254" t="b">
        <v>0</v>
      </c>
      <c r="R2254" t="b">
        <v>0</v>
      </c>
      <c r="S2254" t="b">
        <v>1</v>
      </c>
      <c r="T2254" t="b">
        <v>1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b">
        <v>1</v>
      </c>
      <c r="AB2254" t="b">
        <v>0</v>
      </c>
      <c r="AC2254" t="b">
        <v>0</v>
      </c>
      <c r="AD2254" t="s">
        <v>5653</v>
      </c>
      <c r="AE2254" t="s">
        <v>5654</v>
      </c>
    </row>
    <row r="2255" spans="1:31" x14ac:dyDescent="0.3">
      <c r="A2255">
        <v>-73.970999101629999</v>
      </c>
      <c r="B2255">
        <v>40.772575670770003</v>
      </c>
      <c r="C2255" t="s">
        <v>5655</v>
      </c>
      <c r="D2255" t="s">
        <v>314</v>
      </c>
      <c r="E2255" t="s">
        <v>33</v>
      </c>
      <c r="F2255">
        <v>10192018</v>
      </c>
      <c r="G2255">
        <v>3</v>
      </c>
      <c r="H2255" t="s">
        <v>105</v>
      </c>
      <c r="I2255" t="s">
        <v>42</v>
      </c>
      <c r="J2255" t="s">
        <v>53</v>
      </c>
      <c r="K2255" t="s">
        <v>54</v>
      </c>
      <c r="L2255" t="s">
        <v>4791</v>
      </c>
      <c r="M2255" t="s">
        <v>65</v>
      </c>
      <c r="N2255" t="b">
        <v>0</v>
      </c>
      <c r="O2255" t="s">
        <v>701</v>
      </c>
      <c r="P2255" t="b">
        <v>0</v>
      </c>
      <c r="Q2255" t="b">
        <v>0</v>
      </c>
      <c r="R2255" t="b">
        <v>0</v>
      </c>
      <c r="S2255" t="b">
        <v>1</v>
      </c>
      <c r="T2255" t="b">
        <v>0</v>
      </c>
      <c r="U2255" t="s">
        <v>5656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b">
        <v>1</v>
      </c>
      <c r="AB2255" t="b">
        <v>0</v>
      </c>
      <c r="AC2255" t="b">
        <v>0</v>
      </c>
      <c r="AD2255" t="s">
        <v>5657</v>
      </c>
      <c r="AE2255" t="s">
        <v>5658</v>
      </c>
    </row>
    <row r="2256" spans="1:31" x14ac:dyDescent="0.3">
      <c r="A2256">
        <v>-73.964296787590001</v>
      </c>
      <c r="B2256">
        <v>40.781565235389998</v>
      </c>
      <c r="C2256" t="s">
        <v>5659</v>
      </c>
      <c r="D2256" t="s">
        <v>1199</v>
      </c>
      <c r="E2256" t="s">
        <v>38</v>
      </c>
      <c r="F2256">
        <v>10182018</v>
      </c>
      <c r="G2256">
        <v>8</v>
      </c>
      <c r="H2256" t="s">
        <v>48</v>
      </c>
      <c r="I2256" t="s">
        <v>53</v>
      </c>
      <c r="J2256" t="s">
        <v>42</v>
      </c>
      <c r="K2256" t="s">
        <v>89</v>
      </c>
      <c r="M2256" t="s">
        <v>65</v>
      </c>
      <c r="N2256" t="b">
        <v>0</v>
      </c>
      <c r="P2256" t="b">
        <v>0</v>
      </c>
      <c r="Q2256" t="b">
        <v>0</v>
      </c>
      <c r="R2256" t="b">
        <v>0</v>
      </c>
      <c r="S2256" t="b">
        <v>1</v>
      </c>
      <c r="T2256" t="b">
        <v>1</v>
      </c>
      <c r="V2256" t="b">
        <v>0</v>
      </c>
      <c r="W2256" t="b">
        <v>0</v>
      </c>
      <c r="X2256" t="b">
        <v>0</v>
      </c>
      <c r="Y2256" t="b">
        <v>0</v>
      </c>
      <c r="Z2256" t="b">
        <v>1</v>
      </c>
      <c r="AA2256" t="b">
        <v>0</v>
      </c>
      <c r="AB2256" t="b">
        <v>1</v>
      </c>
      <c r="AC2256" t="b">
        <v>0</v>
      </c>
      <c r="AE2256" t="s">
        <v>5660</v>
      </c>
    </row>
    <row r="2257" spans="1:31" x14ac:dyDescent="0.3">
      <c r="A2257">
        <v>-73.972005020430004</v>
      </c>
      <c r="B2257">
        <v>40.769941909419998</v>
      </c>
      <c r="C2257" t="s">
        <v>5661</v>
      </c>
      <c r="D2257" t="s">
        <v>402</v>
      </c>
      <c r="E2257" t="s">
        <v>38</v>
      </c>
      <c r="F2257">
        <v>10102018</v>
      </c>
      <c r="G2257">
        <v>3</v>
      </c>
      <c r="H2257" t="s">
        <v>48</v>
      </c>
      <c r="I2257" t="s">
        <v>42</v>
      </c>
      <c r="J2257" t="s">
        <v>53</v>
      </c>
      <c r="K2257" t="s">
        <v>54</v>
      </c>
      <c r="M2257" t="s">
        <v>65</v>
      </c>
      <c r="N2257" t="b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b">
        <v>0</v>
      </c>
      <c r="AB2257" t="b">
        <v>1</v>
      </c>
      <c r="AC2257" t="b">
        <v>0</v>
      </c>
      <c r="AE2257" t="s">
        <v>5662</v>
      </c>
    </row>
    <row r="2258" spans="1:31" x14ac:dyDescent="0.3">
      <c r="A2258">
        <v>-73.954313384480002</v>
      </c>
      <c r="B2258">
        <v>40.794053758259999</v>
      </c>
      <c r="C2258" t="s">
        <v>5663</v>
      </c>
      <c r="D2258" t="s">
        <v>936</v>
      </c>
      <c r="E2258" t="s">
        <v>33</v>
      </c>
      <c r="F2258">
        <v>10072018</v>
      </c>
      <c r="G2258">
        <v>8</v>
      </c>
      <c r="H2258" t="s">
        <v>48</v>
      </c>
      <c r="I2258" t="s">
        <v>42</v>
      </c>
      <c r="K2258" t="s">
        <v>43</v>
      </c>
      <c r="P2258" t="b">
        <v>0</v>
      </c>
      <c r="Q2258" t="b">
        <v>0</v>
      </c>
      <c r="R2258" t="b">
        <v>0</v>
      </c>
      <c r="S2258" t="b">
        <v>0</v>
      </c>
      <c r="T2258" t="b">
        <v>1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b">
        <v>0</v>
      </c>
      <c r="AB2258" t="b">
        <v>0</v>
      </c>
      <c r="AC2258" t="b">
        <v>0</v>
      </c>
      <c r="AE2258" t="s">
        <v>5664</v>
      </c>
    </row>
    <row r="2259" spans="1:31" x14ac:dyDescent="0.3">
      <c r="A2259">
        <v>-73.95477850812</v>
      </c>
      <c r="B2259">
        <v>40.789612183709998</v>
      </c>
      <c r="C2259" t="s">
        <v>5665</v>
      </c>
      <c r="D2259" t="s">
        <v>921</v>
      </c>
      <c r="E2259" t="s">
        <v>38</v>
      </c>
      <c r="F2259">
        <v>10082018</v>
      </c>
      <c r="G2259">
        <v>2</v>
      </c>
      <c r="H2259" t="s">
        <v>48</v>
      </c>
      <c r="I2259" t="s">
        <v>42</v>
      </c>
      <c r="K2259" t="s">
        <v>43</v>
      </c>
      <c r="M2259" t="s">
        <v>44</v>
      </c>
      <c r="N2259">
        <v>3</v>
      </c>
      <c r="O2259" t="s">
        <v>5666</v>
      </c>
      <c r="P2259" t="b">
        <v>0</v>
      </c>
      <c r="Q2259" t="b">
        <v>0</v>
      </c>
      <c r="R2259" t="b">
        <v>1</v>
      </c>
      <c r="S2259" t="b">
        <v>0</v>
      </c>
      <c r="T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1</v>
      </c>
      <c r="AA2259" t="b">
        <v>0</v>
      </c>
      <c r="AB2259" t="b">
        <v>1</v>
      </c>
      <c r="AC2259" t="b">
        <v>0</v>
      </c>
      <c r="AE2259" t="s">
        <v>5667</v>
      </c>
    </row>
    <row r="2260" spans="1:31" x14ac:dyDescent="0.3">
      <c r="A2260">
        <v>-73.975565603570004</v>
      </c>
      <c r="B2260">
        <v>40.773846251830001</v>
      </c>
      <c r="C2260" t="s">
        <v>5668</v>
      </c>
      <c r="D2260" t="s">
        <v>790</v>
      </c>
      <c r="E2260" t="s">
        <v>38</v>
      </c>
      <c r="F2260">
        <v>10102018</v>
      </c>
      <c r="G2260">
        <v>3</v>
      </c>
      <c r="H2260" t="s">
        <v>48</v>
      </c>
      <c r="I2260" t="s">
        <v>42</v>
      </c>
      <c r="J2260" t="s">
        <v>53</v>
      </c>
      <c r="K2260" t="s">
        <v>54</v>
      </c>
      <c r="M2260" t="s">
        <v>44</v>
      </c>
      <c r="N2260">
        <v>4</v>
      </c>
      <c r="P2260" t="b">
        <v>1</v>
      </c>
      <c r="Q2260" t="b">
        <v>0</v>
      </c>
      <c r="R2260" t="b">
        <v>1</v>
      </c>
      <c r="S2260" t="b">
        <v>0</v>
      </c>
      <c r="T2260" t="b">
        <v>1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b">
        <v>0</v>
      </c>
      <c r="AB2260" t="b">
        <v>1</v>
      </c>
      <c r="AC2260" t="b">
        <v>0</v>
      </c>
      <c r="AE2260" t="s">
        <v>5669</v>
      </c>
    </row>
    <row r="2261" spans="1:31" x14ac:dyDescent="0.3">
      <c r="A2261">
        <v>-73.978468592870001</v>
      </c>
      <c r="B2261">
        <v>40.766992401529997</v>
      </c>
      <c r="C2261" t="s">
        <v>5670</v>
      </c>
      <c r="D2261" t="s">
        <v>1278</v>
      </c>
      <c r="E2261" t="s">
        <v>33</v>
      </c>
      <c r="F2261">
        <v>10072018</v>
      </c>
      <c r="G2261">
        <v>5</v>
      </c>
      <c r="H2261" t="s">
        <v>48</v>
      </c>
      <c r="I2261" t="s">
        <v>42</v>
      </c>
      <c r="J2261" t="s">
        <v>53</v>
      </c>
      <c r="K2261" t="s">
        <v>54</v>
      </c>
      <c r="M2261" t="s">
        <v>65</v>
      </c>
      <c r="N2261" t="b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1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b">
        <v>0</v>
      </c>
      <c r="AB2261" t="b">
        <v>1</v>
      </c>
      <c r="AC2261" t="b">
        <v>0</v>
      </c>
      <c r="AE2261" t="s">
        <v>5671</v>
      </c>
    </row>
    <row r="2262" spans="1:31" x14ac:dyDescent="0.3">
      <c r="A2262">
        <v>-73.960969286099996</v>
      </c>
      <c r="B2262">
        <v>40.79050289125</v>
      </c>
      <c r="C2262" t="s">
        <v>5672</v>
      </c>
      <c r="D2262" t="s">
        <v>612</v>
      </c>
      <c r="E2262" t="s">
        <v>38</v>
      </c>
      <c r="F2262">
        <v>10142018</v>
      </c>
      <c r="G2262">
        <v>7</v>
      </c>
      <c r="I2262" t="s">
        <v>42</v>
      </c>
      <c r="K2262" t="s">
        <v>43</v>
      </c>
      <c r="M2262" t="s">
        <v>65</v>
      </c>
      <c r="N2262" t="b">
        <v>0</v>
      </c>
      <c r="O2262" t="s">
        <v>5673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b">
        <v>0</v>
      </c>
      <c r="AB2262" t="b">
        <v>0</v>
      </c>
      <c r="AC2262" t="b">
        <v>1</v>
      </c>
      <c r="AE2262" t="s">
        <v>5674</v>
      </c>
    </row>
    <row r="2263" spans="1:31" x14ac:dyDescent="0.3">
      <c r="A2263">
        <v>-73.955617749029997</v>
      </c>
      <c r="B2263">
        <v>40.788856916150003</v>
      </c>
      <c r="C2263" t="s">
        <v>5675</v>
      </c>
      <c r="D2263" t="s">
        <v>873</v>
      </c>
      <c r="E2263" t="s">
        <v>38</v>
      </c>
      <c r="F2263">
        <v>10132018</v>
      </c>
      <c r="G2263">
        <v>3</v>
      </c>
      <c r="H2263" t="s">
        <v>105</v>
      </c>
      <c r="I2263" t="s">
        <v>42</v>
      </c>
      <c r="J2263" t="s">
        <v>53</v>
      </c>
      <c r="K2263" t="s">
        <v>54</v>
      </c>
      <c r="M2263" t="s">
        <v>44</v>
      </c>
      <c r="N2263">
        <v>15</v>
      </c>
      <c r="P2263" t="b">
        <v>0</v>
      </c>
      <c r="Q2263" t="b">
        <v>0</v>
      </c>
      <c r="R2263" t="b">
        <v>1</v>
      </c>
      <c r="S2263" t="b">
        <v>0</v>
      </c>
      <c r="T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b">
        <v>0</v>
      </c>
      <c r="AB2263" t="b">
        <v>0</v>
      </c>
      <c r="AC2263" t="b">
        <v>0</v>
      </c>
      <c r="AD2263" t="s">
        <v>1185</v>
      </c>
      <c r="AE2263" t="s">
        <v>5676</v>
      </c>
    </row>
    <row r="2264" spans="1:31" x14ac:dyDescent="0.3">
      <c r="A2264">
        <v>-73.956937535590001</v>
      </c>
      <c r="B2264">
        <v>40.793539800860003</v>
      </c>
      <c r="C2264" t="s">
        <v>5677</v>
      </c>
      <c r="D2264" t="s">
        <v>1042</v>
      </c>
      <c r="E2264" t="s">
        <v>38</v>
      </c>
      <c r="F2264">
        <v>10132018</v>
      </c>
      <c r="G2264">
        <v>2</v>
      </c>
      <c r="H2264" t="s">
        <v>48</v>
      </c>
      <c r="I2264" t="s">
        <v>42</v>
      </c>
      <c r="K2264" t="s">
        <v>43</v>
      </c>
      <c r="M2264" t="s">
        <v>65</v>
      </c>
      <c r="N2264" t="b">
        <v>0</v>
      </c>
      <c r="P2264" t="b">
        <v>1</v>
      </c>
      <c r="Q2264" t="b">
        <v>0</v>
      </c>
      <c r="R2264" t="b">
        <v>0</v>
      </c>
      <c r="S2264" t="b">
        <v>1</v>
      </c>
      <c r="T2264" t="b">
        <v>0</v>
      </c>
      <c r="V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b">
        <v>0</v>
      </c>
      <c r="AB2264" t="b">
        <v>0</v>
      </c>
      <c r="AC2264" t="b">
        <v>1</v>
      </c>
      <c r="AE2264" t="s">
        <v>5678</v>
      </c>
    </row>
    <row r="2265" spans="1:31" x14ac:dyDescent="0.3">
      <c r="A2265">
        <v>-73.97735205827</v>
      </c>
      <c r="B2265">
        <v>40.770819850579997</v>
      </c>
      <c r="C2265" t="s">
        <v>5679</v>
      </c>
      <c r="D2265" t="s">
        <v>2861</v>
      </c>
      <c r="E2265" t="s">
        <v>38</v>
      </c>
      <c r="F2265">
        <v>10082018</v>
      </c>
      <c r="G2265">
        <v>4</v>
      </c>
      <c r="H2265" t="s">
        <v>48</v>
      </c>
      <c r="I2265" t="s">
        <v>42</v>
      </c>
      <c r="J2265" t="s">
        <v>53</v>
      </c>
      <c r="K2265" t="s">
        <v>54</v>
      </c>
      <c r="M2265" t="s">
        <v>65</v>
      </c>
      <c r="N2265" t="b">
        <v>0</v>
      </c>
      <c r="P2265" t="b">
        <v>0</v>
      </c>
      <c r="Q2265" t="b">
        <v>0</v>
      </c>
      <c r="R2265" t="b">
        <v>0</v>
      </c>
      <c r="S2265" t="b">
        <v>0</v>
      </c>
      <c r="T2265" t="b">
        <v>0</v>
      </c>
      <c r="V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b">
        <v>0</v>
      </c>
      <c r="AB2265" t="b">
        <v>1</v>
      </c>
      <c r="AC2265" t="b">
        <v>0</v>
      </c>
      <c r="AE2265" t="s">
        <v>5680</v>
      </c>
    </row>
    <row r="2266" spans="1:31" x14ac:dyDescent="0.3">
      <c r="A2266">
        <v>-73.97052601032</v>
      </c>
      <c r="B2266">
        <v>40.782633368660001</v>
      </c>
      <c r="C2266" t="s">
        <v>5681</v>
      </c>
      <c r="D2266" t="s">
        <v>2667</v>
      </c>
      <c r="E2266" t="s">
        <v>33</v>
      </c>
      <c r="F2266">
        <v>10132018</v>
      </c>
      <c r="G2266">
        <v>4</v>
      </c>
      <c r="H2266" t="s">
        <v>48</v>
      </c>
      <c r="I2266" t="s">
        <v>42</v>
      </c>
      <c r="J2266" t="s">
        <v>737</v>
      </c>
      <c r="K2266" t="s">
        <v>738</v>
      </c>
      <c r="L2266" t="s">
        <v>5682</v>
      </c>
      <c r="M2266" t="s">
        <v>44</v>
      </c>
      <c r="N2266">
        <v>2</v>
      </c>
      <c r="P2266" t="b">
        <v>0</v>
      </c>
      <c r="Q2266" t="b">
        <v>0</v>
      </c>
      <c r="R2266" t="b">
        <v>0</v>
      </c>
      <c r="S2266" t="b">
        <v>1</v>
      </c>
      <c r="T2266" t="b">
        <v>1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b">
        <v>0</v>
      </c>
      <c r="AB2266" t="b">
        <v>1</v>
      </c>
      <c r="AC2266" t="b">
        <v>0</v>
      </c>
      <c r="AE2266" t="s">
        <v>5683</v>
      </c>
    </row>
    <row r="2267" spans="1:31" x14ac:dyDescent="0.3">
      <c r="A2267">
        <v>-73.97164024544</v>
      </c>
      <c r="B2267">
        <v>40.766513378070002</v>
      </c>
      <c r="C2267" t="s">
        <v>5684</v>
      </c>
      <c r="D2267" t="s">
        <v>985</v>
      </c>
      <c r="E2267" t="s">
        <v>33</v>
      </c>
      <c r="F2267">
        <v>10132018</v>
      </c>
      <c r="G2267">
        <v>8</v>
      </c>
      <c r="H2267" t="s">
        <v>48</v>
      </c>
      <c r="I2267" t="s">
        <v>176</v>
      </c>
      <c r="K2267" t="s">
        <v>177</v>
      </c>
      <c r="M2267" t="s">
        <v>44</v>
      </c>
      <c r="N2267">
        <v>2</v>
      </c>
      <c r="P2267" t="b">
        <v>0</v>
      </c>
      <c r="Q2267" t="b">
        <v>0</v>
      </c>
      <c r="R2267" t="b">
        <v>1</v>
      </c>
      <c r="S2267" t="b">
        <v>0</v>
      </c>
      <c r="T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b">
        <v>0</v>
      </c>
      <c r="AB2267" t="b">
        <v>1</v>
      </c>
      <c r="AC2267" t="b">
        <v>0</v>
      </c>
      <c r="AE2267" t="s">
        <v>5685</v>
      </c>
    </row>
    <row r="2268" spans="1:31" x14ac:dyDescent="0.3">
      <c r="A2268">
        <v>-73.972792633539996</v>
      </c>
      <c r="B2268">
        <v>40.770370557749999</v>
      </c>
      <c r="C2268" t="s">
        <v>5686</v>
      </c>
      <c r="D2268" t="s">
        <v>353</v>
      </c>
      <c r="E2268" t="s">
        <v>38</v>
      </c>
      <c r="F2268">
        <v>10082018</v>
      </c>
      <c r="G2268">
        <v>7</v>
      </c>
      <c r="H2268" t="s">
        <v>48</v>
      </c>
      <c r="I2268" t="s">
        <v>42</v>
      </c>
      <c r="K2268" t="s">
        <v>43</v>
      </c>
      <c r="M2268" t="s">
        <v>44</v>
      </c>
      <c r="N2268">
        <v>28</v>
      </c>
      <c r="O2268" t="s">
        <v>5687</v>
      </c>
      <c r="P2268" t="b">
        <v>0</v>
      </c>
      <c r="Q2268" t="b">
        <v>0</v>
      </c>
      <c r="R2268" t="b">
        <v>0</v>
      </c>
      <c r="S2268" t="b">
        <v>0</v>
      </c>
      <c r="T2268" t="b">
        <v>0</v>
      </c>
      <c r="U2268" t="s">
        <v>1660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b">
        <v>0</v>
      </c>
      <c r="AB2268" t="b">
        <v>1</v>
      </c>
      <c r="AC2268" t="b">
        <v>0</v>
      </c>
      <c r="AE2268" t="s">
        <v>5688</v>
      </c>
    </row>
    <row r="2269" spans="1:31" x14ac:dyDescent="0.3">
      <c r="A2269">
        <v>-73.959019165520004</v>
      </c>
      <c r="B2269">
        <v>40.792613942510002</v>
      </c>
      <c r="C2269" t="s">
        <v>5689</v>
      </c>
      <c r="D2269" t="s">
        <v>1170</v>
      </c>
      <c r="E2269" t="s">
        <v>38</v>
      </c>
      <c r="F2269">
        <v>10082018</v>
      </c>
      <c r="G2269">
        <v>3</v>
      </c>
      <c r="H2269" t="s">
        <v>48</v>
      </c>
      <c r="I2269" t="s">
        <v>53</v>
      </c>
      <c r="J2269" t="s">
        <v>59</v>
      </c>
      <c r="K2269" t="s">
        <v>60</v>
      </c>
      <c r="M2269" t="s">
        <v>65</v>
      </c>
      <c r="N2269" t="b">
        <v>0</v>
      </c>
      <c r="P2269" t="b">
        <v>1</v>
      </c>
      <c r="Q2269" t="b">
        <v>0</v>
      </c>
      <c r="R2269" t="b">
        <v>0</v>
      </c>
      <c r="S2269" t="b">
        <v>0</v>
      </c>
      <c r="T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b">
        <v>0</v>
      </c>
      <c r="AB2269" t="b">
        <v>1</v>
      </c>
      <c r="AC2269" t="b">
        <v>0</v>
      </c>
      <c r="AE2269" t="s">
        <v>5690</v>
      </c>
    </row>
    <row r="2270" spans="1:31" x14ac:dyDescent="0.3">
      <c r="A2270">
        <v>-73.96955183419</v>
      </c>
      <c r="B2270">
        <v>40.776214599390002</v>
      </c>
      <c r="C2270" t="s">
        <v>5691</v>
      </c>
      <c r="D2270" t="s">
        <v>100</v>
      </c>
      <c r="E2270" t="s">
        <v>38</v>
      </c>
      <c r="F2270">
        <v>10082018</v>
      </c>
      <c r="G2270">
        <v>15</v>
      </c>
      <c r="H2270" t="s">
        <v>48</v>
      </c>
      <c r="I2270" t="s">
        <v>42</v>
      </c>
      <c r="K2270" t="s">
        <v>43</v>
      </c>
      <c r="M2270" t="s">
        <v>65</v>
      </c>
      <c r="N2270" t="b">
        <v>0</v>
      </c>
      <c r="P2270" t="b">
        <v>0</v>
      </c>
      <c r="Q2270" t="b">
        <v>0</v>
      </c>
      <c r="R2270" t="b">
        <v>0</v>
      </c>
      <c r="S2270" t="b">
        <v>1</v>
      </c>
      <c r="T2270" t="b">
        <v>1</v>
      </c>
      <c r="U2270" t="s">
        <v>101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b">
        <v>0</v>
      </c>
      <c r="AB2270" t="b">
        <v>1</v>
      </c>
      <c r="AC2270" t="b">
        <v>0</v>
      </c>
      <c r="AE2270" t="s">
        <v>5692</v>
      </c>
    </row>
    <row r="2271" spans="1:31" x14ac:dyDescent="0.3">
      <c r="A2271">
        <v>-73.970373264930004</v>
      </c>
      <c r="B2271">
        <v>40.770197937710002</v>
      </c>
      <c r="C2271" t="s">
        <v>5693</v>
      </c>
      <c r="D2271" t="s">
        <v>183</v>
      </c>
      <c r="E2271" t="s">
        <v>33</v>
      </c>
      <c r="F2271">
        <v>10142018</v>
      </c>
      <c r="G2271">
        <v>4</v>
      </c>
      <c r="H2271" t="s">
        <v>48</v>
      </c>
      <c r="I2271" t="s">
        <v>176</v>
      </c>
      <c r="K2271" t="s">
        <v>177</v>
      </c>
      <c r="M2271" t="s">
        <v>65</v>
      </c>
      <c r="N2271" t="b">
        <v>0</v>
      </c>
      <c r="P2271" t="b">
        <v>0</v>
      </c>
      <c r="Q2271" t="b">
        <v>0</v>
      </c>
      <c r="R2271" t="b">
        <v>0</v>
      </c>
      <c r="S2271" t="b">
        <v>1</v>
      </c>
      <c r="T2271" t="b">
        <v>0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b">
        <v>0</v>
      </c>
      <c r="AB2271" t="b">
        <v>1</v>
      </c>
      <c r="AC2271" t="b">
        <v>0</v>
      </c>
      <c r="AE2271" t="s">
        <v>5694</v>
      </c>
    </row>
    <row r="2272" spans="1:31" x14ac:dyDescent="0.3">
      <c r="A2272">
        <v>-73.96739494581</v>
      </c>
      <c r="B2272">
        <v>40.782621853949998</v>
      </c>
      <c r="C2272" t="s">
        <v>5695</v>
      </c>
      <c r="D2272" t="s">
        <v>459</v>
      </c>
      <c r="E2272" t="s">
        <v>38</v>
      </c>
      <c r="F2272">
        <v>10082018</v>
      </c>
      <c r="G2272">
        <v>4</v>
      </c>
      <c r="H2272" t="s">
        <v>48</v>
      </c>
      <c r="I2272" t="s">
        <v>42</v>
      </c>
      <c r="J2272" t="s">
        <v>53</v>
      </c>
      <c r="K2272" t="s">
        <v>54</v>
      </c>
      <c r="M2272" t="s">
        <v>65</v>
      </c>
      <c r="N2272" t="b">
        <v>0</v>
      </c>
      <c r="P2272" t="b">
        <v>1</v>
      </c>
      <c r="Q2272" t="b">
        <v>0</v>
      </c>
      <c r="R2272" t="b">
        <v>0</v>
      </c>
      <c r="S2272" t="b">
        <v>0</v>
      </c>
      <c r="T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1</v>
      </c>
      <c r="AA2272" t="b">
        <v>0</v>
      </c>
      <c r="AB2272" t="b">
        <v>0</v>
      </c>
      <c r="AC2272" t="b">
        <v>1</v>
      </c>
      <c r="AE2272" t="s">
        <v>5696</v>
      </c>
    </row>
    <row r="2273" spans="1:31" x14ac:dyDescent="0.3">
      <c r="A2273">
        <v>-73.956967090069995</v>
      </c>
      <c r="B2273">
        <v>40.794879285679997</v>
      </c>
      <c r="C2273" t="s">
        <v>393</v>
      </c>
      <c r="D2273" t="s">
        <v>394</v>
      </c>
      <c r="E2273" t="s">
        <v>33</v>
      </c>
      <c r="F2273">
        <v>10062018</v>
      </c>
      <c r="G2273">
        <v>3</v>
      </c>
      <c r="H2273" t="s">
        <v>48</v>
      </c>
      <c r="I2273" t="s">
        <v>42</v>
      </c>
      <c r="J2273" t="s">
        <v>53</v>
      </c>
      <c r="K2273" t="s">
        <v>54</v>
      </c>
      <c r="M2273" t="s">
        <v>65</v>
      </c>
      <c r="N2273" t="b">
        <v>0</v>
      </c>
      <c r="P2273" t="b">
        <v>1</v>
      </c>
      <c r="Q2273" t="b">
        <v>0</v>
      </c>
      <c r="R2273" t="b">
        <v>0</v>
      </c>
      <c r="S2273" t="b">
        <v>0</v>
      </c>
      <c r="T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b">
        <v>0</v>
      </c>
      <c r="AB2273" t="b">
        <v>0</v>
      </c>
      <c r="AC2273" t="b">
        <v>1</v>
      </c>
      <c r="AD2273" t="s">
        <v>395</v>
      </c>
      <c r="AE2273" t="s">
        <v>5697</v>
      </c>
    </row>
    <row r="2274" spans="1:31" x14ac:dyDescent="0.3">
      <c r="A2274">
        <v>-73.967153402920005</v>
      </c>
      <c r="B2274">
        <v>40.781084980449997</v>
      </c>
      <c r="C2274" t="s">
        <v>5698</v>
      </c>
      <c r="D2274" t="s">
        <v>1180</v>
      </c>
      <c r="E2274" t="s">
        <v>38</v>
      </c>
      <c r="F2274">
        <v>10072018</v>
      </c>
      <c r="G2274">
        <v>2</v>
      </c>
      <c r="H2274" t="s">
        <v>48</v>
      </c>
      <c r="I2274" t="s">
        <v>42</v>
      </c>
      <c r="K2274" t="s">
        <v>43</v>
      </c>
      <c r="L2274" t="s">
        <v>1181</v>
      </c>
      <c r="M2274" t="s">
        <v>65</v>
      </c>
      <c r="N2274" t="b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1</v>
      </c>
      <c r="U2274" t="s">
        <v>5699</v>
      </c>
      <c r="V2274" t="b">
        <v>0</v>
      </c>
      <c r="W2274" t="b">
        <v>0</v>
      </c>
      <c r="X2274" t="b">
        <v>0</v>
      </c>
      <c r="Y2274" t="b">
        <v>0</v>
      </c>
      <c r="Z2274" t="b">
        <v>1</v>
      </c>
      <c r="AA2274" t="b">
        <v>0</v>
      </c>
      <c r="AB2274" t="b">
        <v>0</v>
      </c>
      <c r="AC2274" t="b">
        <v>0</v>
      </c>
      <c r="AE2274" t="s">
        <v>5700</v>
      </c>
    </row>
    <row r="2275" spans="1:31" x14ac:dyDescent="0.3">
      <c r="A2275">
        <v>-73.96980442185</v>
      </c>
      <c r="B2275">
        <v>40.769700783349997</v>
      </c>
      <c r="C2275" t="s">
        <v>5701</v>
      </c>
      <c r="D2275" t="s">
        <v>1310</v>
      </c>
      <c r="E2275" t="s">
        <v>33</v>
      </c>
      <c r="F2275">
        <v>10132018</v>
      </c>
      <c r="G2275">
        <v>6</v>
      </c>
      <c r="H2275" t="s">
        <v>48</v>
      </c>
      <c r="I2275" t="s">
        <v>53</v>
      </c>
      <c r="K2275" t="s">
        <v>155</v>
      </c>
      <c r="L2275" t="s">
        <v>1259</v>
      </c>
      <c r="M2275" t="s">
        <v>65</v>
      </c>
      <c r="N2275" t="b">
        <v>0</v>
      </c>
      <c r="O2275" t="s">
        <v>4635</v>
      </c>
      <c r="P2275" t="b">
        <v>0</v>
      </c>
      <c r="Q2275" t="b">
        <v>0</v>
      </c>
      <c r="R2275" t="b">
        <v>0</v>
      </c>
      <c r="S2275" t="b">
        <v>1</v>
      </c>
      <c r="T2275" t="b">
        <v>0</v>
      </c>
      <c r="U2275" t="s">
        <v>5702</v>
      </c>
      <c r="V2275" t="b">
        <v>0</v>
      </c>
      <c r="W2275" t="b">
        <v>0</v>
      </c>
      <c r="X2275" t="b">
        <v>0</v>
      </c>
      <c r="Y2275" t="b">
        <v>0</v>
      </c>
      <c r="Z2275" t="b">
        <v>1</v>
      </c>
      <c r="AA2275" t="b">
        <v>0</v>
      </c>
      <c r="AB2275" t="b">
        <v>0</v>
      </c>
      <c r="AC2275" t="b">
        <v>1</v>
      </c>
      <c r="AE2275" t="s">
        <v>5703</v>
      </c>
    </row>
    <row r="2276" spans="1:31" x14ac:dyDescent="0.3">
      <c r="A2276">
        <v>-73.961421841339998</v>
      </c>
      <c r="B2276">
        <v>40.793894505879997</v>
      </c>
      <c r="C2276" t="s">
        <v>5704</v>
      </c>
      <c r="D2276" t="s">
        <v>2399</v>
      </c>
      <c r="E2276" t="s">
        <v>38</v>
      </c>
      <c r="F2276">
        <v>10132018</v>
      </c>
      <c r="G2276">
        <v>1</v>
      </c>
      <c r="H2276" t="s">
        <v>48</v>
      </c>
      <c r="I2276" t="s">
        <v>42</v>
      </c>
      <c r="J2276" t="s">
        <v>53</v>
      </c>
      <c r="K2276" t="s">
        <v>54</v>
      </c>
      <c r="M2276" t="s">
        <v>65</v>
      </c>
      <c r="N2276" t="b">
        <v>0</v>
      </c>
      <c r="P2276" t="b">
        <v>1</v>
      </c>
      <c r="Q2276" t="b">
        <v>0</v>
      </c>
      <c r="R2276" t="b">
        <v>0</v>
      </c>
      <c r="S2276" t="b">
        <v>0</v>
      </c>
      <c r="T2276" t="b">
        <v>1</v>
      </c>
      <c r="U2276" t="s">
        <v>2131</v>
      </c>
      <c r="V2276" t="b">
        <v>0</v>
      </c>
      <c r="W2276" t="b">
        <v>0</v>
      </c>
      <c r="X2276" t="b">
        <v>0</v>
      </c>
      <c r="Y2276" t="b">
        <v>0</v>
      </c>
      <c r="Z2276" t="b">
        <v>1</v>
      </c>
      <c r="AA2276" t="b">
        <v>1</v>
      </c>
      <c r="AB2276" t="b">
        <v>0</v>
      </c>
      <c r="AC2276" t="b">
        <v>0</v>
      </c>
      <c r="AE2276" t="s">
        <v>5705</v>
      </c>
    </row>
    <row r="2277" spans="1:31" x14ac:dyDescent="0.3">
      <c r="A2277">
        <v>-73.961198578329999</v>
      </c>
      <c r="B2277">
        <v>40.791604823370001</v>
      </c>
      <c r="C2277" t="s">
        <v>5706</v>
      </c>
      <c r="D2277" t="s">
        <v>607</v>
      </c>
      <c r="E2277" t="s">
        <v>38</v>
      </c>
      <c r="F2277">
        <v>10142018</v>
      </c>
      <c r="G2277">
        <v>6</v>
      </c>
      <c r="H2277" t="s">
        <v>48</v>
      </c>
      <c r="I2277" t="s">
        <v>42</v>
      </c>
      <c r="J2277" t="s">
        <v>53</v>
      </c>
      <c r="K2277" t="s">
        <v>54</v>
      </c>
      <c r="M2277" t="s">
        <v>65</v>
      </c>
      <c r="N2277" t="b">
        <v>0</v>
      </c>
      <c r="P2277" t="b">
        <v>1</v>
      </c>
      <c r="Q2277" t="b">
        <v>0</v>
      </c>
      <c r="R2277" t="b">
        <v>0</v>
      </c>
      <c r="S2277" t="b">
        <v>0</v>
      </c>
      <c r="T2277" t="b">
        <v>1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b">
        <v>0</v>
      </c>
      <c r="AB2277" t="b">
        <v>0</v>
      </c>
      <c r="AC2277" t="b">
        <v>1</v>
      </c>
      <c r="AE2277" t="s">
        <v>5707</v>
      </c>
    </row>
    <row r="2278" spans="1:31" x14ac:dyDescent="0.3">
      <c r="A2278">
        <v>-73.953851214590003</v>
      </c>
      <c r="B2278">
        <v>40.79812576514</v>
      </c>
      <c r="C2278" t="s">
        <v>5708</v>
      </c>
      <c r="D2278" t="s">
        <v>317</v>
      </c>
      <c r="E2278" t="s">
        <v>33</v>
      </c>
      <c r="F2278">
        <v>10122018</v>
      </c>
      <c r="G2278">
        <v>4</v>
      </c>
      <c r="H2278" t="s">
        <v>48</v>
      </c>
      <c r="I2278" t="s">
        <v>42</v>
      </c>
      <c r="J2278" t="s">
        <v>59</v>
      </c>
      <c r="K2278" t="s">
        <v>79</v>
      </c>
      <c r="M2278" t="s">
        <v>65</v>
      </c>
      <c r="N2278" t="b">
        <v>0</v>
      </c>
      <c r="P2278" t="b">
        <v>0</v>
      </c>
      <c r="Q2278" t="b">
        <v>0</v>
      </c>
      <c r="R2278" t="b">
        <v>0</v>
      </c>
      <c r="S2278" t="b">
        <v>1</v>
      </c>
      <c r="T2278" t="b">
        <v>1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b">
        <v>0</v>
      </c>
      <c r="AB2278" t="b">
        <v>1</v>
      </c>
      <c r="AC2278" t="b">
        <v>0</v>
      </c>
      <c r="AE2278" t="s">
        <v>5709</v>
      </c>
    </row>
    <row r="2279" spans="1:31" x14ac:dyDescent="0.3">
      <c r="A2279">
        <v>-73.964539031100003</v>
      </c>
      <c r="B2279">
        <v>40.780991630999999</v>
      </c>
      <c r="C2279" t="s">
        <v>5710</v>
      </c>
      <c r="D2279" t="s">
        <v>2203</v>
      </c>
      <c r="E2279" t="s">
        <v>33</v>
      </c>
      <c r="F2279">
        <v>10132018</v>
      </c>
      <c r="G2279">
        <v>1</v>
      </c>
      <c r="H2279" t="s">
        <v>48</v>
      </c>
      <c r="I2279" t="s">
        <v>53</v>
      </c>
      <c r="J2279" t="s">
        <v>59</v>
      </c>
      <c r="K2279" t="s">
        <v>60</v>
      </c>
      <c r="M2279" t="s">
        <v>65</v>
      </c>
      <c r="N2279" t="b">
        <v>0</v>
      </c>
      <c r="P2279" t="b">
        <v>1</v>
      </c>
      <c r="Q2279" t="b">
        <v>0</v>
      </c>
      <c r="R2279" t="b">
        <v>0</v>
      </c>
      <c r="S2279" t="b">
        <v>0</v>
      </c>
      <c r="T2279" t="b">
        <v>1</v>
      </c>
      <c r="V2279" t="b">
        <v>0</v>
      </c>
      <c r="W2279" t="b">
        <v>0</v>
      </c>
      <c r="X2279" t="b">
        <v>0</v>
      </c>
      <c r="Y2279" t="b">
        <v>0</v>
      </c>
      <c r="Z2279" t="b">
        <v>1</v>
      </c>
      <c r="AA2279" t="b">
        <v>0</v>
      </c>
      <c r="AB2279" t="b">
        <v>0</v>
      </c>
      <c r="AC2279" t="b">
        <v>1</v>
      </c>
      <c r="AE2279" t="s">
        <v>5711</v>
      </c>
    </row>
    <row r="2280" spans="1:31" x14ac:dyDescent="0.3">
      <c r="A2280">
        <v>-73.958608585899995</v>
      </c>
      <c r="B2280">
        <v>40.799032675829999</v>
      </c>
      <c r="C2280" t="s">
        <v>5712</v>
      </c>
      <c r="D2280" t="s">
        <v>448</v>
      </c>
      <c r="E2280" t="s">
        <v>33</v>
      </c>
      <c r="F2280">
        <v>10142018</v>
      </c>
      <c r="G2280">
        <v>4</v>
      </c>
      <c r="H2280" t="s">
        <v>48</v>
      </c>
      <c r="I2280" t="s">
        <v>42</v>
      </c>
      <c r="K2280" t="s">
        <v>43</v>
      </c>
      <c r="M2280" t="s">
        <v>65</v>
      </c>
      <c r="N2280" t="b">
        <v>0</v>
      </c>
      <c r="P2280" t="b">
        <v>1</v>
      </c>
      <c r="Q2280" t="b">
        <v>0</v>
      </c>
      <c r="R2280" t="b">
        <v>0</v>
      </c>
      <c r="S2280" t="b">
        <v>0</v>
      </c>
      <c r="T2280" t="b">
        <v>0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b">
        <v>0</v>
      </c>
      <c r="AB2280" t="b">
        <v>0</v>
      </c>
      <c r="AC2280" t="b">
        <v>1</v>
      </c>
      <c r="AD2280" t="s">
        <v>5713</v>
      </c>
      <c r="AE2280" t="s">
        <v>5714</v>
      </c>
    </row>
    <row r="2281" spans="1:31" x14ac:dyDescent="0.3">
      <c r="A2281">
        <v>-73.976714364420005</v>
      </c>
      <c r="B2281">
        <v>40.768475694129997</v>
      </c>
      <c r="C2281" t="s">
        <v>5715</v>
      </c>
      <c r="D2281" t="s">
        <v>502</v>
      </c>
      <c r="E2281" t="s">
        <v>38</v>
      </c>
      <c r="F2281">
        <v>10062018</v>
      </c>
      <c r="G2281">
        <v>2</v>
      </c>
      <c r="H2281" t="s">
        <v>48</v>
      </c>
      <c r="I2281" t="s">
        <v>53</v>
      </c>
      <c r="J2281" t="s">
        <v>42</v>
      </c>
      <c r="K2281" t="s">
        <v>89</v>
      </c>
      <c r="M2281" t="s">
        <v>44</v>
      </c>
      <c r="N2281">
        <v>25</v>
      </c>
      <c r="O2281" t="s">
        <v>190</v>
      </c>
      <c r="P2281" t="b">
        <v>1</v>
      </c>
      <c r="Q2281" t="b">
        <v>0</v>
      </c>
      <c r="R2281" t="b">
        <v>1</v>
      </c>
      <c r="S2281" t="b">
        <v>0</v>
      </c>
      <c r="T2281" t="b">
        <v>0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b">
        <v>0</v>
      </c>
      <c r="AB2281" t="b">
        <v>1</v>
      </c>
      <c r="AC2281" t="b">
        <v>0</v>
      </c>
      <c r="AE2281" t="s">
        <v>5716</v>
      </c>
    </row>
    <row r="2282" spans="1:31" x14ac:dyDescent="0.3">
      <c r="A2282">
        <v>-73.969152082600004</v>
      </c>
      <c r="B2282">
        <v>40.771710403779998</v>
      </c>
      <c r="C2282" t="s">
        <v>5717</v>
      </c>
      <c r="D2282" t="s">
        <v>1251</v>
      </c>
      <c r="E2282" t="s">
        <v>38</v>
      </c>
      <c r="F2282">
        <v>10142018</v>
      </c>
      <c r="G2282">
        <v>6</v>
      </c>
      <c r="I2282" t="s">
        <v>53</v>
      </c>
      <c r="K2282" t="s">
        <v>155</v>
      </c>
      <c r="M2282" t="s">
        <v>65</v>
      </c>
      <c r="N2282" t="b">
        <v>0</v>
      </c>
      <c r="P2282" t="b">
        <v>0</v>
      </c>
      <c r="Q2282" t="b">
        <v>0</v>
      </c>
      <c r="R2282" t="b">
        <v>0</v>
      </c>
      <c r="S2282" t="b">
        <v>0</v>
      </c>
      <c r="T2282" t="b">
        <v>1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b">
        <v>0</v>
      </c>
      <c r="AB2282" t="b">
        <v>0</v>
      </c>
      <c r="AC2282" t="b">
        <v>0</v>
      </c>
      <c r="AE2282" t="s">
        <v>5718</v>
      </c>
    </row>
    <row r="2283" spans="1:31" x14ac:dyDescent="0.3">
      <c r="A2283">
        <v>-73.972205653870006</v>
      </c>
      <c r="B2283">
        <v>40.780511176269997</v>
      </c>
      <c r="C2283" t="s">
        <v>5719</v>
      </c>
      <c r="D2283" t="s">
        <v>1882</v>
      </c>
      <c r="E2283" t="s">
        <v>33</v>
      </c>
      <c r="F2283">
        <v>10132018</v>
      </c>
      <c r="G2283">
        <v>3</v>
      </c>
      <c r="H2283" t="s">
        <v>48</v>
      </c>
      <c r="I2283" t="s">
        <v>42</v>
      </c>
      <c r="K2283" t="s">
        <v>43</v>
      </c>
      <c r="M2283" t="s">
        <v>44</v>
      </c>
      <c r="N2283">
        <v>15</v>
      </c>
      <c r="O2283" t="s">
        <v>190</v>
      </c>
      <c r="P2283" t="b">
        <v>0</v>
      </c>
      <c r="Q2283" t="b">
        <v>0</v>
      </c>
      <c r="R2283" t="b">
        <v>0</v>
      </c>
      <c r="S2283" t="b">
        <v>0</v>
      </c>
      <c r="T2283" t="b">
        <v>0</v>
      </c>
      <c r="U2283" t="s">
        <v>5720</v>
      </c>
      <c r="V2283" t="b">
        <v>0</v>
      </c>
      <c r="W2283" t="b">
        <v>0</v>
      </c>
      <c r="X2283" t="b">
        <v>0</v>
      </c>
      <c r="Y2283" t="b">
        <v>0</v>
      </c>
      <c r="Z2283" t="b">
        <v>0</v>
      </c>
      <c r="AA2283" t="b">
        <v>0</v>
      </c>
      <c r="AB2283" t="b">
        <v>1</v>
      </c>
      <c r="AC2283" t="b">
        <v>0</v>
      </c>
      <c r="AE2283" t="s">
        <v>5721</v>
      </c>
    </row>
    <row r="2284" spans="1:31" x14ac:dyDescent="0.3">
      <c r="A2284">
        <v>-73.96289827727</v>
      </c>
      <c r="B2284">
        <v>40.788430480339997</v>
      </c>
      <c r="C2284" t="s">
        <v>5722</v>
      </c>
      <c r="D2284" t="s">
        <v>1049</v>
      </c>
      <c r="E2284" t="s">
        <v>33</v>
      </c>
      <c r="F2284">
        <v>10192018</v>
      </c>
      <c r="G2284">
        <v>1</v>
      </c>
      <c r="H2284" t="s">
        <v>48</v>
      </c>
      <c r="I2284" t="s">
        <v>42</v>
      </c>
      <c r="J2284" t="s">
        <v>59</v>
      </c>
      <c r="K2284" t="s">
        <v>79</v>
      </c>
      <c r="M2284" t="s">
        <v>65</v>
      </c>
      <c r="N2284" t="b">
        <v>0</v>
      </c>
      <c r="P2284" t="b">
        <v>0</v>
      </c>
      <c r="Q2284" t="b">
        <v>0</v>
      </c>
      <c r="R2284" t="b">
        <v>0</v>
      </c>
      <c r="S2284" t="b">
        <v>0</v>
      </c>
      <c r="T2284" t="b">
        <v>1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b">
        <v>0</v>
      </c>
      <c r="AB2284" t="b">
        <v>1</v>
      </c>
      <c r="AC2284" t="b">
        <v>0</v>
      </c>
      <c r="AE2284" t="s">
        <v>5723</v>
      </c>
    </row>
    <row r="2285" spans="1:31" x14ac:dyDescent="0.3">
      <c r="A2285">
        <v>-73.973018130629995</v>
      </c>
      <c r="B2285">
        <v>40.779460132239997</v>
      </c>
      <c r="C2285" t="s">
        <v>5724</v>
      </c>
      <c r="D2285" t="s">
        <v>1103</v>
      </c>
      <c r="E2285" t="s">
        <v>38</v>
      </c>
      <c r="F2285">
        <v>10132018</v>
      </c>
      <c r="G2285">
        <v>2</v>
      </c>
      <c r="H2285" t="s">
        <v>48</v>
      </c>
      <c r="I2285" t="s">
        <v>176</v>
      </c>
      <c r="K2285" t="s">
        <v>177</v>
      </c>
      <c r="M2285" t="s">
        <v>44</v>
      </c>
      <c r="P2285" t="b">
        <v>0</v>
      </c>
      <c r="Q2285" t="b">
        <v>0</v>
      </c>
      <c r="R2285" t="b">
        <v>0</v>
      </c>
      <c r="S2285" t="b">
        <v>0</v>
      </c>
      <c r="T2285" t="b">
        <v>1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b">
        <v>1</v>
      </c>
      <c r="AB2285" t="b">
        <v>0</v>
      </c>
      <c r="AC2285" t="b">
        <v>0</v>
      </c>
      <c r="AE2285" t="s">
        <v>5725</v>
      </c>
    </row>
    <row r="2286" spans="1:31" x14ac:dyDescent="0.3">
      <c r="A2286">
        <v>-73.957632508789999</v>
      </c>
      <c r="B2286">
        <v>40.798844874510003</v>
      </c>
      <c r="C2286" t="s">
        <v>5726</v>
      </c>
      <c r="D2286" t="s">
        <v>367</v>
      </c>
      <c r="E2286" t="s">
        <v>38</v>
      </c>
      <c r="F2286">
        <v>10102018</v>
      </c>
      <c r="G2286">
        <v>4</v>
      </c>
      <c r="H2286" t="s">
        <v>48</v>
      </c>
      <c r="I2286" t="s">
        <v>42</v>
      </c>
      <c r="J2286" t="s">
        <v>96</v>
      </c>
      <c r="K2286" t="s">
        <v>97</v>
      </c>
      <c r="M2286" t="s">
        <v>65</v>
      </c>
      <c r="N2286" t="b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1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b">
        <v>0</v>
      </c>
      <c r="AB2286" t="b">
        <v>0</v>
      </c>
      <c r="AC2286" t="b">
        <v>0</v>
      </c>
      <c r="AE2286" t="s">
        <v>5727</v>
      </c>
    </row>
    <row r="2287" spans="1:31" x14ac:dyDescent="0.3">
      <c r="A2287">
        <v>-73.955441566510004</v>
      </c>
      <c r="B2287">
        <v>40.798420141599998</v>
      </c>
      <c r="C2287" t="s">
        <v>5728</v>
      </c>
      <c r="D2287" t="s">
        <v>338</v>
      </c>
      <c r="E2287" t="s">
        <v>38</v>
      </c>
      <c r="F2287">
        <v>10142018</v>
      </c>
      <c r="G2287">
        <v>3</v>
      </c>
      <c r="H2287" t="s">
        <v>48</v>
      </c>
      <c r="I2287" t="s">
        <v>42</v>
      </c>
      <c r="J2287" t="s">
        <v>1921</v>
      </c>
      <c r="K2287" t="s">
        <v>1922</v>
      </c>
      <c r="M2287" t="s">
        <v>65</v>
      </c>
      <c r="N2287" t="b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1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b">
        <v>0</v>
      </c>
      <c r="AB2287" t="b">
        <v>1</v>
      </c>
      <c r="AC2287" t="b">
        <v>0</v>
      </c>
      <c r="AE2287" t="s">
        <v>5729</v>
      </c>
    </row>
    <row r="2288" spans="1:31" x14ac:dyDescent="0.3">
      <c r="A2288">
        <v>-73.976817330320003</v>
      </c>
      <c r="B2288">
        <v>40.766126181360001</v>
      </c>
      <c r="C2288" t="s">
        <v>5730</v>
      </c>
      <c r="D2288" t="s">
        <v>1859</v>
      </c>
      <c r="E2288" t="s">
        <v>33</v>
      </c>
      <c r="F2288">
        <v>10192018</v>
      </c>
      <c r="G2288">
        <v>1</v>
      </c>
      <c r="H2288" t="s">
        <v>48</v>
      </c>
      <c r="I2288" t="s">
        <v>42</v>
      </c>
      <c r="J2288" t="s">
        <v>53</v>
      </c>
      <c r="K2288" t="s">
        <v>54</v>
      </c>
      <c r="M2288" t="s">
        <v>65</v>
      </c>
      <c r="N2288" t="b">
        <v>0</v>
      </c>
      <c r="P2288" t="b">
        <v>0</v>
      </c>
      <c r="Q2288" t="b">
        <v>0</v>
      </c>
      <c r="R2288" t="b">
        <v>0</v>
      </c>
      <c r="S2288" t="b">
        <v>0</v>
      </c>
      <c r="T2288" t="b">
        <v>1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b">
        <v>0</v>
      </c>
      <c r="AB2288" t="b">
        <v>0</v>
      </c>
      <c r="AC2288" t="b">
        <v>1</v>
      </c>
      <c r="AE2288" t="s">
        <v>5731</v>
      </c>
    </row>
    <row r="2289" spans="1:31" x14ac:dyDescent="0.3">
      <c r="A2289">
        <v>-73.957700957140005</v>
      </c>
      <c r="B2289">
        <v>40.796126044520001</v>
      </c>
      <c r="C2289" t="s">
        <v>5732</v>
      </c>
      <c r="D2289" t="s">
        <v>175</v>
      </c>
      <c r="E2289" t="s">
        <v>33</v>
      </c>
      <c r="F2289">
        <v>10142018</v>
      </c>
      <c r="G2289">
        <v>10</v>
      </c>
      <c r="H2289" t="s">
        <v>105</v>
      </c>
      <c r="I2289" t="s">
        <v>42</v>
      </c>
      <c r="J2289" t="s">
        <v>59</v>
      </c>
      <c r="K2289" t="s">
        <v>79</v>
      </c>
      <c r="M2289" t="s">
        <v>44</v>
      </c>
      <c r="N2289">
        <v>10</v>
      </c>
      <c r="P2289" t="b">
        <v>0</v>
      </c>
      <c r="Q2289" t="b">
        <v>0</v>
      </c>
      <c r="R2289" t="b">
        <v>1</v>
      </c>
      <c r="S2289" t="b">
        <v>1</v>
      </c>
      <c r="T2289" t="b">
        <v>1</v>
      </c>
      <c r="U2289" t="s">
        <v>5733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b">
        <v>0</v>
      </c>
      <c r="AB2289" t="b">
        <v>0</v>
      </c>
      <c r="AC2289" t="b">
        <v>1</v>
      </c>
      <c r="AE2289" t="s">
        <v>5734</v>
      </c>
    </row>
    <row r="2290" spans="1:31" x14ac:dyDescent="0.3">
      <c r="A2290">
        <v>-73.974580059239997</v>
      </c>
      <c r="B2290">
        <v>40.76735654198</v>
      </c>
      <c r="C2290" t="s">
        <v>5735</v>
      </c>
      <c r="D2290" t="s">
        <v>1701</v>
      </c>
      <c r="E2290" t="s">
        <v>38</v>
      </c>
      <c r="F2290">
        <v>10062018</v>
      </c>
      <c r="G2290">
        <v>8</v>
      </c>
      <c r="H2290" t="s">
        <v>105</v>
      </c>
      <c r="I2290" t="s">
        <v>42</v>
      </c>
      <c r="J2290" t="s">
        <v>96</v>
      </c>
      <c r="K2290" t="s">
        <v>97</v>
      </c>
      <c r="M2290" t="s">
        <v>65</v>
      </c>
      <c r="N2290" t="b">
        <v>0</v>
      </c>
      <c r="O2290" t="s">
        <v>3334</v>
      </c>
      <c r="P2290" t="b">
        <v>1</v>
      </c>
      <c r="Q2290" t="b">
        <v>0</v>
      </c>
      <c r="R2290" t="b">
        <v>0</v>
      </c>
      <c r="S2290" t="b">
        <v>0</v>
      </c>
      <c r="T2290" t="b">
        <v>1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b">
        <v>0</v>
      </c>
      <c r="AB2290" t="b">
        <v>1</v>
      </c>
      <c r="AC2290" t="b">
        <v>0</v>
      </c>
      <c r="AE2290" t="s">
        <v>5736</v>
      </c>
    </row>
    <row r="2291" spans="1:31" x14ac:dyDescent="0.3">
      <c r="A2291">
        <v>-73.956564571659996</v>
      </c>
      <c r="B2291">
        <v>40.79590399496</v>
      </c>
      <c r="C2291" t="s">
        <v>5737</v>
      </c>
      <c r="D2291" t="s">
        <v>835</v>
      </c>
      <c r="E2291" t="s">
        <v>33</v>
      </c>
      <c r="F2291">
        <v>10062018</v>
      </c>
      <c r="G2291">
        <v>3</v>
      </c>
      <c r="H2291" t="s">
        <v>48</v>
      </c>
      <c r="I2291" t="s">
        <v>42</v>
      </c>
      <c r="J2291" t="s">
        <v>53</v>
      </c>
      <c r="K2291" t="s">
        <v>54</v>
      </c>
      <c r="M2291" t="s">
        <v>65</v>
      </c>
      <c r="N2291" t="b">
        <v>0</v>
      </c>
      <c r="P2291" t="b">
        <v>0</v>
      </c>
      <c r="Q2291" t="b">
        <v>0</v>
      </c>
      <c r="R2291" t="b">
        <v>0</v>
      </c>
      <c r="S2291" t="b">
        <v>1</v>
      </c>
      <c r="T2291" t="b">
        <v>1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b">
        <v>0</v>
      </c>
      <c r="AB2291" t="b">
        <v>1</v>
      </c>
      <c r="AC2291" t="b">
        <v>0</v>
      </c>
      <c r="AE2291" t="s">
        <v>5738</v>
      </c>
    </row>
    <row r="2292" spans="1:31" x14ac:dyDescent="0.3">
      <c r="A2292">
        <v>-73.975689477670002</v>
      </c>
      <c r="B2292">
        <v>40.768163821820004</v>
      </c>
      <c r="C2292" t="s">
        <v>5739</v>
      </c>
      <c r="D2292" t="s">
        <v>782</v>
      </c>
      <c r="E2292" t="s">
        <v>38</v>
      </c>
      <c r="F2292">
        <v>10202018</v>
      </c>
      <c r="G2292">
        <v>3</v>
      </c>
      <c r="H2292" t="s">
        <v>48</v>
      </c>
      <c r="I2292" t="s">
        <v>53</v>
      </c>
      <c r="J2292" t="s">
        <v>176</v>
      </c>
      <c r="K2292" t="s">
        <v>1142</v>
      </c>
      <c r="M2292" t="s">
        <v>65</v>
      </c>
      <c r="N2292" t="b">
        <v>0</v>
      </c>
      <c r="P2292" t="b">
        <v>0</v>
      </c>
      <c r="Q2292" t="b">
        <v>0</v>
      </c>
      <c r="R2292" t="b">
        <v>0</v>
      </c>
      <c r="S2292" t="b">
        <v>0</v>
      </c>
      <c r="T2292" t="b">
        <v>1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b">
        <v>0</v>
      </c>
      <c r="AB2292" t="b">
        <v>1</v>
      </c>
      <c r="AC2292" t="b">
        <v>0</v>
      </c>
      <c r="AE2292" t="s">
        <v>5740</v>
      </c>
    </row>
    <row r="2293" spans="1:31" x14ac:dyDescent="0.3">
      <c r="A2293">
        <v>-73.966989194050001</v>
      </c>
      <c r="B2293">
        <v>40.783563516229997</v>
      </c>
      <c r="C2293" t="s">
        <v>5741</v>
      </c>
      <c r="D2293" t="s">
        <v>689</v>
      </c>
      <c r="E2293" t="s">
        <v>33</v>
      </c>
      <c r="F2293">
        <v>10062018</v>
      </c>
      <c r="G2293">
        <v>7</v>
      </c>
      <c r="H2293" t="s">
        <v>48</v>
      </c>
      <c r="I2293" t="s">
        <v>42</v>
      </c>
      <c r="K2293" t="s">
        <v>43</v>
      </c>
      <c r="M2293" t="s">
        <v>44</v>
      </c>
      <c r="N2293">
        <v>10</v>
      </c>
      <c r="P2293" t="b">
        <v>0</v>
      </c>
      <c r="Q2293" t="b">
        <v>0</v>
      </c>
      <c r="R2293" t="b">
        <v>1</v>
      </c>
      <c r="S2293" t="b">
        <v>0</v>
      </c>
      <c r="T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b">
        <v>0</v>
      </c>
      <c r="AB2293" t="b">
        <v>0</v>
      </c>
      <c r="AC2293" t="b">
        <v>0</v>
      </c>
      <c r="AE2293" t="s">
        <v>5742</v>
      </c>
    </row>
    <row r="2294" spans="1:31" x14ac:dyDescent="0.3">
      <c r="A2294">
        <v>-73.963082057739996</v>
      </c>
      <c r="B2294">
        <v>40.782163229310001</v>
      </c>
      <c r="C2294" t="s">
        <v>5743</v>
      </c>
      <c r="D2294" t="s">
        <v>1287</v>
      </c>
      <c r="E2294" t="s">
        <v>33</v>
      </c>
      <c r="F2294">
        <v>10182018</v>
      </c>
      <c r="G2294">
        <v>1</v>
      </c>
      <c r="H2294" t="s">
        <v>48</v>
      </c>
      <c r="I2294" t="s">
        <v>42</v>
      </c>
      <c r="J2294" t="s">
        <v>96</v>
      </c>
      <c r="K2294" t="s">
        <v>97</v>
      </c>
      <c r="L2294" t="s">
        <v>1381</v>
      </c>
      <c r="M2294" t="s">
        <v>65</v>
      </c>
      <c r="N2294" t="b">
        <v>0</v>
      </c>
      <c r="P2294" t="b">
        <v>1</v>
      </c>
      <c r="Q2294" t="b">
        <v>0</v>
      </c>
      <c r="R2294" t="b">
        <v>0</v>
      </c>
      <c r="S2294" t="b">
        <v>1</v>
      </c>
      <c r="T2294" t="b">
        <v>0</v>
      </c>
      <c r="V2294" t="b">
        <v>0</v>
      </c>
      <c r="W2294" t="b">
        <v>0</v>
      </c>
      <c r="X2294" t="b">
        <v>0</v>
      </c>
      <c r="Y2294" t="b">
        <v>1</v>
      </c>
      <c r="Z2294" t="b">
        <v>0</v>
      </c>
      <c r="AA2294" t="b">
        <v>0</v>
      </c>
      <c r="AB2294" t="b">
        <v>1</v>
      </c>
      <c r="AC2294" t="b">
        <v>0</v>
      </c>
      <c r="AE2294" t="s">
        <v>5744</v>
      </c>
    </row>
    <row r="2295" spans="1:31" x14ac:dyDescent="0.3">
      <c r="A2295">
        <v>-73.959063205109999</v>
      </c>
      <c r="B2295">
        <v>40.79631465848</v>
      </c>
      <c r="C2295" t="s">
        <v>5745</v>
      </c>
      <c r="D2295" t="s">
        <v>431</v>
      </c>
      <c r="E2295" t="s">
        <v>38</v>
      </c>
      <c r="F2295">
        <v>10192018</v>
      </c>
      <c r="G2295">
        <v>4</v>
      </c>
      <c r="H2295" t="s">
        <v>48</v>
      </c>
      <c r="I2295" t="s">
        <v>42</v>
      </c>
      <c r="K2295" t="s">
        <v>43</v>
      </c>
      <c r="M2295" t="s">
        <v>44</v>
      </c>
      <c r="N2295">
        <v>20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s">
        <v>643</v>
      </c>
      <c r="V2295" t="b">
        <v>1</v>
      </c>
      <c r="W2295" t="b">
        <v>1</v>
      </c>
      <c r="X2295" t="b">
        <v>0</v>
      </c>
      <c r="Y2295" t="b">
        <v>1</v>
      </c>
      <c r="Z2295" t="b">
        <v>0</v>
      </c>
      <c r="AA2295" t="b">
        <v>0</v>
      </c>
      <c r="AB2295" t="b">
        <v>1</v>
      </c>
      <c r="AC2295" t="b">
        <v>0</v>
      </c>
      <c r="AD2295" t="s">
        <v>3067</v>
      </c>
      <c r="AE2295" t="s">
        <v>5746</v>
      </c>
    </row>
    <row r="2296" spans="1:31" x14ac:dyDescent="0.3">
      <c r="A2296">
        <v>-73.965596981559997</v>
      </c>
      <c r="B2296">
        <v>40.779773884580003</v>
      </c>
      <c r="C2296" t="s">
        <v>5747</v>
      </c>
      <c r="D2296" t="s">
        <v>1032</v>
      </c>
      <c r="E2296" t="s">
        <v>33</v>
      </c>
      <c r="F2296">
        <v>10172018</v>
      </c>
      <c r="G2296">
        <v>2</v>
      </c>
      <c r="H2296" t="s">
        <v>48</v>
      </c>
      <c r="I2296" t="s">
        <v>42</v>
      </c>
      <c r="K2296" t="s">
        <v>43</v>
      </c>
      <c r="M2296" t="s">
        <v>65</v>
      </c>
      <c r="N2296" t="b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1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b">
        <v>0</v>
      </c>
      <c r="AB2296" t="b">
        <v>1</v>
      </c>
      <c r="AC2296" t="b">
        <v>0</v>
      </c>
      <c r="AE2296" t="s">
        <v>5748</v>
      </c>
    </row>
    <row r="2297" spans="1:31" x14ac:dyDescent="0.3">
      <c r="A2297">
        <v>-73.978777105310002</v>
      </c>
      <c r="B2297">
        <v>40.769356212280002</v>
      </c>
      <c r="C2297" t="s">
        <v>5749</v>
      </c>
      <c r="D2297" t="s">
        <v>455</v>
      </c>
      <c r="E2297" t="s">
        <v>38</v>
      </c>
      <c r="F2297">
        <v>10102018</v>
      </c>
      <c r="G2297">
        <v>7</v>
      </c>
      <c r="H2297" t="s">
        <v>48</v>
      </c>
      <c r="I2297" t="s">
        <v>42</v>
      </c>
      <c r="K2297" t="s">
        <v>43</v>
      </c>
      <c r="M2297" t="s">
        <v>44</v>
      </c>
      <c r="N2297">
        <v>10</v>
      </c>
      <c r="P2297" t="b">
        <v>0</v>
      </c>
      <c r="Q2297" t="b">
        <v>0</v>
      </c>
      <c r="R2297" t="b">
        <v>1</v>
      </c>
      <c r="S2297" t="b">
        <v>0</v>
      </c>
      <c r="T2297" t="b">
        <v>0</v>
      </c>
      <c r="U2297" t="s">
        <v>5750</v>
      </c>
      <c r="V2297" t="b">
        <v>0</v>
      </c>
      <c r="W2297" t="b">
        <v>0</v>
      </c>
      <c r="X2297" t="b">
        <v>0</v>
      </c>
      <c r="Y2297" t="b">
        <v>1</v>
      </c>
      <c r="Z2297" t="b">
        <v>0</v>
      </c>
      <c r="AA2297" t="b">
        <v>0</v>
      </c>
      <c r="AB2297" t="b">
        <v>1</v>
      </c>
      <c r="AC2297" t="b">
        <v>0</v>
      </c>
      <c r="AE2297" t="s">
        <v>5751</v>
      </c>
    </row>
    <row r="2298" spans="1:31" x14ac:dyDescent="0.3">
      <c r="A2298">
        <v>-73.975537184999993</v>
      </c>
      <c r="B2298">
        <v>40.773356123379997</v>
      </c>
      <c r="C2298" t="s">
        <v>5752</v>
      </c>
      <c r="D2298" t="s">
        <v>1401</v>
      </c>
      <c r="E2298" t="s">
        <v>33</v>
      </c>
      <c r="F2298">
        <v>10062018</v>
      </c>
      <c r="G2298">
        <v>2</v>
      </c>
      <c r="H2298" t="s">
        <v>48</v>
      </c>
      <c r="I2298" t="s">
        <v>42</v>
      </c>
      <c r="J2298" t="s">
        <v>59</v>
      </c>
      <c r="K2298" t="s">
        <v>79</v>
      </c>
      <c r="M2298" t="s">
        <v>44</v>
      </c>
      <c r="N2298">
        <v>15</v>
      </c>
      <c r="P2298" t="b">
        <v>0</v>
      </c>
      <c r="Q2298" t="b">
        <v>1</v>
      </c>
      <c r="R2298" t="b">
        <v>0</v>
      </c>
      <c r="S2298" t="b">
        <v>0</v>
      </c>
      <c r="T2298" t="b">
        <v>0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b">
        <v>0</v>
      </c>
      <c r="AB2298" t="b">
        <v>1</v>
      </c>
      <c r="AC2298" t="b">
        <v>0</v>
      </c>
      <c r="AE2298" t="s">
        <v>5753</v>
      </c>
    </row>
    <row r="2299" spans="1:31" x14ac:dyDescent="0.3">
      <c r="A2299">
        <v>-73.960555484319997</v>
      </c>
      <c r="B2299">
        <v>40.790147371400003</v>
      </c>
      <c r="C2299" t="s">
        <v>5754</v>
      </c>
      <c r="D2299" t="s">
        <v>1407</v>
      </c>
      <c r="E2299" t="s">
        <v>33</v>
      </c>
      <c r="F2299">
        <v>10062018</v>
      </c>
      <c r="G2299">
        <v>9</v>
      </c>
      <c r="H2299" t="s">
        <v>48</v>
      </c>
      <c r="I2299" t="s">
        <v>42</v>
      </c>
      <c r="J2299" t="s">
        <v>96</v>
      </c>
      <c r="K2299" t="s">
        <v>97</v>
      </c>
      <c r="M2299" t="s">
        <v>65</v>
      </c>
      <c r="N2299" t="b">
        <v>0</v>
      </c>
      <c r="P2299" t="b">
        <v>0</v>
      </c>
      <c r="Q2299" t="b">
        <v>0</v>
      </c>
      <c r="R2299" t="b">
        <v>0</v>
      </c>
      <c r="S2299" t="b">
        <v>1</v>
      </c>
      <c r="T2299" t="b">
        <v>0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b">
        <v>0</v>
      </c>
      <c r="AB2299" t="b">
        <v>1</v>
      </c>
      <c r="AC2299" t="b">
        <v>0</v>
      </c>
      <c r="AE2299" t="s">
        <v>5755</v>
      </c>
    </row>
    <row r="2300" spans="1:31" x14ac:dyDescent="0.3">
      <c r="A2300">
        <v>-73.978925180640005</v>
      </c>
      <c r="B2300">
        <v>40.769955851319999</v>
      </c>
      <c r="C2300" t="s">
        <v>5756</v>
      </c>
      <c r="D2300" t="s">
        <v>886</v>
      </c>
      <c r="E2300" t="s">
        <v>38</v>
      </c>
      <c r="F2300">
        <v>10102018</v>
      </c>
      <c r="G2300">
        <v>2</v>
      </c>
      <c r="H2300" t="s">
        <v>105</v>
      </c>
      <c r="I2300" t="s">
        <v>53</v>
      </c>
      <c r="J2300" t="s">
        <v>115</v>
      </c>
      <c r="K2300" t="s">
        <v>116</v>
      </c>
      <c r="M2300" t="s">
        <v>44</v>
      </c>
      <c r="N2300">
        <v>30</v>
      </c>
      <c r="P2300" t="b">
        <v>0</v>
      </c>
      <c r="Q2300" t="b">
        <v>0</v>
      </c>
      <c r="R2300" t="b">
        <v>1</v>
      </c>
      <c r="S2300" t="b">
        <v>1</v>
      </c>
      <c r="T2300" t="b">
        <v>1</v>
      </c>
      <c r="V2300" t="b">
        <v>1</v>
      </c>
      <c r="W2300" t="b">
        <v>0</v>
      </c>
      <c r="X2300" t="b">
        <v>0</v>
      </c>
      <c r="Y2300" t="b">
        <v>0</v>
      </c>
      <c r="Z2300" t="b">
        <v>0</v>
      </c>
      <c r="AA2300" t="b">
        <v>0</v>
      </c>
      <c r="AB2300" t="b">
        <v>1</v>
      </c>
      <c r="AC2300" t="b">
        <v>0</v>
      </c>
      <c r="AE2300" t="s">
        <v>5757</v>
      </c>
    </row>
    <row r="2301" spans="1:31" x14ac:dyDescent="0.3">
      <c r="A2301">
        <v>-73.968906907670004</v>
      </c>
      <c r="B2301">
        <v>40.781627826780003</v>
      </c>
      <c r="C2301" t="s">
        <v>5758</v>
      </c>
      <c r="D2301" t="s">
        <v>304</v>
      </c>
      <c r="E2301" t="s">
        <v>33</v>
      </c>
      <c r="F2301">
        <v>10182018</v>
      </c>
      <c r="G2301">
        <v>7</v>
      </c>
      <c r="H2301" t="s">
        <v>105</v>
      </c>
      <c r="I2301" t="s">
        <v>42</v>
      </c>
      <c r="J2301" t="s">
        <v>96</v>
      </c>
      <c r="K2301" t="s">
        <v>97</v>
      </c>
      <c r="L2301" t="s">
        <v>4308</v>
      </c>
      <c r="M2301" t="s">
        <v>65</v>
      </c>
      <c r="N2301" t="b">
        <v>0</v>
      </c>
      <c r="P2301" t="b">
        <v>1</v>
      </c>
      <c r="Q2301" t="b">
        <v>0</v>
      </c>
      <c r="R2301" t="b">
        <v>1</v>
      </c>
      <c r="S2301" t="b">
        <v>0</v>
      </c>
      <c r="T2301" t="b">
        <v>0</v>
      </c>
      <c r="V2301" t="b">
        <v>0</v>
      </c>
      <c r="W2301" t="b">
        <v>0</v>
      </c>
      <c r="X2301" t="b">
        <v>0</v>
      </c>
      <c r="Y2301" t="b">
        <v>0</v>
      </c>
      <c r="Z2301" t="b">
        <v>0</v>
      </c>
      <c r="AA2301" t="b">
        <v>0</v>
      </c>
      <c r="AB2301" t="b">
        <v>0</v>
      </c>
      <c r="AC2301" t="b">
        <v>0</v>
      </c>
      <c r="AE2301" t="s">
        <v>5759</v>
      </c>
    </row>
    <row r="2302" spans="1:31" x14ac:dyDescent="0.3">
      <c r="A2302">
        <v>-73.975433386640006</v>
      </c>
      <c r="B2302">
        <v>40.773239091610002</v>
      </c>
      <c r="C2302" t="s">
        <v>5760</v>
      </c>
      <c r="D2302" t="s">
        <v>793</v>
      </c>
      <c r="E2302" t="s">
        <v>33</v>
      </c>
      <c r="F2302">
        <v>10132018</v>
      </c>
      <c r="G2302">
        <v>1</v>
      </c>
      <c r="H2302" t="s">
        <v>48</v>
      </c>
      <c r="I2302" t="s">
        <v>42</v>
      </c>
      <c r="J2302" t="s">
        <v>53</v>
      </c>
      <c r="K2302" t="s">
        <v>54</v>
      </c>
      <c r="M2302" t="s">
        <v>65</v>
      </c>
      <c r="N2302" t="b">
        <v>0</v>
      </c>
      <c r="P2302" t="b">
        <v>0</v>
      </c>
      <c r="Q2302" t="b">
        <v>0</v>
      </c>
      <c r="R2302" t="b">
        <v>0</v>
      </c>
      <c r="S2302" t="b">
        <v>0</v>
      </c>
      <c r="T2302" t="b">
        <v>1</v>
      </c>
      <c r="V2302" t="b">
        <v>0</v>
      </c>
      <c r="W2302" t="b">
        <v>0</v>
      </c>
      <c r="X2302" t="b">
        <v>0</v>
      </c>
      <c r="Y2302" t="b">
        <v>0</v>
      </c>
      <c r="Z2302" t="b">
        <v>1</v>
      </c>
      <c r="AA2302" t="b">
        <v>0</v>
      </c>
      <c r="AB2302" t="b">
        <v>1</v>
      </c>
      <c r="AC2302" t="b">
        <v>0</v>
      </c>
      <c r="AE2302" t="s">
        <v>5761</v>
      </c>
    </row>
    <row r="2303" spans="1:31" x14ac:dyDescent="0.3">
      <c r="A2303">
        <v>-73.958947046139997</v>
      </c>
      <c r="B2303">
        <v>40.791281764639997</v>
      </c>
      <c r="C2303" t="s">
        <v>5762</v>
      </c>
      <c r="D2303" t="s">
        <v>1211</v>
      </c>
      <c r="E2303" t="s">
        <v>38</v>
      </c>
      <c r="F2303">
        <v>10142018</v>
      </c>
      <c r="G2303">
        <v>10</v>
      </c>
      <c r="H2303" t="s">
        <v>105</v>
      </c>
      <c r="I2303" t="s">
        <v>42</v>
      </c>
      <c r="J2303" t="s">
        <v>96</v>
      </c>
      <c r="K2303" t="s">
        <v>97</v>
      </c>
      <c r="M2303" t="s">
        <v>44</v>
      </c>
      <c r="N2303">
        <v>15</v>
      </c>
      <c r="P2303" t="b">
        <v>0</v>
      </c>
      <c r="Q2303" t="b">
        <v>1</v>
      </c>
      <c r="R2303" t="b">
        <v>0</v>
      </c>
      <c r="S2303" t="b">
        <v>0</v>
      </c>
      <c r="T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b">
        <v>0</v>
      </c>
      <c r="AB2303" t="b">
        <v>1</v>
      </c>
      <c r="AC2303" t="b">
        <v>0</v>
      </c>
      <c r="AE2303" t="s">
        <v>5763</v>
      </c>
    </row>
    <row r="2304" spans="1:31" x14ac:dyDescent="0.3">
      <c r="A2304">
        <v>-73.971525115700004</v>
      </c>
      <c r="B2304">
        <v>40.774621784860003</v>
      </c>
      <c r="C2304" t="s">
        <v>5764</v>
      </c>
      <c r="D2304" t="s">
        <v>1112</v>
      </c>
      <c r="E2304" t="s">
        <v>33</v>
      </c>
      <c r="F2304">
        <v>10122018</v>
      </c>
      <c r="G2304">
        <v>7</v>
      </c>
      <c r="H2304" t="s">
        <v>48</v>
      </c>
      <c r="I2304" t="s">
        <v>42</v>
      </c>
      <c r="J2304" t="s">
        <v>59</v>
      </c>
      <c r="K2304" t="s">
        <v>79</v>
      </c>
      <c r="M2304" t="s">
        <v>65</v>
      </c>
      <c r="N2304" t="b">
        <v>0</v>
      </c>
      <c r="P2304" t="b">
        <v>0</v>
      </c>
      <c r="Q2304" t="b">
        <v>0</v>
      </c>
      <c r="R2304" t="b">
        <v>0</v>
      </c>
      <c r="S2304" t="b">
        <v>1</v>
      </c>
      <c r="T2304" t="b">
        <v>0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b">
        <v>0</v>
      </c>
      <c r="AB2304" t="b">
        <v>1</v>
      </c>
      <c r="AC2304" t="b">
        <v>0</v>
      </c>
      <c r="AE2304" t="s">
        <v>5765</v>
      </c>
    </row>
    <row r="2305" spans="1:31" x14ac:dyDescent="0.3">
      <c r="A2305">
        <v>-73.967983322539993</v>
      </c>
      <c r="B2305">
        <v>40.77385470934</v>
      </c>
      <c r="C2305" t="s">
        <v>5766</v>
      </c>
      <c r="D2305" t="s">
        <v>1389</v>
      </c>
      <c r="E2305" t="s">
        <v>33</v>
      </c>
      <c r="F2305">
        <v>10072018</v>
      </c>
      <c r="G2305">
        <v>5</v>
      </c>
      <c r="I2305" t="s">
        <v>42</v>
      </c>
      <c r="J2305" t="s">
        <v>53</v>
      </c>
      <c r="K2305" t="s">
        <v>54</v>
      </c>
      <c r="M2305" t="s">
        <v>65</v>
      </c>
      <c r="N2305" t="b">
        <v>0</v>
      </c>
      <c r="P2305" t="b">
        <v>0</v>
      </c>
      <c r="Q2305" t="b">
        <v>0</v>
      </c>
      <c r="R2305" t="b">
        <v>0</v>
      </c>
      <c r="S2305" t="b">
        <v>0</v>
      </c>
      <c r="T2305" t="b">
        <v>1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b">
        <v>0</v>
      </c>
      <c r="AB2305" t="b">
        <v>1</v>
      </c>
      <c r="AC2305" t="b">
        <v>0</v>
      </c>
      <c r="AE2305" t="s">
        <v>5767</v>
      </c>
    </row>
    <row r="2306" spans="1:31" x14ac:dyDescent="0.3">
      <c r="A2306">
        <v>-73.956453902489997</v>
      </c>
      <c r="B2306">
        <v>40.7936584431</v>
      </c>
      <c r="C2306" t="s">
        <v>5768</v>
      </c>
      <c r="D2306" t="s">
        <v>693</v>
      </c>
      <c r="E2306" t="s">
        <v>33</v>
      </c>
      <c r="F2306">
        <v>10122018</v>
      </c>
      <c r="G2306">
        <v>5</v>
      </c>
      <c r="H2306" t="s">
        <v>48</v>
      </c>
      <c r="I2306" t="s">
        <v>42</v>
      </c>
      <c r="J2306" t="s">
        <v>59</v>
      </c>
      <c r="K2306" t="s">
        <v>79</v>
      </c>
      <c r="M2306" t="s">
        <v>65</v>
      </c>
      <c r="N2306" t="b">
        <v>0</v>
      </c>
      <c r="P2306" t="b">
        <v>0</v>
      </c>
      <c r="Q2306" t="b">
        <v>0</v>
      </c>
      <c r="R2306" t="b">
        <v>0</v>
      </c>
      <c r="S2306" t="b">
        <v>0</v>
      </c>
      <c r="T2306" t="b">
        <v>1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b">
        <v>0</v>
      </c>
      <c r="AB2306" t="b">
        <v>1</v>
      </c>
      <c r="AC2306" t="b">
        <v>0</v>
      </c>
      <c r="AE2306" t="s">
        <v>5769</v>
      </c>
    </row>
    <row r="2307" spans="1:31" x14ac:dyDescent="0.3">
      <c r="A2307">
        <v>-73.973699703389997</v>
      </c>
      <c r="B2307">
        <v>40.77849795241</v>
      </c>
      <c r="C2307" t="s">
        <v>5770</v>
      </c>
      <c r="D2307" t="s">
        <v>785</v>
      </c>
      <c r="E2307" t="s">
        <v>33</v>
      </c>
      <c r="F2307">
        <v>10142018</v>
      </c>
      <c r="G2307">
        <v>2</v>
      </c>
      <c r="H2307" t="s">
        <v>48</v>
      </c>
      <c r="I2307" t="s">
        <v>42</v>
      </c>
      <c r="J2307" t="s">
        <v>96</v>
      </c>
      <c r="K2307" t="s">
        <v>97</v>
      </c>
      <c r="M2307" t="s">
        <v>65</v>
      </c>
      <c r="N2307" t="b">
        <v>0</v>
      </c>
      <c r="P2307" t="b">
        <v>1</v>
      </c>
      <c r="Q2307" t="b">
        <v>0</v>
      </c>
      <c r="R2307" t="b">
        <v>0</v>
      </c>
      <c r="S2307" t="b">
        <v>0</v>
      </c>
      <c r="T2307" t="b">
        <v>0</v>
      </c>
      <c r="V2307" t="b">
        <v>0</v>
      </c>
      <c r="W2307" t="b">
        <v>0</v>
      </c>
      <c r="X2307" t="b">
        <v>0</v>
      </c>
      <c r="Y2307" t="b">
        <v>0</v>
      </c>
      <c r="Z2307" t="b">
        <v>0</v>
      </c>
      <c r="AA2307" t="b">
        <v>0</v>
      </c>
      <c r="AB2307" t="b">
        <v>0</v>
      </c>
      <c r="AC2307" t="b">
        <v>1</v>
      </c>
      <c r="AE2307" t="s">
        <v>5771</v>
      </c>
    </row>
    <row r="2308" spans="1:31" x14ac:dyDescent="0.3">
      <c r="A2308">
        <v>-73.968857485650005</v>
      </c>
      <c r="B2308">
        <v>40.778077020700003</v>
      </c>
      <c r="C2308" t="s">
        <v>5772</v>
      </c>
      <c r="D2308" t="s">
        <v>256</v>
      </c>
      <c r="E2308" t="s">
        <v>38</v>
      </c>
      <c r="F2308">
        <v>10142018</v>
      </c>
      <c r="G2308">
        <v>10</v>
      </c>
      <c r="H2308" t="s">
        <v>48</v>
      </c>
      <c r="I2308" t="s">
        <v>42</v>
      </c>
      <c r="J2308" t="s">
        <v>53</v>
      </c>
      <c r="K2308" t="s">
        <v>54</v>
      </c>
      <c r="M2308" t="s">
        <v>44</v>
      </c>
      <c r="N2308">
        <v>25</v>
      </c>
      <c r="P2308" t="b">
        <v>0</v>
      </c>
      <c r="Q2308" t="b">
        <v>0</v>
      </c>
      <c r="R2308" t="b">
        <v>1</v>
      </c>
      <c r="S2308" t="b">
        <v>0</v>
      </c>
      <c r="T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b">
        <v>0</v>
      </c>
      <c r="AB2308" t="b">
        <v>0</v>
      </c>
      <c r="AC2308" t="b">
        <v>0</v>
      </c>
      <c r="AE2308" t="s">
        <v>5773</v>
      </c>
    </row>
    <row r="2309" spans="1:31" x14ac:dyDescent="0.3">
      <c r="A2309">
        <v>-73.96682425729</v>
      </c>
      <c r="B2309">
        <v>40.775340537790001</v>
      </c>
      <c r="C2309" t="s">
        <v>5774</v>
      </c>
      <c r="D2309" t="s">
        <v>1320</v>
      </c>
      <c r="E2309" t="s">
        <v>33</v>
      </c>
      <c r="F2309">
        <v>10122018</v>
      </c>
      <c r="G2309">
        <v>4</v>
      </c>
      <c r="H2309" t="s">
        <v>48</v>
      </c>
      <c r="I2309" t="s">
        <v>53</v>
      </c>
      <c r="J2309" t="s">
        <v>42</v>
      </c>
      <c r="K2309" t="s">
        <v>89</v>
      </c>
      <c r="M2309" t="s">
        <v>65</v>
      </c>
      <c r="N2309" t="b">
        <v>0</v>
      </c>
      <c r="P2309" t="b">
        <v>0</v>
      </c>
      <c r="Q2309" t="b">
        <v>0</v>
      </c>
      <c r="R2309" t="b">
        <v>0</v>
      </c>
      <c r="S2309" t="b">
        <v>1</v>
      </c>
      <c r="T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b">
        <v>0</v>
      </c>
      <c r="AB2309" t="b">
        <v>1</v>
      </c>
      <c r="AC2309" t="b">
        <v>0</v>
      </c>
      <c r="AE2309" t="s">
        <v>5775</v>
      </c>
    </row>
    <row r="2310" spans="1:31" x14ac:dyDescent="0.3">
      <c r="A2310">
        <v>-73.971286317259995</v>
      </c>
      <c r="B2310">
        <v>40.774698758180001</v>
      </c>
      <c r="C2310" t="s">
        <v>5776</v>
      </c>
      <c r="D2310" t="s">
        <v>726</v>
      </c>
      <c r="E2310" t="s">
        <v>38</v>
      </c>
      <c r="F2310">
        <v>10172018</v>
      </c>
      <c r="G2310">
        <v>1</v>
      </c>
      <c r="H2310" t="s">
        <v>48</v>
      </c>
      <c r="I2310" t="s">
        <v>42</v>
      </c>
      <c r="J2310" t="s">
        <v>96</v>
      </c>
      <c r="K2310" t="s">
        <v>97</v>
      </c>
      <c r="M2310" t="s">
        <v>65</v>
      </c>
      <c r="N2310" t="b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1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b">
        <v>0</v>
      </c>
      <c r="AB2310" t="b">
        <v>1</v>
      </c>
      <c r="AC2310" t="b">
        <v>0</v>
      </c>
      <c r="AE2310" t="s">
        <v>5777</v>
      </c>
    </row>
    <row r="2311" spans="1:31" x14ac:dyDescent="0.3">
      <c r="A2311">
        <v>-73.968017189440005</v>
      </c>
      <c r="B2311">
        <v>40.772464442630003</v>
      </c>
      <c r="C2311" t="s">
        <v>5778</v>
      </c>
      <c r="D2311" t="s">
        <v>1270</v>
      </c>
      <c r="E2311" t="s">
        <v>33</v>
      </c>
      <c r="F2311">
        <v>10122018</v>
      </c>
      <c r="G2311">
        <v>7</v>
      </c>
      <c r="H2311" t="s">
        <v>105</v>
      </c>
      <c r="I2311" t="s">
        <v>42</v>
      </c>
      <c r="K2311" t="s">
        <v>43</v>
      </c>
      <c r="M2311" t="s">
        <v>65</v>
      </c>
      <c r="N2311" t="b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1</v>
      </c>
      <c r="U2311" t="s">
        <v>5779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b">
        <v>0</v>
      </c>
      <c r="AB2311" t="b">
        <v>0</v>
      </c>
      <c r="AC2311" t="b">
        <v>0</v>
      </c>
      <c r="AE2311" t="s">
        <v>5780</v>
      </c>
    </row>
    <row r="2312" spans="1:31" x14ac:dyDescent="0.3">
      <c r="A2312">
        <v>-73.976586702920002</v>
      </c>
      <c r="B2312">
        <v>40.767430426609998</v>
      </c>
      <c r="C2312" t="s">
        <v>5781</v>
      </c>
      <c r="D2312" t="s">
        <v>879</v>
      </c>
      <c r="E2312" t="s">
        <v>33</v>
      </c>
      <c r="F2312">
        <v>10142018</v>
      </c>
      <c r="G2312">
        <v>1</v>
      </c>
      <c r="H2312" t="s">
        <v>48</v>
      </c>
      <c r="I2312" t="s">
        <v>42</v>
      </c>
      <c r="J2312" t="s">
        <v>59</v>
      </c>
      <c r="K2312" t="s">
        <v>79</v>
      </c>
      <c r="M2312" t="s">
        <v>65</v>
      </c>
      <c r="N2312" t="b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1</v>
      </c>
      <c r="V2312" t="b">
        <v>0</v>
      </c>
      <c r="W2312" t="b">
        <v>0</v>
      </c>
      <c r="X2312" t="b">
        <v>0</v>
      </c>
      <c r="Y2312" t="b">
        <v>0</v>
      </c>
      <c r="Z2312" t="b">
        <v>1</v>
      </c>
      <c r="AA2312" t="b">
        <v>1</v>
      </c>
      <c r="AB2312" t="b">
        <v>0</v>
      </c>
      <c r="AC2312" t="b">
        <v>0</v>
      </c>
      <c r="AE2312" t="s">
        <v>5782</v>
      </c>
    </row>
    <row r="2313" spans="1:31" x14ac:dyDescent="0.3">
      <c r="A2313">
        <v>-73.964617403489996</v>
      </c>
      <c r="B2313">
        <v>40.77812875283</v>
      </c>
      <c r="C2313" t="s">
        <v>5783</v>
      </c>
      <c r="D2313" t="s">
        <v>1810</v>
      </c>
      <c r="E2313" t="s">
        <v>38</v>
      </c>
      <c r="F2313">
        <v>10182018</v>
      </c>
      <c r="G2313">
        <v>1</v>
      </c>
      <c r="H2313" t="s">
        <v>48</v>
      </c>
      <c r="I2313" t="s">
        <v>42</v>
      </c>
      <c r="J2313" t="s">
        <v>53</v>
      </c>
      <c r="K2313" t="s">
        <v>54</v>
      </c>
      <c r="M2313" t="s">
        <v>65</v>
      </c>
      <c r="N2313" t="b">
        <v>0</v>
      </c>
      <c r="O2313" t="s">
        <v>5784</v>
      </c>
      <c r="P2313" t="b">
        <v>1</v>
      </c>
      <c r="Q2313" t="b">
        <v>1</v>
      </c>
      <c r="R2313" t="b">
        <v>0</v>
      </c>
      <c r="S2313" t="b">
        <v>0</v>
      </c>
      <c r="T2313" t="b">
        <v>0</v>
      </c>
      <c r="U2313" t="s">
        <v>3820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b">
        <v>0</v>
      </c>
      <c r="AB2313" t="b">
        <v>0</v>
      </c>
      <c r="AC2313" t="b">
        <v>0</v>
      </c>
      <c r="AE2313" t="s">
        <v>5785</v>
      </c>
    </row>
    <row r="2314" spans="1:31" x14ac:dyDescent="0.3">
      <c r="A2314">
        <v>-73.966396141580006</v>
      </c>
      <c r="B2314">
        <v>40.775069112099999</v>
      </c>
      <c r="C2314" t="s">
        <v>5786</v>
      </c>
      <c r="D2314" t="s">
        <v>1320</v>
      </c>
      <c r="E2314" t="s">
        <v>33</v>
      </c>
      <c r="F2314">
        <v>10122018</v>
      </c>
      <c r="G2314">
        <v>6</v>
      </c>
      <c r="H2314" t="s">
        <v>48</v>
      </c>
      <c r="I2314" t="s">
        <v>42</v>
      </c>
      <c r="J2314" t="s">
        <v>96</v>
      </c>
      <c r="K2314" t="s">
        <v>97</v>
      </c>
      <c r="L2314" t="s">
        <v>5787</v>
      </c>
      <c r="M2314" t="s">
        <v>65</v>
      </c>
      <c r="N2314" t="b">
        <v>0</v>
      </c>
      <c r="P2314" t="b">
        <v>0</v>
      </c>
      <c r="Q2314" t="b">
        <v>0</v>
      </c>
      <c r="R2314" t="b">
        <v>0</v>
      </c>
      <c r="S2314" t="b">
        <v>1</v>
      </c>
      <c r="T2314" t="b">
        <v>1</v>
      </c>
      <c r="V2314" t="b">
        <v>0</v>
      </c>
      <c r="W2314" t="b">
        <v>0</v>
      </c>
      <c r="X2314" t="b">
        <v>0</v>
      </c>
      <c r="Y2314" t="b">
        <v>0</v>
      </c>
      <c r="Z2314" t="b">
        <v>1</v>
      </c>
      <c r="AA2314" t="b">
        <v>0</v>
      </c>
      <c r="AB2314" t="b">
        <v>1</v>
      </c>
      <c r="AC2314" t="b">
        <v>0</v>
      </c>
      <c r="AE2314" t="s">
        <v>5788</v>
      </c>
    </row>
    <row r="2315" spans="1:31" x14ac:dyDescent="0.3">
      <c r="A2315">
        <v>-73.976784967970005</v>
      </c>
      <c r="B2315">
        <v>40.768566516930001</v>
      </c>
      <c r="C2315" t="s">
        <v>5789</v>
      </c>
      <c r="D2315" t="s">
        <v>502</v>
      </c>
      <c r="E2315" t="s">
        <v>33</v>
      </c>
      <c r="F2315">
        <v>10102018</v>
      </c>
      <c r="G2315">
        <v>4</v>
      </c>
      <c r="H2315" t="s">
        <v>48</v>
      </c>
      <c r="I2315" t="s">
        <v>42</v>
      </c>
      <c r="J2315" t="s">
        <v>53</v>
      </c>
      <c r="K2315" t="s">
        <v>54</v>
      </c>
      <c r="M2315" t="s">
        <v>65</v>
      </c>
      <c r="N2315" t="b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1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b">
        <v>0</v>
      </c>
      <c r="AB2315" t="b">
        <v>0</v>
      </c>
      <c r="AC2315" t="b">
        <v>0</v>
      </c>
      <c r="AE2315" t="s">
        <v>5790</v>
      </c>
    </row>
    <row r="2316" spans="1:31" x14ac:dyDescent="0.3">
      <c r="A2316">
        <v>-73.957697363240001</v>
      </c>
      <c r="B2316">
        <v>40.799757690900002</v>
      </c>
      <c r="C2316" t="s">
        <v>5791</v>
      </c>
      <c r="D2316" t="s">
        <v>2385</v>
      </c>
      <c r="E2316" t="s">
        <v>33</v>
      </c>
      <c r="F2316">
        <v>10142018</v>
      </c>
      <c r="G2316">
        <v>1</v>
      </c>
      <c r="H2316" t="s">
        <v>48</v>
      </c>
      <c r="I2316" t="s">
        <v>42</v>
      </c>
      <c r="J2316" t="s">
        <v>53</v>
      </c>
      <c r="K2316" t="s">
        <v>54</v>
      </c>
      <c r="M2316" t="s">
        <v>65</v>
      </c>
      <c r="N2316" t="b">
        <v>0</v>
      </c>
      <c r="P2316" t="b">
        <v>1</v>
      </c>
      <c r="Q2316" t="b">
        <v>0</v>
      </c>
      <c r="R2316" t="b">
        <v>0</v>
      </c>
      <c r="S2316" t="b">
        <v>0</v>
      </c>
      <c r="T2316" t="b">
        <v>1</v>
      </c>
      <c r="U2316" t="s">
        <v>5792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b">
        <v>0</v>
      </c>
      <c r="AB2316" t="b">
        <v>0</v>
      </c>
      <c r="AC2316" t="b">
        <v>0</v>
      </c>
      <c r="AD2316" t="s">
        <v>5793</v>
      </c>
      <c r="AE2316" t="s">
        <v>5794</v>
      </c>
    </row>
    <row r="2317" spans="1:31" x14ac:dyDescent="0.3">
      <c r="A2317">
        <v>-73.976736968620003</v>
      </c>
      <c r="B2317">
        <v>40.773507443710002</v>
      </c>
      <c r="C2317" t="s">
        <v>5795</v>
      </c>
      <c r="D2317" t="s">
        <v>235</v>
      </c>
      <c r="E2317" t="s">
        <v>33</v>
      </c>
      <c r="F2317">
        <v>10122018</v>
      </c>
      <c r="G2317">
        <v>5</v>
      </c>
      <c r="H2317" t="s">
        <v>48</v>
      </c>
      <c r="I2317" t="s">
        <v>53</v>
      </c>
      <c r="J2317" t="s">
        <v>59</v>
      </c>
      <c r="K2317" t="s">
        <v>60</v>
      </c>
      <c r="M2317" t="s">
        <v>65</v>
      </c>
      <c r="N2317" t="b">
        <v>0</v>
      </c>
      <c r="P2317" t="b">
        <v>0</v>
      </c>
      <c r="Q2317" t="b">
        <v>0</v>
      </c>
      <c r="R2317" t="b">
        <v>1</v>
      </c>
      <c r="S2317" t="b">
        <v>1</v>
      </c>
      <c r="T2317" t="b">
        <v>1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b">
        <v>0</v>
      </c>
      <c r="AB2317" t="b">
        <v>1</v>
      </c>
      <c r="AC2317" t="b">
        <v>0</v>
      </c>
      <c r="AE2317" t="s">
        <v>5796</v>
      </c>
    </row>
    <row r="2318" spans="1:31" x14ac:dyDescent="0.3">
      <c r="A2318">
        <v>-73.967458693980007</v>
      </c>
      <c r="B2318">
        <v>40.77699225221</v>
      </c>
      <c r="C2318" t="s">
        <v>5797</v>
      </c>
      <c r="D2318" t="s">
        <v>311</v>
      </c>
      <c r="E2318" t="s">
        <v>38</v>
      </c>
      <c r="F2318">
        <v>10082018</v>
      </c>
      <c r="G2318">
        <v>2</v>
      </c>
      <c r="H2318" t="s">
        <v>48</v>
      </c>
      <c r="I2318" t="s">
        <v>42</v>
      </c>
      <c r="K2318" t="s">
        <v>43</v>
      </c>
      <c r="M2318" t="s">
        <v>65</v>
      </c>
      <c r="N2318" t="b">
        <v>0</v>
      </c>
      <c r="P2318" t="b">
        <v>1</v>
      </c>
      <c r="Q2318" t="b">
        <v>0</v>
      </c>
      <c r="R2318" t="b">
        <v>0</v>
      </c>
      <c r="S2318" t="b">
        <v>0</v>
      </c>
      <c r="T2318" t="b">
        <v>0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b">
        <v>0</v>
      </c>
      <c r="AB2318" t="b">
        <v>0</v>
      </c>
      <c r="AC2318" t="b">
        <v>1</v>
      </c>
      <c r="AE2318" t="s">
        <v>5798</v>
      </c>
    </row>
    <row r="2319" spans="1:31" x14ac:dyDescent="0.3">
      <c r="A2319">
        <v>-73.975687078920004</v>
      </c>
      <c r="B2319">
        <v>40.773364678269999</v>
      </c>
      <c r="C2319" t="s">
        <v>5799</v>
      </c>
      <c r="D2319" t="s">
        <v>790</v>
      </c>
      <c r="E2319" t="s">
        <v>38</v>
      </c>
      <c r="F2319">
        <v>10102018</v>
      </c>
      <c r="G2319">
        <v>9</v>
      </c>
      <c r="H2319" t="s">
        <v>48</v>
      </c>
      <c r="I2319" t="s">
        <v>42</v>
      </c>
      <c r="J2319" t="s">
        <v>53</v>
      </c>
      <c r="K2319" t="s">
        <v>54</v>
      </c>
      <c r="M2319" t="s">
        <v>65</v>
      </c>
      <c r="N2319" t="b">
        <v>0</v>
      </c>
      <c r="P2319" t="b">
        <v>1</v>
      </c>
      <c r="Q2319" t="b">
        <v>0</v>
      </c>
      <c r="R2319" t="b">
        <v>0</v>
      </c>
      <c r="S2319" t="b">
        <v>1</v>
      </c>
      <c r="T2319" t="b">
        <v>0</v>
      </c>
      <c r="U2319" t="s">
        <v>5800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b">
        <v>0</v>
      </c>
      <c r="AB2319" t="b">
        <v>0</v>
      </c>
      <c r="AC2319" t="b">
        <v>0</v>
      </c>
      <c r="AE2319" t="s">
        <v>5801</v>
      </c>
    </row>
    <row r="2320" spans="1:31" x14ac:dyDescent="0.3">
      <c r="A2320">
        <v>-73.957689747879996</v>
      </c>
      <c r="B2320">
        <v>40.796469532849997</v>
      </c>
      <c r="C2320" t="s">
        <v>5802</v>
      </c>
      <c r="D2320" t="s">
        <v>175</v>
      </c>
      <c r="E2320" t="s">
        <v>38</v>
      </c>
      <c r="F2320">
        <v>10192018</v>
      </c>
      <c r="G2320">
        <v>2</v>
      </c>
      <c r="H2320" t="s">
        <v>48</v>
      </c>
      <c r="I2320" t="s">
        <v>42</v>
      </c>
      <c r="J2320" t="s">
        <v>53</v>
      </c>
      <c r="K2320" t="s">
        <v>54</v>
      </c>
      <c r="M2320" t="s">
        <v>65</v>
      </c>
      <c r="N2320" t="b">
        <v>0</v>
      </c>
      <c r="P2320" t="b">
        <v>1</v>
      </c>
      <c r="Q2320" t="b">
        <v>0</v>
      </c>
      <c r="R2320" t="b">
        <v>0</v>
      </c>
      <c r="S2320" t="b">
        <v>0</v>
      </c>
      <c r="T2320" t="b">
        <v>0</v>
      </c>
      <c r="V2320" t="b">
        <v>0</v>
      </c>
      <c r="W2320" t="b">
        <v>0</v>
      </c>
      <c r="X2320" t="b">
        <v>0</v>
      </c>
      <c r="Y2320" t="b">
        <v>0</v>
      </c>
      <c r="Z2320" t="b">
        <v>1</v>
      </c>
      <c r="AA2320" t="b">
        <v>0</v>
      </c>
      <c r="AB2320" t="b">
        <v>1</v>
      </c>
      <c r="AC2320" t="b">
        <v>0</v>
      </c>
      <c r="AE2320" t="s">
        <v>5803</v>
      </c>
    </row>
    <row r="2321" spans="1:31" x14ac:dyDescent="0.3">
      <c r="A2321">
        <v>-73.974306040480002</v>
      </c>
      <c r="B2321">
        <v>40.768790178140002</v>
      </c>
      <c r="C2321" t="s">
        <v>5804</v>
      </c>
      <c r="D2321" t="s">
        <v>250</v>
      </c>
      <c r="E2321" t="s">
        <v>33</v>
      </c>
      <c r="F2321">
        <v>10072018</v>
      </c>
      <c r="G2321">
        <v>2</v>
      </c>
      <c r="H2321" t="s">
        <v>48</v>
      </c>
      <c r="I2321" t="s">
        <v>42</v>
      </c>
      <c r="J2321" t="s">
        <v>53</v>
      </c>
      <c r="K2321" t="s">
        <v>54</v>
      </c>
      <c r="M2321" t="s">
        <v>65</v>
      </c>
      <c r="N2321" t="b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1</v>
      </c>
      <c r="V2321" t="b">
        <v>0</v>
      </c>
      <c r="W2321" t="b">
        <v>0</v>
      </c>
      <c r="X2321" t="b">
        <v>0</v>
      </c>
      <c r="Y2321" t="b">
        <v>0</v>
      </c>
      <c r="Z2321" t="b">
        <v>1</v>
      </c>
      <c r="AA2321" t="b">
        <v>0</v>
      </c>
      <c r="AB2321" t="b">
        <v>1</v>
      </c>
      <c r="AC2321" t="b">
        <v>0</v>
      </c>
      <c r="AE2321" t="s">
        <v>5805</v>
      </c>
    </row>
    <row r="2322" spans="1:31" x14ac:dyDescent="0.3">
      <c r="A2322">
        <v>-73.972367785480003</v>
      </c>
      <c r="B2322">
        <v>40.766731541090003</v>
      </c>
      <c r="C2322" t="s">
        <v>5806</v>
      </c>
      <c r="D2322" t="s">
        <v>1899</v>
      </c>
      <c r="E2322" t="s">
        <v>38</v>
      </c>
      <c r="F2322">
        <v>10082018</v>
      </c>
      <c r="G2322">
        <v>4</v>
      </c>
      <c r="H2322" t="s">
        <v>48</v>
      </c>
      <c r="I2322" t="s">
        <v>176</v>
      </c>
      <c r="K2322" t="s">
        <v>177</v>
      </c>
      <c r="M2322" t="s">
        <v>44</v>
      </c>
      <c r="N2322">
        <v>50</v>
      </c>
      <c r="P2322" t="b">
        <v>0</v>
      </c>
      <c r="Q2322" t="b">
        <v>0</v>
      </c>
      <c r="R2322" t="b">
        <v>0</v>
      </c>
      <c r="S2322" t="b">
        <v>0</v>
      </c>
      <c r="T2322" t="b">
        <v>1</v>
      </c>
      <c r="V2322" t="b">
        <v>0</v>
      </c>
      <c r="W2322" t="b">
        <v>0</v>
      </c>
      <c r="X2322" t="b">
        <v>0</v>
      </c>
      <c r="Y2322" t="b">
        <v>0</v>
      </c>
      <c r="Z2322" t="b">
        <v>0</v>
      </c>
      <c r="AA2322" t="b">
        <v>0</v>
      </c>
      <c r="AB2322" t="b">
        <v>0</v>
      </c>
      <c r="AC2322" t="b">
        <v>0</v>
      </c>
      <c r="AE2322" t="s">
        <v>5807</v>
      </c>
    </row>
    <row r="2323" spans="1:31" x14ac:dyDescent="0.3">
      <c r="A2323">
        <v>-73.972865443949999</v>
      </c>
      <c r="B2323">
        <v>40.772485314219999</v>
      </c>
      <c r="C2323" t="s">
        <v>5808</v>
      </c>
      <c r="D2323" t="s">
        <v>1920</v>
      </c>
      <c r="E2323" t="s">
        <v>38</v>
      </c>
      <c r="F2323">
        <v>10082018</v>
      </c>
      <c r="G2323">
        <v>4</v>
      </c>
      <c r="H2323" t="s">
        <v>48</v>
      </c>
      <c r="I2323" t="s">
        <v>42</v>
      </c>
      <c r="J2323" t="s">
        <v>59</v>
      </c>
      <c r="K2323" t="s">
        <v>79</v>
      </c>
      <c r="M2323" t="s">
        <v>65</v>
      </c>
      <c r="N2323" t="b">
        <v>0</v>
      </c>
      <c r="P2323" t="b">
        <v>0</v>
      </c>
      <c r="Q2323" t="b">
        <v>0</v>
      </c>
      <c r="R2323" t="b">
        <v>0</v>
      </c>
      <c r="S2323" t="b">
        <v>1</v>
      </c>
      <c r="T2323" t="b">
        <v>0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b">
        <v>0</v>
      </c>
      <c r="AB2323" t="b">
        <v>1</v>
      </c>
      <c r="AC2323" t="b">
        <v>0</v>
      </c>
      <c r="AE2323" t="s">
        <v>5809</v>
      </c>
    </row>
    <row r="2324" spans="1:31" x14ac:dyDescent="0.3">
      <c r="A2324">
        <v>-73.971592198219994</v>
      </c>
      <c r="B2324">
        <v>40.774615306660003</v>
      </c>
      <c r="C2324" t="s">
        <v>5810</v>
      </c>
      <c r="D2324" t="s">
        <v>1112</v>
      </c>
      <c r="E2324" t="s">
        <v>33</v>
      </c>
      <c r="F2324">
        <v>10122018</v>
      </c>
      <c r="G2324">
        <v>6</v>
      </c>
      <c r="H2324" t="s">
        <v>48</v>
      </c>
      <c r="I2324" t="s">
        <v>42</v>
      </c>
      <c r="J2324" t="s">
        <v>96</v>
      </c>
      <c r="K2324" t="s">
        <v>97</v>
      </c>
      <c r="L2324" t="s">
        <v>1381</v>
      </c>
      <c r="M2324" t="s">
        <v>44</v>
      </c>
      <c r="N2324">
        <v>5</v>
      </c>
      <c r="P2324" t="b">
        <v>0</v>
      </c>
      <c r="Q2324" t="b">
        <v>0</v>
      </c>
      <c r="R2324" t="b">
        <v>1</v>
      </c>
      <c r="S2324" t="b">
        <v>1</v>
      </c>
      <c r="T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b">
        <v>0</v>
      </c>
      <c r="AB2324" t="b">
        <v>1</v>
      </c>
      <c r="AC2324" t="b">
        <v>0</v>
      </c>
      <c r="AE2324" t="s">
        <v>5811</v>
      </c>
    </row>
    <row r="2325" spans="1:31" x14ac:dyDescent="0.3">
      <c r="A2325">
        <v>-73.973724763220005</v>
      </c>
      <c r="B2325">
        <v>40.775946928090001</v>
      </c>
      <c r="C2325" t="s">
        <v>5812</v>
      </c>
      <c r="D2325" t="s">
        <v>761</v>
      </c>
      <c r="E2325" t="s">
        <v>33</v>
      </c>
      <c r="F2325">
        <v>10172018</v>
      </c>
      <c r="G2325">
        <v>1</v>
      </c>
      <c r="H2325" t="s">
        <v>105</v>
      </c>
      <c r="I2325" t="s">
        <v>42</v>
      </c>
      <c r="J2325" t="s">
        <v>53</v>
      </c>
      <c r="K2325" t="s">
        <v>54</v>
      </c>
      <c r="M2325" t="s">
        <v>65</v>
      </c>
      <c r="N2325" t="b">
        <v>0</v>
      </c>
      <c r="P2325" t="b">
        <v>1</v>
      </c>
      <c r="Q2325" t="b">
        <v>0</v>
      </c>
      <c r="R2325" t="b">
        <v>0</v>
      </c>
      <c r="S2325" t="b">
        <v>1</v>
      </c>
      <c r="T2325" t="b">
        <v>0</v>
      </c>
      <c r="U2325" t="s">
        <v>5813</v>
      </c>
      <c r="V2325" t="b">
        <v>0</v>
      </c>
      <c r="W2325" t="b">
        <v>0</v>
      </c>
      <c r="X2325" t="b">
        <v>0</v>
      </c>
      <c r="Y2325" t="b">
        <v>0</v>
      </c>
      <c r="Z2325" t="b">
        <v>1</v>
      </c>
      <c r="AA2325" t="b">
        <v>0</v>
      </c>
      <c r="AB2325" t="b">
        <v>1</v>
      </c>
      <c r="AC2325" t="b">
        <v>0</v>
      </c>
      <c r="AE2325" t="s">
        <v>5814</v>
      </c>
    </row>
    <row r="2326" spans="1:31" x14ac:dyDescent="0.3">
      <c r="A2326">
        <v>-73.972836087559998</v>
      </c>
      <c r="B2326">
        <v>40.76606372957</v>
      </c>
      <c r="C2326" t="s">
        <v>5815</v>
      </c>
      <c r="D2326" t="s">
        <v>1899</v>
      </c>
      <c r="E2326" t="s">
        <v>33</v>
      </c>
      <c r="F2326">
        <v>10142018</v>
      </c>
      <c r="G2326">
        <v>4</v>
      </c>
      <c r="H2326" t="s">
        <v>48</v>
      </c>
      <c r="I2326" t="s">
        <v>176</v>
      </c>
      <c r="J2326" t="s">
        <v>53</v>
      </c>
      <c r="K2326" t="s">
        <v>705</v>
      </c>
      <c r="M2326" t="s">
        <v>65</v>
      </c>
      <c r="N2326" t="b">
        <v>0</v>
      </c>
      <c r="P2326" t="b">
        <v>0</v>
      </c>
      <c r="Q2326" t="b">
        <v>0</v>
      </c>
      <c r="R2326" t="b">
        <v>0</v>
      </c>
      <c r="S2326" t="b">
        <v>1</v>
      </c>
      <c r="T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b">
        <v>0</v>
      </c>
      <c r="AB2326" t="b">
        <v>1</v>
      </c>
      <c r="AC2326" t="b">
        <v>0</v>
      </c>
      <c r="AE2326" t="s">
        <v>5816</v>
      </c>
    </row>
    <row r="2327" spans="1:31" x14ac:dyDescent="0.3">
      <c r="A2327">
        <v>-73.969169216089995</v>
      </c>
      <c r="B2327">
        <v>40.772533050290001</v>
      </c>
      <c r="C2327" t="s">
        <v>5817</v>
      </c>
      <c r="D2327" t="s">
        <v>1251</v>
      </c>
      <c r="E2327" t="s">
        <v>33</v>
      </c>
      <c r="F2327">
        <v>10072018</v>
      </c>
      <c r="G2327">
        <v>2</v>
      </c>
      <c r="H2327" t="s">
        <v>48</v>
      </c>
      <c r="I2327" t="s">
        <v>42</v>
      </c>
      <c r="J2327" t="s">
        <v>59</v>
      </c>
      <c r="K2327" t="s">
        <v>79</v>
      </c>
      <c r="M2327" t="s">
        <v>65</v>
      </c>
      <c r="N2327" t="b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1</v>
      </c>
      <c r="V2327" t="b">
        <v>0</v>
      </c>
      <c r="W2327" t="b">
        <v>0</v>
      </c>
      <c r="X2327" t="b">
        <v>0</v>
      </c>
      <c r="Y2327" t="b">
        <v>0</v>
      </c>
      <c r="Z2327" t="b">
        <v>1</v>
      </c>
      <c r="AA2327" t="b">
        <v>0</v>
      </c>
      <c r="AB2327" t="b">
        <v>0</v>
      </c>
      <c r="AC2327" t="b">
        <v>0</v>
      </c>
      <c r="AE2327" t="s">
        <v>5818</v>
      </c>
    </row>
    <row r="2328" spans="1:31" x14ac:dyDescent="0.3">
      <c r="A2328">
        <v>-73.956780102820005</v>
      </c>
      <c r="B2328">
        <v>40.79600966596</v>
      </c>
      <c r="C2328" t="s">
        <v>5819</v>
      </c>
      <c r="D2328" t="s">
        <v>835</v>
      </c>
      <c r="E2328" t="s">
        <v>38</v>
      </c>
      <c r="F2328">
        <v>10172018</v>
      </c>
      <c r="G2328">
        <v>1</v>
      </c>
      <c r="K2328" t="s">
        <v>34</v>
      </c>
      <c r="M2328" t="s">
        <v>44</v>
      </c>
      <c r="N2328">
        <v>30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V2328" t="b">
        <v>1</v>
      </c>
      <c r="W2328" t="b">
        <v>0</v>
      </c>
      <c r="X2328" t="b">
        <v>0</v>
      </c>
      <c r="Y2328" t="b">
        <v>0</v>
      </c>
      <c r="Z2328" t="b">
        <v>0</v>
      </c>
      <c r="AA2328" t="b">
        <v>0</v>
      </c>
      <c r="AB2328" t="b">
        <v>0</v>
      </c>
      <c r="AC2328" t="b">
        <v>0</v>
      </c>
      <c r="AE2328" t="s">
        <v>5820</v>
      </c>
    </row>
    <row r="2329" spans="1:31" x14ac:dyDescent="0.3">
      <c r="A2329">
        <v>-73.967862084070006</v>
      </c>
      <c r="B2329">
        <v>40.7847190273</v>
      </c>
      <c r="C2329" t="s">
        <v>5821</v>
      </c>
      <c r="D2329" t="s">
        <v>2181</v>
      </c>
      <c r="E2329" t="s">
        <v>33</v>
      </c>
      <c r="F2329">
        <v>10122018</v>
      </c>
      <c r="G2329">
        <v>3</v>
      </c>
      <c r="H2329" t="s">
        <v>48</v>
      </c>
      <c r="I2329" t="s">
        <v>42</v>
      </c>
      <c r="J2329" t="s">
        <v>59</v>
      </c>
      <c r="K2329" t="s">
        <v>79</v>
      </c>
      <c r="M2329" t="s">
        <v>65</v>
      </c>
      <c r="N2329" t="b">
        <v>0</v>
      </c>
      <c r="P2329" t="b">
        <v>0</v>
      </c>
      <c r="Q2329" t="b">
        <v>1</v>
      </c>
      <c r="R2329" t="b">
        <v>0</v>
      </c>
      <c r="S2329" t="b">
        <v>0</v>
      </c>
      <c r="T2329" t="b">
        <v>1</v>
      </c>
      <c r="U2329" t="s">
        <v>2182</v>
      </c>
      <c r="V2329" t="b">
        <v>0</v>
      </c>
      <c r="W2329" t="b">
        <v>0</v>
      </c>
      <c r="X2329" t="b">
        <v>0</v>
      </c>
      <c r="Y2329" t="b">
        <v>0</v>
      </c>
      <c r="Z2329" t="b">
        <v>1</v>
      </c>
      <c r="AA2329" t="b">
        <v>0</v>
      </c>
      <c r="AB2329" t="b">
        <v>0</v>
      </c>
      <c r="AC2329" t="b">
        <v>1</v>
      </c>
      <c r="AE2329" t="s">
        <v>5822</v>
      </c>
    </row>
    <row r="2330" spans="1:31" x14ac:dyDescent="0.3">
      <c r="A2330">
        <v>-73.971751517390004</v>
      </c>
      <c r="B2330">
        <v>40.77479992744</v>
      </c>
      <c r="C2330" t="s">
        <v>5823</v>
      </c>
      <c r="D2330" t="s">
        <v>74</v>
      </c>
      <c r="E2330" t="s">
        <v>33</v>
      </c>
      <c r="F2330">
        <v>10062018</v>
      </c>
      <c r="G2330">
        <v>4</v>
      </c>
      <c r="H2330" t="s">
        <v>48</v>
      </c>
      <c r="I2330" t="s">
        <v>176</v>
      </c>
      <c r="K2330" t="s">
        <v>177</v>
      </c>
      <c r="M2330" t="s">
        <v>65</v>
      </c>
      <c r="N2330" t="b">
        <v>0</v>
      </c>
      <c r="P2330" t="b">
        <v>1</v>
      </c>
      <c r="Q2330" t="b">
        <v>0</v>
      </c>
      <c r="R2330" t="b">
        <v>0</v>
      </c>
      <c r="S2330" t="b">
        <v>0</v>
      </c>
      <c r="T2330" t="b">
        <v>1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b">
        <v>0</v>
      </c>
      <c r="AB2330" t="b">
        <v>0</v>
      </c>
      <c r="AC2330" t="b">
        <v>1</v>
      </c>
      <c r="AE2330" t="s">
        <v>5824</v>
      </c>
    </row>
    <row r="2331" spans="1:31" x14ac:dyDescent="0.3">
      <c r="A2331">
        <v>-73.972461853390001</v>
      </c>
      <c r="B2331">
        <v>40.774502160250002</v>
      </c>
      <c r="C2331" t="s">
        <v>5825</v>
      </c>
      <c r="D2331" t="s">
        <v>74</v>
      </c>
      <c r="E2331" t="s">
        <v>38</v>
      </c>
      <c r="F2331">
        <v>10102018</v>
      </c>
      <c r="G2331">
        <v>2</v>
      </c>
      <c r="H2331" t="s">
        <v>48</v>
      </c>
      <c r="I2331" t="s">
        <v>53</v>
      </c>
      <c r="J2331" t="s">
        <v>115</v>
      </c>
      <c r="K2331" t="s">
        <v>116</v>
      </c>
      <c r="M2331" t="s">
        <v>65</v>
      </c>
      <c r="N2331" t="b">
        <v>0</v>
      </c>
      <c r="P2331" t="b">
        <v>0</v>
      </c>
      <c r="Q2331" t="b">
        <v>0</v>
      </c>
      <c r="R2331" t="b">
        <v>0</v>
      </c>
      <c r="S2331" t="b">
        <v>0</v>
      </c>
      <c r="T2331" t="b">
        <v>1</v>
      </c>
      <c r="U2331" t="s">
        <v>101</v>
      </c>
      <c r="V2331" t="b">
        <v>0</v>
      </c>
      <c r="W2331" t="b">
        <v>0</v>
      </c>
      <c r="X2331" t="b">
        <v>0</v>
      </c>
      <c r="Y2331" t="b">
        <v>0</v>
      </c>
      <c r="Z2331" t="b">
        <v>1</v>
      </c>
      <c r="AA2331" t="b">
        <v>0</v>
      </c>
      <c r="AB2331" t="b">
        <v>0</v>
      </c>
      <c r="AC2331" t="b">
        <v>1</v>
      </c>
      <c r="AE2331" t="s">
        <v>5826</v>
      </c>
    </row>
    <row r="2332" spans="1:31" x14ac:dyDescent="0.3">
      <c r="A2332">
        <v>-73.969468180359996</v>
      </c>
      <c r="B2332">
        <v>40.770585795359999</v>
      </c>
      <c r="C2332" t="s">
        <v>5827</v>
      </c>
      <c r="D2332" t="s">
        <v>1326</v>
      </c>
      <c r="E2332" t="s">
        <v>38</v>
      </c>
      <c r="F2332">
        <v>10062018</v>
      </c>
      <c r="G2332">
        <v>6</v>
      </c>
      <c r="H2332" t="s">
        <v>48</v>
      </c>
      <c r="I2332" t="s">
        <v>42</v>
      </c>
      <c r="J2332" t="s">
        <v>59</v>
      </c>
      <c r="K2332" t="s">
        <v>79</v>
      </c>
      <c r="M2332" t="s">
        <v>44</v>
      </c>
      <c r="P2332" t="b">
        <v>0</v>
      </c>
      <c r="Q2332" t="b">
        <v>0</v>
      </c>
      <c r="R2332" t="b">
        <v>0</v>
      </c>
      <c r="S2332" t="b">
        <v>0</v>
      </c>
      <c r="T2332" t="b">
        <v>1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b">
        <v>0</v>
      </c>
      <c r="AB2332" t="b">
        <v>1</v>
      </c>
      <c r="AC2332" t="b">
        <v>0</v>
      </c>
      <c r="AE2332" t="s">
        <v>5828</v>
      </c>
    </row>
    <row r="2333" spans="1:31" x14ac:dyDescent="0.3">
      <c r="A2333">
        <v>-73.970979746780003</v>
      </c>
      <c r="B2333">
        <v>40.77690957107</v>
      </c>
      <c r="C2333" t="s">
        <v>5829</v>
      </c>
      <c r="D2333" t="s">
        <v>729</v>
      </c>
      <c r="E2333" t="s">
        <v>38</v>
      </c>
      <c r="F2333">
        <v>10142018</v>
      </c>
      <c r="G2333">
        <v>7</v>
      </c>
      <c r="H2333" t="s">
        <v>48</v>
      </c>
      <c r="I2333" t="s">
        <v>42</v>
      </c>
      <c r="J2333" t="s">
        <v>96</v>
      </c>
      <c r="K2333" t="s">
        <v>97</v>
      </c>
      <c r="M2333" t="s">
        <v>65</v>
      </c>
      <c r="N2333" t="b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1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b">
        <v>1</v>
      </c>
      <c r="AB2333" t="b">
        <v>0</v>
      </c>
      <c r="AC2333" t="b">
        <v>0</v>
      </c>
      <c r="AE2333" t="s">
        <v>5830</v>
      </c>
    </row>
    <row r="2334" spans="1:31" x14ac:dyDescent="0.3">
      <c r="A2334">
        <v>-73.977192490159993</v>
      </c>
      <c r="B2334">
        <v>40.766672272949997</v>
      </c>
      <c r="C2334" t="s">
        <v>5831</v>
      </c>
      <c r="D2334" t="s">
        <v>2593</v>
      </c>
      <c r="E2334" t="s">
        <v>33</v>
      </c>
      <c r="F2334">
        <v>10072018</v>
      </c>
      <c r="G2334">
        <v>1</v>
      </c>
      <c r="H2334" t="s">
        <v>48</v>
      </c>
      <c r="I2334" t="s">
        <v>42</v>
      </c>
      <c r="J2334" t="s">
        <v>96</v>
      </c>
      <c r="K2334" t="s">
        <v>97</v>
      </c>
      <c r="M2334" t="s">
        <v>65</v>
      </c>
      <c r="N2334" t="b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1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b">
        <v>1</v>
      </c>
      <c r="AB2334" t="b">
        <v>0</v>
      </c>
      <c r="AC2334" t="b">
        <v>0</v>
      </c>
      <c r="AD2334" t="s">
        <v>5832</v>
      </c>
      <c r="AE2334" t="s">
        <v>5833</v>
      </c>
    </row>
    <row r="2335" spans="1:31" x14ac:dyDescent="0.3">
      <c r="A2335">
        <v>-73.975492297049996</v>
      </c>
      <c r="B2335">
        <v>40.770768639300002</v>
      </c>
      <c r="C2335" t="s">
        <v>5834</v>
      </c>
      <c r="D2335" t="s">
        <v>722</v>
      </c>
      <c r="E2335" t="s">
        <v>38</v>
      </c>
      <c r="F2335">
        <v>10082018</v>
      </c>
      <c r="G2335">
        <v>3</v>
      </c>
      <c r="H2335" t="s">
        <v>105</v>
      </c>
      <c r="I2335" t="s">
        <v>42</v>
      </c>
      <c r="K2335" t="s">
        <v>43</v>
      </c>
      <c r="M2335" t="s">
        <v>44</v>
      </c>
      <c r="N2335">
        <v>10</v>
      </c>
      <c r="P2335" t="b">
        <v>0</v>
      </c>
      <c r="Q2335" t="b">
        <v>0</v>
      </c>
      <c r="R2335" t="b">
        <v>0</v>
      </c>
      <c r="S2335" t="b">
        <v>0</v>
      </c>
      <c r="T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b">
        <v>0</v>
      </c>
      <c r="AB2335" t="b">
        <v>0</v>
      </c>
      <c r="AC2335" t="b">
        <v>0</v>
      </c>
      <c r="AE2335" t="s">
        <v>5835</v>
      </c>
    </row>
    <row r="2336" spans="1:31" x14ac:dyDescent="0.3">
      <c r="A2336">
        <v>-73.970467945940001</v>
      </c>
      <c r="B2336">
        <v>40.777338423620002</v>
      </c>
      <c r="C2336" t="s">
        <v>5836</v>
      </c>
      <c r="D2336" t="s">
        <v>729</v>
      </c>
      <c r="E2336" t="s">
        <v>33</v>
      </c>
      <c r="F2336">
        <v>10192018</v>
      </c>
      <c r="G2336">
        <v>10</v>
      </c>
      <c r="H2336" t="s">
        <v>48</v>
      </c>
      <c r="I2336" t="s">
        <v>42</v>
      </c>
      <c r="K2336" t="s">
        <v>43</v>
      </c>
      <c r="M2336" t="s">
        <v>44</v>
      </c>
      <c r="N2336">
        <v>20</v>
      </c>
      <c r="P2336" t="b">
        <v>0</v>
      </c>
      <c r="Q2336" t="b">
        <v>0</v>
      </c>
      <c r="R2336" t="b">
        <v>1</v>
      </c>
      <c r="S2336" t="b">
        <v>0</v>
      </c>
      <c r="T2336" t="b">
        <v>0</v>
      </c>
      <c r="V2336" t="b">
        <v>0</v>
      </c>
      <c r="W2336" t="b">
        <v>0</v>
      </c>
      <c r="X2336" t="b">
        <v>0</v>
      </c>
      <c r="Y2336" t="b">
        <v>1</v>
      </c>
      <c r="Z2336" t="b">
        <v>0</v>
      </c>
      <c r="AA2336" t="b">
        <v>0</v>
      </c>
      <c r="AB2336" t="b">
        <v>0</v>
      </c>
      <c r="AC2336" t="b">
        <v>1</v>
      </c>
      <c r="AE2336" t="s">
        <v>5837</v>
      </c>
    </row>
    <row r="2337" spans="1:31" x14ac:dyDescent="0.3">
      <c r="A2337">
        <v>-73.953126321409997</v>
      </c>
      <c r="B2337">
        <v>40.796567508990002</v>
      </c>
      <c r="C2337" t="s">
        <v>5838</v>
      </c>
      <c r="D2337" t="s">
        <v>5232</v>
      </c>
      <c r="E2337" t="s">
        <v>33</v>
      </c>
      <c r="F2337">
        <v>10062018</v>
      </c>
      <c r="G2337">
        <v>1</v>
      </c>
      <c r="H2337" t="s">
        <v>48</v>
      </c>
      <c r="I2337" t="s">
        <v>42</v>
      </c>
      <c r="J2337" t="s">
        <v>53</v>
      </c>
      <c r="K2337" t="s">
        <v>54</v>
      </c>
      <c r="M2337" t="s">
        <v>65</v>
      </c>
      <c r="N2337" t="b">
        <v>0</v>
      </c>
      <c r="P2337" t="b">
        <v>0</v>
      </c>
      <c r="Q2337" t="b">
        <v>0</v>
      </c>
      <c r="R2337" t="b">
        <v>0</v>
      </c>
      <c r="S2337" t="b">
        <v>0</v>
      </c>
      <c r="T2337" t="b">
        <v>1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b">
        <v>0</v>
      </c>
      <c r="AB2337" t="b">
        <v>1</v>
      </c>
      <c r="AC2337" t="b">
        <v>0</v>
      </c>
      <c r="AE2337" t="s">
        <v>5839</v>
      </c>
    </row>
    <row r="2338" spans="1:31" x14ac:dyDescent="0.3">
      <c r="A2338">
        <v>-73.967349013749995</v>
      </c>
      <c r="B2338">
        <v>40.778272813039997</v>
      </c>
      <c r="C2338" t="s">
        <v>5840</v>
      </c>
      <c r="D2338" t="s">
        <v>111</v>
      </c>
      <c r="E2338" t="s">
        <v>33</v>
      </c>
      <c r="F2338">
        <v>10202018</v>
      </c>
      <c r="G2338">
        <v>2</v>
      </c>
      <c r="H2338" t="s">
        <v>48</v>
      </c>
      <c r="I2338" t="s">
        <v>42</v>
      </c>
      <c r="J2338" t="s">
        <v>53</v>
      </c>
      <c r="K2338" t="s">
        <v>54</v>
      </c>
      <c r="M2338" t="s">
        <v>44</v>
      </c>
      <c r="N2338">
        <v>25</v>
      </c>
      <c r="P2338" t="b">
        <v>0</v>
      </c>
      <c r="Q2338" t="b">
        <v>0</v>
      </c>
      <c r="R2338" t="b">
        <v>0</v>
      </c>
      <c r="S2338" t="b">
        <v>1</v>
      </c>
      <c r="T2338" t="b">
        <v>0</v>
      </c>
      <c r="V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b">
        <v>0</v>
      </c>
      <c r="AB2338" t="b">
        <v>0</v>
      </c>
      <c r="AC2338" t="b">
        <v>1</v>
      </c>
      <c r="AE2338" t="s">
        <v>5841</v>
      </c>
    </row>
    <row r="2339" spans="1:31" x14ac:dyDescent="0.3">
      <c r="A2339">
        <v>-73.971662111270007</v>
      </c>
      <c r="B2339">
        <v>40.77428622195</v>
      </c>
      <c r="C2339" t="s">
        <v>5842</v>
      </c>
      <c r="D2339" t="s">
        <v>1112</v>
      </c>
      <c r="E2339" t="s">
        <v>38</v>
      </c>
      <c r="F2339">
        <v>10132018</v>
      </c>
      <c r="G2339">
        <v>1</v>
      </c>
      <c r="H2339" t="s">
        <v>48</v>
      </c>
      <c r="I2339" t="s">
        <v>42</v>
      </c>
      <c r="K2339" t="s">
        <v>43</v>
      </c>
      <c r="M2339" t="s">
        <v>65</v>
      </c>
      <c r="N2339" t="b">
        <v>0</v>
      </c>
      <c r="P2339" t="b">
        <v>0</v>
      </c>
      <c r="Q2339" t="b">
        <v>0</v>
      </c>
      <c r="R2339" t="b">
        <v>1</v>
      </c>
      <c r="S2339" t="b">
        <v>1</v>
      </c>
      <c r="T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b">
        <v>0</v>
      </c>
      <c r="AB2339" t="b">
        <v>0</v>
      </c>
      <c r="AC2339" t="b">
        <v>1</v>
      </c>
      <c r="AE2339" t="s">
        <v>5843</v>
      </c>
    </row>
    <row r="2340" spans="1:31" x14ac:dyDescent="0.3">
      <c r="A2340">
        <v>-73.969511779759998</v>
      </c>
      <c r="B2340">
        <v>40.78026757432</v>
      </c>
      <c r="C2340" t="s">
        <v>5844</v>
      </c>
      <c r="D2340" t="s">
        <v>622</v>
      </c>
      <c r="E2340" t="s">
        <v>33</v>
      </c>
      <c r="F2340">
        <v>10182018</v>
      </c>
      <c r="G2340">
        <v>7</v>
      </c>
      <c r="I2340" t="s">
        <v>42</v>
      </c>
      <c r="K2340" t="s">
        <v>43</v>
      </c>
      <c r="M2340" t="s">
        <v>65</v>
      </c>
      <c r="N2340" t="b">
        <v>0</v>
      </c>
      <c r="P2340" t="b">
        <v>0</v>
      </c>
      <c r="Q2340" t="b">
        <v>0</v>
      </c>
      <c r="R2340" t="b">
        <v>0</v>
      </c>
      <c r="S2340" t="b">
        <v>1</v>
      </c>
      <c r="T2340" t="b">
        <v>1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b">
        <v>0</v>
      </c>
      <c r="AB2340" t="b">
        <v>0</v>
      </c>
      <c r="AC2340" t="b">
        <v>0</v>
      </c>
      <c r="AE2340" t="s">
        <v>5845</v>
      </c>
    </row>
    <row r="2341" spans="1:31" x14ac:dyDescent="0.3">
      <c r="A2341">
        <v>-73.973028481580002</v>
      </c>
      <c r="B2341">
        <v>40.770246252950002</v>
      </c>
      <c r="C2341" t="s">
        <v>5846</v>
      </c>
      <c r="D2341" t="s">
        <v>353</v>
      </c>
      <c r="E2341" t="s">
        <v>38</v>
      </c>
      <c r="F2341">
        <v>10082018</v>
      </c>
      <c r="G2341">
        <v>4</v>
      </c>
      <c r="H2341" t="s">
        <v>48</v>
      </c>
      <c r="I2341" t="s">
        <v>42</v>
      </c>
      <c r="J2341" t="s">
        <v>59</v>
      </c>
      <c r="K2341" t="s">
        <v>79</v>
      </c>
      <c r="M2341" t="s">
        <v>65</v>
      </c>
      <c r="N2341" t="b">
        <v>0</v>
      </c>
      <c r="O2341" t="s">
        <v>222</v>
      </c>
      <c r="P2341" t="b">
        <v>0</v>
      </c>
      <c r="Q2341" t="b">
        <v>1</v>
      </c>
      <c r="R2341" t="b">
        <v>0</v>
      </c>
      <c r="S2341" t="b">
        <v>0</v>
      </c>
      <c r="T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b">
        <v>0</v>
      </c>
      <c r="AB2341" t="b">
        <v>1</v>
      </c>
      <c r="AC2341" t="b">
        <v>0</v>
      </c>
      <c r="AE2341" t="s">
        <v>5847</v>
      </c>
    </row>
    <row r="2342" spans="1:31" x14ac:dyDescent="0.3">
      <c r="A2342">
        <v>-73.966536326509996</v>
      </c>
      <c r="B2342">
        <v>40.7844967881</v>
      </c>
      <c r="C2342" t="s">
        <v>5848</v>
      </c>
      <c r="D2342" t="s">
        <v>271</v>
      </c>
      <c r="E2342" t="s">
        <v>33</v>
      </c>
      <c r="F2342">
        <v>10142018</v>
      </c>
      <c r="G2342">
        <v>4</v>
      </c>
      <c r="H2342" t="s">
        <v>48</v>
      </c>
      <c r="I2342" t="s">
        <v>42</v>
      </c>
      <c r="K2342" t="s">
        <v>43</v>
      </c>
      <c r="M2342" t="s">
        <v>44</v>
      </c>
      <c r="N2342">
        <v>8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s">
        <v>5849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b">
        <v>0</v>
      </c>
      <c r="AB2342" t="b">
        <v>0</v>
      </c>
      <c r="AC2342" t="b">
        <v>0</v>
      </c>
      <c r="AE2342" t="s">
        <v>5850</v>
      </c>
    </row>
    <row r="2343" spans="1:31" x14ac:dyDescent="0.3">
      <c r="A2343">
        <v>-73.95336457626</v>
      </c>
      <c r="B2343">
        <v>40.798370921550003</v>
      </c>
      <c r="C2343" t="s">
        <v>5851</v>
      </c>
      <c r="D2343" t="s">
        <v>1366</v>
      </c>
      <c r="E2343" t="s">
        <v>38</v>
      </c>
      <c r="F2343">
        <v>10192018</v>
      </c>
      <c r="G2343">
        <v>1</v>
      </c>
      <c r="H2343" t="s">
        <v>48</v>
      </c>
      <c r="I2343" t="s">
        <v>42</v>
      </c>
      <c r="J2343" t="s">
        <v>53</v>
      </c>
      <c r="K2343" t="s">
        <v>54</v>
      </c>
      <c r="M2343" t="s">
        <v>65</v>
      </c>
      <c r="N2343" t="b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V2343" t="b">
        <v>0</v>
      </c>
      <c r="W2343" t="b">
        <v>0</v>
      </c>
      <c r="X2343" t="b">
        <v>0</v>
      </c>
      <c r="Y2343" t="b">
        <v>0</v>
      </c>
      <c r="Z2343" t="b">
        <v>1</v>
      </c>
      <c r="AA2343" t="b">
        <v>0</v>
      </c>
      <c r="AB2343" t="b">
        <v>0</v>
      </c>
      <c r="AC2343" t="b">
        <v>1</v>
      </c>
      <c r="AD2343" t="s">
        <v>770</v>
      </c>
      <c r="AE2343" t="s">
        <v>5852</v>
      </c>
    </row>
    <row r="2344" spans="1:31" x14ac:dyDescent="0.3">
      <c r="A2344">
        <v>-73.971919487739996</v>
      </c>
      <c r="B2344">
        <v>40.774800096290001</v>
      </c>
      <c r="C2344" t="s">
        <v>5853</v>
      </c>
      <c r="D2344" t="s">
        <v>74</v>
      </c>
      <c r="E2344" t="s">
        <v>38</v>
      </c>
      <c r="F2344">
        <v>10102018</v>
      </c>
      <c r="G2344">
        <v>4</v>
      </c>
      <c r="H2344" t="s">
        <v>48</v>
      </c>
      <c r="I2344" t="s">
        <v>42</v>
      </c>
      <c r="J2344" t="s">
        <v>96</v>
      </c>
      <c r="K2344" t="s">
        <v>97</v>
      </c>
      <c r="M2344" t="s">
        <v>65</v>
      </c>
      <c r="N2344" t="b">
        <v>0</v>
      </c>
      <c r="P2344" t="b">
        <v>0</v>
      </c>
      <c r="Q2344" t="b">
        <v>0</v>
      </c>
      <c r="R2344" t="b">
        <v>0</v>
      </c>
      <c r="S2344" t="b">
        <v>1</v>
      </c>
      <c r="T2344" t="b">
        <v>1</v>
      </c>
      <c r="V2344" t="b">
        <v>0</v>
      </c>
      <c r="W2344" t="b">
        <v>0</v>
      </c>
      <c r="X2344" t="b">
        <v>0</v>
      </c>
      <c r="Y2344" t="b">
        <v>0</v>
      </c>
      <c r="Z2344" t="b">
        <v>1</v>
      </c>
      <c r="AA2344" t="b">
        <v>0</v>
      </c>
      <c r="AB2344" t="b">
        <v>0</v>
      </c>
      <c r="AC2344" t="b">
        <v>0</v>
      </c>
      <c r="AE2344" t="s">
        <v>5854</v>
      </c>
    </row>
    <row r="2345" spans="1:31" x14ac:dyDescent="0.3">
      <c r="A2345">
        <v>-73.97863103089</v>
      </c>
      <c r="B2345">
        <v>40.76693493682</v>
      </c>
      <c r="C2345" t="s">
        <v>5855</v>
      </c>
      <c r="D2345" t="s">
        <v>1278</v>
      </c>
      <c r="E2345" t="s">
        <v>38</v>
      </c>
      <c r="F2345">
        <v>10062018</v>
      </c>
      <c r="G2345">
        <v>5</v>
      </c>
      <c r="H2345" t="s">
        <v>48</v>
      </c>
      <c r="I2345" t="s">
        <v>53</v>
      </c>
      <c r="J2345" t="s">
        <v>59</v>
      </c>
      <c r="K2345" t="s">
        <v>60</v>
      </c>
      <c r="M2345" t="s">
        <v>65</v>
      </c>
      <c r="N2345" t="b">
        <v>0</v>
      </c>
      <c r="P2345" t="b">
        <v>0</v>
      </c>
      <c r="Q2345" t="b">
        <v>0</v>
      </c>
      <c r="R2345" t="b">
        <v>0</v>
      </c>
      <c r="S2345" t="b">
        <v>1</v>
      </c>
      <c r="T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1</v>
      </c>
      <c r="AA2345" t="b">
        <v>0</v>
      </c>
      <c r="AB2345" t="b">
        <v>0</v>
      </c>
      <c r="AC2345" t="b">
        <v>0</v>
      </c>
      <c r="AE2345" t="s">
        <v>5856</v>
      </c>
    </row>
    <row r="2346" spans="1:31" x14ac:dyDescent="0.3">
      <c r="A2346">
        <v>-73.965738547469996</v>
      </c>
      <c r="B2346">
        <v>40.788696274019998</v>
      </c>
      <c r="C2346" t="s">
        <v>5857</v>
      </c>
      <c r="D2346" t="s">
        <v>4415</v>
      </c>
      <c r="E2346" t="s">
        <v>33</v>
      </c>
      <c r="F2346">
        <v>10062018</v>
      </c>
      <c r="G2346">
        <v>1</v>
      </c>
      <c r="H2346" t="s">
        <v>48</v>
      </c>
      <c r="I2346" t="s">
        <v>42</v>
      </c>
      <c r="K2346" t="s">
        <v>43</v>
      </c>
      <c r="M2346" t="s">
        <v>65</v>
      </c>
      <c r="N2346" t="b">
        <v>0</v>
      </c>
      <c r="O2346" t="s">
        <v>5858</v>
      </c>
      <c r="P2346" t="b">
        <v>0</v>
      </c>
      <c r="Q2346" t="b">
        <v>0</v>
      </c>
      <c r="R2346" t="b">
        <v>0</v>
      </c>
      <c r="S2346" t="b">
        <v>1</v>
      </c>
      <c r="T2346" t="b">
        <v>1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b">
        <v>0</v>
      </c>
      <c r="AB2346" t="b">
        <v>0</v>
      </c>
      <c r="AC2346" t="b">
        <v>1</v>
      </c>
      <c r="AE2346" t="s">
        <v>5859</v>
      </c>
    </row>
    <row r="2347" spans="1:31" x14ac:dyDescent="0.3">
      <c r="A2347">
        <v>-73.956217730589998</v>
      </c>
      <c r="B2347">
        <v>40.798341327629998</v>
      </c>
      <c r="C2347" t="s">
        <v>5860</v>
      </c>
      <c r="D2347" t="s">
        <v>1130</v>
      </c>
      <c r="E2347" t="s">
        <v>33</v>
      </c>
      <c r="F2347">
        <v>10072018</v>
      </c>
      <c r="G2347">
        <v>3</v>
      </c>
      <c r="H2347" t="s">
        <v>48</v>
      </c>
      <c r="I2347" t="s">
        <v>42</v>
      </c>
      <c r="J2347" t="s">
        <v>59</v>
      </c>
      <c r="K2347" t="s">
        <v>79</v>
      </c>
      <c r="M2347" t="s">
        <v>65</v>
      </c>
      <c r="N2347" t="b">
        <v>0</v>
      </c>
      <c r="P2347" t="b">
        <v>1</v>
      </c>
      <c r="Q2347" t="b">
        <v>0</v>
      </c>
      <c r="R2347" t="b">
        <v>0</v>
      </c>
      <c r="S2347" t="b">
        <v>0</v>
      </c>
      <c r="T2347" t="b">
        <v>0</v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b">
        <v>0</v>
      </c>
      <c r="AB2347" t="b">
        <v>0</v>
      </c>
      <c r="AC2347" t="b">
        <v>0</v>
      </c>
      <c r="AE2347" t="s">
        <v>5861</v>
      </c>
    </row>
    <row r="2348" spans="1:31" x14ac:dyDescent="0.3">
      <c r="A2348">
        <v>-73.96631245607</v>
      </c>
      <c r="B2348">
        <v>40.779544003790001</v>
      </c>
      <c r="C2348" t="s">
        <v>5862</v>
      </c>
      <c r="D2348" t="s">
        <v>1521</v>
      </c>
      <c r="E2348" t="s">
        <v>33</v>
      </c>
      <c r="F2348">
        <v>10082018</v>
      </c>
      <c r="G2348">
        <v>2</v>
      </c>
      <c r="H2348" t="s">
        <v>48</v>
      </c>
      <c r="I2348" t="s">
        <v>42</v>
      </c>
      <c r="K2348" t="s">
        <v>43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s">
        <v>5863</v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b">
        <v>0</v>
      </c>
      <c r="AB2348" t="b">
        <v>0</v>
      </c>
      <c r="AC2348" t="b">
        <v>1</v>
      </c>
      <c r="AE2348" t="s">
        <v>5864</v>
      </c>
    </row>
    <row r="2349" spans="1:31" x14ac:dyDescent="0.3">
      <c r="A2349">
        <v>-73.953196546970005</v>
      </c>
      <c r="B2349">
        <v>40.794743798399999</v>
      </c>
      <c r="C2349" t="s">
        <v>5865</v>
      </c>
      <c r="D2349" t="s">
        <v>278</v>
      </c>
      <c r="E2349" t="s">
        <v>33</v>
      </c>
      <c r="F2349">
        <v>10202018</v>
      </c>
      <c r="G2349">
        <v>11</v>
      </c>
      <c r="H2349" t="s">
        <v>48</v>
      </c>
      <c r="I2349" t="s">
        <v>42</v>
      </c>
      <c r="J2349" t="s">
        <v>96</v>
      </c>
      <c r="K2349" t="s">
        <v>97</v>
      </c>
      <c r="M2349" t="s">
        <v>65</v>
      </c>
      <c r="N2349" t="b">
        <v>0</v>
      </c>
      <c r="P2349" t="b">
        <v>0</v>
      </c>
      <c r="Q2349" t="b">
        <v>0</v>
      </c>
      <c r="R2349" t="b">
        <v>0</v>
      </c>
      <c r="S2349" t="b">
        <v>1</v>
      </c>
      <c r="T2349" t="b">
        <v>0</v>
      </c>
      <c r="V2349" t="b">
        <v>0</v>
      </c>
      <c r="W2349" t="b">
        <v>0</v>
      </c>
      <c r="X2349" t="b">
        <v>0</v>
      </c>
      <c r="Y2349" t="b">
        <v>1</v>
      </c>
      <c r="Z2349" t="b">
        <v>0</v>
      </c>
      <c r="AA2349" t="b">
        <v>1</v>
      </c>
      <c r="AB2349" t="b">
        <v>1</v>
      </c>
      <c r="AC2349" t="b">
        <v>0</v>
      </c>
      <c r="AE2349" t="s">
        <v>5866</v>
      </c>
    </row>
    <row r="2350" spans="1:31" x14ac:dyDescent="0.3">
      <c r="A2350">
        <v>-73.980033739999996</v>
      </c>
      <c r="B2350">
        <v>40.768360829229998</v>
      </c>
      <c r="C2350" t="s">
        <v>5867</v>
      </c>
      <c r="D2350" t="s">
        <v>204</v>
      </c>
      <c r="E2350" t="s">
        <v>33</v>
      </c>
      <c r="F2350">
        <v>10132018</v>
      </c>
      <c r="G2350">
        <v>4</v>
      </c>
      <c r="H2350" t="s">
        <v>48</v>
      </c>
      <c r="I2350" t="s">
        <v>42</v>
      </c>
      <c r="J2350" t="s">
        <v>59</v>
      </c>
      <c r="K2350" t="s">
        <v>79</v>
      </c>
      <c r="M2350" t="s">
        <v>65</v>
      </c>
      <c r="N2350" t="b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b">
        <v>0</v>
      </c>
      <c r="AB2350" t="b">
        <v>0</v>
      </c>
      <c r="AC2350" t="b">
        <v>0</v>
      </c>
      <c r="AE2350" t="s">
        <v>5868</v>
      </c>
    </row>
    <row r="2351" spans="1:31" x14ac:dyDescent="0.3">
      <c r="A2351">
        <v>-73.95647774407</v>
      </c>
      <c r="B2351">
        <v>40.799306835540001</v>
      </c>
      <c r="C2351" t="s">
        <v>5869</v>
      </c>
      <c r="D2351" t="s">
        <v>335</v>
      </c>
      <c r="E2351" t="s">
        <v>38</v>
      </c>
      <c r="F2351">
        <v>10072018</v>
      </c>
      <c r="G2351">
        <v>1</v>
      </c>
      <c r="H2351" t="s">
        <v>48</v>
      </c>
      <c r="I2351" t="s">
        <v>42</v>
      </c>
      <c r="J2351" t="s">
        <v>53</v>
      </c>
      <c r="K2351" t="s">
        <v>54</v>
      </c>
      <c r="M2351" t="s">
        <v>65</v>
      </c>
      <c r="N2351" t="b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s">
        <v>2552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b">
        <v>0</v>
      </c>
      <c r="AB2351" t="b">
        <v>0</v>
      </c>
      <c r="AC2351" t="b">
        <v>1</v>
      </c>
      <c r="AE2351" t="s">
        <v>5870</v>
      </c>
    </row>
    <row r="2352" spans="1:31" x14ac:dyDescent="0.3">
      <c r="A2352">
        <v>-73.974581845009993</v>
      </c>
      <c r="B2352">
        <v>40.765449887359999</v>
      </c>
      <c r="C2352" t="s">
        <v>5871</v>
      </c>
      <c r="D2352" t="s">
        <v>963</v>
      </c>
      <c r="E2352" t="s">
        <v>38</v>
      </c>
      <c r="F2352">
        <v>10062018</v>
      </c>
      <c r="G2352">
        <v>1</v>
      </c>
      <c r="H2352" t="s">
        <v>48</v>
      </c>
      <c r="I2352" t="s">
        <v>176</v>
      </c>
      <c r="K2352" t="s">
        <v>177</v>
      </c>
      <c r="M2352" t="s">
        <v>65</v>
      </c>
      <c r="N2352" t="b">
        <v>0</v>
      </c>
      <c r="P2352" t="b">
        <v>0</v>
      </c>
      <c r="Q2352" t="b">
        <v>1</v>
      </c>
      <c r="R2352" t="b">
        <v>0</v>
      </c>
      <c r="S2352" t="b">
        <v>0</v>
      </c>
      <c r="T2352" t="b">
        <v>1</v>
      </c>
      <c r="V2352" t="b">
        <v>0</v>
      </c>
      <c r="W2352" t="b">
        <v>0</v>
      </c>
      <c r="X2352" t="b">
        <v>0</v>
      </c>
      <c r="Y2352" t="b">
        <v>0</v>
      </c>
      <c r="Z2352" t="b">
        <v>1</v>
      </c>
      <c r="AA2352" t="b">
        <v>0</v>
      </c>
      <c r="AB2352" t="b">
        <v>1</v>
      </c>
      <c r="AC2352" t="b">
        <v>0</v>
      </c>
      <c r="AE2352" t="s">
        <v>5872</v>
      </c>
    </row>
    <row r="2353" spans="1:31" x14ac:dyDescent="0.3">
      <c r="A2353">
        <v>-73.972731039780001</v>
      </c>
      <c r="B2353">
        <v>40.77870167735</v>
      </c>
      <c r="C2353" t="s">
        <v>5873</v>
      </c>
      <c r="D2353" t="s">
        <v>1138</v>
      </c>
      <c r="E2353" t="s">
        <v>33</v>
      </c>
      <c r="F2353">
        <v>10172018</v>
      </c>
      <c r="G2353">
        <v>2</v>
      </c>
      <c r="H2353" t="s">
        <v>48</v>
      </c>
      <c r="I2353" t="s">
        <v>42</v>
      </c>
      <c r="J2353" t="s">
        <v>59</v>
      </c>
      <c r="K2353" t="s">
        <v>79</v>
      </c>
      <c r="M2353" t="s">
        <v>65</v>
      </c>
      <c r="N2353" t="b">
        <v>0</v>
      </c>
      <c r="O2353" t="s">
        <v>190</v>
      </c>
      <c r="P2353" t="b">
        <v>0</v>
      </c>
      <c r="Q2353" t="b">
        <v>0</v>
      </c>
      <c r="R2353" t="b">
        <v>1</v>
      </c>
      <c r="S2353" t="b">
        <v>1</v>
      </c>
      <c r="T2353" t="b">
        <v>1</v>
      </c>
      <c r="U2353" t="s">
        <v>5874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b">
        <v>0</v>
      </c>
      <c r="AB2353" t="b">
        <v>0</v>
      </c>
      <c r="AC2353" t="b">
        <v>1</v>
      </c>
      <c r="AE2353" t="s">
        <v>5875</v>
      </c>
    </row>
    <row r="2354" spans="1:31" x14ac:dyDescent="0.3">
      <c r="A2354">
        <v>-73.963623175590001</v>
      </c>
      <c r="B2354">
        <v>40.792745106890003</v>
      </c>
      <c r="C2354" t="s">
        <v>5876</v>
      </c>
      <c r="D2354" t="s">
        <v>104</v>
      </c>
      <c r="E2354" t="s">
        <v>33</v>
      </c>
      <c r="F2354">
        <v>10132018</v>
      </c>
      <c r="G2354">
        <v>4</v>
      </c>
      <c r="H2354" t="s">
        <v>48</v>
      </c>
      <c r="I2354" t="s">
        <v>42</v>
      </c>
      <c r="J2354" t="s">
        <v>59</v>
      </c>
      <c r="K2354" t="s">
        <v>79</v>
      </c>
      <c r="M2354" t="s">
        <v>65</v>
      </c>
      <c r="N2354" t="b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1</v>
      </c>
      <c r="V2354" t="b">
        <v>0</v>
      </c>
      <c r="W2354" t="b">
        <v>0</v>
      </c>
      <c r="X2354" t="b">
        <v>0</v>
      </c>
      <c r="Y2354" t="b">
        <v>0</v>
      </c>
      <c r="Z2354" t="b">
        <v>1</v>
      </c>
      <c r="AA2354" t="b">
        <v>0</v>
      </c>
      <c r="AB2354" t="b">
        <v>1</v>
      </c>
      <c r="AC2354" t="b">
        <v>0</v>
      </c>
      <c r="AE2354" t="s">
        <v>5877</v>
      </c>
    </row>
    <row r="2355" spans="1:31" x14ac:dyDescent="0.3">
      <c r="A2355">
        <v>-73.963674017030002</v>
      </c>
      <c r="B2355">
        <v>40.790353822500002</v>
      </c>
      <c r="C2355" t="s">
        <v>5878</v>
      </c>
      <c r="D2355" t="s">
        <v>908</v>
      </c>
      <c r="E2355" t="s">
        <v>38</v>
      </c>
      <c r="F2355">
        <v>10072018</v>
      </c>
      <c r="G2355">
        <v>12</v>
      </c>
      <c r="H2355" t="s">
        <v>48</v>
      </c>
      <c r="I2355" t="s">
        <v>42</v>
      </c>
      <c r="K2355" t="s">
        <v>43</v>
      </c>
      <c r="M2355" t="s">
        <v>44</v>
      </c>
      <c r="N2355">
        <v>4</v>
      </c>
      <c r="P2355" t="b">
        <v>0</v>
      </c>
      <c r="Q2355" t="b">
        <v>0</v>
      </c>
      <c r="R2355" t="b">
        <v>1</v>
      </c>
      <c r="S2355" t="b">
        <v>0</v>
      </c>
      <c r="T2355" t="b">
        <v>1</v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 t="b">
        <v>0</v>
      </c>
      <c r="AB2355" t="b">
        <v>0</v>
      </c>
      <c r="AC2355" t="b">
        <v>1</v>
      </c>
      <c r="AE2355" t="s">
        <v>5879</v>
      </c>
    </row>
    <row r="2356" spans="1:31" x14ac:dyDescent="0.3">
      <c r="A2356">
        <v>-73.967530917589997</v>
      </c>
      <c r="B2356">
        <v>40.77886499265</v>
      </c>
      <c r="C2356" t="s">
        <v>5880</v>
      </c>
      <c r="D2356" t="s">
        <v>200</v>
      </c>
      <c r="E2356" t="s">
        <v>38</v>
      </c>
      <c r="F2356">
        <v>10172018</v>
      </c>
      <c r="G2356">
        <v>9</v>
      </c>
      <c r="H2356" t="s">
        <v>48</v>
      </c>
      <c r="I2356" t="s">
        <v>42</v>
      </c>
      <c r="K2356" t="s">
        <v>43</v>
      </c>
      <c r="M2356" t="s">
        <v>65</v>
      </c>
      <c r="N2356" t="b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b">
        <v>0</v>
      </c>
      <c r="AB2356" t="b">
        <v>1</v>
      </c>
      <c r="AC2356" t="b">
        <v>0</v>
      </c>
      <c r="AE2356" t="s">
        <v>5881</v>
      </c>
    </row>
    <row r="2357" spans="1:31" x14ac:dyDescent="0.3">
      <c r="A2357">
        <v>-73.961135530350006</v>
      </c>
      <c r="B2357">
        <v>40.793069353219998</v>
      </c>
      <c r="C2357" t="s">
        <v>5882</v>
      </c>
      <c r="D2357" t="s">
        <v>3811</v>
      </c>
      <c r="E2357" t="s">
        <v>38</v>
      </c>
      <c r="F2357">
        <v>10072018</v>
      </c>
      <c r="G2357">
        <v>2</v>
      </c>
      <c r="H2357" t="s">
        <v>48</v>
      </c>
      <c r="I2357" t="s">
        <v>42</v>
      </c>
      <c r="K2357" t="s">
        <v>43</v>
      </c>
      <c r="M2357" t="s">
        <v>44</v>
      </c>
      <c r="N2357">
        <v>40</v>
      </c>
      <c r="P2357" t="b">
        <v>0</v>
      </c>
      <c r="Q2357" t="b">
        <v>0</v>
      </c>
      <c r="R2357" t="b">
        <v>1</v>
      </c>
      <c r="S2357" t="b">
        <v>0</v>
      </c>
      <c r="T2357" t="b">
        <v>0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b">
        <v>0</v>
      </c>
      <c r="AB2357" t="b">
        <v>1</v>
      </c>
      <c r="AC2357" t="b">
        <v>0</v>
      </c>
      <c r="AE2357" t="s">
        <v>5883</v>
      </c>
    </row>
    <row r="2358" spans="1:31" x14ac:dyDescent="0.3">
      <c r="A2358">
        <v>-73.963230103490005</v>
      </c>
      <c r="B2358">
        <v>40.792570724409998</v>
      </c>
      <c r="C2358" t="s">
        <v>5884</v>
      </c>
      <c r="D2358" t="s">
        <v>104</v>
      </c>
      <c r="E2358" t="s">
        <v>33</v>
      </c>
      <c r="F2358">
        <v>10132018</v>
      </c>
      <c r="G2358">
        <v>6</v>
      </c>
      <c r="H2358" t="s">
        <v>105</v>
      </c>
      <c r="I2358" t="s">
        <v>42</v>
      </c>
      <c r="J2358" t="s">
        <v>53</v>
      </c>
      <c r="K2358" t="s">
        <v>54</v>
      </c>
      <c r="M2358" t="s">
        <v>65</v>
      </c>
      <c r="N2358" t="b">
        <v>0</v>
      </c>
      <c r="P2358" t="b">
        <v>1</v>
      </c>
      <c r="Q2358" t="b">
        <v>0</v>
      </c>
      <c r="R2358" t="b">
        <v>0</v>
      </c>
      <c r="S2358" t="b">
        <v>0</v>
      </c>
      <c r="T2358" t="b">
        <v>0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b">
        <v>0</v>
      </c>
      <c r="AB2358" t="b">
        <v>0</v>
      </c>
      <c r="AC2358" t="b">
        <v>1</v>
      </c>
      <c r="AE2358" t="s">
        <v>5885</v>
      </c>
    </row>
    <row r="2359" spans="1:31" x14ac:dyDescent="0.3">
      <c r="A2359">
        <v>-73.978837908559996</v>
      </c>
      <c r="B2359">
        <v>40.768389658309999</v>
      </c>
      <c r="C2359" t="s">
        <v>5886</v>
      </c>
      <c r="D2359" t="s">
        <v>1232</v>
      </c>
      <c r="E2359" t="s">
        <v>33</v>
      </c>
      <c r="F2359">
        <v>10132018</v>
      </c>
      <c r="G2359">
        <v>6</v>
      </c>
      <c r="H2359" t="s">
        <v>48</v>
      </c>
      <c r="I2359" t="s">
        <v>42</v>
      </c>
      <c r="J2359" t="s">
        <v>59</v>
      </c>
      <c r="K2359" t="s">
        <v>79</v>
      </c>
      <c r="M2359" t="s">
        <v>65</v>
      </c>
      <c r="N2359" t="b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1</v>
      </c>
      <c r="U2359" t="s">
        <v>5887</v>
      </c>
      <c r="V2359" t="b">
        <v>0</v>
      </c>
      <c r="W2359" t="b">
        <v>0</v>
      </c>
      <c r="X2359" t="b">
        <v>0</v>
      </c>
      <c r="Y2359" t="b">
        <v>0</v>
      </c>
      <c r="Z2359" t="b">
        <v>1</v>
      </c>
      <c r="AA2359" t="b">
        <v>1</v>
      </c>
      <c r="AB2359" t="b">
        <v>0</v>
      </c>
      <c r="AC2359" t="b">
        <v>0</v>
      </c>
      <c r="AE2359" t="s">
        <v>5888</v>
      </c>
    </row>
    <row r="2360" spans="1:31" x14ac:dyDescent="0.3">
      <c r="A2360">
        <v>-73.97007853145</v>
      </c>
      <c r="B2360">
        <v>40.77771411186</v>
      </c>
      <c r="C2360" t="s">
        <v>5889</v>
      </c>
      <c r="D2360" t="s">
        <v>544</v>
      </c>
      <c r="E2360" t="s">
        <v>38</v>
      </c>
      <c r="F2360">
        <v>10072018</v>
      </c>
      <c r="G2360">
        <v>1</v>
      </c>
      <c r="H2360" t="s">
        <v>48</v>
      </c>
      <c r="I2360" t="s">
        <v>42</v>
      </c>
      <c r="K2360" t="s">
        <v>43</v>
      </c>
      <c r="M2360" t="s">
        <v>65</v>
      </c>
      <c r="N2360" t="b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1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b">
        <v>0</v>
      </c>
      <c r="AB2360" t="b">
        <v>1</v>
      </c>
      <c r="AC2360" t="b">
        <v>0</v>
      </c>
      <c r="AE2360" t="s">
        <v>5890</v>
      </c>
    </row>
    <row r="2361" spans="1:31" x14ac:dyDescent="0.3">
      <c r="A2361">
        <v>-73.957332500099994</v>
      </c>
      <c r="B2361">
        <v>40.787466210460003</v>
      </c>
      <c r="C2361" t="s">
        <v>5891</v>
      </c>
      <c r="D2361" t="s">
        <v>5624</v>
      </c>
      <c r="E2361" t="s">
        <v>38</v>
      </c>
      <c r="F2361">
        <v>10072018</v>
      </c>
      <c r="G2361">
        <v>1</v>
      </c>
      <c r="H2361" t="s">
        <v>48</v>
      </c>
      <c r="I2361" t="s">
        <v>42</v>
      </c>
      <c r="K2361" t="s">
        <v>43</v>
      </c>
      <c r="M2361" t="s">
        <v>65</v>
      </c>
      <c r="N2361" t="b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1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b">
        <v>0</v>
      </c>
      <c r="AB2361" t="b">
        <v>1</v>
      </c>
      <c r="AC2361" t="b">
        <v>0</v>
      </c>
      <c r="AE2361" t="s">
        <v>5892</v>
      </c>
    </row>
    <row r="2362" spans="1:31" x14ac:dyDescent="0.3">
      <c r="A2362">
        <v>-73.970803229840001</v>
      </c>
      <c r="B2362">
        <v>40.778426567449998</v>
      </c>
      <c r="C2362" t="s">
        <v>5893</v>
      </c>
      <c r="D2362" t="s">
        <v>1626</v>
      </c>
      <c r="E2362" t="s">
        <v>38</v>
      </c>
      <c r="F2362">
        <v>10102018</v>
      </c>
      <c r="G2362">
        <v>2</v>
      </c>
      <c r="H2362" t="s">
        <v>48</v>
      </c>
      <c r="I2362" t="s">
        <v>42</v>
      </c>
      <c r="K2362" t="s">
        <v>43</v>
      </c>
      <c r="M2362" t="s">
        <v>44</v>
      </c>
      <c r="N2362">
        <v>15</v>
      </c>
      <c r="P2362" t="b">
        <v>0</v>
      </c>
      <c r="Q2362" t="b">
        <v>0</v>
      </c>
      <c r="R2362" t="b">
        <v>1</v>
      </c>
      <c r="S2362" t="b">
        <v>0</v>
      </c>
      <c r="T2362" t="b">
        <v>0</v>
      </c>
      <c r="U2362" t="s">
        <v>499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b">
        <v>0</v>
      </c>
      <c r="AB2362" t="b">
        <v>1</v>
      </c>
      <c r="AC2362" t="b">
        <v>0</v>
      </c>
      <c r="AE2362" t="s">
        <v>5894</v>
      </c>
    </row>
    <row r="2363" spans="1:31" x14ac:dyDescent="0.3">
      <c r="A2363">
        <v>-73.970026393660007</v>
      </c>
      <c r="B2363">
        <v>40.769933509860003</v>
      </c>
      <c r="C2363" t="s">
        <v>5895</v>
      </c>
      <c r="D2363" t="s">
        <v>92</v>
      </c>
      <c r="E2363" t="s">
        <v>33</v>
      </c>
      <c r="F2363">
        <v>10062018</v>
      </c>
      <c r="G2363">
        <v>7</v>
      </c>
      <c r="H2363" t="s">
        <v>48</v>
      </c>
      <c r="I2363" t="s">
        <v>42</v>
      </c>
      <c r="K2363" t="s">
        <v>43</v>
      </c>
      <c r="M2363" t="s">
        <v>44</v>
      </c>
      <c r="N2363">
        <v>15</v>
      </c>
      <c r="P2363" t="b">
        <v>0</v>
      </c>
      <c r="Q2363" t="b">
        <v>1</v>
      </c>
      <c r="R2363" t="b">
        <v>1</v>
      </c>
      <c r="S2363" t="b">
        <v>0</v>
      </c>
      <c r="T2363" t="b">
        <v>0</v>
      </c>
      <c r="U2363" t="s">
        <v>5896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b">
        <v>0</v>
      </c>
      <c r="AB2363" t="b">
        <v>1</v>
      </c>
      <c r="AC2363" t="b">
        <v>0</v>
      </c>
      <c r="AE2363" t="s">
        <v>5897</v>
      </c>
    </row>
    <row r="2364" spans="1:31" x14ac:dyDescent="0.3">
      <c r="A2364">
        <v>-73.969063842419999</v>
      </c>
      <c r="B2364">
        <v>40.771386929569999</v>
      </c>
      <c r="C2364" t="s">
        <v>5898</v>
      </c>
      <c r="D2364" t="s">
        <v>2056</v>
      </c>
      <c r="E2364" t="s">
        <v>38</v>
      </c>
      <c r="F2364">
        <v>10062018</v>
      </c>
      <c r="G2364">
        <v>6</v>
      </c>
      <c r="H2364" t="s">
        <v>48</v>
      </c>
      <c r="I2364" t="s">
        <v>42</v>
      </c>
      <c r="J2364" t="s">
        <v>59</v>
      </c>
      <c r="K2364" t="s">
        <v>79</v>
      </c>
      <c r="M2364" t="s">
        <v>65</v>
      </c>
      <c r="N2364" t="b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1</v>
      </c>
      <c r="V2364" t="b">
        <v>0</v>
      </c>
      <c r="W2364" t="b">
        <v>0</v>
      </c>
      <c r="X2364" t="b">
        <v>0</v>
      </c>
      <c r="Y2364" t="b">
        <v>1</v>
      </c>
      <c r="Z2364" t="b">
        <v>1</v>
      </c>
      <c r="AA2364" t="b">
        <v>0</v>
      </c>
      <c r="AB2364" t="b">
        <v>1</v>
      </c>
      <c r="AC2364" t="b">
        <v>0</v>
      </c>
      <c r="AE2364" t="s">
        <v>5899</v>
      </c>
    </row>
    <row r="2365" spans="1:31" x14ac:dyDescent="0.3">
      <c r="A2365">
        <v>-73.958718303910004</v>
      </c>
      <c r="B2365">
        <v>40.790920913800001</v>
      </c>
      <c r="C2365" t="s">
        <v>5900</v>
      </c>
      <c r="D2365" t="s">
        <v>47</v>
      </c>
      <c r="E2365" t="s">
        <v>33</v>
      </c>
      <c r="F2365">
        <v>10172018</v>
      </c>
      <c r="G2365">
        <v>2</v>
      </c>
      <c r="H2365" t="s">
        <v>48</v>
      </c>
      <c r="I2365" t="s">
        <v>42</v>
      </c>
      <c r="K2365" t="s">
        <v>43</v>
      </c>
      <c r="M2365" t="s">
        <v>65</v>
      </c>
      <c r="N2365" t="b">
        <v>0</v>
      </c>
      <c r="P2365" t="b">
        <v>0</v>
      </c>
      <c r="Q2365" t="b">
        <v>0</v>
      </c>
      <c r="R2365" t="b">
        <v>0</v>
      </c>
      <c r="S2365" t="b">
        <v>0</v>
      </c>
      <c r="T2365" t="b">
        <v>1</v>
      </c>
      <c r="V2365" t="b">
        <v>0</v>
      </c>
      <c r="W2365" t="b">
        <v>0</v>
      </c>
      <c r="X2365" t="b">
        <v>0</v>
      </c>
      <c r="Y2365" t="b">
        <v>0</v>
      </c>
      <c r="Z2365" t="b">
        <v>0</v>
      </c>
      <c r="AA2365" t="b">
        <v>0</v>
      </c>
      <c r="AB2365" t="b">
        <v>1</v>
      </c>
      <c r="AC2365" t="b">
        <v>0</v>
      </c>
      <c r="AE2365" t="s">
        <v>5901</v>
      </c>
    </row>
    <row r="2366" spans="1:31" x14ac:dyDescent="0.3">
      <c r="A2366">
        <v>-73.968877330629994</v>
      </c>
      <c r="B2366">
        <v>40.776666985239999</v>
      </c>
      <c r="C2366" t="s">
        <v>5902</v>
      </c>
      <c r="D2366" t="s">
        <v>232</v>
      </c>
      <c r="E2366" t="s">
        <v>38</v>
      </c>
      <c r="F2366">
        <v>10072018</v>
      </c>
      <c r="G2366">
        <v>5</v>
      </c>
      <c r="H2366" t="s">
        <v>48</v>
      </c>
      <c r="I2366" t="s">
        <v>42</v>
      </c>
      <c r="J2366" t="s">
        <v>53</v>
      </c>
      <c r="K2366" t="s">
        <v>54</v>
      </c>
      <c r="M2366" t="s">
        <v>65</v>
      </c>
      <c r="N2366" t="b">
        <v>0</v>
      </c>
      <c r="P2366" t="b">
        <v>1</v>
      </c>
      <c r="Q2366" t="b">
        <v>1</v>
      </c>
      <c r="R2366" t="b">
        <v>0</v>
      </c>
      <c r="S2366" t="b">
        <v>0</v>
      </c>
      <c r="T2366" t="b">
        <v>0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b">
        <v>0</v>
      </c>
      <c r="AB2366" t="b">
        <v>0</v>
      </c>
      <c r="AC2366" t="b">
        <v>1</v>
      </c>
      <c r="AE2366" t="s">
        <v>5903</v>
      </c>
    </row>
    <row r="2367" spans="1:31" x14ac:dyDescent="0.3">
      <c r="A2367">
        <v>-73.967619184699998</v>
      </c>
      <c r="B2367">
        <v>40.777641740820002</v>
      </c>
      <c r="C2367" t="s">
        <v>5904</v>
      </c>
      <c r="D2367" t="s">
        <v>957</v>
      </c>
      <c r="E2367" t="s">
        <v>33</v>
      </c>
      <c r="F2367">
        <v>10132018</v>
      </c>
      <c r="G2367">
        <v>4</v>
      </c>
      <c r="H2367" t="s">
        <v>48</v>
      </c>
      <c r="I2367" t="s">
        <v>42</v>
      </c>
      <c r="J2367" t="s">
        <v>53</v>
      </c>
      <c r="K2367" t="s">
        <v>54</v>
      </c>
      <c r="M2367" t="s">
        <v>44</v>
      </c>
      <c r="N2367">
        <v>10</v>
      </c>
      <c r="P2367" t="b">
        <v>0</v>
      </c>
      <c r="Q2367" t="b">
        <v>0</v>
      </c>
      <c r="R2367" t="b">
        <v>1</v>
      </c>
      <c r="S2367" t="b">
        <v>1</v>
      </c>
      <c r="T2367" t="b">
        <v>1</v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b">
        <v>0</v>
      </c>
      <c r="AB2367" t="b">
        <v>0</v>
      </c>
      <c r="AC2367" t="b">
        <v>1</v>
      </c>
      <c r="AE2367" t="s">
        <v>5905</v>
      </c>
    </row>
    <row r="2368" spans="1:31" x14ac:dyDescent="0.3">
      <c r="A2368">
        <v>-73.968167186399995</v>
      </c>
      <c r="B2368">
        <v>40.775377053859998</v>
      </c>
      <c r="C2368" t="s">
        <v>5906</v>
      </c>
      <c r="D2368" t="s">
        <v>668</v>
      </c>
      <c r="E2368" t="s">
        <v>38</v>
      </c>
      <c r="F2368">
        <v>10122018</v>
      </c>
      <c r="G2368">
        <v>4</v>
      </c>
      <c r="H2368" t="s">
        <v>48</v>
      </c>
      <c r="I2368" t="s">
        <v>53</v>
      </c>
      <c r="J2368" t="s">
        <v>176</v>
      </c>
      <c r="K2368" t="s">
        <v>1142</v>
      </c>
      <c r="M2368" t="s">
        <v>65</v>
      </c>
      <c r="N2368" t="b">
        <v>0</v>
      </c>
      <c r="P2368" t="b">
        <v>0</v>
      </c>
      <c r="Q2368" t="b">
        <v>0</v>
      </c>
      <c r="R2368" t="b">
        <v>0</v>
      </c>
      <c r="S2368" t="b">
        <v>0</v>
      </c>
      <c r="T2368" t="b">
        <v>1</v>
      </c>
      <c r="V2368" t="b">
        <v>0</v>
      </c>
      <c r="W2368" t="b">
        <v>0</v>
      </c>
      <c r="X2368" t="b">
        <v>0</v>
      </c>
      <c r="Y2368" t="b">
        <v>0</v>
      </c>
      <c r="Z2368" t="b">
        <v>1</v>
      </c>
      <c r="AA2368" t="b">
        <v>0</v>
      </c>
      <c r="AB2368" t="b">
        <v>1</v>
      </c>
      <c r="AC2368" t="b">
        <v>0</v>
      </c>
      <c r="AE2368" t="s">
        <v>5907</v>
      </c>
    </row>
    <row r="2369" spans="1:31" x14ac:dyDescent="0.3">
      <c r="A2369">
        <v>-73.973192517919998</v>
      </c>
      <c r="B2369">
        <v>40.774896274619998</v>
      </c>
      <c r="C2369" t="s">
        <v>5908</v>
      </c>
      <c r="D2369" t="s">
        <v>74</v>
      </c>
      <c r="E2369" t="s">
        <v>33</v>
      </c>
      <c r="F2369">
        <v>10062018</v>
      </c>
      <c r="G2369">
        <v>2</v>
      </c>
      <c r="H2369" t="s">
        <v>105</v>
      </c>
      <c r="I2369" t="s">
        <v>42</v>
      </c>
      <c r="J2369" t="s">
        <v>53</v>
      </c>
      <c r="K2369" t="s">
        <v>54</v>
      </c>
      <c r="M2369" t="s">
        <v>44</v>
      </c>
      <c r="N2369">
        <v>20</v>
      </c>
      <c r="P2369" t="b">
        <v>0</v>
      </c>
      <c r="Q2369" t="b">
        <v>0</v>
      </c>
      <c r="R2369" t="b">
        <v>1</v>
      </c>
      <c r="S2369" t="b">
        <v>0</v>
      </c>
      <c r="T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b">
        <v>0</v>
      </c>
      <c r="AB2369" t="b">
        <v>1</v>
      </c>
      <c r="AC2369" t="b">
        <v>0</v>
      </c>
      <c r="AE2369" t="s">
        <v>5909</v>
      </c>
    </row>
    <row r="2370" spans="1:31" x14ac:dyDescent="0.3">
      <c r="A2370">
        <v>-73.980195608220001</v>
      </c>
      <c r="B2370">
        <v>40.767836440959996</v>
      </c>
      <c r="C2370" t="s">
        <v>5910</v>
      </c>
      <c r="D2370" t="s">
        <v>851</v>
      </c>
      <c r="E2370" t="s">
        <v>38</v>
      </c>
      <c r="F2370">
        <v>10122018</v>
      </c>
      <c r="G2370">
        <v>8</v>
      </c>
      <c r="H2370" t="s">
        <v>48</v>
      </c>
      <c r="I2370" t="s">
        <v>42</v>
      </c>
      <c r="J2370" t="s">
        <v>53</v>
      </c>
      <c r="K2370" t="s">
        <v>54</v>
      </c>
      <c r="M2370" t="s">
        <v>65</v>
      </c>
      <c r="N2370" t="b">
        <v>0</v>
      </c>
      <c r="P2370" t="b">
        <v>0</v>
      </c>
      <c r="Q2370" t="b">
        <v>1</v>
      </c>
      <c r="R2370" t="b">
        <v>0</v>
      </c>
      <c r="S2370" t="b">
        <v>1</v>
      </c>
      <c r="T2370" t="b">
        <v>0</v>
      </c>
      <c r="V2370" t="b">
        <v>0</v>
      </c>
      <c r="W2370" t="b">
        <v>0</v>
      </c>
      <c r="X2370" t="b">
        <v>0</v>
      </c>
      <c r="Y2370" t="b">
        <v>0</v>
      </c>
      <c r="Z2370" t="b">
        <v>0</v>
      </c>
      <c r="AA2370" t="b">
        <v>0</v>
      </c>
      <c r="AB2370" t="b">
        <v>1</v>
      </c>
      <c r="AC2370" t="b">
        <v>0</v>
      </c>
      <c r="AE2370" t="s">
        <v>5911</v>
      </c>
    </row>
    <row r="2371" spans="1:31" x14ac:dyDescent="0.3">
      <c r="A2371">
        <v>-73.957311977730001</v>
      </c>
      <c r="B2371">
        <v>40.787534786279998</v>
      </c>
      <c r="C2371" t="s">
        <v>5912</v>
      </c>
      <c r="D2371" t="s">
        <v>5624</v>
      </c>
      <c r="E2371" t="s">
        <v>38</v>
      </c>
      <c r="F2371">
        <v>10072018</v>
      </c>
      <c r="G2371">
        <v>2</v>
      </c>
      <c r="H2371" t="s">
        <v>48</v>
      </c>
      <c r="I2371" t="s">
        <v>42</v>
      </c>
      <c r="K2371" t="s">
        <v>43</v>
      </c>
      <c r="M2371" t="s">
        <v>65</v>
      </c>
      <c r="N2371" t="b">
        <v>0</v>
      </c>
      <c r="P2371" t="b">
        <v>0</v>
      </c>
      <c r="Q2371" t="b">
        <v>0</v>
      </c>
      <c r="R2371" t="b">
        <v>0</v>
      </c>
      <c r="S2371" t="b">
        <v>1</v>
      </c>
      <c r="T2371" t="b">
        <v>0</v>
      </c>
      <c r="U2371" t="s">
        <v>5913</v>
      </c>
      <c r="V2371" t="b">
        <v>0</v>
      </c>
      <c r="W2371" t="b">
        <v>0</v>
      </c>
      <c r="X2371" t="b">
        <v>0</v>
      </c>
      <c r="Y2371" t="b">
        <v>0</v>
      </c>
      <c r="Z2371" t="b">
        <v>1</v>
      </c>
      <c r="AA2371" t="b">
        <v>0</v>
      </c>
      <c r="AB2371" t="b">
        <v>0</v>
      </c>
      <c r="AC2371" t="b">
        <v>0</v>
      </c>
      <c r="AE2371" t="s">
        <v>5914</v>
      </c>
    </row>
    <row r="2372" spans="1:31" x14ac:dyDescent="0.3">
      <c r="A2372">
        <v>-73.976952021209996</v>
      </c>
      <c r="B2372">
        <v>40.774006725859998</v>
      </c>
      <c r="C2372" t="s">
        <v>5915</v>
      </c>
      <c r="D2372" t="s">
        <v>855</v>
      </c>
      <c r="E2372" t="s">
        <v>38</v>
      </c>
      <c r="F2372">
        <v>10132018</v>
      </c>
      <c r="G2372">
        <v>1</v>
      </c>
      <c r="H2372" t="s">
        <v>48</v>
      </c>
      <c r="I2372" t="s">
        <v>42</v>
      </c>
      <c r="J2372" t="s">
        <v>53</v>
      </c>
      <c r="K2372" t="s">
        <v>54</v>
      </c>
      <c r="M2372" t="s">
        <v>65</v>
      </c>
      <c r="N2372" t="b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  <c r="V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b">
        <v>0</v>
      </c>
      <c r="AB2372" t="b">
        <v>0</v>
      </c>
      <c r="AC2372" t="b">
        <v>1</v>
      </c>
      <c r="AE2372" t="s">
        <v>5916</v>
      </c>
    </row>
    <row r="2373" spans="1:31" x14ac:dyDescent="0.3">
      <c r="A2373">
        <v>-73.972487996989997</v>
      </c>
      <c r="B2373">
        <v>40.771098202399997</v>
      </c>
      <c r="C2373" t="s">
        <v>5917</v>
      </c>
      <c r="D2373" t="s">
        <v>764</v>
      </c>
      <c r="E2373" t="s">
        <v>33</v>
      </c>
      <c r="F2373">
        <v>10122018</v>
      </c>
      <c r="G2373">
        <v>7</v>
      </c>
      <c r="H2373" t="s">
        <v>48</v>
      </c>
      <c r="I2373" t="s">
        <v>42</v>
      </c>
      <c r="J2373" t="s">
        <v>53</v>
      </c>
      <c r="K2373" t="s">
        <v>54</v>
      </c>
      <c r="M2373" t="s">
        <v>44</v>
      </c>
      <c r="N2373">
        <v>17</v>
      </c>
      <c r="P2373" t="b">
        <v>0</v>
      </c>
      <c r="Q2373" t="b">
        <v>0</v>
      </c>
      <c r="R2373" t="b">
        <v>1</v>
      </c>
      <c r="S2373" t="b">
        <v>0</v>
      </c>
      <c r="T2373" t="b">
        <v>0</v>
      </c>
      <c r="U2373" t="s">
        <v>5918</v>
      </c>
      <c r="V2373" t="b">
        <v>0</v>
      </c>
      <c r="W2373" t="b">
        <v>0</v>
      </c>
      <c r="X2373" t="b">
        <v>0</v>
      </c>
      <c r="Y2373" t="b">
        <v>0</v>
      </c>
      <c r="Z2373" t="b">
        <v>0</v>
      </c>
      <c r="AA2373" t="b">
        <v>0</v>
      </c>
      <c r="AB2373" t="b">
        <v>0</v>
      </c>
      <c r="AC2373" t="b">
        <v>0</v>
      </c>
      <c r="AE2373" t="s">
        <v>5919</v>
      </c>
    </row>
    <row r="2374" spans="1:31" x14ac:dyDescent="0.3">
      <c r="A2374">
        <v>-73.9613276802</v>
      </c>
      <c r="B2374">
        <v>40.794381396440002</v>
      </c>
      <c r="C2374" t="s">
        <v>5920</v>
      </c>
      <c r="D2374" t="s">
        <v>423</v>
      </c>
      <c r="E2374" t="s">
        <v>33</v>
      </c>
      <c r="F2374">
        <v>10132018</v>
      </c>
      <c r="G2374">
        <v>3</v>
      </c>
      <c r="H2374" t="s">
        <v>48</v>
      </c>
      <c r="I2374" t="s">
        <v>42</v>
      </c>
      <c r="K2374" t="s">
        <v>43</v>
      </c>
      <c r="M2374" t="s">
        <v>65</v>
      </c>
      <c r="N2374" t="b">
        <v>0</v>
      </c>
      <c r="P2374" t="b">
        <v>1</v>
      </c>
      <c r="Q2374" t="b">
        <v>0</v>
      </c>
      <c r="R2374" t="b">
        <v>0</v>
      </c>
      <c r="S2374" t="b">
        <v>0</v>
      </c>
      <c r="T2374" t="b">
        <v>1</v>
      </c>
      <c r="U2374" t="s">
        <v>5921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b">
        <v>0</v>
      </c>
      <c r="AB2374" t="b">
        <v>0</v>
      </c>
      <c r="AC2374" t="b">
        <v>1</v>
      </c>
      <c r="AD2374" t="s">
        <v>1294</v>
      </c>
      <c r="AE2374" t="s">
        <v>5922</v>
      </c>
    </row>
    <row r="2375" spans="1:31" x14ac:dyDescent="0.3">
      <c r="A2375">
        <v>-73.955137058619997</v>
      </c>
      <c r="B2375">
        <v>40.794646546899997</v>
      </c>
      <c r="C2375" t="s">
        <v>5923</v>
      </c>
      <c r="D2375" t="s">
        <v>363</v>
      </c>
      <c r="E2375" t="s">
        <v>38</v>
      </c>
      <c r="F2375">
        <v>10182018</v>
      </c>
      <c r="G2375">
        <v>6</v>
      </c>
      <c r="H2375" t="s">
        <v>48</v>
      </c>
      <c r="I2375" t="s">
        <v>42</v>
      </c>
      <c r="J2375" t="s">
        <v>53</v>
      </c>
      <c r="K2375" t="s">
        <v>54</v>
      </c>
      <c r="M2375" t="s">
        <v>65</v>
      </c>
      <c r="N2375" t="b">
        <v>0</v>
      </c>
      <c r="P2375" t="b">
        <v>0</v>
      </c>
      <c r="Q2375" t="b">
        <v>0</v>
      </c>
      <c r="R2375" t="b">
        <v>0</v>
      </c>
      <c r="S2375" t="b">
        <v>0</v>
      </c>
      <c r="T2375" t="b">
        <v>0</v>
      </c>
      <c r="U2375" t="s">
        <v>5924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b">
        <v>0</v>
      </c>
      <c r="AB2375" t="b">
        <v>0</v>
      </c>
      <c r="AC2375" t="b">
        <v>1</v>
      </c>
      <c r="AE2375" t="s">
        <v>5925</v>
      </c>
    </row>
    <row r="2376" spans="1:31" x14ac:dyDescent="0.3">
      <c r="A2376">
        <v>-73.956372061430002</v>
      </c>
      <c r="B2376">
        <v>40.787945330630002</v>
      </c>
      <c r="C2376" t="s">
        <v>5926</v>
      </c>
      <c r="D2376" t="s">
        <v>1874</v>
      </c>
      <c r="E2376" t="s">
        <v>33</v>
      </c>
      <c r="F2376">
        <v>10192018</v>
      </c>
      <c r="G2376">
        <v>1</v>
      </c>
      <c r="H2376" t="s">
        <v>48</v>
      </c>
      <c r="I2376" t="s">
        <v>42</v>
      </c>
      <c r="K2376" t="s">
        <v>43</v>
      </c>
      <c r="M2376" t="s">
        <v>65</v>
      </c>
      <c r="N2376" t="b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1</v>
      </c>
      <c r="V2376" t="b">
        <v>0</v>
      </c>
      <c r="W2376" t="b">
        <v>0</v>
      </c>
      <c r="X2376" t="b">
        <v>0</v>
      </c>
      <c r="Y2376" t="b">
        <v>0</v>
      </c>
      <c r="Z2376" t="b">
        <v>0</v>
      </c>
      <c r="AA2376" t="b">
        <v>0</v>
      </c>
      <c r="AB2376" t="b">
        <v>1</v>
      </c>
      <c r="AC2376" t="b">
        <v>0</v>
      </c>
      <c r="AE2376" t="s">
        <v>5927</v>
      </c>
    </row>
    <row r="2377" spans="1:31" x14ac:dyDescent="0.3">
      <c r="A2377">
        <v>-73.959420464700003</v>
      </c>
      <c r="B2377">
        <v>40.790592376520003</v>
      </c>
      <c r="C2377" t="s">
        <v>5928</v>
      </c>
      <c r="D2377" t="s">
        <v>47</v>
      </c>
      <c r="E2377" t="s">
        <v>33</v>
      </c>
      <c r="F2377">
        <v>10172018</v>
      </c>
      <c r="G2377">
        <v>11</v>
      </c>
      <c r="H2377" t="s">
        <v>48</v>
      </c>
      <c r="I2377" t="s">
        <v>42</v>
      </c>
      <c r="K2377" t="s">
        <v>43</v>
      </c>
      <c r="M2377" t="s">
        <v>65</v>
      </c>
      <c r="N2377" t="b">
        <v>0</v>
      </c>
      <c r="P2377" t="b">
        <v>0</v>
      </c>
      <c r="Q2377" t="b">
        <v>0</v>
      </c>
      <c r="R2377" t="b">
        <v>0</v>
      </c>
      <c r="S2377" t="b">
        <v>1</v>
      </c>
      <c r="T2377" t="b">
        <v>1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b">
        <v>0</v>
      </c>
      <c r="AB2377" t="b">
        <v>0</v>
      </c>
      <c r="AC2377" t="b">
        <v>0</v>
      </c>
      <c r="AE2377" t="s">
        <v>5929</v>
      </c>
    </row>
    <row r="2378" spans="1:31" x14ac:dyDescent="0.3">
      <c r="A2378">
        <v>-73.970432857359995</v>
      </c>
      <c r="B2378">
        <v>40.773934724759997</v>
      </c>
      <c r="C2378" t="s">
        <v>5930</v>
      </c>
      <c r="D2378" t="s">
        <v>1165</v>
      </c>
      <c r="E2378" t="s">
        <v>38</v>
      </c>
      <c r="F2378">
        <v>10132018</v>
      </c>
      <c r="G2378">
        <v>3</v>
      </c>
      <c r="H2378" t="s">
        <v>48</v>
      </c>
      <c r="I2378" t="s">
        <v>42</v>
      </c>
      <c r="K2378" t="s">
        <v>43</v>
      </c>
      <c r="M2378" t="s">
        <v>44</v>
      </c>
      <c r="N2378">
        <v>30</v>
      </c>
      <c r="P2378" t="b">
        <v>0</v>
      </c>
      <c r="Q2378" t="b">
        <v>0</v>
      </c>
      <c r="R2378" t="b">
        <v>1</v>
      </c>
      <c r="S2378" t="b">
        <v>0</v>
      </c>
      <c r="T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b">
        <v>0</v>
      </c>
      <c r="AB2378" t="b">
        <v>0</v>
      </c>
      <c r="AC2378" t="b">
        <v>0</v>
      </c>
      <c r="AE2378" t="s">
        <v>5931</v>
      </c>
    </row>
    <row r="2379" spans="1:31" x14ac:dyDescent="0.3">
      <c r="A2379">
        <v>-73.974759285589997</v>
      </c>
      <c r="B2379">
        <v>40.776376287040002</v>
      </c>
      <c r="C2379" t="s">
        <v>5932</v>
      </c>
      <c r="D2379" t="s">
        <v>1028</v>
      </c>
      <c r="E2379" t="s">
        <v>33</v>
      </c>
      <c r="F2379">
        <v>10132018</v>
      </c>
      <c r="G2379">
        <v>1</v>
      </c>
      <c r="H2379" t="s">
        <v>48</v>
      </c>
      <c r="I2379" t="s">
        <v>42</v>
      </c>
      <c r="K2379" t="s">
        <v>43</v>
      </c>
      <c r="L2379" t="s">
        <v>5933</v>
      </c>
      <c r="M2379" t="s">
        <v>65</v>
      </c>
      <c r="N2379" t="b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1</v>
      </c>
      <c r="V2379" t="b">
        <v>0</v>
      </c>
      <c r="W2379" t="b">
        <v>0</v>
      </c>
      <c r="X2379" t="b">
        <v>0</v>
      </c>
      <c r="Y2379" t="b">
        <v>0</v>
      </c>
      <c r="Z2379" t="b">
        <v>1</v>
      </c>
      <c r="AA2379" t="b">
        <v>0</v>
      </c>
      <c r="AB2379" t="b">
        <v>1</v>
      </c>
      <c r="AC2379" t="b">
        <v>0</v>
      </c>
      <c r="AE2379" t="s">
        <v>5934</v>
      </c>
    </row>
    <row r="2380" spans="1:31" x14ac:dyDescent="0.3">
      <c r="A2380">
        <v>-73.971186513440003</v>
      </c>
      <c r="B2380">
        <v>40.778503998189997</v>
      </c>
      <c r="C2380" t="s">
        <v>5935</v>
      </c>
      <c r="D2380" t="s">
        <v>1626</v>
      </c>
      <c r="E2380" t="s">
        <v>38</v>
      </c>
      <c r="F2380">
        <v>10102018</v>
      </c>
      <c r="G2380">
        <v>3</v>
      </c>
      <c r="H2380" t="s">
        <v>48</v>
      </c>
      <c r="I2380" t="s">
        <v>42</v>
      </c>
      <c r="K2380" t="s">
        <v>43</v>
      </c>
      <c r="M2380" t="s">
        <v>44</v>
      </c>
      <c r="N2380">
        <v>6</v>
      </c>
      <c r="P2380" t="b">
        <v>0</v>
      </c>
      <c r="Q2380" t="b">
        <v>0</v>
      </c>
      <c r="R2380" t="b">
        <v>0</v>
      </c>
      <c r="S2380" t="b">
        <v>1</v>
      </c>
      <c r="T2380" t="b">
        <v>0</v>
      </c>
      <c r="U2380" t="s">
        <v>121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b">
        <v>0</v>
      </c>
      <c r="AB2380" t="b">
        <v>1</v>
      </c>
      <c r="AC2380" t="b">
        <v>0</v>
      </c>
      <c r="AE2380" t="s">
        <v>5936</v>
      </c>
    </row>
    <row r="2381" spans="1:31" x14ac:dyDescent="0.3">
      <c r="A2381">
        <v>-73.976137572949995</v>
      </c>
      <c r="B2381">
        <v>40.766223189210002</v>
      </c>
      <c r="C2381" t="s">
        <v>5937</v>
      </c>
      <c r="D2381" t="s">
        <v>1859</v>
      </c>
      <c r="E2381" t="s">
        <v>33</v>
      </c>
      <c r="F2381">
        <v>10192018</v>
      </c>
      <c r="G2381">
        <v>2</v>
      </c>
      <c r="H2381" t="s">
        <v>48</v>
      </c>
      <c r="I2381" t="s">
        <v>42</v>
      </c>
      <c r="J2381" t="s">
        <v>53</v>
      </c>
      <c r="K2381" t="s">
        <v>54</v>
      </c>
      <c r="M2381" t="s">
        <v>44</v>
      </c>
      <c r="N2381">
        <v>2</v>
      </c>
      <c r="P2381" t="b">
        <v>0</v>
      </c>
      <c r="Q2381" t="b">
        <v>0</v>
      </c>
      <c r="R2381" t="b">
        <v>1</v>
      </c>
      <c r="S2381" t="b">
        <v>1</v>
      </c>
      <c r="T2381" t="b">
        <v>0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b">
        <v>1</v>
      </c>
      <c r="AB2381" t="b">
        <v>0</v>
      </c>
      <c r="AC2381" t="b">
        <v>0</v>
      </c>
      <c r="AE2381" t="s">
        <v>5938</v>
      </c>
    </row>
    <row r="2382" spans="1:31" x14ac:dyDescent="0.3">
      <c r="A2382">
        <v>-73.958841498050006</v>
      </c>
      <c r="B2382">
        <v>40.795352548140002</v>
      </c>
      <c r="C2382" t="s">
        <v>5939</v>
      </c>
      <c r="D2382" t="s">
        <v>925</v>
      </c>
      <c r="E2382" t="s">
        <v>38</v>
      </c>
      <c r="F2382">
        <v>10122018</v>
      </c>
      <c r="G2382">
        <v>1</v>
      </c>
      <c r="H2382" t="s">
        <v>48</v>
      </c>
      <c r="I2382" t="s">
        <v>42</v>
      </c>
      <c r="J2382" t="s">
        <v>53</v>
      </c>
      <c r="K2382" t="s">
        <v>54</v>
      </c>
      <c r="M2382" t="s">
        <v>65</v>
      </c>
      <c r="N2382" t="b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1</v>
      </c>
      <c r="U2382" t="s">
        <v>3884</v>
      </c>
      <c r="V2382" t="b">
        <v>0</v>
      </c>
      <c r="W2382" t="b">
        <v>0</v>
      </c>
      <c r="X2382" t="b">
        <v>0</v>
      </c>
      <c r="Y2382" t="b">
        <v>0</v>
      </c>
      <c r="Z2382" t="b">
        <v>0</v>
      </c>
      <c r="AA2382" t="b">
        <v>0</v>
      </c>
      <c r="AB2382" t="b">
        <v>0</v>
      </c>
      <c r="AC2382" t="b">
        <v>1</v>
      </c>
      <c r="AE2382" t="s">
        <v>5940</v>
      </c>
    </row>
    <row r="2383" spans="1:31" x14ac:dyDescent="0.3">
      <c r="A2383">
        <v>-73.974397045550006</v>
      </c>
      <c r="B2383">
        <v>40.768788024400003</v>
      </c>
      <c r="C2383" t="s">
        <v>5941</v>
      </c>
      <c r="D2383" t="s">
        <v>250</v>
      </c>
      <c r="E2383" t="s">
        <v>33</v>
      </c>
      <c r="F2383">
        <v>10072018</v>
      </c>
      <c r="G2383">
        <v>1</v>
      </c>
      <c r="H2383" t="s">
        <v>48</v>
      </c>
      <c r="I2383" t="s">
        <v>42</v>
      </c>
      <c r="J2383" t="s">
        <v>53</v>
      </c>
      <c r="K2383" t="s">
        <v>54</v>
      </c>
      <c r="M2383" t="s">
        <v>65</v>
      </c>
      <c r="N2383" t="b">
        <v>0</v>
      </c>
      <c r="P2383" t="b">
        <v>0</v>
      </c>
      <c r="Q2383" t="b">
        <v>0</v>
      </c>
      <c r="R2383" t="b">
        <v>0</v>
      </c>
      <c r="S2383" t="b">
        <v>1</v>
      </c>
      <c r="T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1</v>
      </c>
      <c r="AA2383" t="b">
        <v>0</v>
      </c>
      <c r="AB2383" t="b">
        <v>1</v>
      </c>
      <c r="AC2383" t="b">
        <v>0</v>
      </c>
      <c r="AE2383" t="s">
        <v>5942</v>
      </c>
    </row>
    <row r="2384" spans="1:31" x14ac:dyDescent="0.3">
      <c r="A2384">
        <v>-73.968655121330002</v>
      </c>
      <c r="B2384">
        <v>40.772861783720003</v>
      </c>
      <c r="C2384" t="s">
        <v>5943</v>
      </c>
      <c r="D2384" t="s">
        <v>58</v>
      </c>
      <c r="E2384" t="s">
        <v>33</v>
      </c>
      <c r="F2384">
        <v>10132018</v>
      </c>
      <c r="G2384">
        <v>4</v>
      </c>
      <c r="H2384" t="s">
        <v>48</v>
      </c>
      <c r="I2384" t="s">
        <v>42</v>
      </c>
      <c r="K2384" t="s">
        <v>43</v>
      </c>
      <c r="M2384" t="s">
        <v>65</v>
      </c>
      <c r="N2384" t="b">
        <v>0</v>
      </c>
      <c r="P2384" t="b">
        <v>0</v>
      </c>
      <c r="Q2384" t="b">
        <v>0</v>
      </c>
      <c r="R2384" t="b">
        <v>0</v>
      </c>
      <c r="S2384" t="b">
        <v>1</v>
      </c>
      <c r="T2384" t="b">
        <v>0</v>
      </c>
      <c r="V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b">
        <v>1</v>
      </c>
      <c r="AB2384" t="b">
        <v>1</v>
      </c>
      <c r="AC2384" t="b">
        <v>0</v>
      </c>
      <c r="AE2384" t="s">
        <v>5944</v>
      </c>
    </row>
    <row r="2385" spans="1:31" x14ac:dyDescent="0.3">
      <c r="A2385">
        <v>-73.970856422680001</v>
      </c>
      <c r="B2385">
        <v>40.772621996799998</v>
      </c>
      <c r="C2385" t="s">
        <v>5945</v>
      </c>
      <c r="D2385" t="s">
        <v>314</v>
      </c>
      <c r="E2385" t="s">
        <v>33</v>
      </c>
      <c r="F2385">
        <v>10192018</v>
      </c>
      <c r="G2385">
        <v>9</v>
      </c>
      <c r="H2385" t="s">
        <v>48</v>
      </c>
      <c r="I2385" t="s">
        <v>42</v>
      </c>
      <c r="J2385" t="s">
        <v>53</v>
      </c>
      <c r="K2385" t="s">
        <v>54</v>
      </c>
      <c r="M2385" t="s">
        <v>65</v>
      </c>
      <c r="N2385" t="b">
        <v>0</v>
      </c>
      <c r="O2385" t="s">
        <v>5946</v>
      </c>
      <c r="P2385" t="b">
        <v>1</v>
      </c>
      <c r="Q2385" t="b">
        <v>0</v>
      </c>
      <c r="R2385" t="b">
        <v>0</v>
      </c>
      <c r="S2385" t="b">
        <v>0</v>
      </c>
      <c r="T2385" t="b">
        <v>1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b">
        <v>0</v>
      </c>
      <c r="AB2385" t="b">
        <v>0</v>
      </c>
      <c r="AC2385" t="b">
        <v>1</v>
      </c>
      <c r="AE2385" t="s">
        <v>5947</v>
      </c>
    </row>
    <row r="2386" spans="1:31" x14ac:dyDescent="0.3">
      <c r="A2386">
        <v>-73.978755294780001</v>
      </c>
      <c r="B2386">
        <v>40.769077962879997</v>
      </c>
      <c r="C2386" t="s">
        <v>5948</v>
      </c>
      <c r="D2386" t="s">
        <v>455</v>
      </c>
      <c r="E2386" t="s">
        <v>38</v>
      </c>
      <c r="F2386">
        <v>10102018</v>
      </c>
      <c r="G2386">
        <v>6</v>
      </c>
      <c r="H2386" t="s">
        <v>48</v>
      </c>
      <c r="I2386" t="s">
        <v>42</v>
      </c>
      <c r="K2386" t="s">
        <v>43</v>
      </c>
      <c r="M2386" t="s">
        <v>44</v>
      </c>
      <c r="N2386">
        <v>20</v>
      </c>
      <c r="P2386" t="b">
        <v>1</v>
      </c>
      <c r="Q2386" t="b">
        <v>0</v>
      </c>
      <c r="R2386" t="b">
        <v>0</v>
      </c>
      <c r="S2386" t="b">
        <v>0</v>
      </c>
      <c r="T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b">
        <v>0</v>
      </c>
      <c r="AB2386" t="b">
        <v>1</v>
      </c>
      <c r="AC2386" t="b">
        <v>0</v>
      </c>
      <c r="AE2386" t="s">
        <v>5949</v>
      </c>
    </row>
    <row r="2387" spans="1:31" x14ac:dyDescent="0.3">
      <c r="A2387">
        <v>-73.956573889599994</v>
      </c>
      <c r="B2387">
        <v>40.79001609526</v>
      </c>
      <c r="C2387" t="s">
        <v>5950</v>
      </c>
      <c r="D2387" t="s">
        <v>331</v>
      </c>
      <c r="E2387" t="s">
        <v>38</v>
      </c>
      <c r="F2387">
        <v>10102018</v>
      </c>
      <c r="G2387">
        <v>1</v>
      </c>
      <c r="H2387" t="s">
        <v>105</v>
      </c>
      <c r="I2387" t="s">
        <v>42</v>
      </c>
      <c r="J2387" t="s">
        <v>53</v>
      </c>
      <c r="K2387" t="s">
        <v>54</v>
      </c>
      <c r="M2387" t="s">
        <v>65</v>
      </c>
      <c r="N2387" t="b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s">
        <v>5951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b">
        <v>0</v>
      </c>
      <c r="AB2387" t="b">
        <v>1</v>
      </c>
      <c r="AC2387" t="b">
        <v>0</v>
      </c>
      <c r="AD2387" t="s">
        <v>5952</v>
      </c>
      <c r="AE2387" t="s">
        <v>5953</v>
      </c>
    </row>
    <row r="2388" spans="1:31" x14ac:dyDescent="0.3">
      <c r="A2388">
        <v>-73.980851732470001</v>
      </c>
      <c r="B2388">
        <v>40.768315464719997</v>
      </c>
      <c r="C2388" t="s">
        <v>5954</v>
      </c>
      <c r="D2388" t="s">
        <v>1775</v>
      </c>
      <c r="E2388" t="s">
        <v>33</v>
      </c>
      <c r="F2388">
        <v>10142018</v>
      </c>
      <c r="G2388">
        <v>1</v>
      </c>
      <c r="H2388" t="s">
        <v>48</v>
      </c>
      <c r="I2388" t="s">
        <v>53</v>
      </c>
      <c r="J2388" t="s">
        <v>59</v>
      </c>
      <c r="K2388" t="s">
        <v>60</v>
      </c>
      <c r="M2388" t="s">
        <v>44</v>
      </c>
      <c r="N2388">
        <v>6</v>
      </c>
      <c r="P2388" t="b">
        <v>0</v>
      </c>
      <c r="Q2388" t="b">
        <v>1</v>
      </c>
      <c r="R2388" t="b">
        <v>0</v>
      </c>
      <c r="S2388" t="b">
        <v>0</v>
      </c>
      <c r="T2388" t="b">
        <v>0</v>
      </c>
      <c r="V2388" t="b">
        <v>0</v>
      </c>
      <c r="W2388" t="b">
        <v>0</v>
      </c>
      <c r="X2388" t="b">
        <v>0</v>
      </c>
      <c r="Y2388" t="b">
        <v>0</v>
      </c>
      <c r="Z2388" t="b">
        <v>1</v>
      </c>
      <c r="AA2388" t="b">
        <v>0</v>
      </c>
      <c r="AB2388" t="b">
        <v>0</v>
      </c>
      <c r="AC2388" t="b">
        <v>0</v>
      </c>
      <c r="AE2388" t="s">
        <v>5955</v>
      </c>
    </row>
    <row r="2389" spans="1:31" x14ac:dyDescent="0.3">
      <c r="A2389">
        <v>-73.980134339329993</v>
      </c>
      <c r="B2389">
        <v>40.769151245339998</v>
      </c>
      <c r="C2389" t="s">
        <v>5956</v>
      </c>
      <c r="D2389" t="s">
        <v>239</v>
      </c>
      <c r="E2389" t="s">
        <v>38</v>
      </c>
      <c r="F2389">
        <v>10122018</v>
      </c>
      <c r="G2389">
        <v>1</v>
      </c>
      <c r="H2389" t="s">
        <v>105</v>
      </c>
      <c r="I2389" t="s">
        <v>42</v>
      </c>
      <c r="J2389" t="s">
        <v>96</v>
      </c>
      <c r="K2389" t="s">
        <v>97</v>
      </c>
      <c r="L2389" t="s">
        <v>5957</v>
      </c>
      <c r="M2389" t="s">
        <v>44</v>
      </c>
      <c r="N2389">
        <v>1</v>
      </c>
      <c r="P2389" t="b">
        <v>0</v>
      </c>
      <c r="Q2389" t="b">
        <v>0</v>
      </c>
      <c r="R2389" t="b">
        <v>0</v>
      </c>
      <c r="S2389" t="b">
        <v>1</v>
      </c>
      <c r="T2389" t="b">
        <v>0</v>
      </c>
      <c r="V2389" t="b">
        <v>0</v>
      </c>
      <c r="W2389" t="b">
        <v>0</v>
      </c>
      <c r="X2389" t="b">
        <v>0</v>
      </c>
      <c r="Y2389" t="b">
        <v>0</v>
      </c>
      <c r="Z2389" t="b">
        <v>1</v>
      </c>
      <c r="AA2389" t="b">
        <v>0</v>
      </c>
      <c r="AB2389" t="b">
        <v>0</v>
      </c>
      <c r="AC2389" t="b">
        <v>1</v>
      </c>
      <c r="AE2389" t="s">
        <v>5958</v>
      </c>
    </row>
    <row r="2390" spans="1:31" x14ac:dyDescent="0.3">
      <c r="A2390">
        <v>-73.968074197530001</v>
      </c>
      <c r="B2390">
        <v>40.784703677819998</v>
      </c>
      <c r="C2390" t="s">
        <v>5959</v>
      </c>
      <c r="D2390" t="s">
        <v>2181</v>
      </c>
      <c r="E2390" t="s">
        <v>33</v>
      </c>
      <c r="F2390">
        <v>10122018</v>
      </c>
      <c r="G2390">
        <v>4</v>
      </c>
      <c r="H2390" t="s">
        <v>48</v>
      </c>
      <c r="I2390" t="s">
        <v>42</v>
      </c>
      <c r="J2390" t="s">
        <v>59</v>
      </c>
      <c r="K2390" t="s">
        <v>79</v>
      </c>
      <c r="M2390" t="s">
        <v>44</v>
      </c>
      <c r="N2390">
        <v>20</v>
      </c>
      <c r="P2390" t="b">
        <v>0</v>
      </c>
      <c r="Q2390" t="b">
        <v>0</v>
      </c>
      <c r="R2390" t="b">
        <v>0</v>
      </c>
      <c r="S2390" t="b">
        <v>0</v>
      </c>
      <c r="T2390" t="b">
        <v>0</v>
      </c>
      <c r="U2390" t="s">
        <v>5960</v>
      </c>
      <c r="V2390" t="b">
        <v>0</v>
      </c>
      <c r="W2390" t="b">
        <v>0</v>
      </c>
      <c r="X2390" t="b">
        <v>0</v>
      </c>
      <c r="Y2390" t="b">
        <v>0</v>
      </c>
      <c r="Z2390" t="b">
        <v>1</v>
      </c>
      <c r="AA2390" t="b">
        <v>0</v>
      </c>
      <c r="AB2390" t="b">
        <v>0</v>
      </c>
      <c r="AC2390" t="b">
        <v>1</v>
      </c>
      <c r="AE2390" t="s">
        <v>5961</v>
      </c>
    </row>
    <row r="2391" spans="1:31" x14ac:dyDescent="0.3">
      <c r="A2391">
        <v>-73.972149767900007</v>
      </c>
      <c r="B2391">
        <v>40.771616019939998</v>
      </c>
      <c r="C2391" t="s">
        <v>5962</v>
      </c>
      <c r="D2391" t="s">
        <v>764</v>
      </c>
      <c r="E2391" t="s">
        <v>33</v>
      </c>
      <c r="F2391">
        <v>10122018</v>
      </c>
      <c r="G2391">
        <v>2</v>
      </c>
      <c r="H2391" t="s">
        <v>48</v>
      </c>
      <c r="I2391" t="s">
        <v>42</v>
      </c>
      <c r="K2391" t="s">
        <v>43</v>
      </c>
      <c r="M2391" t="s">
        <v>65</v>
      </c>
      <c r="N2391" t="b">
        <v>0</v>
      </c>
      <c r="P2391" t="b">
        <v>1</v>
      </c>
      <c r="Q2391" t="b">
        <v>0</v>
      </c>
      <c r="R2391" t="b">
        <v>0</v>
      </c>
      <c r="S2391" t="b">
        <v>0</v>
      </c>
      <c r="T2391" t="b">
        <v>0</v>
      </c>
      <c r="V2391" t="b">
        <v>0</v>
      </c>
      <c r="W2391" t="b">
        <v>0</v>
      </c>
      <c r="X2391" t="b">
        <v>0</v>
      </c>
      <c r="Y2391" t="b">
        <v>0</v>
      </c>
      <c r="Z2391" t="b">
        <v>0</v>
      </c>
      <c r="AA2391" t="b">
        <v>0</v>
      </c>
      <c r="AB2391" t="b">
        <v>0</v>
      </c>
      <c r="AC2391" t="b">
        <v>0</v>
      </c>
      <c r="AE2391" t="s">
        <v>5963</v>
      </c>
    </row>
    <row r="2392" spans="1:31" x14ac:dyDescent="0.3">
      <c r="A2392">
        <v>-73.957898122299994</v>
      </c>
      <c r="B2392">
        <v>40.798996775440003</v>
      </c>
      <c r="C2392" t="s">
        <v>5964</v>
      </c>
      <c r="D2392" t="s">
        <v>367</v>
      </c>
      <c r="E2392" t="s">
        <v>38</v>
      </c>
      <c r="F2392">
        <v>10102018</v>
      </c>
      <c r="G2392">
        <v>3</v>
      </c>
      <c r="H2392" t="s">
        <v>48</v>
      </c>
      <c r="K2392" t="s">
        <v>34</v>
      </c>
      <c r="M2392" t="s">
        <v>44</v>
      </c>
      <c r="N2392">
        <v>60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b">
        <v>0</v>
      </c>
      <c r="AB2392" t="b">
        <v>0</v>
      </c>
      <c r="AC2392" t="b">
        <v>0</v>
      </c>
      <c r="AE2392" t="s">
        <v>5965</v>
      </c>
    </row>
    <row r="2393" spans="1:31" x14ac:dyDescent="0.3">
      <c r="A2393">
        <v>-73.972919057210007</v>
      </c>
      <c r="B2393">
        <v>40.770018150909998</v>
      </c>
      <c r="C2393" t="s">
        <v>5966</v>
      </c>
      <c r="D2393" t="s">
        <v>514</v>
      </c>
      <c r="E2393" t="s">
        <v>33</v>
      </c>
      <c r="F2393">
        <v>10082018</v>
      </c>
      <c r="G2393">
        <v>3</v>
      </c>
      <c r="H2393" t="s">
        <v>48</v>
      </c>
      <c r="I2393" t="s">
        <v>42</v>
      </c>
      <c r="K2393" t="s">
        <v>43</v>
      </c>
      <c r="M2393" t="s">
        <v>44</v>
      </c>
      <c r="N2393">
        <v>50</v>
      </c>
      <c r="O2393" t="s">
        <v>1800</v>
      </c>
      <c r="P2393" t="b">
        <v>0</v>
      </c>
      <c r="Q2393" t="b">
        <v>0</v>
      </c>
      <c r="R2393" t="b">
        <v>0</v>
      </c>
      <c r="S2393" t="b">
        <v>0</v>
      </c>
      <c r="T2393" t="b">
        <v>1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b">
        <v>0</v>
      </c>
      <c r="AB2393" t="b">
        <v>0</v>
      </c>
      <c r="AC2393" t="b">
        <v>0</v>
      </c>
      <c r="AE2393" t="s">
        <v>5967</v>
      </c>
    </row>
    <row r="2394" spans="1:31" x14ac:dyDescent="0.3">
      <c r="A2394">
        <v>-73.9785829546</v>
      </c>
      <c r="B2394">
        <v>40.771965229910002</v>
      </c>
      <c r="C2394" t="s">
        <v>5968</v>
      </c>
      <c r="D2394" t="s">
        <v>870</v>
      </c>
      <c r="E2394" t="s">
        <v>33</v>
      </c>
      <c r="F2394">
        <v>10122018</v>
      </c>
      <c r="G2394">
        <v>2</v>
      </c>
      <c r="H2394" t="s">
        <v>48</v>
      </c>
      <c r="I2394" t="s">
        <v>42</v>
      </c>
      <c r="J2394" t="s">
        <v>59</v>
      </c>
      <c r="K2394" t="s">
        <v>79</v>
      </c>
      <c r="M2394" t="s">
        <v>65</v>
      </c>
      <c r="N2394" t="b">
        <v>0</v>
      </c>
      <c r="P2394" t="b">
        <v>1</v>
      </c>
      <c r="Q2394" t="b">
        <v>1</v>
      </c>
      <c r="R2394" t="b">
        <v>1</v>
      </c>
      <c r="S2394" t="b">
        <v>0</v>
      </c>
      <c r="T2394" t="b">
        <v>0</v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 t="b">
        <v>0</v>
      </c>
      <c r="AB2394" t="b">
        <v>0</v>
      </c>
      <c r="AC2394" t="b">
        <v>0</v>
      </c>
      <c r="AE2394" t="s">
        <v>5969</v>
      </c>
    </row>
    <row r="2395" spans="1:31" x14ac:dyDescent="0.3">
      <c r="A2395">
        <v>-73.972960355029997</v>
      </c>
      <c r="B2395">
        <v>40.766021571069999</v>
      </c>
      <c r="C2395" t="s">
        <v>5970</v>
      </c>
      <c r="D2395" t="s">
        <v>1899</v>
      </c>
      <c r="E2395" t="s">
        <v>38</v>
      </c>
      <c r="F2395">
        <v>10082018</v>
      </c>
      <c r="G2395">
        <v>6</v>
      </c>
      <c r="H2395" t="s">
        <v>48</v>
      </c>
      <c r="I2395" t="s">
        <v>176</v>
      </c>
      <c r="K2395" t="s">
        <v>177</v>
      </c>
      <c r="L2395" t="s">
        <v>5971</v>
      </c>
      <c r="M2395" t="s">
        <v>65</v>
      </c>
      <c r="N2395" t="b">
        <v>0</v>
      </c>
      <c r="P2395" t="b">
        <v>0</v>
      </c>
      <c r="Q2395" t="b">
        <v>0</v>
      </c>
      <c r="R2395" t="b">
        <v>0</v>
      </c>
      <c r="S2395" t="b">
        <v>0</v>
      </c>
      <c r="T2395" t="b">
        <v>1</v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b">
        <v>0</v>
      </c>
      <c r="AB2395" t="b">
        <v>1</v>
      </c>
      <c r="AC2395" t="b">
        <v>1</v>
      </c>
      <c r="AE2395" t="s">
        <v>5972</v>
      </c>
    </row>
    <row r="2396" spans="1:31" x14ac:dyDescent="0.3">
      <c r="A2396">
        <v>-73.970433942260001</v>
      </c>
      <c r="B2396">
        <v>40.774014952960002</v>
      </c>
      <c r="C2396" t="s">
        <v>5973</v>
      </c>
      <c r="D2396" t="s">
        <v>1165</v>
      </c>
      <c r="E2396" t="s">
        <v>33</v>
      </c>
      <c r="F2396">
        <v>10062018</v>
      </c>
      <c r="G2396">
        <v>3</v>
      </c>
      <c r="H2396" t="s">
        <v>48</v>
      </c>
      <c r="I2396" t="s">
        <v>42</v>
      </c>
      <c r="K2396" t="s">
        <v>43</v>
      </c>
      <c r="M2396" t="s">
        <v>44</v>
      </c>
      <c r="N2396">
        <v>4</v>
      </c>
      <c r="P2396" t="b">
        <v>0</v>
      </c>
      <c r="Q2396" t="b">
        <v>0</v>
      </c>
      <c r="R2396" t="b">
        <v>1</v>
      </c>
      <c r="S2396" t="b">
        <v>0</v>
      </c>
      <c r="T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1</v>
      </c>
      <c r="AA2396" t="b">
        <v>0</v>
      </c>
      <c r="AB2396" t="b">
        <v>1</v>
      </c>
      <c r="AC2396" t="b">
        <v>0</v>
      </c>
      <c r="AE2396" t="s">
        <v>5974</v>
      </c>
    </row>
    <row r="2397" spans="1:31" x14ac:dyDescent="0.3">
      <c r="A2397">
        <v>-73.970459250090002</v>
      </c>
      <c r="B2397">
        <v>40.772962887929999</v>
      </c>
      <c r="C2397" t="s">
        <v>5975</v>
      </c>
      <c r="D2397" t="s">
        <v>600</v>
      </c>
      <c r="E2397" t="s">
        <v>38</v>
      </c>
      <c r="F2397">
        <v>10062018</v>
      </c>
      <c r="G2397">
        <v>3</v>
      </c>
      <c r="H2397" t="s">
        <v>105</v>
      </c>
      <c r="I2397" t="s">
        <v>42</v>
      </c>
      <c r="J2397" t="s">
        <v>59</v>
      </c>
      <c r="K2397" t="s">
        <v>79</v>
      </c>
      <c r="L2397" t="s">
        <v>5976</v>
      </c>
      <c r="M2397" t="s">
        <v>44</v>
      </c>
      <c r="N2397">
        <v>10</v>
      </c>
      <c r="P2397" t="b">
        <v>0</v>
      </c>
      <c r="Q2397" t="b">
        <v>0</v>
      </c>
      <c r="R2397" t="b">
        <v>1</v>
      </c>
      <c r="S2397" t="b">
        <v>0</v>
      </c>
      <c r="T2397" t="b">
        <v>0</v>
      </c>
      <c r="V2397" t="b">
        <v>0</v>
      </c>
      <c r="W2397" t="b">
        <v>0</v>
      </c>
      <c r="X2397" t="b">
        <v>0</v>
      </c>
      <c r="Y2397" t="b">
        <v>1</v>
      </c>
      <c r="Z2397" t="b">
        <v>0</v>
      </c>
      <c r="AA2397" t="b">
        <v>0</v>
      </c>
      <c r="AB2397" t="b">
        <v>0</v>
      </c>
      <c r="AC2397" t="b">
        <v>1</v>
      </c>
      <c r="AE2397" t="s">
        <v>5977</v>
      </c>
    </row>
    <row r="2398" spans="1:31" x14ac:dyDescent="0.3">
      <c r="A2398">
        <v>-73.958713848369996</v>
      </c>
      <c r="B2398">
        <v>40.796391805180001</v>
      </c>
      <c r="C2398" t="s">
        <v>5978</v>
      </c>
      <c r="D2398" t="s">
        <v>175</v>
      </c>
      <c r="E2398" t="s">
        <v>33</v>
      </c>
      <c r="F2398">
        <v>10142018</v>
      </c>
      <c r="G2398">
        <v>2</v>
      </c>
      <c r="H2398" t="s">
        <v>48</v>
      </c>
      <c r="I2398" t="s">
        <v>42</v>
      </c>
      <c r="J2398" t="s">
        <v>59</v>
      </c>
      <c r="K2398" t="s">
        <v>79</v>
      </c>
      <c r="M2398" t="s">
        <v>65</v>
      </c>
      <c r="N2398" t="b">
        <v>0</v>
      </c>
      <c r="P2398" t="b">
        <v>0</v>
      </c>
      <c r="Q2398" t="b">
        <v>0</v>
      </c>
      <c r="R2398" t="b">
        <v>0</v>
      </c>
      <c r="S2398" t="b">
        <v>1</v>
      </c>
      <c r="T2398" t="b">
        <v>1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b">
        <v>0</v>
      </c>
      <c r="AB2398" t="b">
        <v>0</v>
      </c>
      <c r="AC2398" t="b">
        <v>0</v>
      </c>
      <c r="AE2398" t="s">
        <v>5979</v>
      </c>
    </row>
    <row r="2399" spans="1:31" x14ac:dyDescent="0.3">
      <c r="A2399">
        <v>-73.958376207130001</v>
      </c>
      <c r="B2399">
        <v>40.785222606559998</v>
      </c>
      <c r="C2399" t="s">
        <v>5980</v>
      </c>
      <c r="D2399" t="s">
        <v>1083</v>
      </c>
      <c r="E2399" t="s">
        <v>33</v>
      </c>
      <c r="F2399">
        <v>10202018</v>
      </c>
      <c r="G2399">
        <v>3</v>
      </c>
      <c r="H2399" t="s">
        <v>48</v>
      </c>
      <c r="I2399" t="s">
        <v>42</v>
      </c>
      <c r="J2399" t="s">
        <v>53</v>
      </c>
      <c r="K2399" t="s">
        <v>54</v>
      </c>
      <c r="M2399" t="s">
        <v>65</v>
      </c>
      <c r="N2399" t="b">
        <v>0</v>
      </c>
      <c r="P2399" t="b">
        <v>0</v>
      </c>
      <c r="Q2399" t="b">
        <v>0</v>
      </c>
      <c r="R2399" t="b">
        <v>0</v>
      </c>
      <c r="S2399" t="b">
        <v>0</v>
      </c>
      <c r="T2399" t="b">
        <v>0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b">
        <v>1</v>
      </c>
      <c r="AB2399" t="b">
        <v>0</v>
      </c>
      <c r="AC2399" t="b">
        <v>0</v>
      </c>
      <c r="AD2399" t="s">
        <v>5981</v>
      </c>
      <c r="AE2399" t="s">
        <v>5982</v>
      </c>
    </row>
    <row r="2400" spans="1:31" x14ac:dyDescent="0.3">
      <c r="A2400">
        <v>-73.976826846790004</v>
      </c>
      <c r="B2400">
        <v>40.771460804189999</v>
      </c>
      <c r="C2400" t="s">
        <v>5983</v>
      </c>
      <c r="D2400" t="s">
        <v>796</v>
      </c>
      <c r="E2400" t="s">
        <v>33</v>
      </c>
      <c r="F2400">
        <v>10172018</v>
      </c>
      <c r="G2400">
        <v>2</v>
      </c>
      <c r="H2400" t="s">
        <v>48</v>
      </c>
      <c r="I2400" t="s">
        <v>42</v>
      </c>
      <c r="J2400" t="s">
        <v>53</v>
      </c>
      <c r="K2400" t="s">
        <v>54</v>
      </c>
      <c r="M2400" t="s">
        <v>65</v>
      </c>
      <c r="N2400" t="b">
        <v>0</v>
      </c>
      <c r="P2400" t="b">
        <v>0</v>
      </c>
      <c r="Q2400" t="b">
        <v>0</v>
      </c>
      <c r="R2400" t="b">
        <v>0</v>
      </c>
      <c r="S2400" t="b">
        <v>0</v>
      </c>
      <c r="T2400" t="b">
        <v>1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b">
        <v>0</v>
      </c>
      <c r="AB2400" t="b">
        <v>0</v>
      </c>
      <c r="AC2400" t="b">
        <v>0</v>
      </c>
      <c r="AE2400" t="s">
        <v>5984</v>
      </c>
    </row>
    <row r="2401" spans="1:31" x14ac:dyDescent="0.3">
      <c r="A2401">
        <v>-73.972010921169996</v>
      </c>
      <c r="B2401">
        <v>40.77016269192</v>
      </c>
      <c r="C2401" t="s">
        <v>5985</v>
      </c>
      <c r="D2401" t="s">
        <v>402</v>
      </c>
      <c r="E2401" t="s">
        <v>38</v>
      </c>
      <c r="F2401">
        <v>10102018</v>
      </c>
      <c r="G2401">
        <v>9</v>
      </c>
      <c r="H2401" t="s">
        <v>48</v>
      </c>
      <c r="I2401" t="s">
        <v>53</v>
      </c>
      <c r="K2401" t="s">
        <v>155</v>
      </c>
      <c r="M2401" t="s">
        <v>65</v>
      </c>
      <c r="N2401" t="b">
        <v>0</v>
      </c>
      <c r="P2401" t="b">
        <v>0</v>
      </c>
      <c r="Q2401" t="b">
        <v>0</v>
      </c>
      <c r="R2401" t="b">
        <v>0</v>
      </c>
      <c r="S2401" t="b">
        <v>0</v>
      </c>
      <c r="T2401" t="b">
        <v>1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b">
        <v>0</v>
      </c>
      <c r="AB2401" t="b">
        <v>1</v>
      </c>
      <c r="AC2401" t="b">
        <v>0</v>
      </c>
      <c r="AE2401" t="s">
        <v>5986</v>
      </c>
    </row>
    <row r="2402" spans="1:31" x14ac:dyDescent="0.3">
      <c r="A2402">
        <v>-73.977720673329998</v>
      </c>
      <c r="B2402">
        <v>40.766859558550003</v>
      </c>
      <c r="C2402" t="s">
        <v>5987</v>
      </c>
      <c r="D2402" t="s">
        <v>1278</v>
      </c>
      <c r="E2402" t="s">
        <v>33</v>
      </c>
      <c r="F2402">
        <v>10072018</v>
      </c>
      <c r="G2402">
        <v>7</v>
      </c>
      <c r="H2402" t="s">
        <v>48</v>
      </c>
      <c r="I2402" t="s">
        <v>42</v>
      </c>
      <c r="K2402" t="s">
        <v>43</v>
      </c>
      <c r="M2402" t="s">
        <v>65</v>
      </c>
      <c r="N2402" t="b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s">
        <v>5988</v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 t="b">
        <v>0</v>
      </c>
      <c r="AB2402" t="b">
        <v>1</v>
      </c>
      <c r="AC2402" t="b">
        <v>0</v>
      </c>
      <c r="AE2402" t="s">
        <v>5989</v>
      </c>
    </row>
    <row r="2403" spans="1:31" x14ac:dyDescent="0.3">
      <c r="A2403">
        <v>-73.977787963520001</v>
      </c>
      <c r="B2403">
        <v>40.769359455669999</v>
      </c>
      <c r="C2403" t="s">
        <v>5990</v>
      </c>
      <c r="D2403" t="s">
        <v>1581</v>
      </c>
      <c r="E2403" t="s">
        <v>38</v>
      </c>
      <c r="F2403">
        <v>10062018</v>
      </c>
      <c r="G2403">
        <v>3</v>
      </c>
      <c r="H2403" t="s">
        <v>105</v>
      </c>
      <c r="I2403" t="s">
        <v>42</v>
      </c>
      <c r="K2403" t="s">
        <v>43</v>
      </c>
      <c r="M2403" t="s">
        <v>44</v>
      </c>
      <c r="N2403">
        <v>10</v>
      </c>
      <c r="P2403" t="b">
        <v>0</v>
      </c>
      <c r="Q2403" t="b">
        <v>0</v>
      </c>
      <c r="R2403" t="b">
        <v>0</v>
      </c>
      <c r="S2403" t="b">
        <v>0</v>
      </c>
      <c r="T2403" t="b">
        <v>1</v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 t="b">
        <v>0</v>
      </c>
      <c r="AB2403" t="b">
        <v>0</v>
      </c>
      <c r="AC2403" t="b">
        <v>0</v>
      </c>
      <c r="AE2403" t="s">
        <v>5991</v>
      </c>
    </row>
    <row r="2404" spans="1:31" x14ac:dyDescent="0.3">
      <c r="A2404">
        <v>-73.966530968960001</v>
      </c>
      <c r="B2404">
        <v>40.777527102020002</v>
      </c>
      <c r="C2404" t="s">
        <v>5992</v>
      </c>
      <c r="D2404" t="s">
        <v>281</v>
      </c>
      <c r="E2404" t="s">
        <v>38</v>
      </c>
      <c r="F2404">
        <v>10102018</v>
      </c>
      <c r="G2404">
        <v>4</v>
      </c>
      <c r="H2404" t="s">
        <v>48</v>
      </c>
      <c r="I2404" t="s">
        <v>53</v>
      </c>
      <c r="J2404" t="s">
        <v>42</v>
      </c>
      <c r="K2404" t="s">
        <v>89</v>
      </c>
      <c r="M2404" t="s">
        <v>65</v>
      </c>
      <c r="N2404" t="b">
        <v>0</v>
      </c>
      <c r="P2404" t="b">
        <v>0</v>
      </c>
      <c r="Q2404" t="b">
        <v>0</v>
      </c>
      <c r="R2404" t="b">
        <v>1</v>
      </c>
      <c r="S2404" t="b">
        <v>0</v>
      </c>
      <c r="T2404" t="b">
        <v>0</v>
      </c>
      <c r="V2404" t="b">
        <v>0</v>
      </c>
      <c r="W2404" t="b">
        <v>0</v>
      </c>
      <c r="X2404" t="b">
        <v>0</v>
      </c>
      <c r="Y2404" t="b">
        <v>0</v>
      </c>
      <c r="Z2404" t="b">
        <v>0</v>
      </c>
      <c r="AA2404" t="b">
        <v>0</v>
      </c>
      <c r="AB2404" t="b">
        <v>1</v>
      </c>
      <c r="AC2404" t="b">
        <v>0</v>
      </c>
      <c r="AE2404" t="s">
        <v>5993</v>
      </c>
    </row>
    <row r="2405" spans="1:31" x14ac:dyDescent="0.3">
      <c r="A2405">
        <v>-73.958836174289999</v>
      </c>
      <c r="B2405">
        <v>40.791115225159999</v>
      </c>
      <c r="C2405" t="s">
        <v>5994</v>
      </c>
      <c r="D2405" t="s">
        <v>1211</v>
      </c>
      <c r="E2405" t="s">
        <v>33</v>
      </c>
      <c r="F2405">
        <v>10122018</v>
      </c>
      <c r="G2405">
        <v>2</v>
      </c>
      <c r="H2405" t="s">
        <v>48</v>
      </c>
      <c r="I2405" t="s">
        <v>42</v>
      </c>
      <c r="J2405" t="s">
        <v>59</v>
      </c>
      <c r="K2405" t="s">
        <v>79</v>
      </c>
      <c r="M2405" t="s">
        <v>65</v>
      </c>
      <c r="N2405" t="b">
        <v>0</v>
      </c>
      <c r="P2405" t="b">
        <v>0</v>
      </c>
      <c r="Q2405" t="b">
        <v>0</v>
      </c>
      <c r="R2405" t="b">
        <v>0</v>
      </c>
      <c r="S2405" t="b">
        <v>0</v>
      </c>
      <c r="T2405" t="b">
        <v>1</v>
      </c>
      <c r="V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b">
        <v>0</v>
      </c>
      <c r="AB2405" t="b">
        <v>0</v>
      </c>
      <c r="AC2405" t="b">
        <v>1</v>
      </c>
      <c r="AE2405" t="s">
        <v>5995</v>
      </c>
    </row>
    <row r="2406" spans="1:31" x14ac:dyDescent="0.3">
      <c r="A2406">
        <v>-73.966896431570007</v>
      </c>
      <c r="B2406">
        <v>40.777757799089997</v>
      </c>
      <c r="C2406" t="s">
        <v>5996</v>
      </c>
      <c r="D2406" t="s">
        <v>281</v>
      </c>
      <c r="E2406" t="s">
        <v>38</v>
      </c>
      <c r="F2406">
        <v>10102018</v>
      </c>
      <c r="G2406">
        <v>1</v>
      </c>
      <c r="H2406" t="s">
        <v>48</v>
      </c>
      <c r="I2406" t="s">
        <v>42</v>
      </c>
      <c r="J2406" t="s">
        <v>59</v>
      </c>
      <c r="K2406" t="s">
        <v>79</v>
      </c>
      <c r="M2406" t="s">
        <v>44</v>
      </c>
      <c r="N2406">
        <v>3</v>
      </c>
      <c r="P2406" t="b">
        <v>0</v>
      </c>
      <c r="Q2406" t="b">
        <v>0</v>
      </c>
      <c r="R2406" t="b">
        <v>1</v>
      </c>
      <c r="S2406" t="b">
        <v>0</v>
      </c>
      <c r="T2406" t="b">
        <v>0</v>
      </c>
      <c r="V2406" t="b">
        <v>0</v>
      </c>
      <c r="W2406" t="b">
        <v>0</v>
      </c>
      <c r="X2406" t="b">
        <v>0</v>
      </c>
      <c r="Y2406" t="b">
        <v>0</v>
      </c>
      <c r="Z2406" t="b">
        <v>1</v>
      </c>
      <c r="AA2406" t="b">
        <v>0</v>
      </c>
      <c r="AB2406" t="b">
        <v>0</v>
      </c>
      <c r="AC2406" t="b">
        <v>1</v>
      </c>
      <c r="AE2406" t="s">
        <v>5997</v>
      </c>
    </row>
    <row r="2407" spans="1:31" x14ac:dyDescent="0.3">
      <c r="A2407">
        <v>-73.955572435180002</v>
      </c>
      <c r="B2407">
        <v>40.796760249819997</v>
      </c>
      <c r="C2407" t="s">
        <v>5998</v>
      </c>
      <c r="D2407" t="s">
        <v>3964</v>
      </c>
      <c r="E2407" t="s">
        <v>38</v>
      </c>
      <c r="F2407">
        <v>10182018</v>
      </c>
      <c r="G2407">
        <v>3</v>
      </c>
      <c r="H2407" t="s">
        <v>48</v>
      </c>
      <c r="I2407" t="s">
        <v>42</v>
      </c>
      <c r="J2407" t="s">
        <v>53</v>
      </c>
      <c r="K2407" t="s">
        <v>54</v>
      </c>
      <c r="M2407" t="s">
        <v>65</v>
      </c>
      <c r="N2407" t="b">
        <v>0</v>
      </c>
      <c r="P2407" t="b">
        <v>1</v>
      </c>
      <c r="Q2407" t="b">
        <v>0</v>
      </c>
      <c r="R2407" t="b">
        <v>0</v>
      </c>
      <c r="S2407" t="b">
        <v>0</v>
      </c>
      <c r="T2407" t="b">
        <v>0</v>
      </c>
      <c r="V2407" t="b">
        <v>0</v>
      </c>
      <c r="W2407" t="b">
        <v>0</v>
      </c>
      <c r="X2407" t="b">
        <v>0</v>
      </c>
      <c r="Y2407" t="b">
        <v>0</v>
      </c>
      <c r="Z2407" t="b">
        <v>0</v>
      </c>
      <c r="AA2407" t="b">
        <v>0</v>
      </c>
      <c r="AB2407" t="b">
        <v>1</v>
      </c>
      <c r="AC2407" t="b">
        <v>0</v>
      </c>
      <c r="AE2407" t="s">
        <v>5999</v>
      </c>
    </row>
    <row r="2408" spans="1:31" x14ac:dyDescent="0.3">
      <c r="A2408">
        <v>-73.959694925890005</v>
      </c>
      <c r="B2408">
        <v>40.790007947920003</v>
      </c>
      <c r="C2408" t="s">
        <v>6000</v>
      </c>
      <c r="D2408" t="s">
        <v>1407</v>
      </c>
      <c r="E2408" t="s">
        <v>33</v>
      </c>
      <c r="F2408">
        <v>10062018</v>
      </c>
      <c r="G2408">
        <v>4</v>
      </c>
      <c r="H2408" t="s">
        <v>48</v>
      </c>
      <c r="I2408" t="s">
        <v>42</v>
      </c>
      <c r="K2408" t="s">
        <v>43</v>
      </c>
      <c r="M2408" t="s">
        <v>44</v>
      </c>
      <c r="N2408">
        <v>10</v>
      </c>
      <c r="P2408" t="b">
        <v>0</v>
      </c>
      <c r="Q2408" t="b">
        <v>0</v>
      </c>
      <c r="R2408" t="b">
        <v>1</v>
      </c>
      <c r="S2408" t="b">
        <v>0</v>
      </c>
      <c r="T2408" t="b">
        <v>0</v>
      </c>
      <c r="V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b">
        <v>0</v>
      </c>
      <c r="AB2408" t="b">
        <v>1</v>
      </c>
      <c r="AC2408" t="b">
        <v>0</v>
      </c>
      <c r="AE2408" t="s">
        <v>6001</v>
      </c>
    </row>
    <row r="2409" spans="1:31" x14ac:dyDescent="0.3">
      <c r="A2409">
        <v>-73.972594717999996</v>
      </c>
      <c r="B2409">
        <v>40.779448157719997</v>
      </c>
      <c r="C2409" t="s">
        <v>6002</v>
      </c>
      <c r="D2409" t="s">
        <v>1103</v>
      </c>
      <c r="E2409" t="s">
        <v>38</v>
      </c>
      <c r="F2409">
        <v>10132018</v>
      </c>
      <c r="G2409">
        <v>1</v>
      </c>
      <c r="H2409" t="s">
        <v>48</v>
      </c>
      <c r="I2409" t="s">
        <v>42</v>
      </c>
      <c r="K2409" t="s">
        <v>43</v>
      </c>
      <c r="M2409" t="s">
        <v>65</v>
      </c>
      <c r="N2409" t="b">
        <v>0</v>
      </c>
      <c r="P2409" t="b">
        <v>0</v>
      </c>
      <c r="Q2409" t="b">
        <v>0</v>
      </c>
      <c r="R2409" t="b">
        <v>0</v>
      </c>
      <c r="S2409" t="b">
        <v>0</v>
      </c>
      <c r="T2409" t="b">
        <v>1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b">
        <v>0</v>
      </c>
      <c r="AB2409" t="b">
        <v>1</v>
      </c>
      <c r="AC2409" t="b">
        <v>0</v>
      </c>
      <c r="AE2409" t="s">
        <v>6003</v>
      </c>
    </row>
    <row r="2410" spans="1:31" x14ac:dyDescent="0.3">
      <c r="A2410">
        <v>-73.975519207689999</v>
      </c>
      <c r="B2410">
        <v>40.766441357079998</v>
      </c>
      <c r="C2410" t="s">
        <v>6004</v>
      </c>
      <c r="D2410" t="s">
        <v>471</v>
      </c>
      <c r="E2410" t="s">
        <v>33</v>
      </c>
      <c r="F2410">
        <v>10142018</v>
      </c>
      <c r="G2410">
        <v>6</v>
      </c>
      <c r="H2410" t="s">
        <v>48</v>
      </c>
      <c r="I2410" t="s">
        <v>42</v>
      </c>
      <c r="J2410" t="s">
        <v>59</v>
      </c>
      <c r="K2410" t="s">
        <v>79</v>
      </c>
      <c r="M2410" t="s">
        <v>65</v>
      </c>
      <c r="N2410" t="b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b">
        <v>0</v>
      </c>
      <c r="AB2410" t="b">
        <v>1</v>
      </c>
      <c r="AC2410" t="b">
        <v>0</v>
      </c>
      <c r="AE2410" t="s">
        <v>6005</v>
      </c>
    </row>
    <row r="2411" spans="1:31" x14ac:dyDescent="0.3">
      <c r="A2411">
        <v>-73.968690791879993</v>
      </c>
      <c r="B2411">
        <v>40.783946226189997</v>
      </c>
      <c r="C2411" t="s">
        <v>6006</v>
      </c>
      <c r="D2411" t="s">
        <v>320</v>
      </c>
      <c r="E2411" t="s">
        <v>38</v>
      </c>
      <c r="F2411">
        <v>10132018</v>
      </c>
      <c r="G2411">
        <v>3</v>
      </c>
      <c r="H2411" t="s">
        <v>48</v>
      </c>
      <c r="I2411" t="s">
        <v>53</v>
      </c>
      <c r="K2411" t="s">
        <v>155</v>
      </c>
      <c r="M2411" t="s">
        <v>65</v>
      </c>
      <c r="N2411" t="b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1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b">
        <v>0</v>
      </c>
      <c r="AB2411" t="b">
        <v>1</v>
      </c>
      <c r="AC2411" t="b">
        <v>0</v>
      </c>
      <c r="AE2411" t="s">
        <v>6007</v>
      </c>
    </row>
    <row r="2412" spans="1:31" x14ac:dyDescent="0.3">
      <c r="A2412">
        <v>-73.980944648960005</v>
      </c>
      <c r="B2412">
        <v>40.768503216589998</v>
      </c>
      <c r="C2412" t="s">
        <v>6008</v>
      </c>
      <c r="D2412" t="s">
        <v>1906</v>
      </c>
      <c r="E2412" t="s">
        <v>33</v>
      </c>
      <c r="F2412">
        <v>10192018</v>
      </c>
      <c r="G2412">
        <v>3</v>
      </c>
      <c r="H2412" t="s">
        <v>105</v>
      </c>
      <c r="I2412" t="s">
        <v>42</v>
      </c>
      <c r="J2412" t="s">
        <v>59</v>
      </c>
      <c r="K2412" t="s">
        <v>79</v>
      </c>
      <c r="M2412" t="s">
        <v>44</v>
      </c>
      <c r="N2412">
        <v>15</v>
      </c>
      <c r="O2412" t="s">
        <v>2737</v>
      </c>
      <c r="P2412" t="b">
        <v>1</v>
      </c>
      <c r="Q2412" t="b">
        <v>0</v>
      </c>
      <c r="R2412" t="b">
        <v>0</v>
      </c>
      <c r="S2412" t="b">
        <v>0</v>
      </c>
      <c r="T2412" t="b">
        <v>0</v>
      </c>
      <c r="V2412" t="b">
        <v>0</v>
      </c>
      <c r="W2412" t="b">
        <v>0</v>
      </c>
      <c r="X2412" t="b">
        <v>0</v>
      </c>
      <c r="Y2412" t="b">
        <v>0</v>
      </c>
      <c r="Z2412" t="b">
        <v>0</v>
      </c>
      <c r="AA2412" t="b">
        <v>0</v>
      </c>
      <c r="AB2412" t="b">
        <v>1</v>
      </c>
      <c r="AC2412" t="b">
        <v>0</v>
      </c>
      <c r="AE2412" t="s">
        <v>6009</v>
      </c>
    </row>
    <row r="2413" spans="1:31" x14ac:dyDescent="0.3">
      <c r="A2413">
        <v>-73.959701727880002</v>
      </c>
      <c r="B2413">
        <v>40.790660026970002</v>
      </c>
      <c r="C2413" t="s">
        <v>6010</v>
      </c>
      <c r="D2413" t="s">
        <v>47</v>
      </c>
      <c r="E2413" t="s">
        <v>38</v>
      </c>
      <c r="F2413">
        <v>10072018</v>
      </c>
      <c r="G2413">
        <v>3</v>
      </c>
      <c r="H2413" t="s">
        <v>48</v>
      </c>
      <c r="I2413" t="s">
        <v>176</v>
      </c>
      <c r="K2413" t="s">
        <v>177</v>
      </c>
      <c r="M2413" t="s">
        <v>65</v>
      </c>
      <c r="N2413" t="b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V2413" t="b">
        <v>0</v>
      </c>
      <c r="W2413" t="b">
        <v>0</v>
      </c>
      <c r="X2413" t="b">
        <v>0</v>
      </c>
      <c r="Y2413" t="b">
        <v>0</v>
      </c>
      <c r="Z2413" t="b">
        <v>0</v>
      </c>
      <c r="AA2413" t="b">
        <v>0</v>
      </c>
      <c r="AB2413" t="b">
        <v>0</v>
      </c>
      <c r="AC2413" t="b">
        <v>0</v>
      </c>
      <c r="AE2413" t="s">
        <v>6011</v>
      </c>
    </row>
    <row r="2414" spans="1:31" x14ac:dyDescent="0.3">
      <c r="A2414">
        <v>-73.970817546180001</v>
      </c>
      <c r="B2414">
        <v>40.775922856549997</v>
      </c>
      <c r="C2414" t="s">
        <v>6012</v>
      </c>
      <c r="D2414" t="s">
        <v>52</v>
      </c>
      <c r="E2414" t="s">
        <v>38</v>
      </c>
      <c r="F2414">
        <v>10172018</v>
      </c>
      <c r="G2414">
        <v>10</v>
      </c>
      <c r="H2414" t="s">
        <v>48</v>
      </c>
      <c r="I2414" t="s">
        <v>42</v>
      </c>
      <c r="K2414" t="s">
        <v>43</v>
      </c>
      <c r="M2414" t="s">
        <v>65</v>
      </c>
      <c r="N2414" t="b">
        <v>0</v>
      </c>
      <c r="P2414" t="b">
        <v>0</v>
      </c>
      <c r="Q2414" t="b">
        <v>0</v>
      </c>
      <c r="R2414" t="b">
        <v>0</v>
      </c>
      <c r="S2414" t="b">
        <v>0</v>
      </c>
      <c r="T2414" t="b">
        <v>1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b">
        <v>0</v>
      </c>
      <c r="AB2414" t="b">
        <v>0</v>
      </c>
      <c r="AC2414" t="b">
        <v>0</v>
      </c>
      <c r="AE2414" t="s">
        <v>6013</v>
      </c>
    </row>
    <row r="2415" spans="1:31" x14ac:dyDescent="0.3">
      <c r="A2415">
        <v>-73.968359808659997</v>
      </c>
      <c r="B2415">
        <v>40.781115045130001</v>
      </c>
      <c r="C2415" t="s">
        <v>6014</v>
      </c>
      <c r="D2415" t="s">
        <v>208</v>
      </c>
      <c r="E2415" t="s">
        <v>33</v>
      </c>
      <c r="F2415">
        <v>10082018</v>
      </c>
      <c r="G2415">
        <v>1</v>
      </c>
      <c r="H2415" t="s">
        <v>48</v>
      </c>
      <c r="I2415" t="s">
        <v>42</v>
      </c>
      <c r="J2415" t="s">
        <v>59</v>
      </c>
      <c r="K2415" t="s">
        <v>79</v>
      </c>
      <c r="M2415" t="s">
        <v>65</v>
      </c>
      <c r="N2415" t="b">
        <v>0</v>
      </c>
      <c r="P2415" t="b">
        <v>0</v>
      </c>
      <c r="Q2415" t="b">
        <v>0</v>
      </c>
      <c r="R2415" t="b">
        <v>0</v>
      </c>
      <c r="S2415" t="b">
        <v>0</v>
      </c>
      <c r="T2415" t="b">
        <v>1</v>
      </c>
      <c r="V2415" t="b">
        <v>0</v>
      </c>
      <c r="W2415" t="b">
        <v>0</v>
      </c>
      <c r="X2415" t="b">
        <v>0</v>
      </c>
      <c r="Y2415" t="b">
        <v>0</v>
      </c>
      <c r="Z2415" t="b">
        <v>0</v>
      </c>
      <c r="AA2415" t="b">
        <v>0</v>
      </c>
      <c r="AB2415" t="b">
        <v>1</v>
      </c>
      <c r="AC2415" t="b">
        <v>0</v>
      </c>
      <c r="AE2415" t="s">
        <v>6015</v>
      </c>
    </row>
    <row r="2416" spans="1:31" x14ac:dyDescent="0.3">
      <c r="A2416">
        <v>-73.958868982089996</v>
      </c>
      <c r="B2416">
        <v>40.799238413799998</v>
      </c>
      <c r="C2416" t="s">
        <v>6016</v>
      </c>
      <c r="D2416" t="s">
        <v>448</v>
      </c>
      <c r="E2416" t="s">
        <v>33</v>
      </c>
      <c r="F2416">
        <v>10142018</v>
      </c>
      <c r="G2416">
        <v>3</v>
      </c>
      <c r="H2416" t="s">
        <v>48</v>
      </c>
      <c r="I2416" t="s">
        <v>42</v>
      </c>
      <c r="K2416" t="s">
        <v>43</v>
      </c>
      <c r="M2416" t="s">
        <v>65</v>
      </c>
      <c r="N2416" t="b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 t="b">
        <v>0</v>
      </c>
      <c r="AB2416" t="b">
        <v>0</v>
      </c>
      <c r="AC2416" t="b">
        <v>1</v>
      </c>
      <c r="AD2416" t="s">
        <v>4885</v>
      </c>
      <c r="AE2416" t="s">
        <v>6017</v>
      </c>
    </row>
    <row r="2417" spans="1:31" x14ac:dyDescent="0.3">
      <c r="A2417">
        <v>-73.972032314819998</v>
      </c>
      <c r="B2417">
        <v>40.772970345959997</v>
      </c>
      <c r="C2417" t="s">
        <v>6018</v>
      </c>
      <c r="D2417" t="s">
        <v>6019</v>
      </c>
      <c r="E2417" t="s">
        <v>33</v>
      </c>
      <c r="F2417">
        <v>10072018</v>
      </c>
      <c r="G2417">
        <v>1</v>
      </c>
      <c r="H2417" t="s">
        <v>48</v>
      </c>
      <c r="I2417" t="s">
        <v>42</v>
      </c>
      <c r="K2417" t="s">
        <v>43</v>
      </c>
      <c r="M2417" t="s">
        <v>44</v>
      </c>
      <c r="N2417">
        <v>35</v>
      </c>
      <c r="P2417" t="b">
        <v>0</v>
      </c>
      <c r="Q2417" t="b">
        <v>0</v>
      </c>
      <c r="R2417" t="b">
        <v>0</v>
      </c>
      <c r="S2417" t="b">
        <v>0</v>
      </c>
      <c r="T2417" t="b">
        <v>1</v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b">
        <v>0</v>
      </c>
      <c r="AB2417" t="b">
        <v>0</v>
      </c>
      <c r="AC2417" t="b">
        <v>0</v>
      </c>
      <c r="AE2417" t="s">
        <v>6020</v>
      </c>
    </row>
    <row r="2418" spans="1:31" x14ac:dyDescent="0.3">
      <c r="A2418">
        <v>-73.968365344999995</v>
      </c>
      <c r="B2418">
        <v>40.77196615922</v>
      </c>
      <c r="C2418" t="s">
        <v>6021</v>
      </c>
      <c r="D2418" t="s">
        <v>1000</v>
      </c>
      <c r="E2418" t="s">
        <v>38</v>
      </c>
      <c r="F2418">
        <v>10102018</v>
      </c>
      <c r="G2418">
        <v>1</v>
      </c>
      <c r="H2418" t="s">
        <v>48</v>
      </c>
      <c r="I2418" t="s">
        <v>42</v>
      </c>
      <c r="J2418" t="s">
        <v>53</v>
      </c>
      <c r="K2418" t="s">
        <v>54</v>
      </c>
      <c r="M2418" t="s">
        <v>65</v>
      </c>
      <c r="N2418" t="b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1</v>
      </c>
      <c r="V2418" t="b">
        <v>0</v>
      </c>
      <c r="W2418" t="b">
        <v>0</v>
      </c>
      <c r="X2418" t="b">
        <v>0</v>
      </c>
      <c r="Y2418" t="b">
        <v>0</v>
      </c>
      <c r="Z2418" t="b">
        <v>0</v>
      </c>
      <c r="AA2418" t="b">
        <v>0</v>
      </c>
      <c r="AB2418" t="b">
        <v>1</v>
      </c>
      <c r="AC2418" t="b">
        <v>0</v>
      </c>
      <c r="AE2418" t="s">
        <v>6022</v>
      </c>
    </row>
    <row r="2419" spans="1:31" x14ac:dyDescent="0.3">
      <c r="A2419">
        <v>-73.959055147339996</v>
      </c>
      <c r="B2419">
        <v>40.789160706079997</v>
      </c>
      <c r="C2419" t="s">
        <v>6023</v>
      </c>
      <c r="D2419" t="s">
        <v>893</v>
      </c>
      <c r="E2419" t="s">
        <v>33</v>
      </c>
      <c r="F2419">
        <v>10072018</v>
      </c>
      <c r="G2419">
        <v>2</v>
      </c>
      <c r="H2419" t="s">
        <v>48</v>
      </c>
      <c r="I2419" t="s">
        <v>42</v>
      </c>
      <c r="K2419" t="s">
        <v>43</v>
      </c>
      <c r="M2419" t="s">
        <v>44</v>
      </c>
      <c r="N2419">
        <v>2</v>
      </c>
      <c r="O2419" t="s">
        <v>6024</v>
      </c>
      <c r="P2419" t="b">
        <v>0</v>
      </c>
      <c r="Q2419" t="b">
        <v>0</v>
      </c>
      <c r="R2419" t="b">
        <v>0</v>
      </c>
      <c r="S2419" t="b">
        <v>0</v>
      </c>
      <c r="T2419" t="b">
        <v>1</v>
      </c>
      <c r="V2419" t="b">
        <v>0</v>
      </c>
      <c r="W2419" t="b">
        <v>0</v>
      </c>
      <c r="X2419" t="b">
        <v>0</v>
      </c>
      <c r="Y2419" t="b">
        <v>0</v>
      </c>
      <c r="Z2419" t="b">
        <v>1</v>
      </c>
      <c r="AA2419" t="b">
        <v>0</v>
      </c>
      <c r="AB2419" t="b">
        <v>0</v>
      </c>
      <c r="AC2419" t="b">
        <v>1</v>
      </c>
      <c r="AE2419" t="s">
        <v>6025</v>
      </c>
    </row>
    <row r="2420" spans="1:31" x14ac:dyDescent="0.3">
      <c r="A2420">
        <v>-73.958778759279994</v>
      </c>
      <c r="B2420">
        <v>40.798169901430001</v>
      </c>
      <c r="C2420" t="s">
        <v>6026</v>
      </c>
      <c r="D2420" t="s">
        <v>448</v>
      </c>
      <c r="E2420" t="s">
        <v>38</v>
      </c>
      <c r="F2420">
        <v>10102018</v>
      </c>
      <c r="G2420">
        <v>1</v>
      </c>
      <c r="H2420" t="s">
        <v>105</v>
      </c>
      <c r="I2420" t="s">
        <v>42</v>
      </c>
      <c r="K2420" t="s">
        <v>43</v>
      </c>
      <c r="M2420" t="s">
        <v>44</v>
      </c>
      <c r="N2420">
        <v>30</v>
      </c>
      <c r="O2420" t="s">
        <v>449</v>
      </c>
      <c r="P2420" t="b">
        <v>0</v>
      </c>
      <c r="Q2420" t="b">
        <v>0</v>
      </c>
      <c r="R2420" t="b">
        <v>1</v>
      </c>
      <c r="S2420" t="b">
        <v>0</v>
      </c>
      <c r="T2420" t="b">
        <v>0</v>
      </c>
      <c r="V2420" t="b">
        <v>0</v>
      </c>
      <c r="W2420" t="b">
        <v>0</v>
      </c>
      <c r="X2420" t="b">
        <v>0</v>
      </c>
      <c r="Y2420" t="b">
        <v>0</v>
      </c>
      <c r="Z2420" t="b">
        <v>0</v>
      </c>
      <c r="AA2420" t="b">
        <v>0</v>
      </c>
      <c r="AB2420" t="b">
        <v>0</v>
      </c>
      <c r="AC2420" t="b">
        <v>0</v>
      </c>
      <c r="AD2420" t="s">
        <v>6027</v>
      </c>
      <c r="AE2420" t="s">
        <v>6028</v>
      </c>
    </row>
    <row r="2421" spans="1:31" x14ac:dyDescent="0.3">
      <c r="A2421">
        <v>-73.968227890600005</v>
      </c>
      <c r="B2421">
        <v>40.773302750809997</v>
      </c>
      <c r="C2421" t="s">
        <v>6029</v>
      </c>
      <c r="D2421" t="s">
        <v>58</v>
      </c>
      <c r="E2421" t="s">
        <v>33</v>
      </c>
      <c r="F2421">
        <v>10132018</v>
      </c>
      <c r="G2421">
        <v>2</v>
      </c>
      <c r="H2421" t="s">
        <v>48</v>
      </c>
      <c r="I2421" t="s">
        <v>42</v>
      </c>
      <c r="J2421" t="s">
        <v>176</v>
      </c>
      <c r="K2421" t="s">
        <v>339</v>
      </c>
      <c r="M2421" t="s">
        <v>44</v>
      </c>
      <c r="N2421">
        <v>10</v>
      </c>
      <c r="P2421" t="b">
        <v>0</v>
      </c>
      <c r="Q2421" t="b">
        <v>0</v>
      </c>
      <c r="R2421" t="b">
        <v>0</v>
      </c>
      <c r="S2421" t="b">
        <v>0</v>
      </c>
      <c r="T2421" t="b">
        <v>0</v>
      </c>
      <c r="U2421" t="s">
        <v>340</v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b">
        <v>0</v>
      </c>
      <c r="AB2421" t="b">
        <v>1</v>
      </c>
      <c r="AC2421" t="b">
        <v>0</v>
      </c>
      <c r="AE2421" t="s">
        <v>6030</v>
      </c>
    </row>
    <row r="2422" spans="1:31" x14ac:dyDescent="0.3">
      <c r="A2422">
        <v>-73.960447604790005</v>
      </c>
      <c r="B2422">
        <v>40.793801432869998</v>
      </c>
      <c r="C2422" t="s">
        <v>6031</v>
      </c>
      <c r="D2422" t="s">
        <v>195</v>
      </c>
      <c r="E2422" t="s">
        <v>38</v>
      </c>
      <c r="F2422">
        <v>10072018</v>
      </c>
      <c r="G2422">
        <v>3</v>
      </c>
      <c r="H2422" t="s">
        <v>48</v>
      </c>
      <c r="K2422" t="s">
        <v>34</v>
      </c>
      <c r="M2422" t="s">
        <v>44</v>
      </c>
      <c r="N2422">
        <v>40</v>
      </c>
      <c r="P2422" t="b">
        <v>0</v>
      </c>
      <c r="Q2422" t="b">
        <v>0</v>
      </c>
      <c r="R2422" t="b">
        <v>0</v>
      </c>
      <c r="S2422" t="b">
        <v>0</v>
      </c>
      <c r="T2422" t="b">
        <v>1</v>
      </c>
      <c r="V2422" t="b">
        <v>0</v>
      </c>
      <c r="W2422" t="b">
        <v>0</v>
      </c>
      <c r="X2422" t="b">
        <v>0</v>
      </c>
      <c r="Y2422" t="b">
        <v>0</v>
      </c>
      <c r="Z2422" t="b">
        <v>0</v>
      </c>
      <c r="AA2422" t="b">
        <v>0</v>
      </c>
      <c r="AB2422" t="b">
        <v>0</v>
      </c>
      <c r="AC2422" t="b">
        <v>0</v>
      </c>
      <c r="AE2422" t="s">
        <v>6032</v>
      </c>
    </row>
    <row r="2423" spans="1:31" x14ac:dyDescent="0.3">
      <c r="A2423">
        <v>-73.968306660579998</v>
      </c>
      <c r="B2423">
        <v>40.77812139305</v>
      </c>
      <c r="C2423" t="s">
        <v>6033</v>
      </c>
      <c r="D2423" t="s">
        <v>256</v>
      </c>
      <c r="E2423" t="s">
        <v>33</v>
      </c>
      <c r="F2423">
        <v>10182018</v>
      </c>
      <c r="G2423">
        <v>3</v>
      </c>
      <c r="H2423" t="s">
        <v>48</v>
      </c>
      <c r="I2423" t="s">
        <v>42</v>
      </c>
      <c r="K2423" t="s">
        <v>43</v>
      </c>
      <c r="M2423" t="s">
        <v>65</v>
      </c>
      <c r="N2423" t="b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b">
        <v>0</v>
      </c>
      <c r="AB2423" t="b">
        <v>0</v>
      </c>
      <c r="AC2423" t="b">
        <v>1</v>
      </c>
      <c r="AE2423" t="s">
        <v>6034</v>
      </c>
    </row>
    <row r="2424" spans="1:31" x14ac:dyDescent="0.3">
      <c r="A2424">
        <v>-73.973552877209997</v>
      </c>
      <c r="B2424">
        <v>40.771563822819999</v>
      </c>
      <c r="C2424" t="s">
        <v>6035</v>
      </c>
      <c r="D2424" t="s">
        <v>139</v>
      </c>
      <c r="E2424" t="s">
        <v>33</v>
      </c>
      <c r="F2424">
        <v>10132018</v>
      </c>
      <c r="G2424">
        <v>1</v>
      </c>
      <c r="H2424" t="s">
        <v>48</v>
      </c>
      <c r="I2424" t="s">
        <v>42</v>
      </c>
      <c r="J2424" t="s">
        <v>53</v>
      </c>
      <c r="K2424" t="s">
        <v>54</v>
      </c>
      <c r="M2424" t="s">
        <v>65</v>
      </c>
      <c r="N2424" t="b">
        <v>0</v>
      </c>
      <c r="O2424" t="s">
        <v>2877</v>
      </c>
      <c r="P2424" t="b">
        <v>1</v>
      </c>
      <c r="Q2424" t="b">
        <v>0</v>
      </c>
      <c r="R2424" t="b">
        <v>1</v>
      </c>
      <c r="S2424" t="b">
        <v>1</v>
      </c>
      <c r="T2424" t="b">
        <v>1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b">
        <v>0</v>
      </c>
      <c r="AB2424" t="b">
        <v>0</v>
      </c>
      <c r="AC2424" t="b">
        <v>1</v>
      </c>
      <c r="AE2424" t="s">
        <v>6036</v>
      </c>
    </row>
    <row r="2425" spans="1:31" x14ac:dyDescent="0.3">
      <c r="A2425">
        <v>-73.96847528392</v>
      </c>
      <c r="B2425">
        <v>40.776581626149998</v>
      </c>
      <c r="C2425" t="s">
        <v>6037</v>
      </c>
      <c r="D2425" t="s">
        <v>232</v>
      </c>
      <c r="E2425" t="s">
        <v>38</v>
      </c>
      <c r="F2425">
        <v>10072018</v>
      </c>
      <c r="G2425">
        <v>1</v>
      </c>
      <c r="H2425" t="s">
        <v>48</v>
      </c>
      <c r="I2425" t="s">
        <v>42</v>
      </c>
      <c r="J2425" t="s">
        <v>53</v>
      </c>
      <c r="K2425" t="s">
        <v>54</v>
      </c>
      <c r="L2425" t="s">
        <v>1666</v>
      </c>
      <c r="M2425" t="s">
        <v>65</v>
      </c>
      <c r="N2425" t="b">
        <v>0</v>
      </c>
      <c r="P2425" t="b">
        <v>1</v>
      </c>
      <c r="Q2425" t="b">
        <v>0</v>
      </c>
      <c r="R2425" t="b">
        <v>0</v>
      </c>
      <c r="S2425" t="b">
        <v>1</v>
      </c>
      <c r="T2425" t="b">
        <v>1</v>
      </c>
      <c r="V2425" t="b">
        <v>0</v>
      </c>
      <c r="W2425" t="b">
        <v>0</v>
      </c>
      <c r="X2425" t="b">
        <v>0</v>
      </c>
      <c r="Y2425" t="b">
        <v>0</v>
      </c>
      <c r="Z2425" t="b">
        <v>0</v>
      </c>
      <c r="AA2425" t="b">
        <v>0</v>
      </c>
      <c r="AB2425" t="b">
        <v>1</v>
      </c>
      <c r="AC2425" t="b">
        <v>1</v>
      </c>
      <c r="AE2425" t="s">
        <v>6038</v>
      </c>
    </row>
    <row r="2426" spans="1:31" x14ac:dyDescent="0.3">
      <c r="A2426">
        <v>-73.979114153219996</v>
      </c>
      <c r="B2426">
        <v>40.771488883540002</v>
      </c>
      <c r="C2426" t="s">
        <v>6039</v>
      </c>
      <c r="D2426" t="s">
        <v>327</v>
      </c>
      <c r="E2426" t="s">
        <v>38</v>
      </c>
      <c r="F2426">
        <v>10062018</v>
      </c>
      <c r="G2426">
        <v>4</v>
      </c>
      <c r="H2426" t="s">
        <v>105</v>
      </c>
      <c r="I2426" t="s">
        <v>42</v>
      </c>
      <c r="J2426" t="s">
        <v>53</v>
      </c>
      <c r="K2426" t="s">
        <v>54</v>
      </c>
      <c r="M2426" t="s">
        <v>65</v>
      </c>
      <c r="N2426" t="b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1</v>
      </c>
      <c r="V2426" t="b">
        <v>0</v>
      </c>
      <c r="W2426" t="b">
        <v>0</v>
      </c>
      <c r="X2426" t="b">
        <v>0</v>
      </c>
      <c r="Y2426" t="b">
        <v>1</v>
      </c>
      <c r="Z2426" t="b">
        <v>0</v>
      </c>
      <c r="AA2426" t="b">
        <v>0</v>
      </c>
      <c r="AB2426" t="b">
        <v>1</v>
      </c>
      <c r="AC2426" t="b">
        <v>0</v>
      </c>
      <c r="AE2426" t="s">
        <v>6040</v>
      </c>
    </row>
    <row r="2427" spans="1:31" x14ac:dyDescent="0.3">
      <c r="A2427">
        <v>-73.979020397360003</v>
      </c>
      <c r="B2427">
        <v>40.768883711480001</v>
      </c>
      <c r="C2427" t="s">
        <v>6041</v>
      </c>
      <c r="D2427" t="s">
        <v>455</v>
      </c>
      <c r="E2427" t="s">
        <v>38</v>
      </c>
      <c r="F2427">
        <v>10102018</v>
      </c>
      <c r="G2427">
        <v>2</v>
      </c>
      <c r="H2427" t="s">
        <v>105</v>
      </c>
      <c r="I2427" t="s">
        <v>42</v>
      </c>
      <c r="J2427" t="s">
        <v>53</v>
      </c>
      <c r="K2427" t="s">
        <v>54</v>
      </c>
      <c r="M2427" t="s">
        <v>65</v>
      </c>
      <c r="N2427" t="b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s">
        <v>6042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b">
        <v>0</v>
      </c>
      <c r="AB2427" t="b">
        <v>0</v>
      </c>
      <c r="AC2427" t="b">
        <v>1</v>
      </c>
      <c r="AE2427" t="s">
        <v>6043</v>
      </c>
    </row>
    <row r="2428" spans="1:31" x14ac:dyDescent="0.3">
      <c r="A2428">
        <v>-73.972929748530007</v>
      </c>
      <c r="B2428">
        <v>40.767327854139999</v>
      </c>
      <c r="C2428" t="s">
        <v>6044</v>
      </c>
      <c r="D2428" t="s">
        <v>2122</v>
      </c>
      <c r="E2428" t="s">
        <v>38</v>
      </c>
      <c r="F2428">
        <v>10062018</v>
      </c>
      <c r="G2428">
        <v>3</v>
      </c>
      <c r="H2428" t="s">
        <v>48</v>
      </c>
      <c r="I2428" t="s">
        <v>176</v>
      </c>
      <c r="K2428" t="s">
        <v>177</v>
      </c>
      <c r="M2428" t="s">
        <v>65</v>
      </c>
      <c r="N2428" t="b">
        <v>0</v>
      </c>
      <c r="P2428" t="b">
        <v>0</v>
      </c>
      <c r="Q2428" t="b">
        <v>0</v>
      </c>
      <c r="R2428" t="b">
        <v>0</v>
      </c>
      <c r="S2428" t="b">
        <v>0</v>
      </c>
      <c r="T2428" t="b">
        <v>1</v>
      </c>
      <c r="U2428" t="s">
        <v>6045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b">
        <v>0</v>
      </c>
      <c r="AB2428" t="b">
        <v>1</v>
      </c>
      <c r="AC2428" t="b">
        <v>0</v>
      </c>
      <c r="AE2428" t="s">
        <v>6046</v>
      </c>
    </row>
    <row r="2429" spans="1:31" x14ac:dyDescent="0.3">
      <c r="A2429">
        <v>-73.975564340480005</v>
      </c>
      <c r="B2429">
        <v>40.769756914939997</v>
      </c>
      <c r="C2429" t="s">
        <v>6047</v>
      </c>
      <c r="D2429" t="s">
        <v>245</v>
      </c>
      <c r="E2429" t="s">
        <v>33</v>
      </c>
      <c r="F2429">
        <v>10122018</v>
      </c>
      <c r="G2429">
        <v>3</v>
      </c>
      <c r="H2429" t="s">
        <v>48</v>
      </c>
      <c r="I2429" t="s">
        <v>42</v>
      </c>
      <c r="J2429" t="s">
        <v>96</v>
      </c>
      <c r="K2429" t="s">
        <v>97</v>
      </c>
      <c r="M2429" t="s">
        <v>65</v>
      </c>
      <c r="N2429" t="b">
        <v>0</v>
      </c>
      <c r="P2429" t="b">
        <v>0</v>
      </c>
      <c r="Q2429" t="b">
        <v>0</v>
      </c>
      <c r="R2429" t="b">
        <v>0</v>
      </c>
      <c r="S2429" t="b">
        <v>1</v>
      </c>
      <c r="T2429" t="b">
        <v>1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b">
        <v>1</v>
      </c>
      <c r="AB2429" t="b">
        <v>0</v>
      </c>
      <c r="AC2429" t="b">
        <v>0</v>
      </c>
      <c r="AE2429" t="s">
        <v>6048</v>
      </c>
    </row>
    <row r="2430" spans="1:31" x14ac:dyDescent="0.3">
      <c r="A2430">
        <v>-73.972669968689999</v>
      </c>
      <c r="B2430">
        <v>40.77011237912</v>
      </c>
      <c r="C2430" t="s">
        <v>6049</v>
      </c>
      <c r="D2430" t="s">
        <v>353</v>
      </c>
      <c r="E2430" t="s">
        <v>38</v>
      </c>
      <c r="F2430">
        <v>10082018</v>
      </c>
      <c r="G2430">
        <v>1</v>
      </c>
      <c r="H2430" t="s">
        <v>48</v>
      </c>
      <c r="I2430" t="s">
        <v>42</v>
      </c>
      <c r="J2430" t="s">
        <v>53</v>
      </c>
      <c r="K2430" t="s">
        <v>54</v>
      </c>
      <c r="M2430" t="s">
        <v>65</v>
      </c>
      <c r="N2430" t="b">
        <v>0</v>
      </c>
      <c r="O2430" t="s">
        <v>6050</v>
      </c>
      <c r="P2430" t="b">
        <v>0</v>
      </c>
      <c r="Q2430" t="b">
        <v>0</v>
      </c>
      <c r="R2430" t="b">
        <v>0</v>
      </c>
      <c r="S2430" t="b">
        <v>0</v>
      </c>
      <c r="T2430" t="b">
        <v>1</v>
      </c>
      <c r="V2430" t="b">
        <v>0</v>
      </c>
      <c r="W2430" t="b">
        <v>0</v>
      </c>
      <c r="X2430" t="b">
        <v>0</v>
      </c>
      <c r="Y2430" t="b">
        <v>1</v>
      </c>
      <c r="Z2430" t="b">
        <v>0</v>
      </c>
      <c r="AA2430" t="b">
        <v>0</v>
      </c>
      <c r="AB2430" t="b">
        <v>1</v>
      </c>
      <c r="AC2430" t="b">
        <v>0</v>
      </c>
      <c r="AE2430" t="s">
        <v>6051</v>
      </c>
    </row>
    <row r="2431" spans="1:31" x14ac:dyDescent="0.3">
      <c r="A2431">
        <v>-73.956981128570007</v>
      </c>
      <c r="B2431">
        <v>40.793091234610003</v>
      </c>
      <c r="C2431" t="s">
        <v>6052</v>
      </c>
      <c r="D2431" t="s">
        <v>2046</v>
      </c>
      <c r="E2431" t="s">
        <v>33</v>
      </c>
      <c r="F2431">
        <v>10122018</v>
      </c>
      <c r="G2431">
        <v>2</v>
      </c>
      <c r="H2431" t="s">
        <v>48</v>
      </c>
      <c r="I2431" t="s">
        <v>42</v>
      </c>
      <c r="J2431" t="s">
        <v>59</v>
      </c>
      <c r="K2431" t="s">
        <v>79</v>
      </c>
      <c r="M2431" t="s">
        <v>65</v>
      </c>
      <c r="N2431" t="b">
        <v>0</v>
      </c>
      <c r="P2431" t="b">
        <v>0</v>
      </c>
      <c r="Q2431" t="b">
        <v>0</v>
      </c>
      <c r="R2431" t="b">
        <v>0</v>
      </c>
      <c r="S2431" t="b">
        <v>1</v>
      </c>
      <c r="T2431" t="b">
        <v>1</v>
      </c>
      <c r="V2431" t="b">
        <v>0</v>
      </c>
      <c r="W2431" t="b">
        <v>0</v>
      </c>
      <c r="X2431" t="b">
        <v>0</v>
      </c>
      <c r="Y2431" t="b">
        <v>0</v>
      </c>
      <c r="Z2431" t="b">
        <v>1</v>
      </c>
      <c r="AA2431" t="b">
        <v>0</v>
      </c>
      <c r="AB2431" t="b">
        <v>1</v>
      </c>
      <c r="AC2431" t="b">
        <v>0</v>
      </c>
      <c r="AE2431" t="s">
        <v>6053</v>
      </c>
    </row>
    <row r="2432" spans="1:31" x14ac:dyDescent="0.3">
      <c r="A2432">
        <v>-73.963005499640005</v>
      </c>
      <c r="B2432">
        <v>40.790522514700001</v>
      </c>
      <c r="C2432" t="s">
        <v>6054</v>
      </c>
      <c r="D2432" t="s">
        <v>2077</v>
      </c>
      <c r="E2432" t="s">
        <v>33</v>
      </c>
      <c r="F2432">
        <v>10082018</v>
      </c>
      <c r="G2432">
        <v>1</v>
      </c>
      <c r="H2432" t="s">
        <v>48</v>
      </c>
      <c r="I2432" t="s">
        <v>42</v>
      </c>
      <c r="J2432" t="s">
        <v>53</v>
      </c>
      <c r="K2432" t="s">
        <v>54</v>
      </c>
      <c r="M2432" t="s">
        <v>65</v>
      </c>
      <c r="N2432" t="b">
        <v>0</v>
      </c>
      <c r="P2432" t="b">
        <v>0</v>
      </c>
      <c r="Q2432" t="b">
        <v>0</v>
      </c>
      <c r="R2432" t="b">
        <v>0</v>
      </c>
      <c r="S2432" t="b">
        <v>1</v>
      </c>
      <c r="T2432" t="b">
        <v>1</v>
      </c>
      <c r="V2432" t="b">
        <v>0</v>
      </c>
      <c r="W2432" t="b">
        <v>0</v>
      </c>
      <c r="X2432" t="b">
        <v>0</v>
      </c>
      <c r="Y2432" t="b">
        <v>0</v>
      </c>
      <c r="Z2432" t="b">
        <v>0</v>
      </c>
      <c r="AA2432" t="b">
        <v>0</v>
      </c>
      <c r="AB2432" t="b">
        <v>0</v>
      </c>
      <c r="AC2432" t="b">
        <v>0</v>
      </c>
      <c r="AE2432" t="s">
        <v>6055</v>
      </c>
    </row>
    <row r="2433" spans="1:31" x14ac:dyDescent="0.3">
      <c r="A2433">
        <v>-73.965720319970004</v>
      </c>
      <c r="B2433">
        <v>40.775173008910002</v>
      </c>
      <c r="C2433" t="s">
        <v>6056</v>
      </c>
      <c r="D2433" t="s">
        <v>1090</v>
      </c>
      <c r="E2433" t="s">
        <v>33</v>
      </c>
      <c r="F2433">
        <v>10182018</v>
      </c>
      <c r="G2433">
        <v>2</v>
      </c>
      <c r="H2433" t="s">
        <v>105</v>
      </c>
      <c r="I2433" t="s">
        <v>42</v>
      </c>
      <c r="J2433" t="s">
        <v>53</v>
      </c>
      <c r="K2433" t="s">
        <v>54</v>
      </c>
      <c r="M2433" t="s">
        <v>65</v>
      </c>
      <c r="N2433" t="b">
        <v>0</v>
      </c>
      <c r="P2433" t="b">
        <v>0</v>
      </c>
      <c r="Q2433" t="b">
        <v>0</v>
      </c>
      <c r="R2433" t="b">
        <v>0</v>
      </c>
      <c r="S2433" t="b">
        <v>0</v>
      </c>
      <c r="T2433" t="b">
        <v>1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b">
        <v>0</v>
      </c>
      <c r="AB2433" t="b">
        <v>0</v>
      </c>
      <c r="AC2433" t="b">
        <v>1</v>
      </c>
      <c r="AE2433" t="s">
        <v>6057</v>
      </c>
    </row>
    <row r="2434" spans="1:31" x14ac:dyDescent="0.3">
      <c r="A2434">
        <v>-73.970694993069998</v>
      </c>
      <c r="B2434">
        <v>40.772362045850002</v>
      </c>
      <c r="C2434" t="s">
        <v>6058</v>
      </c>
      <c r="D2434" t="s">
        <v>600</v>
      </c>
      <c r="E2434" t="s">
        <v>38</v>
      </c>
      <c r="F2434">
        <v>10062018</v>
      </c>
      <c r="G2434">
        <v>8</v>
      </c>
      <c r="H2434" t="s">
        <v>48</v>
      </c>
      <c r="I2434" t="s">
        <v>176</v>
      </c>
      <c r="J2434" t="s">
        <v>53</v>
      </c>
      <c r="K2434" t="s">
        <v>705</v>
      </c>
      <c r="M2434" t="s">
        <v>44</v>
      </c>
      <c r="N2434">
        <v>3</v>
      </c>
      <c r="P2434" t="b">
        <v>0</v>
      </c>
      <c r="Q2434" t="b">
        <v>0</v>
      </c>
      <c r="R2434" t="b">
        <v>0</v>
      </c>
      <c r="S2434" t="b">
        <v>1</v>
      </c>
      <c r="T2434" t="b">
        <v>0</v>
      </c>
      <c r="V2434" t="b">
        <v>0</v>
      </c>
      <c r="W2434" t="b">
        <v>0</v>
      </c>
      <c r="X2434" t="b">
        <v>0</v>
      </c>
      <c r="Y2434" t="b">
        <v>1</v>
      </c>
      <c r="Z2434" t="b">
        <v>1</v>
      </c>
      <c r="AA2434" t="b">
        <v>0</v>
      </c>
      <c r="AB2434" t="b">
        <v>1</v>
      </c>
      <c r="AC2434" t="b">
        <v>0</v>
      </c>
      <c r="AE2434" t="s">
        <v>6059</v>
      </c>
    </row>
    <row r="2435" spans="1:31" x14ac:dyDescent="0.3">
      <c r="A2435">
        <v>-73.954591209900002</v>
      </c>
      <c r="B2435">
        <v>40.794830181309997</v>
      </c>
      <c r="C2435" t="s">
        <v>6060</v>
      </c>
      <c r="D2435" t="s">
        <v>363</v>
      </c>
      <c r="E2435" t="s">
        <v>33</v>
      </c>
      <c r="F2435">
        <v>10132018</v>
      </c>
      <c r="G2435">
        <v>6</v>
      </c>
      <c r="H2435" t="s">
        <v>105</v>
      </c>
      <c r="I2435" t="s">
        <v>42</v>
      </c>
      <c r="J2435" t="s">
        <v>53</v>
      </c>
      <c r="K2435" t="s">
        <v>54</v>
      </c>
      <c r="M2435" t="s">
        <v>65</v>
      </c>
      <c r="N2435" t="b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1</v>
      </c>
      <c r="V2435" t="b">
        <v>0</v>
      </c>
      <c r="W2435" t="b">
        <v>0</v>
      </c>
      <c r="X2435" t="b">
        <v>0</v>
      </c>
      <c r="Y2435" t="b">
        <v>0</v>
      </c>
      <c r="Z2435" t="b">
        <v>0</v>
      </c>
      <c r="AA2435" t="b">
        <v>0</v>
      </c>
      <c r="AB2435" t="b">
        <v>0</v>
      </c>
      <c r="AC2435" t="b">
        <v>0</v>
      </c>
      <c r="AE2435" t="s">
        <v>6061</v>
      </c>
    </row>
    <row r="2436" spans="1:31" x14ac:dyDescent="0.3">
      <c r="A2436">
        <v>-73.972087127539993</v>
      </c>
      <c r="B2436">
        <v>40.776237268629998</v>
      </c>
      <c r="C2436" t="s">
        <v>6062</v>
      </c>
      <c r="D2436" t="s">
        <v>604</v>
      </c>
      <c r="E2436" t="s">
        <v>38</v>
      </c>
      <c r="F2436">
        <v>10102018</v>
      </c>
      <c r="G2436">
        <v>1</v>
      </c>
      <c r="H2436" t="s">
        <v>48</v>
      </c>
      <c r="I2436" t="s">
        <v>42</v>
      </c>
      <c r="K2436" t="s">
        <v>43</v>
      </c>
      <c r="M2436" t="s">
        <v>65</v>
      </c>
      <c r="N2436" t="b">
        <v>0</v>
      </c>
      <c r="P2436" t="b">
        <v>0</v>
      </c>
      <c r="Q2436" t="b">
        <v>0</v>
      </c>
      <c r="R2436" t="b">
        <v>1</v>
      </c>
      <c r="S2436" t="b">
        <v>0</v>
      </c>
      <c r="T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b">
        <v>0</v>
      </c>
      <c r="AB2436" t="b">
        <v>0</v>
      </c>
      <c r="AC2436" t="b">
        <v>1</v>
      </c>
      <c r="AE2436" t="s">
        <v>6063</v>
      </c>
    </row>
    <row r="2437" spans="1:31" x14ac:dyDescent="0.3">
      <c r="A2437">
        <v>-73.958277014169994</v>
      </c>
      <c r="B2437">
        <v>40.78566102389</v>
      </c>
      <c r="C2437" t="s">
        <v>6064</v>
      </c>
      <c r="D2437" t="s">
        <v>1852</v>
      </c>
      <c r="E2437" t="s">
        <v>33</v>
      </c>
      <c r="F2437">
        <v>10072018</v>
      </c>
      <c r="G2437">
        <v>1</v>
      </c>
      <c r="H2437" t="s">
        <v>48</v>
      </c>
      <c r="I2437" t="s">
        <v>42</v>
      </c>
      <c r="K2437" t="s">
        <v>43</v>
      </c>
      <c r="M2437" t="s">
        <v>44</v>
      </c>
      <c r="N2437">
        <v>20</v>
      </c>
      <c r="P2437" t="b">
        <v>1</v>
      </c>
      <c r="Q2437" t="b">
        <v>0</v>
      </c>
      <c r="R2437" t="b">
        <v>1</v>
      </c>
      <c r="S2437" t="b">
        <v>0</v>
      </c>
      <c r="T2437" t="b">
        <v>0</v>
      </c>
      <c r="V2437" t="b">
        <v>0</v>
      </c>
      <c r="W2437" t="b">
        <v>0</v>
      </c>
      <c r="X2437" t="b">
        <v>0</v>
      </c>
      <c r="Y2437" t="b">
        <v>0</v>
      </c>
      <c r="Z2437" t="b">
        <v>0</v>
      </c>
      <c r="AA2437" t="b">
        <v>0</v>
      </c>
      <c r="AB2437" t="b">
        <v>1</v>
      </c>
      <c r="AC2437" t="b">
        <v>0</v>
      </c>
      <c r="AE2437" t="s">
        <v>6065</v>
      </c>
    </row>
    <row r="2438" spans="1:31" x14ac:dyDescent="0.3">
      <c r="A2438">
        <v>-73.961985608579994</v>
      </c>
      <c r="B2438">
        <v>40.791951652009999</v>
      </c>
      <c r="C2438" t="s">
        <v>6066</v>
      </c>
      <c r="D2438" t="s">
        <v>607</v>
      </c>
      <c r="E2438" t="s">
        <v>33</v>
      </c>
      <c r="F2438">
        <v>10132018</v>
      </c>
      <c r="G2438">
        <v>8</v>
      </c>
      <c r="H2438" t="s">
        <v>105</v>
      </c>
      <c r="I2438" t="s">
        <v>42</v>
      </c>
      <c r="K2438" t="s">
        <v>43</v>
      </c>
      <c r="M2438" t="s">
        <v>65</v>
      </c>
      <c r="N2438" t="b">
        <v>0</v>
      </c>
      <c r="P2438" t="b">
        <v>0</v>
      </c>
      <c r="Q2438" t="b">
        <v>0</v>
      </c>
      <c r="R2438" t="b">
        <v>0</v>
      </c>
      <c r="S2438" t="b">
        <v>0</v>
      </c>
      <c r="T2438" t="b">
        <v>1</v>
      </c>
      <c r="V2438" t="b">
        <v>0</v>
      </c>
      <c r="W2438" t="b">
        <v>0</v>
      </c>
      <c r="X2438" t="b">
        <v>0</v>
      </c>
      <c r="Y2438" t="b">
        <v>0</v>
      </c>
      <c r="Z2438" t="b">
        <v>0</v>
      </c>
      <c r="AA2438" t="b">
        <v>0</v>
      </c>
      <c r="AB2438" t="b">
        <v>0</v>
      </c>
      <c r="AC2438" t="b">
        <v>0</v>
      </c>
      <c r="AE2438" t="s">
        <v>6067</v>
      </c>
    </row>
    <row r="2439" spans="1:31" x14ac:dyDescent="0.3">
      <c r="A2439">
        <v>-73.969532160040004</v>
      </c>
      <c r="B2439">
        <v>40.782261664140002</v>
      </c>
      <c r="C2439" t="s">
        <v>6068</v>
      </c>
      <c r="D2439" t="s">
        <v>78</v>
      </c>
      <c r="E2439" t="s">
        <v>33</v>
      </c>
      <c r="F2439">
        <v>10132018</v>
      </c>
      <c r="G2439">
        <v>1</v>
      </c>
      <c r="H2439" t="s">
        <v>48</v>
      </c>
      <c r="I2439" t="s">
        <v>42</v>
      </c>
      <c r="J2439" t="s">
        <v>59</v>
      </c>
      <c r="K2439" t="s">
        <v>79</v>
      </c>
      <c r="M2439" t="s">
        <v>65</v>
      </c>
      <c r="N2439" t="b">
        <v>0</v>
      </c>
      <c r="P2439" t="b">
        <v>0</v>
      </c>
      <c r="Q2439" t="b">
        <v>0</v>
      </c>
      <c r="R2439" t="b">
        <v>0</v>
      </c>
      <c r="S2439" t="b">
        <v>0</v>
      </c>
      <c r="T2439" t="b">
        <v>1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 t="b">
        <v>0</v>
      </c>
      <c r="AB2439" t="b">
        <v>0</v>
      </c>
      <c r="AC2439" t="b">
        <v>0</v>
      </c>
      <c r="AE2439" t="s">
        <v>6069</v>
      </c>
    </row>
    <row r="2440" spans="1:31" x14ac:dyDescent="0.3">
      <c r="A2440">
        <v>-73.958745913640001</v>
      </c>
      <c r="B2440">
        <v>40.798249735180001</v>
      </c>
      <c r="C2440" t="s">
        <v>6070</v>
      </c>
      <c r="D2440" t="s">
        <v>212</v>
      </c>
      <c r="E2440" t="s">
        <v>33</v>
      </c>
      <c r="F2440">
        <v>10142018</v>
      </c>
      <c r="G2440">
        <v>5</v>
      </c>
      <c r="H2440" t="s">
        <v>48</v>
      </c>
      <c r="I2440" t="s">
        <v>42</v>
      </c>
      <c r="J2440" t="s">
        <v>53</v>
      </c>
      <c r="K2440" t="s">
        <v>54</v>
      </c>
      <c r="M2440" t="s">
        <v>65</v>
      </c>
      <c r="N2440" t="b">
        <v>0</v>
      </c>
      <c r="P2440" t="b">
        <v>0</v>
      </c>
      <c r="Q2440" t="b">
        <v>0</v>
      </c>
      <c r="R2440" t="b">
        <v>0</v>
      </c>
      <c r="S2440" t="b">
        <v>0</v>
      </c>
      <c r="T2440" t="b">
        <v>1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b">
        <v>0</v>
      </c>
      <c r="AB2440" t="b">
        <v>0</v>
      </c>
      <c r="AC2440" t="b">
        <v>1</v>
      </c>
      <c r="AE2440" t="s">
        <v>6071</v>
      </c>
    </row>
    <row r="2441" spans="1:31" x14ac:dyDescent="0.3">
      <c r="A2441">
        <v>-73.967380350859997</v>
      </c>
      <c r="B2441">
        <v>40.778524502549999</v>
      </c>
      <c r="C2441" t="s">
        <v>6072</v>
      </c>
      <c r="D2441" t="s">
        <v>111</v>
      </c>
      <c r="E2441" t="s">
        <v>38</v>
      </c>
      <c r="F2441">
        <v>10072018</v>
      </c>
      <c r="G2441">
        <v>1</v>
      </c>
      <c r="H2441" t="s">
        <v>48</v>
      </c>
      <c r="I2441" t="s">
        <v>42</v>
      </c>
      <c r="K2441" t="s">
        <v>43</v>
      </c>
      <c r="M2441" t="s">
        <v>44</v>
      </c>
      <c r="N2441">
        <v>18</v>
      </c>
      <c r="P2441" t="b">
        <v>0</v>
      </c>
      <c r="Q2441" t="b">
        <v>0</v>
      </c>
      <c r="R2441" t="b">
        <v>1</v>
      </c>
      <c r="S2441" t="b">
        <v>1</v>
      </c>
      <c r="T2441" t="b">
        <v>0</v>
      </c>
      <c r="V2441" t="b">
        <v>0</v>
      </c>
      <c r="W2441" t="b">
        <v>0</v>
      </c>
      <c r="X2441" t="b">
        <v>0</v>
      </c>
      <c r="Y2441" t="b">
        <v>1</v>
      </c>
      <c r="Z2441" t="b">
        <v>0</v>
      </c>
      <c r="AA2441" t="b">
        <v>0</v>
      </c>
      <c r="AB2441" t="b">
        <v>1</v>
      </c>
      <c r="AC2441" t="b">
        <v>0</v>
      </c>
      <c r="AE2441" t="s">
        <v>6073</v>
      </c>
    </row>
    <row r="2442" spans="1:31" x14ac:dyDescent="0.3">
      <c r="A2442">
        <v>-73.957986532980001</v>
      </c>
      <c r="B2442">
        <v>40.794906535679999</v>
      </c>
      <c r="C2442" t="s">
        <v>6074</v>
      </c>
      <c r="D2442" t="s">
        <v>390</v>
      </c>
      <c r="E2442" t="s">
        <v>33</v>
      </c>
      <c r="F2442">
        <v>10142018</v>
      </c>
      <c r="G2442">
        <v>3</v>
      </c>
      <c r="H2442" t="s">
        <v>48</v>
      </c>
      <c r="I2442" t="s">
        <v>42</v>
      </c>
      <c r="K2442" t="s">
        <v>43</v>
      </c>
      <c r="M2442" t="s">
        <v>44</v>
      </c>
      <c r="N2442">
        <v>40</v>
      </c>
      <c r="P2442" t="b">
        <v>0</v>
      </c>
      <c r="Q2442" t="b">
        <v>0</v>
      </c>
      <c r="R2442" t="b">
        <v>1</v>
      </c>
      <c r="S2442" t="b">
        <v>0</v>
      </c>
      <c r="T2442" t="b">
        <v>0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b">
        <v>0</v>
      </c>
      <c r="AB2442" t="b">
        <v>0</v>
      </c>
      <c r="AC2442" t="b">
        <v>0</v>
      </c>
      <c r="AE2442" t="s">
        <v>6075</v>
      </c>
    </row>
    <row r="2443" spans="1:31" x14ac:dyDescent="0.3">
      <c r="A2443">
        <v>-73.96993697968</v>
      </c>
      <c r="B2443">
        <v>40.772035019130001</v>
      </c>
      <c r="C2443" t="s">
        <v>6076</v>
      </c>
      <c r="D2443" t="s">
        <v>600</v>
      </c>
      <c r="E2443" t="s">
        <v>33</v>
      </c>
      <c r="F2443">
        <v>10172018</v>
      </c>
      <c r="G2443">
        <v>4</v>
      </c>
      <c r="H2443" t="s">
        <v>48</v>
      </c>
      <c r="I2443" t="s">
        <v>42</v>
      </c>
      <c r="K2443" t="s">
        <v>43</v>
      </c>
      <c r="M2443" t="s">
        <v>65</v>
      </c>
      <c r="N2443" t="b">
        <v>0</v>
      </c>
      <c r="P2443" t="b">
        <v>1</v>
      </c>
      <c r="Q2443" t="b">
        <v>0</v>
      </c>
      <c r="R2443" t="b">
        <v>0</v>
      </c>
      <c r="S2443" t="b">
        <v>1</v>
      </c>
      <c r="T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b">
        <v>0</v>
      </c>
      <c r="AB2443" t="b">
        <v>1</v>
      </c>
      <c r="AC2443" t="b">
        <v>0</v>
      </c>
      <c r="AE2443" t="s">
        <v>6077</v>
      </c>
    </row>
    <row r="2444" spans="1:31" x14ac:dyDescent="0.3">
      <c r="A2444">
        <v>-73.966707318700003</v>
      </c>
      <c r="B2444">
        <v>40.784058136159999</v>
      </c>
      <c r="C2444" t="s">
        <v>6078</v>
      </c>
      <c r="D2444" t="s">
        <v>271</v>
      </c>
      <c r="E2444" t="s">
        <v>33</v>
      </c>
      <c r="F2444">
        <v>10142018</v>
      </c>
      <c r="G2444">
        <v>1</v>
      </c>
      <c r="H2444" t="s">
        <v>48</v>
      </c>
      <c r="I2444" t="s">
        <v>42</v>
      </c>
      <c r="K2444" t="s">
        <v>43</v>
      </c>
      <c r="M2444" t="s">
        <v>44</v>
      </c>
      <c r="N2444">
        <v>20</v>
      </c>
      <c r="P2444" t="b">
        <v>0</v>
      </c>
      <c r="Q2444" t="b">
        <v>0</v>
      </c>
      <c r="R2444" t="b">
        <v>1</v>
      </c>
      <c r="S2444" t="b">
        <v>0</v>
      </c>
      <c r="T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b">
        <v>0</v>
      </c>
      <c r="AB2444" t="b">
        <v>0</v>
      </c>
      <c r="AC2444" t="b">
        <v>0</v>
      </c>
      <c r="AE2444" t="s">
        <v>6079</v>
      </c>
    </row>
    <row r="2445" spans="1:31" x14ac:dyDescent="0.3">
      <c r="A2445">
        <v>-73.966590487009995</v>
      </c>
      <c r="B2445">
        <v>40.780246905289999</v>
      </c>
      <c r="C2445" t="s">
        <v>6080</v>
      </c>
      <c r="D2445" t="s">
        <v>2080</v>
      </c>
      <c r="E2445" t="s">
        <v>33</v>
      </c>
      <c r="F2445">
        <v>10182018</v>
      </c>
      <c r="G2445">
        <v>2</v>
      </c>
      <c r="H2445" t="s">
        <v>48</v>
      </c>
      <c r="I2445" t="s">
        <v>42</v>
      </c>
      <c r="J2445" t="s">
        <v>59</v>
      </c>
      <c r="K2445" t="s">
        <v>79</v>
      </c>
      <c r="M2445" t="s">
        <v>65</v>
      </c>
      <c r="N2445" t="b">
        <v>0</v>
      </c>
      <c r="P2445" t="b">
        <v>1</v>
      </c>
      <c r="Q2445" t="b">
        <v>0</v>
      </c>
      <c r="R2445" t="b">
        <v>1</v>
      </c>
      <c r="S2445" t="b">
        <v>0</v>
      </c>
      <c r="T2445" t="b">
        <v>0</v>
      </c>
      <c r="V2445" t="b">
        <v>0</v>
      </c>
      <c r="W2445" t="b">
        <v>0</v>
      </c>
      <c r="X2445" t="b">
        <v>0</v>
      </c>
      <c r="Y2445" t="b">
        <v>1</v>
      </c>
      <c r="Z2445" t="b">
        <v>0</v>
      </c>
      <c r="AA2445" t="b">
        <v>0</v>
      </c>
      <c r="AB2445" t="b">
        <v>0</v>
      </c>
      <c r="AC2445" t="b">
        <v>0</v>
      </c>
      <c r="AE2445" t="s">
        <v>6081</v>
      </c>
    </row>
    <row r="2446" spans="1:31" x14ac:dyDescent="0.3">
      <c r="A2446">
        <v>-73.961930408940006</v>
      </c>
      <c r="B2446">
        <v>40.792045169319998</v>
      </c>
      <c r="C2446" t="s">
        <v>6082</v>
      </c>
      <c r="D2446" t="s">
        <v>607</v>
      </c>
      <c r="E2446" t="s">
        <v>33</v>
      </c>
      <c r="F2446">
        <v>10132018</v>
      </c>
      <c r="G2446">
        <v>10</v>
      </c>
      <c r="H2446" t="s">
        <v>48</v>
      </c>
      <c r="I2446" t="s">
        <v>42</v>
      </c>
      <c r="K2446" t="s">
        <v>43</v>
      </c>
      <c r="M2446" t="s">
        <v>65</v>
      </c>
      <c r="N2446" t="b">
        <v>0</v>
      </c>
      <c r="P2446" t="b">
        <v>0</v>
      </c>
      <c r="Q2446" t="b">
        <v>0</v>
      </c>
      <c r="R2446" t="b">
        <v>0</v>
      </c>
      <c r="S2446" t="b">
        <v>0</v>
      </c>
      <c r="T2446" t="b">
        <v>1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b">
        <v>0</v>
      </c>
      <c r="AB2446" t="b">
        <v>0</v>
      </c>
      <c r="AC2446" t="b">
        <v>0</v>
      </c>
      <c r="AE2446" t="s">
        <v>6083</v>
      </c>
    </row>
    <row r="2447" spans="1:31" x14ac:dyDescent="0.3">
      <c r="A2447">
        <v>-73.952270451199993</v>
      </c>
      <c r="B2447">
        <v>40.796566887899999</v>
      </c>
      <c r="C2447" t="s">
        <v>6084</v>
      </c>
      <c r="D2447" t="s">
        <v>3054</v>
      </c>
      <c r="E2447" t="s">
        <v>38</v>
      </c>
      <c r="F2447">
        <v>10132018</v>
      </c>
      <c r="G2447">
        <v>1</v>
      </c>
      <c r="H2447" t="s">
        <v>48</v>
      </c>
      <c r="I2447" t="s">
        <v>42</v>
      </c>
      <c r="J2447" t="s">
        <v>53</v>
      </c>
      <c r="K2447" t="s">
        <v>54</v>
      </c>
      <c r="M2447" t="s">
        <v>65</v>
      </c>
      <c r="N2447" t="b">
        <v>0</v>
      </c>
      <c r="P2447" t="b">
        <v>0</v>
      </c>
      <c r="Q2447" t="b">
        <v>0</v>
      </c>
      <c r="R2447" t="b">
        <v>0</v>
      </c>
      <c r="S2447" t="b">
        <v>1</v>
      </c>
      <c r="T2447" t="b">
        <v>1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b">
        <v>0</v>
      </c>
      <c r="AB2447" t="b">
        <v>0</v>
      </c>
      <c r="AC2447" t="b">
        <v>1</v>
      </c>
      <c r="AE2447" t="s">
        <v>6085</v>
      </c>
    </row>
    <row r="2448" spans="1:31" x14ac:dyDescent="0.3">
      <c r="A2448">
        <v>-73.958967098789998</v>
      </c>
      <c r="B2448">
        <v>40.795212703929998</v>
      </c>
      <c r="C2448" t="s">
        <v>6086</v>
      </c>
      <c r="D2448" t="s">
        <v>925</v>
      </c>
      <c r="E2448" t="s">
        <v>38</v>
      </c>
      <c r="F2448">
        <v>10122018</v>
      </c>
      <c r="G2448">
        <v>4</v>
      </c>
      <c r="H2448" t="s">
        <v>48</v>
      </c>
      <c r="I2448" t="s">
        <v>42</v>
      </c>
      <c r="J2448" t="s">
        <v>53</v>
      </c>
      <c r="K2448" t="s">
        <v>54</v>
      </c>
      <c r="L2448" t="s">
        <v>3351</v>
      </c>
      <c r="M2448" t="s">
        <v>65</v>
      </c>
      <c r="N2448" t="b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1</v>
      </c>
      <c r="V2448" t="b">
        <v>0</v>
      </c>
      <c r="W2448" t="b">
        <v>0</v>
      </c>
      <c r="X2448" t="b">
        <v>0</v>
      </c>
      <c r="Y2448" t="b">
        <v>0</v>
      </c>
      <c r="Z2448" t="b">
        <v>0</v>
      </c>
      <c r="AA2448" t="b">
        <v>0</v>
      </c>
      <c r="AB2448" t="b">
        <v>1</v>
      </c>
      <c r="AC2448" t="b">
        <v>0</v>
      </c>
      <c r="AE2448" t="s">
        <v>6087</v>
      </c>
    </row>
    <row r="2449" spans="1:31" x14ac:dyDescent="0.3">
      <c r="A2449">
        <v>-73.966823057659994</v>
      </c>
      <c r="B2449">
        <v>40.78706372333</v>
      </c>
      <c r="C2449" t="s">
        <v>6088</v>
      </c>
      <c r="D2449" t="s">
        <v>6089</v>
      </c>
      <c r="E2449" t="s">
        <v>33</v>
      </c>
      <c r="F2449">
        <v>10072018</v>
      </c>
      <c r="G2449">
        <v>2</v>
      </c>
      <c r="H2449" t="s">
        <v>48</v>
      </c>
      <c r="I2449" t="s">
        <v>42</v>
      </c>
      <c r="J2449" t="s">
        <v>53</v>
      </c>
      <c r="K2449" t="s">
        <v>54</v>
      </c>
      <c r="M2449" t="s">
        <v>65</v>
      </c>
      <c r="N2449" t="b">
        <v>0</v>
      </c>
      <c r="P2449" t="b">
        <v>0</v>
      </c>
      <c r="Q2449" t="b">
        <v>0</v>
      </c>
      <c r="R2449" t="b">
        <v>1</v>
      </c>
      <c r="S2449" t="b">
        <v>0</v>
      </c>
      <c r="T2449" t="b">
        <v>1</v>
      </c>
      <c r="V2449" t="b">
        <v>0</v>
      </c>
      <c r="W2449" t="b">
        <v>0</v>
      </c>
      <c r="X2449" t="b">
        <v>0</v>
      </c>
      <c r="Y2449" t="b">
        <v>0</v>
      </c>
      <c r="Z2449" t="b">
        <v>0</v>
      </c>
      <c r="AA2449" t="b">
        <v>0</v>
      </c>
      <c r="AB2449" t="b">
        <v>1</v>
      </c>
      <c r="AC2449" t="b">
        <v>0</v>
      </c>
      <c r="AE2449" t="s">
        <v>6090</v>
      </c>
    </row>
    <row r="2450" spans="1:31" x14ac:dyDescent="0.3">
      <c r="A2450">
        <v>-73.959991153749996</v>
      </c>
      <c r="B2450">
        <v>40.791445254279999</v>
      </c>
      <c r="C2450" t="s">
        <v>6091</v>
      </c>
      <c r="D2450" t="s">
        <v>1202</v>
      </c>
      <c r="E2450" t="s">
        <v>38</v>
      </c>
      <c r="F2450">
        <v>10172018</v>
      </c>
      <c r="G2450">
        <v>4</v>
      </c>
      <c r="H2450" t="s">
        <v>48</v>
      </c>
      <c r="I2450" t="s">
        <v>176</v>
      </c>
      <c r="K2450" t="s">
        <v>177</v>
      </c>
      <c r="M2450" t="s">
        <v>44</v>
      </c>
      <c r="N2450">
        <v>5</v>
      </c>
      <c r="P2450" t="b">
        <v>0</v>
      </c>
      <c r="Q2450" t="b">
        <v>0</v>
      </c>
      <c r="R2450" t="b">
        <v>1</v>
      </c>
      <c r="S2450" t="b">
        <v>0</v>
      </c>
      <c r="T2450" t="b">
        <v>0</v>
      </c>
      <c r="V2450" t="b">
        <v>0</v>
      </c>
      <c r="W2450" t="b">
        <v>0</v>
      </c>
      <c r="X2450" t="b">
        <v>0</v>
      </c>
      <c r="Y2450" t="b">
        <v>0</v>
      </c>
      <c r="Z2450" t="b">
        <v>1</v>
      </c>
      <c r="AA2450" t="b">
        <v>0</v>
      </c>
      <c r="AB2450" t="b">
        <v>0</v>
      </c>
      <c r="AC2450" t="b">
        <v>1</v>
      </c>
      <c r="AE2450" t="s">
        <v>6092</v>
      </c>
    </row>
    <row r="2451" spans="1:31" x14ac:dyDescent="0.3">
      <c r="A2451">
        <v>-73.975627325770006</v>
      </c>
      <c r="B2451">
        <v>40.770653918619999</v>
      </c>
      <c r="C2451" t="s">
        <v>6093</v>
      </c>
      <c r="D2451" t="s">
        <v>722</v>
      </c>
      <c r="E2451" t="s">
        <v>38</v>
      </c>
      <c r="F2451">
        <v>10082018</v>
      </c>
      <c r="G2451">
        <v>4</v>
      </c>
      <c r="H2451" t="s">
        <v>48</v>
      </c>
      <c r="I2451" t="s">
        <v>42</v>
      </c>
      <c r="K2451" t="s">
        <v>43</v>
      </c>
      <c r="M2451" t="s">
        <v>44</v>
      </c>
      <c r="P2451" t="b">
        <v>0</v>
      </c>
      <c r="Q2451" t="b">
        <v>0</v>
      </c>
      <c r="R2451" t="b">
        <v>1</v>
      </c>
      <c r="S2451" t="b">
        <v>0</v>
      </c>
      <c r="T2451" t="b">
        <v>0</v>
      </c>
      <c r="V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b">
        <v>0</v>
      </c>
      <c r="AB2451" t="b">
        <v>0</v>
      </c>
      <c r="AC2451" t="b">
        <v>0</v>
      </c>
      <c r="AE2451" t="s">
        <v>6094</v>
      </c>
    </row>
    <row r="2452" spans="1:31" x14ac:dyDescent="0.3">
      <c r="A2452">
        <v>-73.977586521700005</v>
      </c>
      <c r="B2452">
        <v>40.770492830000002</v>
      </c>
      <c r="C2452" t="s">
        <v>6095</v>
      </c>
      <c r="D2452" t="s">
        <v>88</v>
      </c>
      <c r="E2452" t="s">
        <v>33</v>
      </c>
      <c r="F2452">
        <v>10102018</v>
      </c>
      <c r="G2452">
        <v>1</v>
      </c>
      <c r="H2452" t="s">
        <v>48</v>
      </c>
      <c r="I2452" t="s">
        <v>53</v>
      </c>
      <c r="J2452" t="s">
        <v>115</v>
      </c>
      <c r="K2452" t="s">
        <v>116</v>
      </c>
      <c r="M2452" t="s">
        <v>65</v>
      </c>
      <c r="N2452" t="b">
        <v>0</v>
      </c>
      <c r="P2452" t="b">
        <v>0</v>
      </c>
      <c r="Q2452" t="b">
        <v>0</v>
      </c>
      <c r="R2452" t="b">
        <v>0</v>
      </c>
      <c r="S2452" t="b">
        <v>1</v>
      </c>
      <c r="T2452" t="b">
        <v>1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b">
        <v>0</v>
      </c>
      <c r="AB2452" t="b">
        <v>1</v>
      </c>
      <c r="AC2452" t="b">
        <v>0</v>
      </c>
      <c r="AE2452" t="s">
        <v>6096</v>
      </c>
    </row>
    <row r="2453" spans="1:31" x14ac:dyDescent="0.3">
      <c r="A2453">
        <v>-73.972732379799993</v>
      </c>
      <c r="B2453">
        <v>40.766903546400002</v>
      </c>
      <c r="C2453" t="s">
        <v>6097</v>
      </c>
      <c r="D2453" t="s">
        <v>1899</v>
      </c>
      <c r="E2453" t="s">
        <v>38</v>
      </c>
      <c r="F2453">
        <v>10082018</v>
      </c>
      <c r="G2453">
        <v>3</v>
      </c>
      <c r="H2453" t="s">
        <v>48</v>
      </c>
      <c r="I2453" t="s">
        <v>42</v>
      </c>
      <c r="K2453" t="s">
        <v>43</v>
      </c>
      <c r="M2453" t="s">
        <v>44</v>
      </c>
      <c r="N2453">
        <v>40</v>
      </c>
      <c r="O2453" t="s">
        <v>6098</v>
      </c>
      <c r="P2453" t="b">
        <v>0</v>
      </c>
      <c r="Q2453" t="b">
        <v>0</v>
      </c>
      <c r="R2453" t="b">
        <v>1</v>
      </c>
      <c r="S2453" t="b">
        <v>0</v>
      </c>
      <c r="T2453" t="b">
        <v>0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b">
        <v>0</v>
      </c>
      <c r="AB2453" t="b">
        <v>1</v>
      </c>
      <c r="AC2453" t="b">
        <v>0</v>
      </c>
      <c r="AE2453" t="s">
        <v>6099</v>
      </c>
    </row>
    <row r="2454" spans="1:31" x14ac:dyDescent="0.3">
      <c r="A2454">
        <v>-73.975610522669996</v>
      </c>
      <c r="B2454">
        <v>40.769653197270003</v>
      </c>
      <c r="C2454" t="s">
        <v>6100</v>
      </c>
      <c r="D2454" t="s">
        <v>574</v>
      </c>
      <c r="E2454" t="s">
        <v>38</v>
      </c>
      <c r="F2454">
        <v>10202018</v>
      </c>
      <c r="G2454">
        <v>3</v>
      </c>
      <c r="H2454" t="s">
        <v>48</v>
      </c>
      <c r="I2454" t="s">
        <v>53</v>
      </c>
      <c r="J2454" t="s">
        <v>176</v>
      </c>
      <c r="K2454" t="s">
        <v>1142</v>
      </c>
      <c r="M2454" t="s">
        <v>65</v>
      </c>
      <c r="N2454" t="b">
        <v>0</v>
      </c>
      <c r="P2454" t="b">
        <v>0</v>
      </c>
      <c r="Q2454" t="b">
        <v>0</v>
      </c>
      <c r="R2454" t="b">
        <v>0</v>
      </c>
      <c r="S2454" t="b">
        <v>0</v>
      </c>
      <c r="T2454" t="b">
        <v>1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b">
        <v>1</v>
      </c>
      <c r="AB2454" t="b">
        <v>0</v>
      </c>
      <c r="AC2454" t="b">
        <v>0</v>
      </c>
      <c r="AE2454" t="s">
        <v>6101</v>
      </c>
    </row>
    <row r="2455" spans="1:31" x14ac:dyDescent="0.3">
      <c r="A2455">
        <v>-73.95651516625</v>
      </c>
      <c r="B2455">
        <v>40.794664798740001</v>
      </c>
      <c r="C2455" t="s">
        <v>6102</v>
      </c>
      <c r="D2455" t="s">
        <v>394</v>
      </c>
      <c r="E2455" t="s">
        <v>33</v>
      </c>
      <c r="F2455">
        <v>10062018</v>
      </c>
      <c r="G2455">
        <v>7</v>
      </c>
      <c r="H2455" t="s">
        <v>48</v>
      </c>
      <c r="I2455" t="s">
        <v>53</v>
      </c>
      <c r="J2455" t="s">
        <v>42</v>
      </c>
      <c r="K2455" t="s">
        <v>89</v>
      </c>
      <c r="M2455" t="s">
        <v>65</v>
      </c>
      <c r="N2455" t="b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1</v>
      </c>
      <c r="AA2455" t="b">
        <v>0</v>
      </c>
      <c r="AB2455" t="b">
        <v>0</v>
      </c>
      <c r="AC2455" t="b">
        <v>1</v>
      </c>
      <c r="AD2455" t="s">
        <v>395</v>
      </c>
      <c r="AE2455" t="s">
        <v>6103</v>
      </c>
    </row>
    <row r="2456" spans="1:31" x14ac:dyDescent="0.3">
      <c r="A2456">
        <v>-73.957729718720003</v>
      </c>
      <c r="B2456">
        <v>40.799225295680003</v>
      </c>
      <c r="C2456" t="s">
        <v>6104</v>
      </c>
      <c r="D2456" t="s">
        <v>367</v>
      </c>
      <c r="E2456" t="s">
        <v>38</v>
      </c>
      <c r="F2456">
        <v>10102018</v>
      </c>
      <c r="G2456">
        <v>8</v>
      </c>
      <c r="H2456" t="s">
        <v>48</v>
      </c>
      <c r="I2456" t="s">
        <v>53</v>
      </c>
      <c r="J2456" t="s">
        <v>115</v>
      </c>
      <c r="K2456" t="s">
        <v>116</v>
      </c>
      <c r="M2456" t="s">
        <v>44</v>
      </c>
      <c r="N2456">
        <v>20</v>
      </c>
      <c r="P2456" t="b">
        <v>0</v>
      </c>
      <c r="Q2456" t="b">
        <v>0</v>
      </c>
      <c r="R2456" t="b">
        <v>1</v>
      </c>
      <c r="S2456" t="b">
        <v>1</v>
      </c>
      <c r="T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b">
        <v>1</v>
      </c>
      <c r="AB2456" t="b">
        <v>0</v>
      </c>
      <c r="AC2456" t="b">
        <v>0</v>
      </c>
      <c r="AE2456" t="s">
        <v>6105</v>
      </c>
    </row>
    <row r="2457" spans="1:31" x14ac:dyDescent="0.3">
      <c r="A2457">
        <v>-73.969844636570002</v>
      </c>
      <c r="B2457">
        <v>40.784260716859997</v>
      </c>
      <c r="C2457" t="s">
        <v>6106</v>
      </c>
      <c r="D2457" t="s">
        <v>298</v>
      </c>
      <c r="E2457" t="s">
        <v>38</v>
      </c>
      <c r="F2457">
        <v>10082018</v>
      </c>
      <c r="G2457">
        <v>1</v>
      </c>
      <c r="H2457" t="s">
        <v>48</v>
      </c>
      <c r="I2457" t="s">
        <v>42</v>
      </c>
      <c r="J2457" t="s">
        <v>53</v>
      </c>
      <c r="K2457" t="s">
        <v>54</v>
      </c>
      <c r="M2457" t="s">
        <v>44</v>
      </c>
      <c r="N2457">
        <v>4</v>
      </c>
      <c r="O2457" t="s">
        <v>748</v>
      </c>
      <c r="P2457" t="b">
        <v>0</v>
      </c>
      <c r="Q2457" t="b">
        <v>0</v>
      </c>
      <c r="R2457" t="b">
        <v>0</v>
      </c>
      <c r="S2457" t="b">
        <v>1</v>
      </c>
      <c r="T2457" t="b">
        <v>0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b">
        <v>0</v>
      </c>
      <c r="AB2457" t="b">
        <v>0</v>
      </c>
      <c r="AC2457" t="b">
        <v>0</v>
      </c>
      <c r="AE2457" t="s">
        <v>6107</v>
      </c>
    </row>
    <row r="2458" spans="1:31" x14ac:dyDescent="0.3">
      <c r="A2458">
        <v>-73.956989663900004</v>
      </c>
      <c r="B2458">
        <v>40.791191450749999</v>
      </c>
      <c r="C2458" t="s">
        <v>6108</v>
      </c>
      <c r="D2458" t="s">
        <v>523</v>
      </c>
      <c r="E2458" t="s">
        <v>33</v>
      </c>
      <c r="F2458">
        <v>10062018</v>
      </c>
      <c r="G2458">
        <v>2</v>
      </c>
      <c r="H2458" t="s">
        <v>48</v>
      </c>
      <c r="I2458" t="s">
        <v>42</v>
      </c>
      <c r="K2458" t="s">
        <v>43</v>
      </c>
      <c r="L2458" t="s">
        <v>6109</v>
      </c>
      <c r="M2458" t="s">
        <v>65</v>
      </c>
      <c r="N2458" t="b">
        <v>0</v>
      </c>
      <c r="P2458" t="b">
        <v>1</v>
      </c>
      <c r="Q2458" t="b">
        <v>0</v>
      </c>
      <c r="R2458" t="b">
        <v>0</v>
      </c>
      <c r="S2458" t="b">
        <v>0</v>
      </c>
      <c r="T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b">
        <v>0</v>
      </c>
      <c r="AB2458" t="b">
        <v>0</v>
      </c>
      <c r="AC2458" t="b">
        <v>0</v>
      </c>
      <c r="AD2458" t="s">
        <v>6110</v>
      </c>
      <c r="AE2458" t="s">
        <v>6111</v>
      </c>
    </row>
    <row r="2459" spans="1:31" x14ac:dyDescent="0.3">
      <c r="A2459">
        <v>-73.969517504180004</v>
      </c>
      <c r="B2459">
        <v>40.782074134429998</v>
      </c>
      <c r="C2459" t="s">
        <v>6112</v>
      </c>
      <c r="D2459" t="s">
        <v>78</v>
      </c>
      <c r="E2459" t="s">
        <v>33</v>
      </c>
      <c r="F2459">
        <v>10132018</v>
      </c>
      <c r="G2459">
        <v>2</v>
      </c>
      <c r="H2459" t="s">
        <v>48</v>
      </c>
      <c r="I2459" t="s">
        <v>42</v>
      </c>
      <c r="J2459" t="s">
        <v>59</v>
      </c>
      <c r="K2459" t="s">
        <v>79</v>
      </c>
      <c r="M2459" t="s">
        <v>65</v>
      </c>
      <c r="N2459" t="b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1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b">
        <v>0</v>
      </c>
      <c r="AB2459" t="b">
        <v>0</v>
      </c>
      <c r="AC2459" t="b">
        <v>0</v>
      </c>
      <c r="AE2459" t="s">
        <v>6113</v>
      </c>
    </row>
    <row r="2460" spans="1:31" x14ac:dyDescent="0.3">
      <c r="A2460">
        <v>-73.967915630799993</v>
      </c>
      <c r="B2460">
        <v>40.77452693603</v>
      </c>
      <c r="C2460" t="s">
        <v>6114</v>
      </c>
      <c r="D2460" t="s">
        <v>189</v>
      </c>
      <c r="E2460" t="s">
        <v>33</v>
      </c>
      <c r="F2460">
        <v>10102018</v>
      </c>
      <c r="G2460">
        <v>6</v>
      </c>
      <c r="H2460" t="s">
        <v>48</v>
      </c>
      <c r="I2460" t="s">
        <v>42</v>
      </c>
      <c r="K2460" t="s">
        <v>43</v>
      </c>
      <c r="M2460" t="s">
        <v>65</v>
      </c>
      <c r="N2460" t="b">
        <v>0</v>
      </c>
      <c r="P2460" t="b">
        <v>0</v>
      </c>
      <c r="Q2460" t="b">
        <v>0</v>
      </c>
      <c r="R2460" t="b">
        <v>0</v>
      </c>
      <c r="S2460" t="b">
        <v>0</v>
      </c>
      <c r="T2460" t="b">
        <v>1</v>
      </c>
      <c r="V2460" t="b">
        <v>0</v>
      </c>
      <c r="W2460" t="b">
        <v>0</v>
      </c>
      <c r="X2460" t="b">
        <v>0</v>
      </c>
      <c r="Y2460" t="b">
        <v>0</v>
      </c>
      <c r="Z2460" t="b">
        <v>0</v>
      </c>
      <c r="AA2460" t="b">
        <v>0</v>
      </c>
      <c r="AB2460" t="b">
        <v>1</v>
      </c>
      <c r="AC2460" t="b">
        <v>0</v>
      </c>
      <c r="AE2460" t="s">
        <v>6115</v>
      </c>
    </row>
    <row r="2461" spans="1:31" x14ac:dyDescent="0.3">
      <c r="A2461">
        <v>-73.952668110719998</v>
      </c>
      <c r="B2461">
        <v>40.797701200909998</v>
      </c>
      <c r="C2461" t="s">
        <v>6116</v>
      </c>
      <c r="D2461" t="s">
        <v>1366</v>
      </c>
      <c r="E2461" t="s">
        <v>33</v>
      </c>
      <c r="F2461">
        <v>10172018</v>
      </c>
      <c r="G2461">
        <v>1</v>
      </c>
      <c r="H2461" t="s">
        <v>48</v>
      </c>
      <c r="I2461" t="s">
        <v>42</v>
      </c>
      <c r="J2461" t="s">
        <v>96</v>
      </c>
      <c r="K2461" t="s">
        <v>97</v>
      </c>
      <c r="M2461" t="s">
        <v>65</v>
      </c>
      <c r="N2461" t="b">
        <v>0</v>
      </c>
      <c r="P2461" t="b">
        <v>1</v>
      </c>
      <c r="Q2461" t="b">
        <v>0</v>
      </c>
      <c r="R2461" t="b">
        <v>0</v>
      </c>
      <c r="S2461" t="b">
        <v>0</v>
      </c>
      <c r="T2461" t="b">
        <v>0</v>
      </c>
      <c r="U2461" t="s">
        <v>1367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b">
        <v>0</v>
      </c>
      <c r="AB2461" t="b">
        <v>1</v>
      </c>
      <c r="AC2461" t="b">
        <v>0</v>
      </c>
      <c r="AE2461" t="s">
        <v>6117</v>
      </c>
    </row>
    <row r="2462" spans="1:31" x14ac:dyDescent="0.3">
      <c r="A2462">
        <v>-73.960534746210001</v>
      </c>
      <c r="B2462">
        <v>40.794207544839999</v>
      </c>
      <c r="C2462" t="s">
        <v>6118</v>
      </c>
      <c r="D2462" t="s">
        <v>423</v>
      </c>
      <c r="E2462" t="s">
        <v>38</v>
      </c>
      <c r="F2462">
        <v>10102018</v>
      </c>
      <c r="G2462">
        <v>4</v>
      </c>
      <c r="H2462" t="s">
        <v>48</v>
      </c>
      <c r="I2462" t="s">
        <v>53</v>
      </c>
      <c r="J2462" t="s">
        <v>42</v>
      </c>
      <c r="K2462" t="s">
        <v>89</v>
      </c>
      <c r="M2462" t="s">
        <v>65</v>
      </c>
      <c r="N2462" t="b">
        <v>0</v>
      </c>
      <c r="O2462" t="s">
        <v>424</v>
      </c>
      <c r="P2462" t="b">
        <v>0</v>
      </c>
      <c r="Q2462" t="b">
        <v>0</v>
      </c>
      <c r="R2462" t="b">
        <v>0</v>
      </c>
      <c r="S2462" t="b">
        <v>0</v>
      </c>
      <c r="T2462" t="b">
        <v>1</v>
      </c>
      <c r="V2462" t="b">
        <v>0</v>
      </c>
      <c r="W2462" t="b">
        <v>0</v>
      </c>
      <c r="X2462" t="b">
        <v>0</v>
      </c>
      <c r="Y2462" t="b">
        <v>0</v>
      </c>
      <c r="Z2462" t="b">
        <v>0</v>
      </c>
      <c r="AA2462" t="b">
        <v>0</v>
      </c>
      <c r="AB2462" t="b">
        <v>1</v>
      </c>
      <c r="AC2462" t="b">
        <v>0</v>
      </c>
      <c r="AE2462" t="s">
        <v>6119</v>
      </c>
    </row>
    <row r="2463" spans="1:31" x14ac:dyDescent="0.3">
      <c r="A2463">
        <v>-73.97685444887</v>
      </c>
      <c r="B2463">
        <v>40.768006950100002</v>
      </c>
      <c r="C2463" t="s">
        <v>6120</v>
      </c>
      <c r="D2463" t="s">
        <v>502</v>
      </c>
      <c r="E2463" t="s">
        <v>38</v>
      </c>
      <c r="F2463">
        <v>10062018</v>
      </c>
      <c r="G2463">
        <v>7</v>
      </c>
      <c r="H2463" t="s">
        <v>48</v>
      </c>
      <c r="I2463" t="s">
        <v>53</v>
      </c>
      <c r="J2463" t="s">
        <v>42</v>
      </c>
      <c r="K2463" t="s">
        <v>89</v>
      </c>
      <c r="M2463" t="s">
        <v>65</v>
      </c>
      <c r="N2463" t="b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s">
        <v>6121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b">
        <v>0</v>
      </c>
      <c r="AB2463" t="b">
        <v>1</v>
      </c>
      <c r="AC2463" t="b">
        <v>0</v>
      </c>
      <c r="AE2463" t="s">
        <v>6122</v>
      </c>
    </row>
    <row r="2464" spans="1:31" x14ac:dyDescent="0.3">
      <c r="A2464">
        <v>-73.965334357290004</v>
      </c>
      <c r="B2464">
        <v>40.777528692460002</v>
      </c>
      <c r="C2464" t="s">
        <v>6123</v>
      </c>
      <c r="D2464" t="s">
        <v>653</v>
      </c>
      <c r="E2464" t="s">
        <v>33</v>
      </c>
      <c r="F2464">
        <v>10072018</v>
      </c>
      <c r="G2464">
        <v>1</v>
      </c>
      <c r="H2464" t="s">
        <v>48</v>
      </c>
      <c r="I2464" t="s">
        <v>42</v>
      </c>
      <c r="J2464" t="s">
        <v>53</v>
      </c>
      <c r="K2464" t="s">
        <v>54</v>
      </c>
      <c r="M2464" t="s">
        <v>44</v>
      </c>
      <c r="N2464">
        <v>4</v>
      </c>
      <c r="P2464" t="b">
        <v>0</v>
      </c>
      <c r="Q2464" t="b">
        <v>0</v>
      </c>
      <c r="R2464" t="b">
        <v>1</v>
      </c>
      <c r="S2464" t="b">
        <v>1</v>
      </c>
      <c r="T2464" t="b">
        <v>0</v>
      </c>
      <c r="V2464" t="b">
        <v>0</v>
      </c>
      <c r="W2464" t="b">
        <v>0</v>
      </c>
      <c r="X2464" t="b">
        <v>0</v>
      </c>
      <c r="Y2464" t="b">
        <v>1</v>
      </c>
      <c r="Z2464" t="b">
        <v>0</v>
      </c>
      <c r="AA2464" t="b">
        <v>0</v>
      </c>
      <c r="AB2464" t="b">
        <v>0</v>
      </c>
      <c r="AC2464" t="b">
        <v>1</v>
      </c>
      <c r="AE2464" t="s">
        <v>6124</v>
      </c>
    </row>
    <row r="2465" spans="1:31" x14ac:dyDescent="0.3">
      <c r="A2465">
        <v>-73.969131804499995</v>
      </c>
      <c r="B2465">
        <v>40.770980197470003</v>
      </c>
      <c r="C2465" t="s">
        <v>6125</v>
      </c>
      <c r="D2465" t="s">
        <v>1780</v>
      </c>
      <c r="E2465" t="s">
        <v>38</v>
      </c>
      <c r="F2465">
        <v>10142018</v>
      </c>
      <c r="G2465">
        <v>5</v>
      </c>
      <c r="H2465" t="s">
        <v>48</v>
      </c>
      <c r="I2465" t="s">
        <v>53</v>
      </c>
      <c r="K2465" t="s">
        <v>155</v>
      </c>
      <c r="M2465" t="s">
        <v>65</v>
      </c>
      <c r="N2465" t="b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1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b">
        <v>0</v>
      </c>
      <c r="AB2465" t="b">
        <v>0</v>
      </c>
      <c r="AC2465" t="b">
        <v>0</v>
      </c>
      <c r="AE2465" t="s">
        <v>6126</v>
      </c>
    </row>
    <row r="2466" spans="1:31" x14ac:dyDescent="0.3">
      <c r="A2466">
        <v>-73.968699986019999</v>
      </c>
      <c r="B2466">
        <v>40.784401473510002</v>
      </c>
      <c r="C2466" t="s">
        <v>6127</v>
      </c>
      <c r="D2466" t="s">
        <v>320</v>
      </c>
      <c r="E2466" t="s">
        <v>33</v>
      </c>
      <c r="F2466">
        <v>10142018</v>
      </c>
      <c r="G2466">
        <v>3</v>
      </c>
      <c r="H2466" t="s">
        <v>105</v>
      </c>
      <c r="I2466" t="s">
        <v>42</v>
      </c>
      <c r="J2466" t="s">
        <v>53</v>
      </c>
      <c r="K2466" t="s">
        <v>54</v>
      </c>
      <c r="M2466" t="s">
        <v>44</v>
      </c>
      <c r="N2466">
        <v>8</v>
      </c>
      <c r="P2466" t="b">
        <v>1</v>
      </c>
      <c r="Q2466" t="b">
        <v>1</v>
      </c>
      <c r="R2466" t="b">
        <v>0</v>
      </c>
      <c r="S2466" t="b">
        <v>0</v>
      </c>
      <c r="T2466" t="b">
        <v>0</v>
      </c>
      <c r="V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b">
        <v>0</v>
      </c>
      <c r="AB2466" t="b">
        <v>0</v>
      </c>
      <c r="AC2466" t="b">
        <v>0</v>
      </c>
      <c r="AE2466" t="s">
        <v>6128</v>
      </c>
    </row>
    <row r="2467" spans="1:31" x14ac:dyDescent="0.3">
      <c r="A2467">
        <v>-73.959941992629993</v>
      </c>
      <c r="B2467">
        <v>40.797277472879998</v>
      </c>
      <c r="C2467" t="s">
        <v>6129</v>
      </c>
      <c r="D2467" t="s">
        <v>680</v>
      </c>
      <c r="E2467" t="s">
        <v>38</v>
      </c>
      <c r="F2467">
        <v>10192018</v>
      </c>
      <c r="G2467">
        <v>1</v>
      </c>
      <c r="H2467" t="s">
        <v>48</v>
      </c>
      <c r="I2467" t="s">
        <v>42</v>
      </c>
      <c r="K2467" t="s">
        <v>43</v>
      </c>
      <c r="M2467" t="s">
        <v>44</v>
      </c>
      <c r="N2467">
        <v>3</v>
      </c>
      <c r="P2467" t="b">
        <v>1</v>
      </c>
      <c r="Q2467" t="b">
        <v>1</v>
      </c>
      <c r="R2467" t="b">
        <v>1</v>
      </c>
      <c r="S2467" t="b">
        <v>0</v>
      </c>
      <c r="T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b">
        <v>0</v>
      </c>
      <c r="AB2467" t="b">
        <v>1</v>
      </c>
      <c r="AC2467" t="b">
        <v>0</v>
      </c>
      <c r="AE2467" t="s">
        <v>6130</v>
      </c>
    </row>
    <row r="2468" spans="1:31" x14ac:dyDescent="0.3">
      <c r="A2468">
        <v>-73.975592325639994</v>
      </c>
      <c r="B2468">
        <v>40.767296797249998</v>
      </c>
      <c r="C2468" t="s">
        <v>6131</v>
      </c>
      <c r="D2468" t="s">
        <v>1701</v>
      </c>
      <c r="E2468" t="s">
        <v>33</v>
      </c>
      <c r="F2468">
        <v>10132018</v>
      </c>
      <c r="G2468">
        <v>2</v>
      </c>
      <c r="H2468" t="s">
        <v>48</v>
      </c>
      <c r="I2468" t="s">
        <v>176</v>
      </c>
      <c r="J2468" t="s">
        <v>42</v>
      </c>
      <c r="K2468" t="s">
        <v>1233</v>
      </c>
      <c r="M2468" t="s">
        <v>65</v>
      </c>
      <c r="N2468" t="b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1</v>
      </c>
      <c r="V2468" t="b">
        <v>0</v>
      </c>
      <c r="W2468" t="b">
        <v>0</v>
      </c>
      <c r="X2468" t="b">
        <v>0</v>
      </c>
      <c r="Y2468" t="b">
        <v>0</v>
      </c>
      <c r="Z2468" t="b">
        <v>1</v>
      </c>
      <c r="AA2468" t="b">
        <v>0</v>
      </c>
      <c r="AB2468" t="b">
        <v>0</v>
      </c>
      <c r="AC2468" t="b">
        <v>1</v>
      </c>
      <c r="AE2468" t="s">
        <v>6132</v>
      </c>
    </row>
    <row r="2469" spans="1:31" x14ac:dyDescent="0.3">
      <c r="A2469">
        <v>-73.967460378430005</v>
      </c>
      <c r="B2469">
        <v>40.774949380320002</v>
      </c>
      <c r="C2469" t="s">
        <v>6133</v>
      </c>
      <c r="D2469" t="s">
        <v>189</v>
      </c>
      <c r="E2469" t="s">
        <v>33</v>
      </c>
      <c r="F2469">
        <v>10102018</v>
      </c>
      <c r="G2469">
        <v>1</v>
      </c>
      <c r="H2469" t="s">
        <v>48</v>
      </c>
      <c r="I2469" t="s">
        <v>42</v>
      </c>
      <c r="K2469" t="s">
        <v>43</v>
      </c>
      <c r="M2469" t="s">
        <v>65</v>
      </c>
      <c r="N2469" t="b">
        <v>0</v>
      </c>
      <c r="P2469" t="b">
        <v>0</v>
      </c>
      <c r="Q2469" t="b">
        <v>0</v>
      </c>
      <c r="R2469" t="b">
        <v>0</v>
      </c>
      <c r="S2469" t="b">
        <v>0</v>
      </c>
      <c r="T2469" t="b">
        <v>1</v>
      </c>
      <c r="V2469" t="b">
        <v>0</v>
      </c>
      <c r="W2469" t="b">
        <v>0</v>
      </c>
      <c r="X2469" t="b">
        <v>0</v>
      </c>
      <c r="Y2469" t="b">
        <v>0</v>
      </c>
      <c r="Z2469" t="b">
        <v>0</v>
      </c>
      <c r="AA2469" t="b">
        <v>0</v>
      </c>
      <c r="AB2469" t="b">
        <v>1</v>
      </c>
      <c r="AC2469" t="b">
        <v>0</v>
      </c>
      <c r="AE2469" t="s">
        <v>6134</v>
      </c>
    </row>
    <row r="2470" spans="1:31" x14ac:dyDescent="0.3">
      <c r="A2470">
        <v>-73.960096363909997</v>
      </c>
      <c r="B2470">
        <v>40.793496232530003</v>
      </c>
      <c r="C2470" t="s">
        <v>6135</v>
      </c>
      <c r="D2470" t="s">
        <v>3811</v>
      </c>
      <c r="E2470" t="s">
        <v>38</v>
      </c>
      <c r="F2470">
        <v>10072018</v>
      </c>
      <c r="G2470">
        <v>1</v>
      </c>
      <c r="H2470" t="s">
        <v>48</v>
      </c>
      <c r="I2470" t="s">
        <v>176</v>
      </c>
      <c r="K2470" t="s">
        <v>177</v>
      </c>
      <c r="M2470" t="s">
        <v>65</v>
      </c>
      <c r="N2470" t="b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V2470" t="b">
        <v>0</v>
      </c>
      <c r="W2470" t="b">
        <v>0</v>
      </c>
      <c r="X2470" t="b">
        <v>0</v>
      </c>
      <c r="Y2470" t="b">
        <v>1</v>
      </c>
      <c r="Z2470" t="b">
        <v>0</v>
      </c>
      <c r="AA2470" t="b">
        <v>0</v>
      </c>
      <c r="AB2470" t="b">
        <v>0</v>
      </c>
      <c r="AC2470" t="b">
        <v>1</v>
      </c>
      <c r="AD2470" t="s">
        <v>753</v>
      </c>
      <c r="AE2470" t="s">
        <v>6136</v>
      </c>
    </row>
    <row r="2471" spans="1:31" x14ac:dyDescent="0.3">
      <c r="A2471">
        <v>-73.963887758870001</v>
      </c>
      <c r="B2471">
        <v>40.791547730429997</v>
      </c>
      <c r="C2471" t="s">
        <v>6137</v>
      </c>
      <c r="D2471" t="s">
        <v>383</v>
      </c>
      <c r="E2471" t="s">
        <v>38</v>
      </c>
      <c r="F2471">
        <v>10102018</v>
      </c>
      <c r="G2471">
        <v>2</v>
      </c>
      <c r="H2471" t="s">
        <v>48</v>
      </c>
      <c r="I2471" t="s">
        <v>42</v>
      </c>
      <c r="K2471" t="s">
        <v>43</v>
      </c>
      <c r="M2471" t="s">
        <v>65</v>
      </c>
      <c r="N2471" t="b">
        <v>0</v>
      </c>
      <c r="P2471" t="b">
        <v>0</v>
      </c>
      <c r="Q2471" t="b">
        <v>0</v>
      </c>
      <c r="R2471" t="b">
        <v>0</v>
      </c>
      <c r="S2471" t="b">
        <v>1</v>
      </c>
      <c r="T2471" t="b">
        <v>1</v>
      </c>
      <c r="U2471" t="s">
        <v>3564</v>
      </c>
      <c r="V2471" t="b">
        <v>0</v>
      </c>
      <c r="W2471" t="b">
        <v>0</v>
      </c>
      <c r="X2471" t="b">
        <v>0</v>
      </c>
      <c r="Y2471" t="b">
        <v>0</v>
      </c>
      <c r="Z2471" t="b">
        <v>0</v>
      </c>
      <c r="AA2471" t="b">
        <v>0</v>
      </c>
      <c r="AB2471" t="b">
        <v>1</v>
      </c>
      <c r="AC2471" t="b">
        <v>0</v>
      </c>
      <c r="AE2471" t="s">
        <v>6138</v>
      </c>
    </row>
    <row r="2472" spans="1:31" x14ac:dyDescent="0.3">
      <c r="A2472">
        <v>-73.964274290770007</v>
      </c>
      <c r="B2472">
        <v>40.7795319556</v>
      </c>
      <c r="C2472" t="s">
        <v>6139</v>
      </c>
      <c r="D2472" t="s">
        <v>1015</v>
      </c>
      <c r="E2472" t="s">
        <v>38</v>
      </c>
      <c r="F2472">
        <v>10102018</v>
      </c>
      <c r="G2472">
        <v>3</v>
      </c>
      <c r="H2472" t="s">
        <v>105</v>
      </c>
      <c r="I2472" t="s">
        <v>42</v>
      </c>
      <c r="J2472" t="s">
        <v>96</v>
      </c>
      <c r="K2472" t="s">
        <v>97</v>
      </c>
      <c r="M2472" t="s">
        <v>65</v>
      </c>
      <c r="N2472" t="b">
        <v>0</v>
      </c>
      <c r="P2472" t="b">
        <v>0</v>
      </c>
      <c r="Q2472" t="b">
        <v>0</v>
      </c>
      <c r="R2472" t="b">
        <v>1</v>
      </c>
      <c r="S2472" t="b">
        <v>1</v>
      </c>
      <c r="T2472" t="b">
        <v>1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b">
        <v>0</v>
      </c>
      <c r="AB2472" t="b">
        <v>1</v>
      </c>
      <c r="AC2472" t="b">
        <v>0</v>
      </c>
      <c r="AD2472" t="s">
        <v>6140</v>
      </c>
      <c r="AE2472" t="s">
        <v>6141</v>
      </c>
    </row>
    <row r="2473" spans="1:31" x14ac:dyDescent="0.3">
      <c r="A2473">
        <v>-73.959682015520002</v>
      </c>
      <c r="B2473">
        <v>40.793288680320003</v>
      </c>
      <c r="C2473" t="s">
        <v>6142</v>
      </c>
      <c r="D2473" t="s">
        <v>1170</v>
      </c>
      <c r="E2473" t="s">
        <v>33</v>
      </c>
      <c r="F2473">
        <v>10072018</v>
      </c>
      <c r="G2473">
        <v>3</v>
      </c>
      <c r="H2473" t="s">
        <v>48</v>
      </c>
      <c r="I2473" t="s">
        <v>42</v>
      </c>
      <c r="J2473" t="s">
        <v>53</v>
      </c>
      <c r="K2473" t="s">
        <v>54</v>
      </c>
      <c r="M2473" t="s">
        <v>65</v>
      </c>
      <c r="N2473" t="b">
        <v>0</v>
      </c>
      <c r="P2473" t="b">
        <v>0</v>
      </c>
      <c r="Q2473" t="b">
        <v>0</v>
      </c>
      <c r="R2473" t="b">
        <v>0</v>
      </c>
      <c r="S2473" t="b">
        <v>1</v>
      </c>
      <c r="T2473" t="b">
        <v>0</v>
      </c>
      <c r="V2473" t="b">
        <v>0</v>
      </c>
      <c r="W2473" t="b">
        <v>0</v>
      </c>
      <c r="X2473" t="b">
        <v>0</v>
      </c>
      <c r="Y2473" t="b">
        <v>0</v>
      </c>
      <c r="Z2473" t="b">
        <v>1</v>
      </c>
      <c r="AA2473" t="b">
        <v>0</v>
      </c>
      <c r="AB2473" t="b">
        <v>0</v>
      </c>
      <c r="AC2473" t="b">
        <v>1</v>
      </c>
      <c r="AE2473" t="s">
        <v>6143</v>
      </c>
    </row>
    <row r="2474" spans="1:31" x14ac:dyDescent="0.3">
      <c r="A2474">
        <v>-73.961334729590007</v>
      </c>
      <c r="B2474">
        <v>40.793890096520002</v>
      </c>
      <c r="C2474" t="s">
        <v>6144</v>
      </c>
      <c r="D2474" t="s">
        <v>2399</v>
      </c>
      <c r="E2474" t="s">
        <v>38</v>
      </c>
      <c r="F2474">
        <v>10132018</v>
      </c>
      <c r="G2474">
        <v>2</v>
      </c>
      <c r="H2474" t="s">
        <v>48</v>
      </c>
      <c r="I2474" t="s">
        <v>42</v>
      </c>
      <c r="J2474" t="s">
        <v>53</v>
      </c>
      <c r="K2474" t="s">
        <v>54</v>
      </c>
      <c r="M2474" t="s">
        <v>65</v>
      </c>
      <c r="N2474" t="b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1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b">
        <v>0</v>
      </c>
      <c r="AB2474" t="b">
        <v>1</v>
      </c>
      <c r="AC2474" t="b">
        <v>0</v>
      </c>
      <c r="AE2474" t="s">
        <v>6145</v>
      </c>
    </row>
    <row r="2475" spans="1:31" x14ac:dyDescent="0.3">
      <c r="A2475">
        <v>-73.972144887979994</v>
      </c>
      <c r="B2475">
        <v>40.7762112841</v>
      </c>
      <c r="C2475" t="s">
        <v>6146</v>
      </c>
      <c r="D2475" t="s">
        <v>604</v>
      </c>
      <c r="E2475" t="s">
        <v>38</v>
      </c>
      <c r="F2475">
        <v>10102018</v>
      </c>
      <c r="G2475">
        <v>2</v>
      </c>
      <c r="H2475" t="s">
        <v>48</v>
      </c>
      <c r="I2475" t="s">
        <v>42</v>
      </c>
      <c r="J2475" t="s">
        <v>96</v>
      </c>
      <c r="K2475" t="s">
        <v>97</v>
      </c>
      <c r="M2475" t="s">
        <v>44</v>
      </c>
      <c r="N2475">
        <v>7</v>
      </c>
      <c r="P2475" t="b">
        <v>0</v>
      </c>
      <c r="Q2475" t="b">
        <v>0</v>
      </c>
      <c r="R2475" t="b">
        <v>1</v>
      </c>
      <c r="S2475" t="b">
        <v>0</v>
      </c>
      <c r="T2475" t="b">
        <v>0</v>
      </c>
      <c r="U2475" t="s">
        <v>511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b">
        <v>0</v>
      </c>
      <c r="AB2475" t="b">
        <v>1</v>
      </c>
      <c r="AC2475" t="b">
        <v>0</v>
      </c>
      <c r="AE2475" t="s">
        <v>6147</v>
      </c>
    </row>
    <row r="2476" spans="1:31" x14ac:dyDescent="0.3">
      <c r="A2476">
        <v>-73.97364890419</v>
      </c>
      <c r="B2476">
        <v>40.771214338539998</v>
      </c>
      <c r="C2476" t="s">
        <v>6148</v>
      </c>
      <c r="D2476" t="s">
        <v>139</v>
      </c>
      <c r="E2476" t="s">
        <v>38</v>
      </c>
      <c r="F2476">
        <v>10062018</v>
      </c>
      <c r="G2476">
        <v>4</v>
      </c>
      <c r="H2476" t="s">
        <v>48</v>
      </c>
      <c r="I2476" t="s">
        <v>42</v>
      </c>
      <c r="K2476" t="s">
        <v>43</v>
      </c>
      <c r="M2476" t="s">
        <v>65</v>
      </c>
      <c r="N2476" t="b">
        <v>0</v>
      </c>
      <c r="O2476" t="s">
        <v>140</v>
      </c>
      <c r="P2476" t="b">
        <v>0</v>
      </c>
      <c r="Q2476" t="b">
        <v>0</v>
      </c>
      <c r="R2476" t="b">
        <v>0</v>
      </c>
      <c r="S2476" t="b">
        <v>1</v>
      </c>
      <c r="T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b">
        <v>0</v>
      </c>
      <c r="AB2476" t="b">
        <v>0</v>
      </c>
      <c r="AC2476" t="b">
        <v>0</v>
      </c>
      <c r="AE2476" t="s">
        <v>6149</v>
      </c>
    </row>
    <row r="2477" spans="1:31" x14ac:dyDescent="0.3">
      <c r="A2477">
        <v>-73.971084336209998</v>
      </c>
      <c r="B2477">
        <v>40.76797396013</v>
      </c>
      <c r="C2477" t="s">
        <v>6150</v>
      </c>
      <c r="D2477" t="s">
        <v>704</v>
      </c>
      <c r="E2477" t="s">
        <v>38</v>
      </c>
      <c r="F2477">
        <v>10102018</v>
      </c>
      <c r="G2477">
        <v>3</v>
      </c>
      <c r="H2477" t="s">
        <v>48</v>
      </c>
      <c r="I2477" t="s">
        <v>42</v>
      </c>
      <c r="K2477" t="s">
        <v>43</v>
      </c>
      <c r="M2477" t="s">
        <v>44</v>
      </c>
      <c r="N2477">
        <v>3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V2477" t="b">
        <v>0</v>
      </c>
      <c r="W2477" t="b">
        <v>0</v>
      </c>
      <c r="X2477" t="b">
        <v>0</v>
      </c>
      <c r="Y2477" t="b">
        <v>0</v>
      </c>
      <c r="Z2477" t="b">
        <v>0</v>
      </c>
      <c r="AA2477" t="b">
        <v>0</v>
      </c>
      <c r="AB2477" t="b">
        <v>1</v>
      </c>
      <c r="AC2477" t="b">
        <v>0</v>
      </c>
      <c r="AE2477" t="s">
        <v>6151</v>
      </c>
    </row>
    <row r="2478" spans="1:31" x14ac:dyDescent="0.3">
      <c r="A2478">
        <v>-73.966329714460002</v>
      </c>
      <c r="B2478">
        <v>40.783793202369999</v>
      </c>
      <c r="C2478" t="s">
        <v>6152</v>
      </c>
      <c r="D2478" t="s">
        <v>736</v>
      </c>
      <c r="E2478" t="s">
        <v>33</v>
      </c>
      <c r="F2478">
        <v>10122018</v>
      </c>
      <c r="G2478">
        <v>3</v>
      </c>
      <c r="H2478" t="s">
        <v>48</v>
      </c>
      <c r="I2478" t="s">
        <v>42</v>
      </c>
      <c r="J2478" t="s">
        <v>737</v>
      </c>
      <c r="K2478" t="s">
        <v>738</v>
      </c>
      <c r="M2478" t="s">
        <v>65</v>
      </c>
      <c r="N2478" t="b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1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 t="b">
        <v>0</v>
      </c>
      <c r="AB2478" t="b">
        <v>1</v>
      </c>
      <c r="AC2478" t="b">
        <v>0</v>
      </c>
      <c r="AE2478" t="s">
        <v>6153</v>
      </c>
    </row>
    <row r="2479" spans="1:31" x14ac:dyDescent="0.3">
      <c r="A2479">
        <v>-73.967493107029995</v>
      </c>
      <c r="B2479">
        <v>40.778369369099998</v>
      </c>
      <c r="C2479" t="s">
        <v>6154</v>
      </c>
      <c r="D2479" t="s">
        <v>111</v>
      </c>
      <c r="E2479" t="s">
        <v>38</v>
      </c>
      <c r="F2479">
        <v>10072018</v>
      </c>
      <c r="G2479">
        <v>4</v>
      </c>
      <c r="H2479" t="s">
        <v>48</v>
      </c>
      <c r="I2479" t="s">
        <v>53</v>
      </c>
      <c r="J2479" t="s">
        <v>59</v>
      </c>
      <c r="K2479" t="s">
        <v>60</v>
      </c>
      <c r="M2479" t="s">
        <v>44</v>
      </c>
      <c r="N2479">
        <v>4</v>
      </c>
      <c r="P2479" t="b">
        <v>0</v>
      </c>
      <c r="Q2479" t="b">
        <v>0</v>
      </c>
      <c r="R2479" t="b">
        <v>0</v>
      </c>
      <c r="S2479" t="b">
        <v>1</v>
      </c>
      <c r="T2479" t="b">
        <v>0</v>
      </c>
      <c r="U2479" t="s">
        <v>1288</v>
      </c>
      <c r="V2479" t="b">
        <v>1</v>
      </c>
      <c r="W2479" t="b">
        <v>0</v>
      </c>
      <c r="X2479" t="b">
        <v>0</v>
      </c>
      <c r="Y2479" t="b">
        <v>0</v>
      </c>
      <c r="Z2479" t="b">
        <v>0</v>
      </c>
      <c r="AA2479" t="b">
        <v>0</v>
      </c>
      <c r="AB2479" t="b">
        <v>1</v>
      </c>
      <c r="AC2479" t="b">
        <v>0</v>
      </c>
      <c r="AE2479" t="s">
        <v>6155</v>
      </c>
    </row>
    <row r="2480" spans="1:31" x14ac:dyDescent="0.3">
      <c r="A2480">
        <v>-73.965795843359999</v>
      </c>
      <c r="B2480">
        <v>40.776349687509999</v>
      </c>
      <c r="C2480" t="s">
        <v>6156</v>
      </c>
      <c r="D2480" t="s">
        <v>663</v>
      </c>
      <c r="E2480" t="s">
        <v>38</v>
      </c>
      <c r="F2480">
        <v>10132018</v>
      </c>
      <c r="G2480">
        <v>1</v>
      </c>
      <c r="H2480" t="s">
        <v>48</v>
      </c>
      <c r="I2480" t="s">
        <v>42</v>
      </c>
      <c r="J2480" t="s">
        <v>59</v>
      </c>
      <c r="K2480" t="s">
        <v>79</v>
      </c>
      <c r="M2480" t="s">
        <v>44</v>
      </c>
      <c r="N2480">
        <v>50</v>
      </c>
      <c r="P2480" t="b">
        <v>0</v>
      </c>
      <c r="Q2480" t="b">
        <v>0</v>
      </c>
      <c r="R2480" t="b">
        <v>1</v>
      </c>
      <c r="S2480" t="b">
        <v>0</v>
      </c>
      <c r="T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b">
        <v>0</v>
      </c>
      <c r="AB2480" t="b">
        <v>0</v>
      </c>
      <c r="AC2480" t="b">
        <v>0</v>
      </c>
      <c r="AE2480" t="s">
        <v>6157</v>
      </c>
    </row>
    <row r="2481" spans="1:31" x14ac:dyDescent="0.3">
      <c r="A2481">
        <v>-73.954678096340004</v>
      </c>
      <c r="B2481">
        <v>40.790321652209997</v>
      </c>
      <c r="C2481" t="s">
        <v>6158</v>
      </c>
      <c r="D2481" t="s">
        <v>1025</v>
      </c>
      <c r="E2481" t="s">
        <v>38</v>
      </c>
      <c r="F2481">
        <v>10122018</v>
      </c>
      <c r="G2481">
        <v>3</v>
      </c>
      <c r="H2481" t="s">
        <v>48</v>
      </c>
      <c r="I2481" t="s">
        <v>42</v>
      </c>
      <c r="J2481" t="s">
        <v>96</v>
      </c>
      <c r="K2481" t="s">
        <v>97</v>
      </c>
      <c r="M2481" t="s">
        <v>65</v>
      </c>
      <c r="N2481" t="b">
        <v>0</v>
      </c>
      <c r="P2481" t="b">
        <v>0</v>
      </c>
      <c r="Q2481" t="b">
        <v>0</v>
      </c>
      <c r="R2481" t="b">
        <v>0</v>
      </c>
      <c r="S2481" t="b">
        <v>0</v>
      </c>
      <c r="T2481" t="b">
        <v>0</v>
      </c>
      <c r="U2481" t="s">
        <v>2552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b">
        <v>0</v>
      </c>
      <c r="AB2481" t="b">
        <v>1</v>
      </c>
      <c r="AC2481" t="b">
        <v>0</v>
      </c>
      <c r="AE2481" t="s">
        <v>6159</v>
      </c>
    </row>
    <row r="2482" spans="1:31" x14ac:dyDescent="0.3">
      <c r="A2482">
        <v>-73.971906847859998</v>
      </c>
      <c r="B2482">
        <v>40.778906231260002</v>
      </c>
      <c r="C2482" t="s">
        <v>6160</v>
      </c>
      <c r="D2482" t="s">
        <v>1138</v>
      </c>
      <c r="E2482" t="s">
        <v>38</v>
      </c>
      <c r="F2482">
        <v>10142018</v>
      </c>
      <c r="G2482">
        <v>2</v>
      </c>
      <c r="H2482" t="s">
        <v>48</v>
      </c>
      <c r="I2482" t="s">
        <v>42</v>
      </c>
      <c r="J2482" t="s">
        <v>53</v>
      </c>
      <c r="K2482" t="s">
        <v>54</v>
      </c>
      <c r="M2482" t="s">
        <v>44</v>
      </c>
      <c r="N2482">
        <v>10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s">
        <v>6161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b">
        <v>0</v>
      </c>
      <c r="AB2482" t="b">
        <v>1</v>
      </c>
      <c r="AC2482" t="b">
        <v>0</v>
      </c>
      <c r="AE2482" t="s">
        <v>6162</v>
      </c>
    </row>
    <row r="2483" spans="1:31" x14ac:dyDescent="0.3">
      <c r="A2483">
        <v>-73.980592771090002</v>
      </c>
      <c r="B2483">
        <v>40.767998911660001</v>
      </c>
      <c r="C2483" t="s">
        <v>6163</v>
      </c>
      <c r="D2483" t="s">
        <v>851</v>
      </c>
      <c r="E2483" t="s">
        <v>33</v>
      </c>
      <c r="F2483">
        <v>10192018</v>
      </c>
      <c r="G2483">
        <v>7</v>
      </c>
      <c r="H2483" t="s">
        <v>48</v>
      </c>
      <c r="I2483" t="s">
        <v>42</v>
      </c>
      <c r="J2483" t="s">
        <v>59</v>
      </c>
      <c r="K2483" t="s">
        <v>79</v>
      </c>
      <c r="M2483" t="s">
        <v>65</v>
      </c>
      <c r="N2483" t="b">
        <v>0</v>
      </c>
      <c r="P2483" t="b">
        <v>0</v>
      </c>
      <c r="Q2483" t="b">
        <v>0</v>
      </c>
      <c r="R2483" t="b">
        <v>0</v>
      </c>
      <c r="S2483" t="b">
        <v>1</v>
      </c>
      <c r="T2483" t="b">
        <v>0</v>
      </c>
      <c r="V2483" t="b">
        <v>0</v>
      </c>
      <c r="W2483" t="b">
        <v>0</v>
      </c>
      <c r="X2483" t="b">
        <v>0</v>
      </c>
      <c r="Y2483" t="b">
        <v>0</v>
      </c>
      <c r="Z2483" t="b">
        <v>0</v>
      </c>
      <c r="AA2483" t="b">
        <v>0</v>
      </c>
      <c r="AB2483" t="b">
        <v>1</v>
      </c>
      <c r="AC2483" t="b">
        <v>0</v>
      </c>
      <c r="AE2483" t="s">
        <v>6164</v>
      </c>
    </row>
    <row r="2484" spans="1:31" x14ac:dyDescent="0.3">
      <c r="A2484">
        <v>-73.959608336650007</v>
      </c>
      <c r="B2484">
        <v>40.794952672960001</v>
      </c>
      <c r="C2484" t="s">
        <v>6165</v>
      </c>
      <c r="D2484" t="s">
        <v>1262</v>
      </c>
      <c r="E2484" t="s">
        <v>33</v>
      </c>
      <c r="F2484">
        <v>10132018</v>
      </c>
      <c r="G2484">
        <v>5</v>
      </c>
      <c r="H2484" t="s">
        <v>48</v>
      </c>
      <c r="I2484" t="s">
        <v>53</v>
      </c>
      <c r="K2484" t="s">
        <v>155</v>
      </c>
      <c r="L2484" t="s">
        <v>6166</v>
      </c>
      <c r="M2484" t="s">
        <v>65</v>
      </c>
      <c r="N2484" t="b">
        <v>0</v>
      </c>
      <c r="O2484" t="s">
        <v>6167</v>
      </c>
      <c r="P2484" t="b">
        <v>1</v>
      </c>
      <c r="Q2484" t="b">
        <v>0</v>
      </c>
      <c r="R2484" t="b">
        <v>0</v>
      </c>
      <c r="S2484" t="b">
        <v>1</v>
      </c>
      <c r="T2484" t="b">
        <v>1</v>
      </c>
      <c r="V2484" t="b">
        <v>0</v>
      </c>
      <c r="W2484" t="b">
        <v>0</v>
      </c>
      <c r="X2484" t="b">
        <v>0</v>
      </c>
      <c r="Y2484" t="b">
        <v>0</v>
      </c>
      <c r="Z2484" t="b">
        <v>1</v>
      </c>
      <c r="AA2484" t="b">
        <v>0</v>
      </c>
      <c r="AB2484" t="b">
        <v>1</v>
      </c>
      <c r="AC2484" t="b">
        <v>1</v>
      </c>
      <c r="AE2484" t="s">
        <v>6168</v>
      </c>
    </row>
    <row r="2485" spans="1:31" x14ac:dyDescent="0.3">
      <c r="A2485">
        <v>-73.961978645010007</v>
      </c>
      <c r="B2485">
        <v>40.791987627449998</v>
      </c>
      <c r="C2485" t="s">
        <v>6169</v>
      </c>
      <c r="D2485" t="s">
        <v>607</v>
      </c>
      <c r="E2485" t="s">
        <v>33</v>
      </c>
      <c r="F2485">
        <v>10132018</v>
      </c>
      <c r="G2485">
        <v>9</v>
      </c>
      <c r="H2485" t="s">
        <v>105</v>
      </c>
      <c r="I2485" t="s">
        <v>42</v>
      </c>
      <c r="K2485" t="s">
        <v>43</v>
      </c>
      <c r="M2485" t="s">
        <v>65</v>
      </c>
      <c r="N2485" t="b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1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b">
        <v>0</v>
      </c>
      <c r="AB2485" t="b">
        <v>0</v>
      </c>
      <c r="AC2485" t="b">
        <v>0</v>
      </c>
      <c r="AE2485" t="s">
        <v>6170</v>
      </c>
    </row>
    <row r="2486" spans="1:31" x14ac:dyDescent="0.3">
      <c r="A2486">
        <v>-73.958495062089995</v>
      </c>
      <c r="B2486">
        <v>40.790277071059997</v>
      </c>
      <c r="C2486" t="s">
        <v>6171</v>
      </c>
      <c r="D2486" t="s">
        <v>124</v>
      </c>
      <c r="E2486" t="s">
        <v>33</v>
      </c>
      <c r="F2486">
        <v>10082018</v>
      </c>
      <c r="G2486">
        <v>3</v>
      </c>
      <c r="H2486" t="s">
        <v>48</v>
      </c>
      <c r="I2486" t="s">
        <v>42</v>
      </c>
      <c r="J2486" t="s">
        <v>96</v>
      </c>
      <c r="K2486" t="s">
        <v>97</v>
      </c>
      <c r="M2486" t="s">
        <v>65</v>
      </c>
      <c r="N2486" t="b">
        <v>0</v>
      </c>
      <c r="P2486" t="b">
        <v>1</v>
      </c>
      <c r="Q2486" t="b">
        <v>1</v>
      </c>
      <c r="R2486" t="b">
        <v>1</v>
      </c>
      <c r="S2486" t="b">
        <v>1</v>
      </c>
      <c r="T2486" t="b">
        <v>1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b">
        <v>0</v>
      </c>
      <c r="AB2486" t="b">
        <v>1</v>
      </c>
      <c r="AC2486" t="b">
        <v>0</v>
      </c>
      <c r="AE2486" t="s">
        <v>6172</v>
      </c>
    </row>
    <row r="2487" spans="1:31" x14ac:dyDescent="0.3">
      <c r="A2487">
        <v>-73.976631709420005</v>
      </c>
      <c r="B2487">
        <v>40.773423047199998</v>
      </c>
      <c r="C2487" t="s">
        <v>6173</v>
      </c>
      <c r="D2487" t="s">
        <v>235</v>
      </c>
      <c r="E2487" t="s">
        <v>38</v>
      </c>
      <c r="F2487">
        <v>10072018</v>
      </c>
      <c r="G2487">
        <v>5</v>
      </c>
      <c r="H2487" t="s">
        <v>48</v>
      </c>
      <c r="I2487" t="s">
        <v>42</v>
      </c>
      <c r="K2487" t="s">
        <v>43</v>
      </c>
      <c r="M2487" t="s">
        <v>65</v>
      </c>
      <c r="N2487" t="b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1</v>
      </c>
      <c r="V2487" t="b">
        <v>0</v>
      </c>
      <c r="W2487" t="b">
        <v>0</v>
      </c>
      <c r="X2487" t="b">
        <v>0</v>
      </c>
      <c r="Y2487" t="b">
        <v>0</v>
      </c>
      <c r="Z2487" t="b">
        <v>1</v>
      </c>
      <c r="AA2487" t="b">
        <v>0</v>
      </c>
      <c r="AB2487" t="b">
        <v>1</v>
      </c>
      <c r="AC2487" t="b">
        <v>0</v>
      </c>
      <c r="AE2487" t="s">
        <v>6174</v>
      </c>
    </row>
    <row r="2488" spans="1:31" x14ac:dyDescent="0.3">
      <c r="A2488">
        <v>-73.959522299919996</v>
      </c>
      <c r="B2488">
        <v>40.783320257779998</v>
      </c>
      <c r="C2488" t="s">
        <v>6175</v>
      </c>
      <c r="D2488" t="s">
        <v>2573</v>
      </c>
      <c r="E2488" t="s">
        <v>38</v>
      </c>
      <c r="F2488">
        <v>10122018</v>
      </c>
      <c r="G2488">
        <v>2</v>
      </c>
      <c r="H2488" t="s">
        <v>48</v>
      </c>
      <c r="I2488" t="s">
        <v>53</v>
      </c>
      <c r="J2488" t="s">
        <v>42</v>
      </c>
      <c r="K2488" t="s">
        <v>89</v>
      </c>
      <c r="M2488" t="s">
        <v>44</v>
      </c>
      <c r="N2488">
        <v>31</v>
      </c>
      <c r="O2488" t="s">
        <v>2101</v>
      </c>
      <c r="P2488" t="b">
        <v>1</v>
      </c>
      <c r="Q2488" t="b">
        <v>1</v>
      </c>
      <c r="R2488" t="b">
        <v>0</v>
      </c>
      <c r="S2488" t="b">
        <v>0</v>
      </c>
      <c r="T2488" t="b">
        <v>0</v>
      </c>
      <c r="V2488" t="b">
        <v>0</v>
      </c>
      <c r="W2488" t="b">
        <v>0</v>
      </c>
      <c r="X2488" t="b">
        <v>0</v>
      </c>
      <c r="Y2488" t="b">
        <v>1</v>
      </c>
      <c r="Z2488" t="b">
        <v>1</v>
      </c>
      <c r="AA2488" t="b">
        <v>0</v>
      </c>
      <c r="AB2488" t="b">
        <v>1</v>
      </c>
      <c r="AC2488" t="b">
        <v>0</v>
      </c>
      <c r="AE2488" t="s">
        <v>6176</v>
      </c>
    </row>
    <row r="2489" spans="1:31" x14ac:dyDescent="0.3">
      <c r="A2489">
        <v>-73.972692084779993</v>
      </c>
      <c r="B2489">
        <v>40.779411746389997</v>
      </c>
      <c r="C2489" t="s">
        <v>6177</v>
      </c>
      <c r="D2489" t="s">
        <v>1103</v>
      </c>
      <c r="E2489" t="s">
        <v>33</v>
      </c>
      <c r="F2489">
        <v>10192018</v>
      </c>
      <c r="G2489">
        <v>2</v>
      </c>
      <c r="H2489" t="s">
        <v>48</v>
      </c>
      <c r="I2489" t="s">
        <v>53</v>
      </c>
      <c r="J2489" t="s">
        <v>42</v>
      </c>
      <c r="K2489" t="s">
        <v>89</v>
      </c>
      <c r="M2489" t="s">
        <v>65</v>
      </c>
      <c r="N2489" t="b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1</v>
      </c>
      <c r="V2489" t="b">
        <v>0</v>
      </c>
      <c r="W2489" t="b">
        <v>0</v>
      </c>
      <c r="X2489" t="b">
        <v>0</v>
      </c>
      <c r="Y2489" t="b">
        <v>0</v>
      </c>
      <c r="Z2489" t="b">
        <v>1</v>
      </c>
      <c r="AA2489" t="b">
        <v>0</v>
      </c>
      <c r="AB2489" t="b">
        <v>0</v>
      </c>
      <c r="AC2489" t="b">
        <v>1</v>
      </c>
      <c r="AD2489" t="s">
        <v>6178</v>
      </c>
      <c r="AE2489" t="s">
        <v>6179</v>
      </c>
    </row>
    <row r="2490" spans="1:31" x14ac:dyDescent="0.3">
      <c r="A2490">
        <v>-73.966316849029994</v>
      </c>
      <c r="B2490">
        <v>40.782508372140001</v>
      </c>
      <c r="C2490" t="s">
        <v>6180</v>
      </c>
      <c r="D2490" t="s">
        <v>459</v>
      </c>
      <c r="E2490" t="s">
        <v>38</v>
      </c>
      <c r="F2490">
        <v>10082018</v>
      </c>
      <c r="G2490">
        <v>1</v>
      </c>
      <c r="H2490" t="s">
        <v>48</v>
      </c>
      <c r="I2490" t="s">
        <v>42</v>
      </c>
      <c r="J2490" t="s">
        <v>53</v>
      </c>
      <c r="K2490" t="s">
        <v>54</v>
      </c>
      <c r="M2490" t="s">
        <v>65</v>
      </c>
      <c r="N2490" t="b">
        <v>0</v>
      </c>
      <c r="P2490" t="b">
        <v>0</v>
      </c>
      <c r="Q2490" t="b">
        <v>0</v>
      </c>
      <c r="R2490" t="b">
        <v>0</v>
      </c>
      <c r="S2490" t="b">
        <v>1</v>
      </c>
      <c r="T2490" t="b">
        <v>1</v>
      </c>
      <c r="V2490" t="b">
        <v>0</v>
      </c>
      <c r="W2490" t="b">
        <v>0</v>
      </c>
      <c r="X2490" t="b">
        <v>0</v>
      </c>
      <c r="Y2490" t="b">
        <v>1</v>
      </c>
      <c r="Z2490" t="b">
        <v>1</v>
      </c>
      <c r="AA2490" t="b">
        <v>0</v>
      </c>
      <c r="AB2490" t="b">
        <v>1</v>
      </c>
      <c r="AC2490" t="b">
        <v>0</v>
      </c>
      <c r="AE2490" t="s">
        <v>6181</v>
      </c>
    </row>
    <row r="2491" spans="1:31" x14ac:dyDescent="0.3">
      <c r="A2491">
        <v>-73.969387655399998</v>
      </c>
      <c r="B2491">
        <v>40.770723274840002</v>
      </c>
      <c r="C2491" t="s">
        <v>6182</v>
      </c>
      <c r="D2491" t="s">
        <v>1326</v>
      </c>
      <c r="E2491" t="s">
        <v>38</v>
      </c>
      <c r="F2491">
        <v>10062018</v>
      </c>
      <c r="G2491">
        <v>2</v>
      </c>
      <c r="H2491" t="s">
        <v>48</v>
      </c>
      <c r="I2491" t="s">
        <v>42</v>
      </c>
      <c r="J2491" t="s">
        <v>59</v>
      </c>
      <c r="K2491" t="s">
        <v>79</v>
      </c>
      <c r="M2491" t="s">
        <v>65</v>
      </c>
      <c r="N2491" t="b">
        <v>0</v>
      </c>
      <c r="P2491" t="b">
        <v>1</v>
      </c>
      <c r="Q2491" t="b">
        <v>1</v>
      </c>
      <c r="R2491" t="b">
        <v>0</v>
      </c>
      <c r="S2491" t="b">
        <v>0</v>
      </c>
      <c r="T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1</v>
      </c>
      <c r="AA2491" t="b">
        <v>0</v>
      </c>
      <c r="AB2491" t="b">
        <v>1</v>
      </c>
      <c r="AC2491" t="b">
        <v>0</v>
      </c>
      <c r="AE2491" t="s">
        <v>6183</v>
      </c>
    </row>
    <row r="2492" spans="1:31" x14ac:dyDescent="0.3">
      <c r="A2492">
        <v>-73.980690525970005</v>
      </c>
      <c r="B2492">
        <v>40.76811522109</v>
      </c>
      <c r="C2492" t="s">
        <v>6184</v>
      </c>
      <c r="D2492" t="s">
        <v>1775</v>
      </c>
      <c r="E2492" t="s">
        <v>38</v>
      </c>
      <c r="F2492">
        <v>10072018</v>
      </c>
      <c r="G2492">
        <v>3</v>
      </c>
      <c r="H2492" t="s">
        <v>48</v>
      </c>
      <c r="I2492" t="s">
        <v>42</v>
      </c>
      <c r="J2492" t="s">
        <v>53</v>
      </c>
      <c r="K2492" t="s">
        <v>54</v>
      </c>
      <c r="M2492" t="s">
        <v>65</v>
      </c>
      <c r="N2492" t="b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s">
        <v>6185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b">
        <v>0</v>
      </c>
      <c r="AB2492" t="b">
        <v>1</v>
      </c>
      <c r="AC2492" t="b">
        <v>0</v>
      </c>
      <c r="AE2492" t="s">
        <v>6186</v>
      </c>
    </row>
    <row r="2493" spans="1:31" x14ac:dyDescent="0.3">
      <c r="A2493">
        <v>-73.980161995610004</v>
      </c>
      <c r="B2493">
        <v>40.767857669750001</v>
      </c>
      <c r="C2493" t="s">
        <v>6187</v>
      </c>
      <c r="D2493" t="s">
        <v>851</v>
      </c>
      <c r="E2493" t="s">
        <v>38</v>
      </c>
      <c r="F2493">
        <v>10122018</v>
      </c>
      <c r="G2493">
        <v>9</v>
      </c>
      <c r="H2493" t="s">
        <v>48</v>
      </c>
      <c r="I2493" t="s">
        <v>53</v>
      </c>
      <c r="K2493" t="s">
        <v>155</v>
      </c>
      <c r="M2493" t="s">
        <v>65</v>
      </c>
      <c r="N2493" t="b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1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b">
        <v>0</v>
      </c>
      <c r="AB2493" t="b">
        <v>1</v>
      </c>
      <c r="AC2493" t="b">
        <v>0</v>
      </c>
      <c r="AE2493" t="s">
        <v>6188</v>
      </c>
    </row>
    <row r="2494" spans="1:31" x14ac:dyDescent="0.3">
      <c r="A2494">
        <v>-73.954767265559994</v>
      </c>
      <c r="B2494">
        <v>40.797324364449999</v>
      </c>
      <c r="C2494" t="s">
        <v>6189</v>
      </c>
      <c r="D2494" t="s">
        <v>627</v>
      </c>
      <c r="E2494" t="s">
        <v>33</v>
      </c>
      <c r="F2494">
        <v>10172018</v>
      </c>
      <c r="G2494">
        <v>3</v>
      </c>
      <c r="H2494" t="s">
        <v>48</v>
      </c>
      <c r="I2494" t="s">
        <v>53</v>
      </c>
      <c r="J2494" t="s">
        <v>42</v>
      </c>
      <c r="K2494" t="s">
        <v>89</v>
      </c>
      <c r="M2494" t="s">
        <v>65</v>
      </c>
      <c r="N2494" t="b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1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 t="b">
        <v>0</v>
      </c>
      <c r="AB2494" t="b">
        <v>1</v>
      </c>
      <c r="AC2494" t="b">
        <v>0</v>
      </c>
      <c r="AE2494" t="s">
        <v>6190</v>
      </c>
    </row>
    <row r="2495" spans="1:31" x14ac:dyDescent="0.3">
      <c r="A2495">
        <v>-73.971396842459995</v>
      </c>
      <c r="B2495">
        <v>40.774039018849997</v>
      </c>
      <c r="C2495" t="s">
        <v>6191</v>
      </c>
      <c r="D2495" t="s">
        <v>1112</v>
      </c>
      <c r="E2495" t="s">
        <v>33</v>
      </c>
      <c r="F2495">
        <v>10122018</v>
      </c>
      <c r="G2495">
        <v>3</v>
      </c>
      <c r="H2495" t="s">
        <v>48</v>
      </c>
      <c r="I2495" t="s">
        <v>42</v>
      </c>
      <c r="J2495" t="s">
        <v>59</v>
      </c>
      <c r="K2495" t="s">
        <v>79</v>
      </c>
      <c r="M2495" t="s">
        <v>65</v>
      </c>
      <c r="N2495" t="b">
        <v>0</v>
      </c>
      <c r="P2495" t="b">
        <v>0</v>
      </c>
      <c r="Q2495" t="b">
        <v>0</v>
      </c>
      <c r="R2495" t="b">
        <v>0</v>
      </c>
      <c r="S2495" t="b">
        <v>0</v>
      </c>
      <c r="T2495" t="b">
        <v>1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b">
        <v>0</v>
      </c>
      <c r="AB2495" t="b">
        <v>0</v>
      </c>
      <c r="AC2495" t="b">
        <v>1</v>
      </c>
      <c r="AE2495" t="s">
        <v>6192</v>
      </c>
    </row>
    <row r="2496" spans="1:31" x14ac:dyDescent="0.3">
      <c r="A2496">
        <v>-73.962125364399995</v>
      </c>
      <c r="B2496">
        <v>40.791208208690001</v>
      </c>
      <c r="C2496" t="s">
        <v>6193</v>
      </c>
      <c r="D2496" t="s">
        <v>3392</v>
      </c>
      <c r="E2496" t="s">
        <v>38</v>
      </c>
      <c r="F2496">
        <v>10172018</v>
      </c>
      <c r="G2496">
        <v>1</v>
      </c>
      <c r="H2496" t="s">
        <v>48</v>
      </c>
      <c r="I2496" t="s">
        <v>42</v>
      </c>
      <c r="J2496" t="s">
        <v>96</v>
      </c>
      <c r="K2496" t="s">
        <v>97</v>
      </c>
      <c r="M2496" t="s">
        <v>44</v>
      </c>
      <c r="N2496">
        <v>8</v>
      </c>
      <c r="P2496" t="b">
        <v>1</v>
      </c>
      <c r="Q2496" t="b">
        <v>0</v>
      </c>
      <c r="R2496" t="b">
        <v>1</v>
      </c>
      <c r="S2496" t="b">
        <v>1</v>
      </c>
      <c r="T2496" t="b">
        <v>0</v>
      </c>
      <c r="V2496" t="b">
        <v>0</v>
      </c>
      <c r="W2496" t="b">
        <v>0</v>
      </c>
      <c r="X2496" t="b">
        <v>0</v>
      </c>
      <c r="Y2496" t="b">
        <v>0</v>
      </c>
      <c r="Z2496" t="b">
        <v>1</v>
      </c>
      <c r="AA2496" t="b">
        <v>0</v>
      </c>
      <c r="AB2496" t="b">
        <v>0</v>
      </c>
      <c r="AC2496" t="b">
        <v>1</v>
      </c>
      <c r="AE2496" t="s">
        <v>6194</v>
      </c>
    </row>
    <row r="2497" spans="1:31" x14ac:dyDescent="0.3">
      <c r="A2497">
        <v>-73.969627429140004</v>
      </c>
      <c r="B2497">
        <v>40.76919808081</v>
      </c>
      <c r="C2497" t="s">
        <v>6195</v>
      </c>
      <c r="D2497" t="s">
        <v>1310</v>
      </c>
      <c r="E2497" t="s">
        <v>33</v>
      </c>
      <c r="F2497">
        <v>10132018</v>
      </c>
      <c r="G2497">
        <v>3</v>
      </c>
      <c r="H2497" t="s">
        <v>48</v>
      </c>
      <c r="I2497" t="s">
        <v>176</v>
      </c>
      <c r="J2497" t="s">
        <v>42</v>
      </c>
      <c r="K2497" t="s">
        <v>1233</v>
      </c>
      <c r="M2497" t="s">
        <v>65</v>
      </c>
      <c r="N2497" t="b">
        <v>0</v>
      </c>
      <c r="O2497" t="s">
        <v>6196</v>
      </c>
      <c r="P2497" t="b">
        <v>0</v>
      </c>
      <c r="Q2497" t="b">
        <v>0</v>
      </c>
      <c r="R2497" t="b">
        <v>0</v>
      </c>
      <c r="S2497" t="b">
        <v>1</v>
      </c>
      <c r="T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b">
        <v>0</v>
      </c>
      <c r="AB2497" t="b">
        <v>0</v>
      </c>
      <c r="AC2497" t="b">
        <v>0</v>
      </c>
      <c r="AE2497" t="s">
        <v>6197</v>
      </c>
    </row>
    <row r="2498" spans="1:31" x14ac:dyDescent="0.3">
      <c r="A2498">
        <v>-73.962205075200004</v>
      </c>
      <c r="B2498">
        <v>40.788637377230003</v>
      </c>
      <c r="C2498" t="s">
        <v>6198</v>
      </c>
      <c r="D2498" t="s">
        <v>1420</v>
      </c>
      <c r="E2498" t="s">
        <v>33</v>
      </c>
      <c r="F2498">
        <v>10102018</v>
      </c>
      <c r="G2498">
        <v>1</v>
      </c>
      <c r="H2498" t="s">
        <v>105</v>
      </c>
      <c r="I2498" t="s">
        <v>42</v>
      </c>
      <c r="J2498" t="s">
        <v>59</v>
      </c>
      <c r="K2498" t="s">
        <v>79</v>
      </c>
      <c r="M2498" t="s">
        <v>44</v>
      </c>
      <c r="N2498">
        <v>10</v>
      </c>
      <c r="P2498" t="b">
        <v>0</v>
      </c>
      <c r="Q2498" t="b">
        <v>0</v>
      </c>
      <c r="R2498" t="b">
        <v>1</v>
      </c>
      <c r="S2498" t="b">
        <v>1</v>
      </c>
      <c r="T2498" t="b">
        <v>0</v>
      </c>
      <c r="V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b">
        <v>0</v>
      </c>
      <c r="AB2498" t="b">
        <v>1</v>
      </c>
      <c r="AC2498" t="b">
        <v>0</v>
      </c>
      <c r="AE2498" t="s">
        <v>6199</v>
      </c>
    </row>
    <row r="2499" spans="1:31" x14ac:dyDescent="0.3">
      <c r="A2499">
        <v>-73.967455693999995</v>
      </c>
      <c r="B2499">
        <v>40.787539940249999</v>
      </c>
      <c r="C2499" t="s">
        <v>6200</v>
      </c>
      <c r="D2499" t="s">
        <v>478</v>
      </c>
      <c r="E2499" t="s">
        <v>38</v>
      </c>
      <c r="F2499">
        <v>10142018</v>
      </c>
      <c r="G2499">
        <v>2</v>
      </c>
      <c r="I2499" t="s">
        <v>42</v>
      </c>
      <c r="J2499" t="s">
        <v>53</v>
      </c>
      <c r="K2499" t="s">
        <v>54</v>
      </c>
      <c r="M2499" t="s">
        <v>65</v>
      </c>
      <c r="N2499" t="b">
        <v>0</v>
      </c>
      <c r="P2499" t="b">
        <v>0</v>
      </c>
      <c r="Q2499" t="b">
        <v>1</v>
      </c>
      <c r="R2499" t="b">
        <v>0</v>
      </c>
      <c r="S2499" t="b">
        <v>0</v>
      </c>
      <c r="T2499" t="b">
        <v>1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b">
        <v>0</v>
      </c>
      <c r="AB2499" t="b">
        <v>0</v>
      </c>
      <c r="AC2499" t="b">
        <v>0</v>
      </c>
      <c r="AD2499" t="s">
        <v>1862</v>
      </c>
      <c r="AE2499" t="s">
        <v>6201</v>
      </c>
    </row>
    <row r="2500" spans="1:31" x14ac:dyDescent="0.3">
      <c r="A2500">
        <v>-73.969007992409999</v>
      </c>
      <c r="B2500">
        <v>40.784547350559997</v>
      </c>
      <c r="C2500" t="s">
        <v>6202</v>
      </c>
      <c r="D2500" t="s">
        <v>298</v>
      </c>
      <c r="E2500" t="s">
        <v>38</v>
      </c>
      <c r="F2500">
        <v>10082018</v>
      </c>
      <c r="G2500">
        <v>6</v>
      </c>
      <c r="H2500" t="s">
        <v>48</v>
      </c>
      <c r="I2500" t="s">
        <v>42</v>
      </c>
      <c r="K2500" t="s">
        <v>43</v>
      </c>
      <c r="M2500" t="s">
        <v>44</v>
      </c>
      <c r="N2500">
        <v>30</v>
      </c>
      <c r="P2500" t="b">
        <v>0</v>
      </c>
      <c r="Q2500" t="b">
        <v>0</v>
      </c>
      <c r="R2500" t="b">
        <v>0</v>
      </c>
      <c r="S2500" t="b">
        <v>1</v>
      </c>
      <c r="T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b">
        <v>0</v>
      </c>
      <c r="AB2500" t="b">
        <v>0</v>
      </c>
      <c r="AC2500" t="b">
        <v>0</v>
      </c>
      <c r="AE2500" t="s">
        <v>6203</v>
      </c>
    </row>
    <row r="2501" spans="1:31" x14ac:dyDescent="0.3">
      <c r="A2501">
        <v>-73.968970388070005</v>
      </c>
      <c r="B2501">
        <v>40.771202561130004</v>
      </c>
      <c r="C2501" t="s">
        <v>6204</v>
      </c>
      <c r="D2501" t="s">
        <v>1780</v>
      </c>
      <c r="E2501" t="s">
        <v>33</v>
      </c>
      <c r="F2501">
        <v>10102018</v>
      </c>
      <c r="G2501">
        <v>2</v>
      </c>
      <c r="H2501" t="s">
        <v>48</v>
      </c>
      <c r="I2501" t="s">
        <v>42</v>
      </c>
      <c r="J2501" t="s">
        <v>96</v>
      </c>
      <c r="K2501" t="s">
        <v>97</v>
      </c>
      <c r="L2501" t="s">
        <v>3182</v>
      </c>
      <c r="M2501" t="s">
        <v>65</v>
      </c>
      <c r="N2501" t="b">
        <v>0</v>
      </c>
      <c r="P2501" t="b">
        <v>0</v>
      </c>
      <c r="Q2501" t="b">
        <v>0</v>
      </c>
      <c r="R2501" t="b">
        <v>0</v>
      </c>
      <c r="S2501" t="b">
        <v>0</v>
      </c>
      <c r="T2501" t="b">
        <v>1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b">
        <v>0</v>
      </c>
      <c r="AB2501" t="b">
        <v>1</v>
      </c>
      <c r="AC2501" t="b">
        <v>0</v>
      </c>
      <c r="AE2501" t="s">
        <v>6205</v>
      </c>
    </row>
    <row r="2502" spans="1:31" x14ac:dyDescent="0.3">
      <c r="A2502">
        <v>-73.961694419579999</v>
      </c>
      <c r="B2502">
        <v>40.792725042299999</v>
      </c>
      <c r="C2502" t="s">
        <v>6206</v>
      </c>
      <c r="D2502" t="s">
        <v>928</v>
      </c>
      <c r="E2502" t="s">
        <v>33</v>
      </c>
      <c r="F2502">
        <v>10102018</v>
      </c>
      <c r="G2502">
        <v>2</v>
      </c>
      <c r="H2502" t="s">
        <v>48</v>
      </c>
      <c r="K2502" t="s">
        <v>34</v>
      </c>
      <c r="M2502" t="s">
        <v>65</v>
      </c>
      <c r="N2502" t="b">
        <v>0</v>
      </c>
      <c r="P2502" t="b">
        <v>0</v>
      </c>
      <c r="Q2502" t="b">
        <v>0</v>
      </c>
      <c r="R2502" t="b">
        <v>0</v>
      </c>
      <c r="S2502" t="b">
        <v>0</v>
      </c>
      <c r="T2502" t="b">
        <v>1</v>
      </c>
      <c r="V2502" t="b">
        <v>0</v>
      </c>
      <c r="W2502" t="b">
        <v>0</v>
      </c>
      <c r="X2502" t="b">
        <v>0</v>
      </c>
      <c r="Y2502" t="b">
        <v>0</v>
      </c>
      <c r="Z2502" t="b">
        <v>0</v>
      </c>
      <c r="AA2502" t="b">
        <v>0</v>
      </c>
      <c r="AB2502" t="b">
        <v>0</v>
      </c>
      <c r="AC2502" t="b">
        <v>1</v>
      </c>
      <c r="AE2502" t="s">
        <v>6207</v>
      </c>
    </row>
    <row r="2503" spans="1:31" x14ac:dyDescent="0.3">
      <c r="A2503">
        <v>-73.975837533429996</v>
      </c>
      <c r="B2503">
        <v>40.767679328980002</v>
      </c>
      <c r="C2503" t="s">
        <v>6208</v>
      </c>
      <c r="D2503" t="s">
        <v>215</v>
      </c>
      <c r="E2503" t="s">
        <v>38</v>
      </c>
      <c r="F2503">
        <v>10062018</v>
      </c>
      <c r="G2503">
        <v>6</v>
      </c>
      <c r="H2503" t="s">
        <v>48</v>
      </c>
      <c r="I2503" t="s">
        <v>42</v>
      </c>
      <c r="J2503" t="s">
        <v>53</v>
      </c>
      <c r="K2503" t="s">
        <v>54</v>
      </c>
      <c r="M2503" t="s">
        <v>44</v>
      </c>
      <c r="N2503">
        <v>14</v>
      </c>
      <c r="P2503" t="b">
        <v>0</v>
      </c>
      <c r="Q2503" t="b">
        <v>0</v>
      </c>
      <c r="R2503" t="b">
        <v>0</v>
      </c>
      <c r="S2503" t="b">
        <v>1</v>
      </c>
      <c r="T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b">
        <v>0</v>
      </c>
      <c r="AB2503" t="b">
        <v>0</v>
      </c>
      <c r="AC2503" t="b">
        <v>0</v>
      </c>
      <c r="AE2503" t="s">
        <v>6209</v>
      </c>
    </row>
    <row r="2504" spans="1:31" x14ac:dyDescent="0.3">
      <c r="A2504">
        <v>-73.974382557799998</v>
      </c>
      <c r="B2504">
        <v>40.767481262739999</v>
      </c>
      <c r="C2504" t="s">
        <v>6210</v>
      </c>
      <c r="D2504" t="s">
        <v>1701</v>
      </c>
      <c r="E2504" t="s">
        <v>38</v>
      </c>
      <c r="F2504">
        <v>10062018</v>
      </c>
      <c r="G2504">
        <v>10</v>
      </c>
      <c r="H2504" t="s">
        <v>48</v>
      </c>
      <c r="I2504" t="s">
        <v>53</v>
      </c>
      <c r="J2504" t="s">
        <v>59</v>
      </c>
      <c r="K2504" t="s">
        <v>60</v>
      </c>
      <c r="M2504" t="s">
        <v>44</v>
      </c>
      <c r="N2504">
        <v>6</v>
      </c>
      <c r="O2504" t="s">
        <v>748</v>
      </c>
      <c r="P2504" t="b">
        <v>0</v>
      </c>
      <c r="Q2504" t="b">
        <v>0</v>
      </c>
      <c r="R2504" t="b">
        <v>1</v>
      </c>
      <c r="S2504" t="b">
        <v>0</v>
      </c>
      <c r="T2504" t="b">
        <v>0</v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b">
        <v>0</v>
      </c>
      <c r="AB2504" t="b">
        <v>0</v>
      </c>
      <c r="AC2504" t="b">
        <v>0</v>
      </c>
      <c r="AD2504" t="s">
        <v>6211</v>
      </c>
      <c r="AE2504" t="s">
        <v>6212</v>
      </c>
    </row>
    <row r="2505" spans="1:31" x14ac:dyDescent="0.3">
      <c r="A2505">
        <v>-73.955013183749998</v>
      </c>
      <c r="B2505">
        <v>40.795861725819996</v>
      </c>
      <c r="C2505" t="s">
        <v>6213</v>
      </c>
      <c r="D2505" t="s">
        <v>3964</v>
      </c>
      <c r="E2505" t="s">
        <v>33</v>
      </c>
      <c r="F2505">
        <v>10132018</v>
      </c>
      <c r="G2505">
        <v>2</v>
      </c>
      <c r="H2505" t="s">
        <v>48</v>
      </c>
      <c r="I2505" t="s">
        <v>53</v>
      </c>
      <c r="J2505" t="s">
        <v>42</v>
      </c>
      <c r="K2505" t="s">
        <v>89</v>
      </c>
      <c r="L2505" t="s">
        <v>6214</v>
      </c>
      <c r="M2505" t="s">
        <v>65</v>
      </c>
      <c r="N2505" t="b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1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 t="b">
        <v>1</v>
      </c>
      <c r="AB2505" t="b">
        <v>1</v>
      </c>
      <c r="AC2505" t="b">
        <v>0</v>
      </c>
      <c r="AE2505" t="s">
        <v>6215</v>
      </c>
    </row>
    <row r="2506" spans="1:31" x14ac:dyDescent="0.3">
      <c r="A2506">
        <v>-73.976297469879995</v>
      </c>
      <c r="B2506">
        <v>40.7740076117</v>
      </c>
      <c r="C2506" t="s">
        <v>6216</v>
      </c>
      <c r="D2506" t="s">
        <v>790</v>
      </c>
      <c r="E2506" t="s">
        <v>33</v>
      </c>
      <c r="F2506">
        <v>10132018</v>
      </c>
      <c r="G2506">
        <v>6</v>
      </c>
      <c r="H2506" t="s">
        <v>48</v>
      </c>
      <c r="I2506" t="s">
        <v>53</v>
      </c>
      <c r="K2506" t="s">
        <v>155</v>
      </c>
      <c r="M2506" t="s">
        <v>65</v>
      </c>
      <c r="N2506" t="b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1</v>
      </c>
      <c r="V2506" t="b">
        <v>0</v>
      </c>
      <c r="W2506" t="b">
        <v>0</v>
      </c>
      <c r="X2506" t="b">
        <v>0</v>
      </c>
      <c r="Y2506" t="b">
        <v>1</v>
      </c>
      <c r="Z2506" t="b">
        <v>0</v>
      </c>
      <c r="AA2506" t="b">
        <v>0</v>
      </c>
      <c r="AB2506" t="b">
        <v>1</v>
      </c>
      <c r="AC2506" t="b">
        <v>0</v>
      </c>
      <c r="AE2506" t="s">
        <v>6217</v>
      </c>
    </row>
    <row r="2507" spans="1:31" x14ac:dyDescent="0.3">
      <c r="A2507">
        <v>-73.971903894950003</v>
      </c>
      <c r="B2507">
        <v>40.770353349250001</v>
      </c>
      <c r="C2507" t="s">
        <v>6218</v>
      </c>
      <c r="D2507" t="s">
        <v>402</v>
      </c>
      <c r="E2507" t="s">
        <v>38</v>
      </c>
      <c r="F2507">
        <v>10102018</v>
      </c>
      <c r="G2507">
        <v>5</v>
      </c>
      <c r="H2507" t="s">
        <v>48</v>
      </c>
      <c r="I2507" t="s">
        <v>42</v>
      </c>
      <c r="J2507" t="s">
        <v>53</v>
      </c>
      <c r="K2507" t="s">
        <v>54</v>
      </c>
      <c r="M2507" t="s">
        <v>65</v>
      </c>
      <c r="N2507" t="b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1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b">
        <v>0</v>
      </c>
      <c r="AB2507" t="b">
        <v>1</v>
      </c>
      <c r="AC2507" t="b">
        <v>0</v>
      </c>
      <c r="AE2507" t="s">
        <v>6219</v>
      </c>
    </row>
    <row r="2508" spans="1:31" x14ac:dyDescent="0.3">
      <c r="A2508">
        <v>-73.964868521590006</v>
      </c>
      <c r="B2508">
        <v>40.782106418380003</v>
      </c>
      <c r="C2508" t="s">
        <v>6220</v>
      </c>
      <c r="D2508" t="s">
        <v>82</v>
      </c>
      <c r="E2508" t="s">
        <v>33</v>
      </c>
      <c r="F2508">
        <v>10142018</v>
      </c>
      <c r="G2508">
        <v>1</v>
      </c>
      <c r="H2508" t="s">
        <v>48</v>
      </c>
      <c r="I2508" t="s">
        <v>42</v>
      </c>
      <c r="J2508" t="s">
        <v>53</v>
      </c>
      <c r="K2508" t="s">
        <v>54</v>
      </c>
      <c r="M2508" t="s">
        <v>65</v>
      </c>
      <c r="N2508" t="b">
        <v>0</v>
      </c>
      <c r="P2508" t="b">
        <v>0</v>
      </c>
      <c r="Q2508" t="b">
        <v>0</v>
      </c>
      <c r="R2508" t="b">
        <v>0</v>
      </c>
      <c r="S2508" t="b">
        <v>1</v>
      </c>
      <c r="T2508" t="b">
        <v>0</v>
      </c>
      <c r="V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b">
        <v>0</v>
      </c>
      <c r="AB2508" t="b">
        <v>1</v>
      </c>
      <c r="AC2508" t="b">
        <v>0</v>
      </c>
      <c r="AE2508" t="s">
        <v>6221</v>
      </c>
    </row>
    <row r="2509" spans="1:31" x14ac:dyDescent="0.3">
      <c r="A2509">
        <v>-73.979381450450006</v>
      </c>
      <c r="B2509">
        <v>40.770903369789998</v>
      </c>
      <c r="C2509" t="s">
        <v>6222</v>
      </c>
      <c r="D2509" t="s">
        <v>1362</v>
      </c>
      <c r="E2509" t="s">
        <v>33</v>
      </c>
      <c r="F2509">
        <v>10072018</v>
      </c>
      <c r="G2509">
        <v>1</v>
      </c>
      <c r="H2509" t="s">
        <v>48</v>
      </c>
      <c r="I2509" t="s">
        <v>42</v>
      </c>
      <c r="J2509" t="s">
        <v>96</v>
      </c>
      <c r="K2509" t="s">
        <v>97</v>
      </c>
      <c r="M2509" t="s">
        <v>65</v>
      </c>
      <c r="N2509" t="b">
        <v>0</v>
      </c>
      <c r="P2509" t="b">
        <v>1</v>
      </c>
      <c r="Q2509" t="b">
        <v>0</v>
      </c>
      <c r="R2509" t="b">
        <v>1</v>
      </c>
      <c r="S2509" t="b">
        <v>1</v>
      </c>
      <c r="T2509" t="b">
        <v>1</v>
      </c>
      <c r="V2509" t="b">
        <v>0</v>
      </c>
      <c r="W2509" t="b">
        <v>0</v>
      </c>
      <c r="X2509" t="b">
        <v>0</v>
      </c>
      <c r="Y2509" t="b">
        <v>0</v>
      </c>
      <c r="Z2509" t="b">
        <v>1</v>
      </c>
      <c r="AA2509" t="b">
        <v>0</v>
      </c>
      <c r="AB2509" t="b">
        <v>1</v>
      </c>
      <c r="AC2509" t="b">
        <v>0</v>
      </c>
      <c r="AE2509" t="s">
        <v>6223</v>
      </c>
    </row>
    <row r="2510" spans="1:31" x14ac:dyDescent="0.3">
      <c r="A2510">
        <v>-73.971429510220005</v>
      </c>
      <c r="B2510">
        <v>40.776954371949998</v>
      </c>
      <c r="C2510" t="s">
        <v>6224</v>
      </c>
      <c r="D2510" t="s">
        <v>729</v>
      </c>
      <c r="E2510" t="s">
        <v>33</v>
      </c>
      <c r="F2510">
        <v>10192018</v>
      </c>
      <c r="G2510">
        <v>2</v>
      </c>
      <c r="H2510" t="s">
        <v>48</v>
      </c>
      <c r="I2510" t="s">
        <v>42</v>
      </c>
      <c r="K2510" t="s">
        <v>43</v>
      </c>
      <c r="M2510" t="s">
        <v>65</v>
      </c>
      <c r="N2510" t="b">
        <v>0</v>
      </c>
      <c r="P2510" t="b">
        <v>0</v>
      </c>
      <c r="Q2510" t="b">
        <v>1</v>
      </c>
      <c r="R2510" t="b">
        <v>0</v>
      </c>
      <c r="S2510" t="b">
        <v>0</v>
      </c>
      <c r="T2510" t="b">
        <v>0</v>
      </c>
      <c r="V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b">
        <v>0</v>
      </c>
      <c r="AB2510" t="b">
        <v>0</v>
      </c>
      <c r="AC2510" t="b">
        <v>0</v>
      </c>
      <c r="AE2510" t="s">
        <v>6225</v>
      </c>
    </row>
    <row r="2511" spans="1:31" x14ac:dyDescent="0.3">
      <c r="A2511">
        <v>-73.974863547379996</v>
      </c>
      <c r="B2511">
        <v>40.774259102919999</v>
      </c>
      <c r="C2511" t="s">
        <v>6226</v>
      </c>
      <c r="D2511" t="s">
        <v>839</v>
      </c>
      <c r="E2511" t="s">
        <v>38</v>
      </c>
      <c r="F2511">
        <v>10182018</v>
      </c>
      <c r="G2511">
        <v>2</v>
      </c>
      <c r="H2511" t="s">
        <v>48</v>
      </c>
      <c r="I2511" t="s">
        <v>42</v>
      </c>
      <c r="J2511" t="s">
        <v>96</v>
      </c>
      <c r="K2511" t="s">
        <v>97</v>
      </c>
      <c r="M2511" t="s">
        <v>65</v>
      </c>
      <c r="N2511" t="b">
        <v>0</v>
      </c>
      <c r="P2511" t="b">
        <v>0</v>
      </c>
      <c r="Q2511" t="b">
        <v>0</v>
      </c>
      <c r="R2511" t="b">
        <v>0</v>
      </c>
      <c r="S2511" t="b">
        <v>1</v>
      </c>
      <c r="T2511" t="b">
        <v>0</v>
      </c>
      <c r="U2511" t="s">
        <v>6227</v>
      </c>
      <c r="V2511" t="b">
        <v>0</v>
      </c>
      <c r="W2511" t="b">
        <v>0</v>
      </c>
      <c r="X2511" t="b">
        <v>0</v>
      </c>
      <c r="Y2511" t="b">
        <v>0</v>
      </c>
      <c r="Z2511" t="b">
        <v>0</v>
      </c>
      <c r="AA2511" t="b">
        <v>0</v>
      </c>
      <c r="AB2511" t="b">
        <v>1</v>
      </c>
      <c r="AC2511" t="b">
        <v>0</v>
      </c>
      <c r="AE2511" t="s">
        <v>6228</v>
      </c>
    </row>
    <row r="2512" spans="1:31" x14ac:dyDescent="0.3">
      <c r="A2512">
        <v>-73.958456153740002</v>
      </c>
      <c r="B2512">
        <v>40.791121116479999</v>
      </c>
      <c r="C2512" t="s">
        <v>6229</v>
      </c>
      <c r="D2512" t="s">
        <v>68</v>
      </c>
      <c r="E2512" t="s">
        <v>33</v>
      </c>
      <c r="F2512">
        <v>10122018</v>
      </c>
      <c r="G2512">
        <v>2</v>
      </c>
      <c r="H2512" t="s">
        <v>48</v>
      </c>
      <c r="I2512" t="s">
        <v>42</v>
      </c>
      <c r="J2512" t="s">
        <v>96</v>
      </c>
      <c r="K2512" t="s">
        <v>97</v>
      </c>
      <c r="M2512" t="s">
        <v>65</v>
      </c>
      <c r="N2512" t="b">
        <v>0</v>
      </c>
      <c r="P2512" t="b">
        <v>0</v>
      </c>
      <c r="Q2512" t="b">
        <v>0</v>
      </c>
      <c r="R2512" t="b">
        <v>1</v>
      </c>
      <c r="S2512" t="b">
        <v>1</v>
      </c>
      <c r="T2512" t="b">
        <v>1</v>
      </c>
      <c r="V2512" t="b">
        <v>0</v>
      </c>
      <c r="W2512" t="b">
        <v>0</v>
      </c>
      <c r="X2512" t="b">
        <v>0</v>
      </c>
      <c r="Y2512" t="b">
        <v>0</v>
      </c>
      <c r="Z2512" t="b">
        <v>1</v>
      </c>
      <c r="AA2512" t="b">
        <v>0</v>
      </c>
      <c r="AB2512" t="b">
        <v>0</v>
      </c>
      <c r="AC2512" t="b">
        <v>0</v>
      </c>
      <c r="AE2512" t="s">
        <v>6230</v>
      </c>
    </row>
    <row r="2513" spans="1:31" x14ac:dyDescent="0.3">
      <c r="A2513">
        <v>-73.974275954990006</v>
      </c>
      <c r="B2513">
        <v>40.775472387930002</v>
      </c>
      <c r="C2513" t="s">
        <v>6231</v>
      </c>
      <c r="D2513" t="s">
        <v>41</v>
      </c>
      <c r="E2513" t="s">
        <v>38</v>
      </c>
      <c r="F2513">
        <v>10072018</v>
      </c>
      <c r="G2513">
        <v>2</v>
      </c>
      <c r="H2513" t="s">
        <v>48</v>
      </c>
      <c r="I2513" t="s">
        <v>42</v>
      </c>
      <c r="K2513" t="s">
        <v>43</v>
      </c>
      <c r="M2513" t="s">
        <v>65</v>
      </c>
      <c r="N2513" t="b">
        <v>0</v>
      </c>
      <c r="P2513" t="b">
        <v>0</v>
      </c>
      <c r="Q2513" t="b">
        <v>1</v>
      </c>
      <c r="R2513" t="b">
        <v>0</v>
      </c>
      <c r="S2513" t="b">
        <v>0</v>
      </c>
      <c r="T2513" t="b">
        <v>0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b">
        <v>0</v>
      </c>
      <c r="AB2513" t="b">
        <v>0</v>
      </c>
      <c r="AC2513" t="b">
        <v>0</v>
      </c>
      <c r="AE2513" t="s">
        <v>6232</v>
      </c>
    </row>
    <row r="2514" spans="1:31" x14ac:dyDescent="0.3">
      <c r="A2514">
        <v>-73.976759027360004</v>
      </c>
      <c r="B2514">
        <v>40.771756180730002</v>
      </c>
      <c r="C2514" t="s">
        <v>6233</v>
      </c>
      <c r="D2514" t="s">
        <v>796</v>
      </c>
      <c r="E2514" t="s">
        <v>33</v>
      </c>
      <c r="F2514">
        <v>10172018</v>
      </c>
      <c r="G2514">
        <v>7</v>
      </c>
      <c r="H2514" t="s">
        <v>48</v>
      </c>
      <c r="I2514" t="s">
        <v>42</v>
      </c>
      <c r="J2514" t="s">
        <v>53</v>
      </c>
      <c r="K2514" t="s">
        <v>54</v>
      </c>
      <c r="M2514" t="s">
        <v>65</v>
      </c>
      <c r="N2514" t="b">
        <v>0</v>
      </c>
      <c r="P2514" t="b">
        <v>1</v>
      </c>
      <c r="Q2514" t="b">
        <v>1</v>
      </c>
      <c r="R2514" t="b">
        <v>0</v>
      </c>
      <c r="S2514" t="b">
        <v>0</v>
      </c>
      <c r="T2514" t="b">
        <v>1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b">
        <v>0</v>
      </c>
      <c r="AB2514" t="b">
        <v>0</v>
      </c>
      <c r="AC2514" t="b">
        <v>0</v>
      </c>
      <c r="AE2514" t="s">
        <v>6234</v>
      </c>
    </row>
    <row r="2515" spans="1:31" x14ac:dyDescent="0.3">
      <c r="A2515">
        <v>-73.957444220550002</v>
      </c>
      <c r="B2515">
        <v>40.796104652860002</v>
      </c>
      <c r="C2515" t="s">
        <v>6235</v>
      </c>
      <c r="D2515" t="s">
        <v>835</v>
      </c>
      <c r="E2515" t="s">
        <v>38</v>
      </c>
      <c r="F2515">
        <v>10172018</v>
      </c>
      <c r="G2515">
        <v>4</v>
      </c>
      <c r="H2515" t="s">
        <v>48</v>
      </c>
      <c r="I2515" t="s">
        <v>53</v>
      </c>
      <c r="J2515" t="s">
        <v>42</v>
      </c>
      <c r="K2515" t="s">
        <v>89</v>
      </c>
      <c r="M2515" t="s">
        <v>65</v>
      </c>
      <c r="N2515" t="b">
        <v>0</v>
      </c>
      <c r="P2515" t="b">
        <v>1</v>
      </c>
      <c r="Q2515" t="b">
        <v>0</v>
      </c>
      <c r="R2515" t="b">
        <v>0</v>
      </c>
      <c r="S2515" t="b">
        <v>0</v>
      </c>
      <c r="T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b">
        <v>0</v>
      </c>
      <c r="AB2515" t="b">
        <v>0</v>
      </c>
      <c r="AC2515" t="b">
        <v>0</v>
      </c>
      <c r="AE2515" t="s">
        <v>6236</v>
      </c>
    </row>
    <row r="2516" spans="1:31" x14ac:dyDescent="0.3">
      <c r="A2516">
        <v>-73.969333865720003</v>
      </c>
      <c r="B2516">
        <v>40.775705588450002</v>
      </c>
      <c r="C2516" t="s">
        <v>6237</v>
      </c>
      <c r="D2516" t="s">
        <v>260</v>
      </c>
      <c r="E2516" t="s">
        <v>33</v>
      </c>
      <c r="F2516">
        <v>10082018</v>
      </c>
      <c r="G2516">
        <v>5</v>
      </c>
      <c r="H2516" t="s">
        <v>48</v>
      </c>
      <c r="I2516" t="s">
        <v>42</v>
      </c>
      <c r="J2516" t="s">
        <v>53</v>
      </c>
      <c r="K2516" t="s">
        <v>54</v>
      </c>
      <c r="M2516" t="s">
        <v>44</v>
      </c>
      <c r="N2516">
        <v>2</v>
      </c>
      <c r="O2516" t="s">
        <v>6024</v>
      </c>
      <c r="P2516" t="b">
        <v>1</v>
      </c>
      <c r="Q2516" t="b">
        <v>0</v>
      </c>
      <c r="R2516" t="b">
        <v>0</v>
      </c>
      <c r="S2516" t="b">
        <v>1</v>
      </c>
      <c r="T2516" t="b">
        <v>1</v>
      </c>
      <c r="V2516" t="b">
        <v>1</v>
      </c>
      <c r="W2516" t="b">
        <v>0</v>
      </c>
      <c r="X2516" t="b">
        <v>0</v>
      </c>
      <c r="Y2516" t="b">
        <v>0</v>
      </c>
      <c r="Z2516" t="b">
        <v>1</v>
      </c>
      <c r="AA2516" t="b">
        <v>0</v>
      </c>
      <c r="AB2516" t="b">
        <v>0</v>
      </c>
      <c r="AC2516" t="b">
        <v>0</v>
      </c>
      <c r="AE2516" t="s">
        <v>6238</v>
      </c>
    </row>
    <row r="2517" spans="1:31" x14ac:dyDescent="0.3">
      <c r="A2517">
        <v>-73.964982368769995</v>
      </c>
      <c r="B2517">
        <v>40.776339535959998</v>
      </c>
      <c r="C2517" t="s">
        <v>6239</v>
      </c>
      <c r="D2517" t="s">
        <v>114</v>
      </c>
      <c r="E2517" t="s">
        <v>38</v>
      </c>
      <c r="F2517">
        <v>10082018</v>
      </c>
      <c r="G2517">
        <v>2</v>
      </c>
      <c r="H2517" t="s">
        <v>48</v>
      </c>
      <c r="I2517" t="s">
        <v>53</v>
      </c>
      <c r="J2517" t="s">
        <v>115</v>
      </c>
      <c r="K2517" t="s">
        <v>116</v>
      </c>
      <c r="M2517" t="s">
        <v>44</v>
      </c>
      <c r="N2517">
        <v>1</v>
      </c>
      <c r="P2517" t="b">
        <v>0</v>
      </c>
      <c r="Q2517" t="b">
        <v>0</v>
      </c>
      <c r="R2517" t="b">
        <v>1</v>
      </c>
      <c r="S2517" t="b">
        <v>0</v>
      </c>
      <c r="T2517" t="b">
        <v>0</v>
      </c>
      <c r="V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b">
        <v>0</v>
      </c>
      <c r="AB2517" t="b">
        <v>1</v>
      </c>
      <c r="AC2517" t="b">
        <v>0</v>
      </c>
      <c r="AE2517" t="s">
        <v>6240</v>
      </c>
    </row>
    <row r="2518" spans="1:31" x14ac:dyDescent="0.3">
      <c r="A2518">
        <v>-73.971022136149998</v>
      </c>
      <c r="B2518">
        <v>40.772493969160003</v>
      </c>
      <c r="C2518" t="s">
        <v>6241</v>
      </c>
      <c r="D2518" t="s">
        <v>314</v>
      </c>
      <c r="E2518" t="s">
        <v>33</v>
      </c>
      <c r="F2518">
        <v>10192018</v>
      </c>
      <c r="G2518">
        <v>1</v>
      </c>
      <c r="H2518" t="s">
        <v>48</v>
      </c>
      <c r="I2518" t="s">
        <v>42</v>
      </c>
      <c r="J2518" t="s">
        <v>53</v>
      </c>
      <c r="K2518" t="s">
        <v>54</v>
      </c>
      <c r="L2518" t="s">
        <v>700</v>
      </c>
      <c r="M2518" t="s">
        <v>44</v>
      </c>
      <c r="N2518">
        <v>2</v>
      </c>
      <c r="O2518" t="s">
        <v>6242</v>
      </c>
      <c r="P2518" t="b">
        <v>0</v>
      </c>
      <c r="Q2518" t="b">
        <v>0</v>
      </c>
      <c r="R2518" t="b">
        <v>1</v>
      </c>
      <c r="S2518" t="b">
        <v>0</v>
      </c>
      <c r="T2518" t="b">
        <v>0</v>
      </c>
      <c r="U2518" t="s">
        <v>121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b">
        <v>0</v>
      </c>
      <c r="AB2518" t="b">
        <v>1</v>
      </c>
      <c r="AC2518" t="b">
        <v>0</v>
      </c>
      <c r="AE2518" t="s">
        <v>6243</v>
      </c>
    </row>
    <row r="2519" spans="1:31" x14ac:dyDescent="0.3">
      <c r="A2519">
        <v>-73.964721941929994</v>
      </c>
      <c r="B2519">
        <v>40.781208440290001</v>
      </c>
      <c r="C2519" t="s">
        <v>6244</v>
      </c>
      <c r="D2519" t="s">
        <v>564</v>
      </c>
      <c r="E2519" t="s">
        <v>33</v>
      </c>
      <c r="F2519">
        <v>10072018</v>
      </c>
      <c r="G2519">
        <v>3</v>
      </c>
      <c r="H2519" t="s">
        <v>48</v>
      </c>
      <c r="I2519" t="s">
        <v>42</v>
      </c>
      <c r="J2519" t="s">
        <v>59</v>
      </c>
      <c r="K2519" t="s">
        <v>79</v>
      </c>
      <c r="L2519" t="s">
        <v>6245</v>
      </c>
      <c r="M2519" t="s">
        <v>65</v>
      </c>
      <c r="N2519" t="b">
        <v>0</v>
      </c>
      <c r="P2519" t="b">
        <v>0</v>
      </c>
      <c r="Q2519" t="b">
        <v>0</v>
      </c>
      <c r="R2519" t="b">
        <v>0</v>
      </c>
      <c r="S2519" t="b">
        <v>0</v>
      </c>
      <c r="T2519" t="b">
        <v>1</v>
      </c>
      <c r="V2519" t="b">
        <v>0</v>
      </c>
      <c r="W2519" t="b">
        <v>0</v>
      </c>
      <c r="X2519" t="b">
        <v>0</v>
      </c>
      <c r="Y2519" t="b">
        <v>0</v>
      </c>
      <c r="Z2519" t="b">
        <v>0</v>
      </c>
      <c r="AA2519" t="b">
        <v>0</v>
      </c>
      <c r="AB2519" t="b">
        <v>0</v>
      </c>
      <c r="AC2519" t="b">
        <v>0</v>
      </c>
      <c r="AE2519" t="s">
        <v>6246</v>
      </c>
    </row>
    <row r="2520" spans="1:31" x14ac:dyDescent="0.3">
      <c r="A2520">
        <v>-73.958947506539999</v>
      </c>
      <c r="B2520">
        <v>40.793484688150002</v>
      </c>
      <c r="C2520" t="s">
        <v>6247</v>
      </c>
      <c r="D2520" t="s">
        <v>505</v>
      </c>
      <c r="E2520" t="s">
        <v>33</v>
      </c>
      <c r="F2520">
        <v>10132018</v>
      </c>
      <c r="G2520">
        <v>6</v>
      </c>
      <c r="H2520" t="s">
        <v>48</v>
      </c>
      <c r="I2520" t="s">
        <v>42</v>
      </c>
      <c r="J2520" t="s">
        <v>59</v>
      </c>
      <c r="K2520" t="s">
        <v>79</v>
      </c>
      <c r="M2520" t="s">
        <v>65</v>
      </c>
      <c r="N2520" t="b">
        <v>0</v>
      </c>
      <c r="P2520" t="b">
        <v>0</v>
      </c>
      <c r="Q2520" t="b">
        <v>0</v>
      </c>
      <c r="R2520" t="b">
        <v>1</v>
      </c>
      <c r="S2520" t="b">
        <v>0</v>
      </c>
      <c r="T2520" t="b">
        <v>0</v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b">
        <v>0</v>
      </c>
      <c r="AB2520" t="b">
        <v>0</v>
      </c>
      <c r="AC2520" t="b">
        <v>1</v>
      </c>
      <c r="AE2520" t="s">
        <v>6248</v>
      </c>
    </row>
    <row r="2521" spans="1:31" x14ac:dyDescent="0.3">
      <c r="A2521">
        <v>-73.954820710630003</v>
      </c>
      <c r="B2521">
        <v>40.794699181239999</v>
      </c>
      <c r="C2521" t="s">
        <v>6249</v>
      </c>
      <c r="D2521" t="s">
        <v>363</v>
      </c>
      <c r="E2521" t="s">
        <v>33</v>
      </c>
      <c r="F2521">
        <v>10132018</v>
      </c>
      <c r="G2521">
        <v>4</v>
      </c>
      <c r="H2521" t="s">
        <v>105</v>
      </c>
      <c r="I2521" t="s">
        <v>42</v>
      </c>
      <c r="J2521" t="s">
        <v>53</v>
      </c>
      <c r="K2521" t="s">
        <v>54</v>
      </c>
      <c r="M2521" t="s">
        <v>65</v>
      </c>
      <c r="N2521" t="b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1</v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b">
        <v>0</v>
      </c>
      <c r="AB2521" t="b">
        <v>0</v>
      </c>
      <c r="AC2521" t="b">
        <v>0</v>
      </c>
      <c r="AE2521" t="s">
        <v>6250</v>
      </c>
    </row>
    <row r="2522" spans="1:31" x14ac:dyDescent="0.3">
      <c r="A2522">
        <v>-73.976869549789996</v>
      </c>
      <c r="B2522">
        <v>40.770698245470001</v>
      </c>
      <c r="C2522" t="s">
        <v>6251</v>
      </c>
      <c r="D2522" t="s">
        <v>88</v>
      </c>
      <c r="E2522" t="s">
        <v>38</v>
      </c>
      <c r="F2522">
        <v>10062018</v>
      </c>
      <c r="G2522">
        <v>4</v>
      </c>
      <c r="H2522" t="s">
        <v>48</v>
      </c>
      <c r="I2522" t="s">
        <v>53</v>
      </c>
      <c r="J2522" t="s">
        <v>42</v>
      </c>
      <c r="K2522" t="s">
        <v>89</v>
      </c>
      <c r="M2522" t="s">
        <v>44</v>
      </c>
      <c r="N2522">
        <v>12</v>
      </c>
      <c r="O2522" t="s">
        <v>6252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s">
        <v>6253</v>
      </c>
      <c r="V2522" t="b">
        <v>0</v>
      </c>
      <c r="W2522" t="b">
        <v>0</v>
      </c>
      <c r="X2522" t="b">
        <v>0</v>
      </c>
      <c r="Y2522" t="b">
        <v>1</v>
      </c>
      <c r="Z2522" t="b">
        <v>0</v>
      </c>
      <c r="AA2522" t="b">
        <v>0</v>
      </c>
      <c r="AB2522" t="b">
        <v>1</v>
      </c>
      <c r="AC2522" t="b">
        <v>0</v>
      </c>
      <c r="AE2522" t="s">
        <v>6254</v>
      </c>
    </row>
    <row r="2523" spans="1:31" x14ac:dyDescent="0.3">
      <c r="A2523">
        <v>-73.965874724589995</v>
      </c>
      <c r="B2523">
        <v>40.775403373750002</v>
      </c>
      <c r="C2523" t="s">
        <v>6255</v>
      </c>
      <c r="D2523" t="s">
        <v>1090</v>
      </c>
      <c r="E2523" t="s">
        <v>33</v>
      </c>
      <c r="F2523">
        <v>10182018</v>
      </c>
      <c r="G2523">
        <v>1</v>
      </c>
      <c r="H2523" t="s">
        <v>105</v>
      </c>
      <c r="I2523" t="s">
        <v>42</v>
      </c>
      <c r="J2523" t="s">
        <v>53</v>
      </c>
      <c r="K2523" t="s">
        <v>54</v>
      </c>
      <c r="M2523" t="s">
        <v>44</v>
      </c>
      <c r="O2523" t="s">
        <v>6256</v>
      </c>
      <c r="P2523" t="b">
        <v>1</v>
      </c>
      <c r="Q2523" t="b">
        <v>0</v>
      </c>
      <c r="R2523" t="b">
        <v>0</v>
      </c>
      <c r="S2523" t="b">
        <v>0</v>
      </c>
      <c r="T2523" t="b">
        <v>1</v>
      </c>
      <c r="V2523" t="b">
        <v>0</v>
      </c>
      <c r="W2523" t="b">
        <v>0</v>
      </c>
      <c r="X2523" t="b">
        <v>0</v>
      </c>
      <c r="Y2523" t="b">
        <v>0</v>
      </c>
      <c r="Z2523" t="b">
        <v>1</v>
      </c>
      <c r="AA2523" t="b">
        <v>0</v>
      </c>
      <c r="AB2523" t="b">
        <v>0</v>
      </c>
      <c r="AC2523" t="b">
        <v>1</v>
      </c>
      <c r="AE2523" t="s">
        <v>6257</v>
      </c>
    </row>
    <row r="2524" spans="1:31" x14ac:dyDescent="0.3">
      <c r="A2524">
        <v>-73.96190163931</v>
      </c>
      <c r="B2524">
        <v>40.792516012690001</v>
      </c>
      <c r="C2524" t="s">
        <v>6258</v>
      </c>
      <c r="D2524" t="s">
        <v>928</v>
      </c>
      <c r="E2524" t="s">
        <v>33</v>
      </c>
      <c r="F2524">
        <v>10102018</v>
      </c>
      <c r="G2524">
        <v>6</v>
      </c>
      <c r="H2524" t="s">
        <v>48</v>
      </c>
      <c r="I2524" t="s">
        <v>53</v>
      </c>
      <c r="J2524" t="s">
        <v>42</v>
      </c>
      <c r="K2524" t="s">
        <v>89</v>
      </c>
      <c r="M2524" t="s">
        <v>65</v>
      </c>
      <c r="N2524" t="b">
        <v>0</v>
      </c>
      <c r="P2524" t="b">
        <v>0</v>
      </c>
      <c r="Q2524" t="b">
        <v>0</v>
      </c>
      <c r="R2524" t="b">
        <v>0</v>
      </c>
      <c r="S2524" t="b">
        <v>0</v>
      </c>
      <c r="T2524" t="b">
        <v>1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b">
        <v>1</v>
      </c>
      <c r="AB2524" t="b">
        <v>0</v>
      </c>
      <c r="AC2524" t="b">
        <v>0</v>
      </c>
      <c r="AE2524" t="s">
        <v>6259</v>
      </c>
    </row>
    <row r="2525" spans="1:31" x14ac:dyDescent="0.3">
      <c r="A2525">
        <v>-73.974387790910001</v>
      </c>
      <c r="B2525">
        <v>40.775470611599999</v>
      </c>
      <c r="C2525" t="s">
        <v>6260</v>
      </c>
      <c r="D2525" t="s">
        <v>41</v>
      </c>
      <c r="E2525" t="s">
        <v>38</v>
      </c>
      <c r="F2525">
        <v>10072018</v>
      </c>
      <c r="G2525">
        <v>3</v>
      </c>
      <c r="H2525" t="s">
        <v>48</v>
      </c>
      <c r="I2525" t="s">
        <v>42</v>
      </c>
      <c r="K2525" t="s">
        <v>43</v>
      </c>
      <c r="M2525" t="s">
        <v>65</v>
      </c>
      <c r="N2525" t="b">
        <v>0</v>
      </c>
      <c r="P2525" t="b">
        <v>0</v>
      </c>
      <c r="Q2525" t="b">
        <v>1</v>
      </c>
      <c r="R2525" t="b">
        <v>0</v>
      </c>
      <c r="S2525" t="b">
        <v>0</v>
      </c>
      <c r="T2525" t="b">
        <v>0</v>
      </c>
      <c r="V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b">
        <v>0</v>
      </c>
      <c r="AB2525" t="b">
        <v>0</v>
      </c>
      <c r="AC2525" t="b">
        <v>0</v>
      </c>
      <c r="AE2525" t="s">
        <v>6261</v>
      </c>
    </row>
    <row r="2526" spans="1:31" x14ac:dyDescent="0.3">
      <c r="A2526">
        <v>-73.961235261149994</v>
      </c>
      <c r="B2526">
        <v>40.794481363469998</v>
      </c>
      <c r="C2526" t="s">
        <v>6262</v>
      </c>
      <c r="D2526" t="s">
        <v>423</v>
      </c>
      <c r="E2526" t="s">
        <v>38</v>
      </c>
      <c r="F2526">
        <v>10102018</v>
      </c>
      <c r="G2526">
        <v>2</v>
      </c>
      <c r="H2526" t="s">
        <v>48</v>
      </c>
      <c r="I2526" t="s">
        <v>42</v>
      </c>
      <c r="J2526" t="s">
        <v>53</v>
      </c>
      <c r="K2526" t="s">
        <v>54</v>
      </c>
      <c r="M2526" t="s">
        <v>65</v>
      </c>
      <c r="N2526" t="b">
        <v>0</v>
      </c>
      <c r="O2526" t="s">
        <v>6263</v>
      </c>
      <c r="P2526" t="b">
        <v>0</v>
      </c>
      <c r="Q2526" t="b">
        <v>0</v>
      </c>
      <c r="R2526" t="b">
        <v>0</v>
      </c>
      <c r="S2526" t="b">
        <v>0</v>
      </c>
      <c r="T2526" t="b">
        <v>1</v>
      </c>
      <c r="V2526" t="b">
        <v>0</v>
      </c>
      <c r="W2526" t="b">
        <v>0</v>
      </c>
      <c r="X2526" t="b">
        <v>0</v>
      </c>
      <c r="Y2526" t="b">
        <v>0</v>
      </c>
      <c r="Z2526" t="b">
        <v>0</v>
      </c>
      <c r="AA2526" t="b">
        <v>0</v>
      </c>
      <c r="AB2526" t="b">
        <v>1</v>
      </c>
      <c r="AC2526" t="b">
        <v>0</v>
      </c>
      <c r="AE2526" t="s">
        <v>6264</v>
      </c>
    </row>
    <row r="2527" spans="1:31" x14ac:dyDescent="0.3">
      <c r="A2527">
        <v>-73.964649545049994</v>
      </c>
      <c r="B2527">
        <v>40.779120369899999</v>
      </c>
      <c r="C2527" t="s">
        <v>6265</v>
      </c>
      <c r="D2527" t="s">
        <v>1015</v>
      </c>
      <c r="E2527" t="s">
        <v>33</v>
      </c>
      <c r="F2527">
        <v>10082018</v>
      </c>
      <c r="G2527">
        <v>1</v>
      </c>
      <c r="H2527" t="s">
        <v>48</v>
      </c>
      <c r="I2527" t="s">
        <v>42</v>
      </c>
      <c r="J2527" t="s">
        <v>59</v>
      </c>
      <c r="K2527" t="s">
        <v>79</v>
      </c>
      <c r="M2527" t="s">
        <v>65</v>
      </c>
      <c r="N2527" t="b">
        <v>0</v>
      </c>
      <c r="P2527" t="b">
        <v>0</v>
      </c>
      <c r="Q2527" t="b">
        <v>0</v>
      </c>
      <c r="R2527" t="b">
        <v>0</v>
      </c>
      <c r="S2527" t="b">
        <v>1</v>
      </c>
      <c r="T2527" t="b">
        <v>0</v>
      </c>
      <c r="V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b">
        <v>0</v>
      </c>
      <c r="AB2527" t="b">
        <v>1</v>
      </c>
      <c r="AC2527" t="b">
        <v>0</v>
      </c>
      <c r="AE2527" t="s">
        <v>6266</v>
      </c>
    </row>
    <row r="2528" spans="1:31" x14ac:dyDescent="0.3">
      <c r="A2528">
        <v>-73.967569760019998</v>
      </c>
      <c r="B2528">
        <v>40.776679741450003</v>
      </c>
      <c r="C2528" t="s">
        <v>6267</v>
      </c>
      <c r="D2528" t="s">
        <v>311</v>
      </c>
      <c r="E2528" t="s">
        <v>33</v>
      </c>
      <c r="F2528">
        <v>10192018</v>
      </c>
      <c r="G2528">
        <v>6</v>
      </c>
      <c r="H2528" t="s">
        <v>48</v>
      </c>
      <c r="I2528" t="s">
        <v>42</v>
      </c>
      <c r="J2528" t="s">
        <v>53</v>
      </c>
      <c r="K2528" t="s">
        <v>54</v>
      </c>
      <c r="M2528" t="s">
        <v>65</v>
      </c>
      <c r="N2528" t="b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1</v>
      </c>
      <c r="U2528" t="s">
        <v>6268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b">
        <v>0</v>
      </c>
      <c r="AB2528" t="b">
        <v>0</v>
      </c>
      <c r="AC2528" t="b">
        <v>0</v>
      </c>
      <c r="AE2528" t="s">
        <v>6269</v>
      </c>
    </row>
    <row r="2529" spans="1:31" x14ac:dyDescent="0.3">
      <c r="A2529">
        <v>-73.967652978070006</v>
      </c>
      <c r="B2529">
        <v>40.782320699049997</v>
      </c>
      <c r="C2529" t="s">
        <v>6270</v>
      </c>
      <c r="D2529" t="s">
        <v>459</v>
      </c>
      <c r="E2529" t="s">
        <v>33</v>
      </c>
      <c r="F2529">
        <v>10082018</v>
      </c>
      <c r="G2529">
        <v>3</v>
      </c>
      <c r="H2529" t="s">
        <v>48</v>
      </c>
      <c r="I2529" t="s">
        <v>42</v>
      </c>
      <c r="J2529" t="s">
        <v>59</v>
      </c>
      <c r="K2529" t="s">
        <v>79</v>
      </c>
      <c r="M2529" t="s">
        <v>44</v>
      </c>
      <c r="N2529">
        <v>4</v>
      </c>
      <c r="P2529" t="b">
        <v>0</v>
      </c>
      <c r="Q2529" t="b">
        <v>0</v>
      </c>
      <c r="R2529" t="b">
        <v>1</v>
      </c>
      <c r="S2529" t="b">
        <v>0</v>
      </c>
      <c r="T2529" t="b">
        <v>0</v>
      </c>
      <c r="V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b">
        <v>0</v>
      </c>
      <c r="AB2529" t="b">
        <v>0</v>
      </c>
      <c r="AC2529" t="b">
        <v>0</v>
      </c>
      <c r="AE2529" t="s">
        <v>6271</v>
      </c>
    </row>
    <row r="2530" spans="1:31" x14ac:dyDescent="0.3">
      <c r="A2530">
        <v>-73.980027148790001</v>
      </c>
      <c r="B2530">
        <v>40.770255416700003</v>
      </c>
      <c r="C2530" t="s">
        <v>6272</v>
      </c>
      <c r="D2530" t="s">
        <v>1362</v>
      </c>
      <c r="E2530" t="s">
        <v>33</v>
      </c>
      <c r="F2530">
        <v>10072018</v>
      </c>
      <c r="G2530">
        <v>6</v>
      </c>
      <c r="H2530" t="s">
        <v>48</v>
      </c>
      <c r="I2530" t="s">
        <v>42</v>
      </c>
      <c r="J2530" t="s">
        <v>59</v>
      </c>
      <c r="K2530" t="s">
        <v>79</v>
      </c>
      <c r="M2530" t="s">
        <v>65</v>
      </c>
      <c r="N2530" t="b">
        <v>0</v>
      </c>
      <c r="O2530" t="s">
        <v>6273</v>
      </c>
      <c r="P2530" t="b">
        <v>0</v>
      </c>
      <c r="Q2530" t="b">
        <v>0</v>
      </c>
      <c r="R2530" t="b">
        <v>0</v>
      </c>
      <c r="S2530" t="b">
        <v>0</v>
      </c>
      <c r="T2530" t="b">
        <v>1</v>
      </c>
      <c r="V2530" t="b">
        <v>0</v>
      </c>
      <c r="W2530" t="b">
        <v>0</v>
      </c>
      <c r="X2530" t="b">
        <v>0</v>
      </c>
      <c r="Y2530" t="b">
        <v>0</v>
      </c>
      <c r="Z2530" t="b">
        <v>1</v>
      </c>
      <c r="AA2530" t="b">
        <v>0</v>
      </c>
      <c r="AB2530" t="b">
        <v>0</v>
      </c>
      <c r="AC2530" t="b">
        <v>0</v>
      </c>
      <c r="AE2530" t="s">
        <v>6274</v>
      </c>
    </row>
    <row r="2531" spans="1:31" x14ac:dyDescent="0.3">
      <c r="A2531">
        <v>-73.956107682449996</v>
      </c>
      <c r="B2531">
        <v>40.798114578049997</v>
      </c>
      <c r="C2531" t="s">
        <v>6275</v>
      </c>
      <c r="D2531" t="s">
        <v>428</v>
      </c>
      <c r="E2531" t="s">
        <v>38</v>
      </c>
      <c r="F2531">
        <v>10132018</v>
      </c>
      <c r="G2531">
        <v>1</v>
      </c>
      <c r="H2531" t="s">
        <v>48</v>
      </c>
      <c r="I2531" t="s">
        <v>42</v>
      </c>
      <c r="J2531" t="s">
        <v>53</v>
      </c>
      <c r="K2531" t="s">
        <v>54</v>
      </c>
      <c r="M2531" t="s">
        <v>65</v>
      </c>
      <c r="N2531" t="b">
        <v>0</v>
      </c>
      <c r="P2531" t="b">
        <v>1</v>
      </c>
      <c r="Q2531" t="b">
        <v>0</v>
      </c>
      <c r="R2531" t="b">
        <v>0</v>
      </c>
      <c r="S2531" t="b">
        <v>0</v>
      </c>
      <c r="T2531" t="b">
        <v>0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b">
        <v>0</v>
      </c>
      <c r="AB2531" t="b">
        <v>1</v>
      </c>
      <c r="AC2531" t="b">
        <v>0</v>
      </c>
      <c r="AE2531" t="s">
        <v>6276</v>
      </c>
    </row>
    <row r="2532" spans="1:31" x14ac:dyDescent="0.3">
      <c r="A2532">
        <v>-73.959942411559993</v>
      </c>
      <c r="B2532">
        <v>40.79574725853</v>
      </c>
      <c r="C2532" t="s">
        <v>6277</v>
      </c>
      <c r="D2532" t="s">
        <v>969</v>
      </c>
      <c r="E2532" t="s">
        <v>38</v>
      </c>
      <c r="F2532">
        <v>10182018</v>
      </c>
      <c r="G2532">
        <v>5</v>
      </c>
      <c r="H2532" t="s">
        <v>48</v>
      </c>
      <c r="I2532" t="s">
        <v>42</v>
      </c>
      <c r="J2532" t="s">
        <v>53</v>
      </c>
      <c r="K2532" t="s">
        <v>54</v>
      </c>
      <c r="M2532" t="s">
        <v>65</v>
      </c>
      <c r="N2532" t="b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1</v>
      </c>
      <c r="V2532" t="b">
        <v>0</v>
      </c>
      <c r="W2532" t="b">
        <v>0</v>
      </c>
      <c r="X2532" t="b">
        <v>0</v>
      </c>
      <c r="Y2532" t="b">
        <v>0</v>
      </c>
      <c r="Z2532" t="b">
        <v>0</v>
      </c>
      <c r="AA2532" t="b">
        <v>0</v>
      </c>
      <c r="AB2532" t="b">
        <v>1</v>
      </c>
      <c r="AC2532" t="b">
        <v>0</v>
      </c>
      <c r="AE2532" t="s">
        <v>6278</v>
      </c>
    </row>
    <row r="2533" spans="1:31" x14ac:dyDescent="0.3">
      <c r="A2533">
        <v>-73.969515031989999</v>
      </c>
      <c r="B2533">
        <v>40.782613519359998</v>
      </c>
      <c r="C2533" t="s">
        <v>6279</v>
      </c>
      <c r="D2533" t="s">
        <v>78</v>
      </c>
      <c r="E2533" t="s">
        <v>33</v>
      </c>
      <c r="F2533">
        <v>10132018</v>
      </c>
      <c r="G2533">
        <v>4</v>
      </c>
      <c r="H2533" t="s">
        <v>48</v>
      </c>
      <c r="I2533" t="s">
        <v>42</v>
      </c>
      <c r="J2533" t="s">
        <v>59</v>
      </c>
      <c r="K2533" t="s">
        <v>79</v>
      </c>
      <c r="M2533" t="s">
        <v>65</v>
      </c>
      <c r="N2533" t="b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1</v>
      </c>
      <c r="U2533" t="s">
        <v>6280</v>
      </c>
      <c r="V2533" t="b">
        <v>0</v>
      </c>
      <c r="W2533" t="b">
        <v>0</v>
      </c>
      <c r="X2533" t="b">
        <v>0</v>
      </c>
      <c r="Y2533" t="b">
        <v>0</v>
      </c>
      <c r="Z2533" t="b">
        <v>1</v>
      </c>
      <c r="AA2533" t="b">
        <v>0</v>
      </c>
      <c r="AB2533" t="b">
        <v>0</v>
      </c>
      <c r="AC2533" t="b">
        <v>0</v>
      </c>
      <c r="AE2533" t="s">
        <v>6281</v>
      </c>
    </row>
    <row r="2534" spans="1:31" x14ac:dyDescent="0.3">
      <c r="A2534">
        <v>-73.976619569709996</v>
      </c>
      <c r="B2534">
        <v>40.766190726150001</v>
      </c>
      <c r="C2534" t="s">
        <v>6282</v>
      </c>
      <c r="D2534" t="s">
        <v>1859</v>
      </c>
      <c r="E2534" t="s">
        <v>38</v>
      </c>
      <c r="F2534">
        <v>10102018</v>
      </c>
      <c r="G2534">
        <v>4</v>
      </c>
      <c r="H2534" t="s">
        <v>48</v>
      </c>
      <c r="I2534" t="s">
        <v>42</v>
      </c>
      <c r="K2534" t="s">
        <v>43</v>
      </c>
      <c r="M2534" t="s">
        <v>65</v>
      </c>
      <c r="N2534" t="b">
        <v>0</v>
      </c>
      <c r="P2534" t="b">
        <v>0</v>
      </c>
      <c r="Q2534" t="b">
        <v>0</v>
      </c>
      <c r="R2534" t="b">
        <v>0</v>
      </c>
      <c r="S2534" t="b">
        <v>1</v>
      </c>
      <c r="T2534" t="b">
        <v>0</v>
      </c>
      <c r="V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b">
        <v>0</v>
      </c>
      <c r="AB2534" t="b">
        <v>1</v>
      </c>
      <c r="AC2534" t="b">
        <v>0</v>
      </c>
      <c r="AE2534" t="s">
        <v>6283</v>
      </c>
    </row>
    <row r="2535" spans="1:31" x14ac:dyDescent="0.3">
      <c r="A2535">
        <v>-73.974436803870006</v>
      </c>
      <c r="B2535">
        <v>40.767428195809998</v>
      </c>
      <c r="C2535" t="s">
        <v>6284</v>
      </c>
      <c r="D2535" t="s">
        <v>660</v>
      </c>
      <c r="E2535" t="s">
        <v>33</v>
      </c>
      <c r="F2535">
        <v>10132018</v>
      </c>
      <c r="G2535">
        <v>3</v>
      </c>
      <c r="H2535" t="s">
        <v>48</v>
      </c>
      <c r="I2535" t="s">
        <v>42</v>
      </c>
      <c r="K2535" t="s">
        <v>43</v>
      </c>
      <c r="M2535" t="s">
        <v>65</v>
      </c>
      <c r="N2535" t="b">
        <v>0</v>
      </c>
      <c r="P2535" t="b">
        <v>0</v>
      </c>
      <c r="Q2535" t="b">
        <v>0</v>
      </c>
      <c r="R2535" t="b">
        <v>1</v>
      </c>
      <c r="S2535" t="b">
        <v>0</v>
      </c>
      <c r="T2535" t="b">
        <v>0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b">
        <v>0</v>
      </c>
      <c r="AB2535" t="b">
        <v>0</v>
      </c>
      <c r="AC2535" t="b">
        <v>1</v>
      </c>
      <c r="AD2535" t="s">
        <v>6285</v>
      </c>
      <c r="AE2535" t="s">
        <v>6286</v>
      </c>
    </row>
    <row r="2536" spans="1:31" x14ac:dyDescent="0.3">
      <c r="A2536">
        <v>-73.970010110730001</v>
      </c>
      <c r="B2536">
        <v>40.769672950109999</v>
      </c>
      <c r="C2536" t="s">
        <v>6287</v>
      </c>
      <c r="D2536" t="s">
        <v>1310</v>
      </c>
      <c r="E2536" t="s">
        <v>33</v>
      </c>
      <c r="F2536">
        <v>10132018</v>
      </c>
      <c r="G2536">
        <v>8</v>
      </c>
      <c r="H2536" t="s">
        <v>48</v>
      </c>
      <c r="I2536" t="s">
        <v>176</v>
      </c>
      <c r="K2536" t="s">
        <v>177</v>
      </c>
      <c r="M2536" t="s">
        <v>44</v>
      </c>
      <c r="N2536">
        <v>4</v>
      </c>
      <c r="P2536" t="b">
        <v>0</v>
      </c>
      <c r="Q2536" t="b">
        <v>0</v>
      </c>
      <c r="R2536" t="b">
        <v>1</v>
      </c>
      <c r="S2536" t="b">
        <v>0</v>
      </c>
      <c r="T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1</v>
      </c>
      <c r="AA2536" t="b">
        <v>0</v>
      </c>
      <c r="AB2536" t="b">
        <v>0</v>
      </c>
      <c r="AC2536" t="b">
        <v>0</v>
      </c>
      <c r="AE2536" t="s">
        <v>6288</v>
      </c>
    </row>
    <row r="2537" spans="1:31" x14ac:dyDescent="0.3">
      <c r="A2537">
        <v>-73.968508728809994</v>
      </c>
      <c r="B2537">
        <v>40.777906812810002</v>
      </c>
      <c r="C2537" t="s">
        <v>6289</v>
      </c>
      <c r="D2537" t="s">
        <v>256</v>
      </c>
      <c r="E2537" t="s">
        <v>38</v>
      </c>
      <c r="F2537">
        <v>10142018</v>
      </c>
      <c r="G2537">
        <v>1</v>
      </c>
      <c r="H2537" t="s">
        <v>48</v>
      </c>
      <c r="I2537" t="s">
        <v>42</v>
      </c>
      <c r="J2537" t="s">
        <v>53</v>
      </c>
      <c r="K2537" t="s">
        <v>54</v>
      </c>
      <c r="M2537" t="s">
        <v>65</v>
      </c>
      <c r="N2537" t="b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s">
        <v>6290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b">
        <v>1</v>
      </c>
      <c r="AB2537" t="b">
        <v>0</v>
      </c>
      <c r="AC2537" t="b">
        <v>0</v>
      </c>
      <c r="AE2537" t="s">
        <v>6291</v>
      </c>
    </row>
    <row r="2538" spans="1:31" x14ac:dyDescent="0.3">
      <c r="A2538">
        <v>-73.973553371349993</v>
      </c>
      <c r="B2538">
        <v>40.769060560900002</v>
      </c>
      <c r="C2538" t="s">
        <v>6292</v>
      </c>
      <c r="D2538" t="s">
        <v>250</v>
      </c>
      <c r="E2538" t="s">
        <v>33</v>
      </c>
      <c r="F2538">
        <v>10072018</v>
      </c>
      <c r="G2538">
        <v>5</v>
      </c>
      <c r="H2538" t="s">
        <v>48</v>
      </c>
      <c r="I2538" t="s">
        <v>42</v>
      </c>
      <c r="J2538" t="s">
        <v>53</v>
      </c>
      <c r="K2538" t="s">
        <v>54</v>
      </c>
      <c r="M2538" t="s">
        <v>65</v>
      </c>
      <c r="N2538" t="b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1</v>
      </c>
      <c r="V2538" t="b">
        <v>0</v>
      </c>
      <c r="W2538" t="b">
        <v>0</v>
      </c>
      <c r="X2538" t="b">
        <v>0</v>
      </c>
      <c r="Y2538" t="b">
        <v>0</v>
      </c>
      <c r="Z2538" t="b">
        <v>0</v>
      </c>
      <c r="AA2538" t="b">
        <v>0</v>
      </c>
      <c r="AB2538" t="b">
        <v>1</v>
      </c>
      <c r="AC2538" t="b">
        <v>0</v>
      </c>
      <c r="AE2538" t="s">
        <v>6293</v>
      </c>
    </row>
    <row r="2539" spans="1:31" x14ac:dyDescent="0.3">
      <c r="A2539">
        <v>-73.979698541090002</v>
      </c>
      <c r="B2539">
        <v>40.767861283510001</v>
      </c>
      <c r="C2539" t="s">
        <v>6294</v>
      </c>
      <c r="D2539" t="s">
        <v>851</v>
      </c>
      <c r="E2539" t="s">
        <v>38</v>
      </c>
      <c r="F2539">
        <v>10122018</v>
      </c>
      <c r="G2539">
        <v>1</v>
      </c>
      <c r="H2539" t="s">
        <v>48</v>
      </c>
      <c r="I2539" t="s">
        <v>42</v>
      </c>
      <c r="K2539" t="s">
        <v>43</v>
      </c>
      <c r="M2539" t="s">
        <v>65</v>
      </c>
      <c r="N2539" t="b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1</v>
      </c>
      <c r="V2539" t="b">
        <v>0</v>
      </c>
      <c r="W2539" t="b">
        <v>0</v>
      </c>
      <c r="X2539" t="b">
        <v>0</v>
      </c>
      <c r="Y2539" t="b">
        <v>0</v>
      </c>
      <c r="Z2539" t="b">
        <v>0</v>
      </c>
      <c r="AA2539" t="b">
        <v>0</v>
      </c>
      <c r="AB2539" t="b">
        <v>1</v>
      </c>
      <c r="AC2539" t="b">
        <v>0</v>
      </c>
      <c r="AE2539" t="s">
        <v>6295</v>
      </c>
    </row>
    <row r="2540" spans="1:31" x14ac:dyDescent="0.3">
      <c r="A2540">
        <v>-73.978103344849998</v>
      </c>
      <c r="B2540">
        <v>40.766672406620003</v>
      </c>
      <c r="C2540" t="s">
        <v>6296</v>
      </c>
      <c r="D2540" t="s">
        <v>1278</v>
      </c>
      <c r="E2540" t="s">
        <v>38</v>
      </c>
      <c r="F2540">
        <v>10062018</v>
      </c>
      <c r="G2540">
        <v>3</v>
      </c>
      <c r="H2540" t="s">
        <v>48</v>
      </c>
      <c r="I2540" t="s">
        <v>53</v>
      </c>
      <c r="J2540" t="s">
        <v>59</v>
      </c>
      <c r="K2540" t="s">
        <v>60</v>
      </c>
      <c r="M2540" t="s">
        <v>65</v>
      </c>
      <c r="N2540" t="b">
        <v>0</v>
      </c>
      <c r="P2540" t="b">
        <v>0</v>
      </c>
      <c r="Q2540" t="b">
        <v>0</v>
      </c>
      <c r="R2540" t="b">
        <v>0</v>
      </c>
      <c r="S2540" t="b">
        <v>0</v>
      </c>
      <c r="T2540" t="b">
        <v>1</v>
      </c>
      <c r="V2540" t="b">
        <v>0</v>
      </c>
      <c r="W2540" t="b">
        <v>0</v>
      </c>
      <c r="X2540" t="b">
        <v>0</v>
      </c>
      <c r="Y2540" t="b">
        <v>0</v>
      </c>
      <c r="Z2540" t="b">
        <v>1</v>
      </c>
      <c r="AA2540" t="b">
        <v>0</v>
      </c>
      <c r="AB2540" t="b">
        <v>1</v>
      </c>
      <c r="AC2540" t="b">
        <v>0</v>
      </c>
      <c r="AE2540" t="s">
        <v>6297</v>
      </c>
    </row>
    <row r="2541" spans="1:31" x14ac:dyDescent="0.3">
      <c r="A2541">
        <v>-73.959127912789995</v>
      </c>
      <c r="B2541">
        <v>40.792119713040002</v>
      </c>
      <c r="C2541" t="s">
        <v>6298</v>
      </c>
      <c r="D2541" t="s">
        <v>1211</v>
      </c>
      <c r="E2541" t="s">
        <v>38</v>
      </c>
      <c r="F2541">
        <v>10142018</v>
      </c>
      <c r="G2541">
        <v>13</v>
      </c>
      <c r="H2541" t="s">
        <v>48</v>
      </c>
      <c r="I2541" t="s">
        <v>176</v>
      </c>
      <c r="J2541" t="s">
        <v>53</v>
      </c>
      <c r="K2541" t="s">
        <v>705</v>
      </c>
      <c r="L2541" t="s">
        <v>6299</v>
      </c>
      <c r="M2541" t="s">
        <v>65</v>
      </c>
      <c r="N2541" t="b">
        <v>0</v>
      </c>
      <c r="P2541" t="b">
        <v>0</v>
      </c>
      <c r="Q2541" t="b">
        <v>0</v>
      </c>
      <c r="R2541" t="b">
        <v>0</v>
      </c>
      <c r="S2541" t="b">
        <v>0</v>
      </c>
      <c r="T2541" t="b">
        <v>0</v>
      </c>
      <c r="U2541" t="s">
        <v>121</v>
      </c>
      <c r="V2541" t="b">
        <v>0</v>
      </c>
      <c r="W2541" t="b">
        <v>0</v>
      </c>
      <c r="X2541" t="b">
        <v>0</v>
      </c>
      <c r="Y2541" t="b">
        <v>0</v>
      </c>
      <c r="Z2541" t="b">
        <v>0</v>
      </c>
      <c r="AA2541" t="b">
        <v>0</v>
      </c>
      <c r="AB2541" t="b">
        <v>1</v>
      </c>
      <c r="AC2541" t="b">
        <v>0</v>
      </c>
      <c r="AE2541" t="s">
        <v>6300</v>
      </c>
    </row>
    <row r="2542" spans="1:31" x14ac:dyDescent="0.3">
      <c r="A2542">
        <v>-73.957909710430002</v>
      </c>
      <c r="B2542">
        <v>40.797227339469998</v>
      </c>
      <c r="C2542" t="s">
        <v>6301</v>
      </c>
      <c r="D2542" t="s">
        <v>218</v>
      </c>
      <c r="E2542" t="s">
        <v>38</v>
      </c>
      <c r="F2542">
        <v>10172018</v>
      </c>
      <c r="G2542">
        <v>3</v>
      </c>
      <c r="H2542" t="s">
        <v>48</v>
      </c>
      <c r="I2542" t="s">
        <v>42</v>
      </c>
      <c r="J2542" t="s">
        <v>176</v>
      </c>
      <c r="K2542" t="s">
        <v>339</v>
      </c>
      <c r="M2542" t="s">
        <v>65</v>
      </c>
      <c r="N2542" t="b">
        <v>0</v>
      </c>
      <c r="P2542" t="b">
        <v>0</v>
      </c>
      <c r="Q2542" t="b">
        <v>0</v>
      </c>
      <c r="R2542" t="b">
        <v>0</v>
      </c>
      <c r="S2542" t="b">
        <v>0</v>
      </c>
      <c r="T2542" t="b">
        <v>1</v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b">
        <v>0</v>
      </c>
      <c r="AB2542" t="b">
        <v>0</v>
      </c>
      <c r="AC2542" t="b">
        <v>1</v>
      </c>
      <c r="AE2542" t="s">
        <v>6302</v>
      </c>
    </row>
    <row r="2543" spans="1:31" x14ac:dyDescent="0.3">
      <c r="A2543">
        <v>-73.975480213889995</v>
      </c>
      <c r="B2543">
        <v>40.773300804409999</v>
      </c>
      <c r="C2543" t="s">
        <v>6303</v>
      </c>
      <c r="D2543" t="s">
        <v>1401</v>
      </c>
      <c r="E2543" t="s">
        <v>33</v>
      </c>
      <c r="F2543">
        <v>10062018</v>
      </c>
      <c r="G2543">
        <v>3</v>
      </c>
      <c r="H2543" t="s">
        <v>48</v>
      </c>
      <c r="I2543" t="s">
        <v>42</v>
      </c>
      <c r="J2543" t="s">
        <v>59</v>
      </c>
      <c r="K2543" t="s">
        <v>79</v>
      </c>
      <c r="M2543" t="s">
        <v>44</v>
      </c>
      <c r="N2543">
        <v>15</v>
      </c>
      <c r="P2543" t="b">
        <v>0</v>
      </c>
      <c r="Q2543" t="b">
        <v>1</v>
      </c>
      <c r="R2543" t="b">
        <v>0</v>
      </c>
      <c r="S2543" t="b">
        <v>0</v>
      </c>
      <c r="T2543" t="b">
        <v>0</v>
      </c>
      <c r="V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b">
        <v>0</v>
      </c>
      <c r="AB2543" t="b">
        <v>1</v>
      </c>
      <c r="AC2543" t="b">
        <v>0</v>
      </c>
      <c r="AE2543" t="s">
        <v>6304</v>
      </c>
    </row>
    <row r="2544" spans="1:31" x14ac:dyDescent="0.3">
      <c r="A2544">
        <v>-73.969142499789996</v>
      </c>
      <c r="B2544">
        <v>40.780542852499998</v>
      </c>
      <c r="C2544" t="s">
        <v>6305</v>
      </c>
      <c r="D2544" t="s">
        <v>622</v>
      </c>
      <c r="E2544" t="s">
        <v>38</v>
      </c>
      <c r="F2544">
        <v>10182018</v>
      </c>
      <c r="G2544">
        <v>2</v>
      </c>
      <c r="H2544" t="s">
        <v>48</v>
      </c>
      <c r="I2544" t="s">
        <v>42</v>
      </c>
      <c r="J2544" t="s">
        <v>53</v>
      </c>
      <c r="K2544" t="s">
        <v>54</v>
      </c>
      <c r="M2544" t="s">
        <v>65</v>
      </c>
      <c r="N2544" t="b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b">
        <v>0</v>
      </c>
      <c r="AB2544" t="b">
        <v>1</v>
      </c>
      <c r="AC2544" t="b">
        <v>0</v>
      </c>
      <c r="AE2544" t="s">
        <v>6306</v>
      </c>
    </row>
    <row r="2545" spans="1:31" x14ac:dyDescent="0.3">
      <c r="A2545">
        <v>-73.971368083770002</v>
      </c>
      <c r="B2545">
        <v>40.777166150840003</v>
      </c>
      <c r="C2545" t="s">
        <v>6307</v>
      </c>
      <c r="D2545" t="s">
        <v>729</v>
      </c>
      <c r="E2545" t="s">
        <v>33</v>
      </c>
      <c r="F2545">
        <v>10192018</v>
      </c>
      <c r="G2545">
        <v>3</v>
      </c>
      <c r="H2545" t="s">
        <v>105</v>
      </c>
      <c r="I2545" t="s">
        <v>42</v>
      </c>
      <c r="J2545" t="s">
        <v>53</v>
      </c>
      <c r="K2545" t="s">
        <v>54</v>
      </c>
      <c r="M2545" t="s">
        <v>65</v>
      </c>
      <c r="N2545" t="b">
        <v>0</v>
      </c>
      <c r="P2545" t="b">
        <v>0</v>
      </c>
      <c r="Q2545" t="b">
        <v>0</v>
      </c>
      <c r="R2545" t="b">
        <v>0</v>
      </c>
      <c r="S2545" t="b">
        <v>0</v>
      </c>
      <c r="T2545" t="b">
        <v>1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b">
        <v>0</v>
      </c>
      <c r="AB2545" t="b">
        <v>0</v>
      </c>
      <c r="AC2545" t="b">
        <v>1</v>
      </c>
      <c r="AE2545" t="s">
        <v>6308</v>
      </c>
    </row>
    <row r="2546" spans="1:31" x14ac:dyDescent="0.3">
      <c r="A2546">
        <v>-73.961759431679994</v>
      </c>
      <c r="B2546">
        <v>40.794680372519998</v>
      </c>
      <c r="C2546" t="s">
        <v>6309</v>
      </c>
      <c r="D2546" t="s">
        <v>286</v>
      </c>
      <c r="E2546" t="s">
        <v>38</v>
      </c>
      <c r="F2546">
        <v>10142018</v>
      </c>
      <c r="G2546">
        <v>1</v>
      </c>
      <c r="H2546" t="s">
        <v>48</v>
      </c>
      <c r="I2546" t="s">
        <v>42</v>
      </c>
      <c r="J2546" t="s">
        <v>59</v>
      </c>
      <c r="K2546" t="s">
        <v>79</v>
      </c>
      <c r="M2546" t="s">
        <v>65</v>
      </c>
      <c r="N2546" t="b">
        <v>0</v>
      </c>
      <c r="P2546" t="b">
        <v>1</v>
      </c>
      <c r="Q2546" t="b">
        <v>0</v>
      </c>
      <c r="R2546" t="b">
        <v>0</v>
      </c>
      <c r="S2546" t="b">
        <v>1</v>
      </c>
      <c r="T2546" t="b">
        <v>0</v>
      </c>
      <c r="V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b">
        <v>0</v>
      </c>
      <c r="AB2546" t="b">
        <v>1</v>
      </c>
      <c r="AC2546" t="b">
        <v>0</v>
      </c>
      <c r="AE2546" t="s">
        <v>6310</v>
      </c>
    </row>
    <row r="2547" spans="1:31" x14ac:dyDescent="0.3">
      <c r="A2547">
        <v>-73.966026736589995</v>
      </c>
      <c r="B2547">
        <v>40.776444395509998</v>
      </c>
      <c r="C2547" t="s">
        <v>6311</v>
      </c>
      <c r="D2547" t="s">
        <v>1525</v>
      </c>
      <c r="E2547" t="s">
        <v>38</v>
      </c>
      <c r="F2547">
        <v>10072018</v>
      </c>
      <c r="G2547">
        <v>1</v>
      </c>
      <c r="H2547" t="s">
        <v>48</v>
      </c>
      <c r="I2547" t="s">
        <v>42</v>
      </c>
      <c r="K2547" t="s">
        <v>43</v>
      </c>
      <c r="M2547" t="s">
        <v>65</v>
      </c>
      <c r="N2547" t="b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b">
        <v>0</v>
      </c>
      <c r="AB2547" t="b">
        <v>0</v>
      </c>
      <c r="AC2547" t="b">
        <v>0</v>
      </c>
      <c r="AE2547" t="s">
        <v>6312</v>
      </c>
    </row>
    <row r="2548" spans="1:31" x14ac:dyDescent="0.3">
      <c r="A2548">
        <v>-73.974339374699994</v>
      </c>
      <c r="B2548">
        <v>40.767634679830003</v>
      </c>
      <c r="C2548" t="s">
        <v>6313</v>
      </c>
      <c r="D2548" t="s">
        <v>1701</v>
      </c>
      <c r="E2548" t="s">
        <v>38</v>
      </c>
      <c r="F2548">
        <v>10062018</v>
      </c>
      <c r="G2548">
        <v>12</v>
      </c>
      <c r="H2548" t="s">
        <v>105</v>
      </c>
      <c r="I2548" t="s">
        <v>53</v>
      </c>
      <c r="J2548" t="s">
        <v>59</v>
      </c>
      <c r="K2548" t="s">
        <v>60</v>
      </c>
      <c r="M2548" t="s">
        <v>65</v>
      </c>
      <c r="N2548" t="b">
        <v>0</v>
      </c>
      <c r="P2548" t="b">
        <v>0</v>
      </c>
      <c r="Q2548" t="b">
        <v>0</v>
      </c>
      <c r="R2548" t="b">
        <v>0</v>
      </c>
      <c r="S2548" t="b">
        <v>0</v>
      </c>
      <c r="T2548" t="b">
        <v>1</v>
      </c>
      <c r="V2548" t="b">
        <v>0</v>
      </c>
      <c r="W2548" t="b">
        <v>0</v>
      </c>
      <c r="X2548" t="b">
        <v>0</v>
      </c>
      <c r="Y2548" t="b">
        <v>1</v>
      </c>
      <c r="Z2548" t="b">
        <v>0</v>
      </c>
      <c r="AA2548" t="b">
        <v>0</v>
      </c>
      <c r="AB2548" t="b">
        <v>1</v>
      </c>
      <c r="AC2548" t="b">
        <v>0</v>
      </c>
      <c r="AE2548" t="s">
        <v>6314</v>
      </c>
    </row>
    <row r="2549" spans="1:31" x14ac:dyDescent="0.3">
      <c r="A2549">
        <v>-73.970357149159994</v>
      </c>
      <c r="B2549">
        <v>40.767851562510003</v>
      </c>
      <c r="C2549" t="s">
        <v>6315</v>
      </c>
      <c r="D2549" t="s">
        <v>704</v>
      </c>
      <c r="E2549" t="s">
        <v>38</v>
      </c>
      <c r="F2549">
        <v>10102018</v>
      </c>
      <c r="G2549">
        <v>6</v>
      </c>
      <c r="H2549" t="s">
        <v>48</v>
      </c>
      <c r="I2549" t="s">
        <v>42</v>
      </c>
      <c r="K2549" t="s">
        <v>43</v>
      </c>
      <c r="M2549" t="s">
        <v>65</v>
      </c>
      <c r="N2549" t="b">
        <v>0</v>
      </c>
      <c r="P2549" t="b">
        <v>0</v>
      </c>
      <c r="Q2549" t="b">
        <v>0</v>
      </c>
      <c r="R2549" t="b">
        <v>0</v>
      </c>
      <c r="S2549" t="b">
        <v>0</v>
      </c>
      <c r="T2549" t="b">
        <v>1</v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b">
        <v>0</v>
      </c>
      <c r="AB2549" t="b">
        <v>1</v>
      </c>
      <c r="AC2549" t="b">
        <v>0</v>
      </c>
      <c r="AE2549" t="s">
        <v>6316</v>
      </c>
    </row>
    <row r="2550" spans="1:31" x14ac:dyDescent="0.3">
      <c r="A2550">
        <v>-73.972248505760007</v>
      </c>
      <c r="B2550">
        <v>40.765904369300003</v>
      </c>
      <c r="C2550" t="s">
        <v>6317</v>
      </c>
      <c r="D2550" t="s">
        <v>985</v>
      </c>
      <c r="E2550" t="s">
        <v>33</v>
      </c>
      <c r="F2550">
        <v>10132018</v>
      </c>
      <c r="G2550">
        <v>1</v>
      </c>
      <c r="H2550" t="s">
        <v>48</v>
      </c>
      <c r="I2550" t="s">
        <v>176</v>
      </c>
      <c r="K2550" t="s">
        <v>177</v>
      </c>
      <c r="M2550" t="s">
        <v>65</v>
      </c>
      <c r="N2550" t="b">
        <v>0</v>
      </c>
      <c r="P2550" t="b">
        <v>0</v>
      </c>
      <c r="Q2550" t="b">
        <v>0</v>
      </c>
      <c r="R2550" t="b">
        <v>0</v>
      </c>
      <c r="S2550" t="b">
        <v>1</v>
      </c>
      <c r="T2550" t="b">
        <v>1</v>
      </c>
      <c r="V2550" t="b">
        <v>0</v>
      </c>
      <c r="W2550" t="b">
        <v>0</v>
      </c>
      <c r="X2550" t="b">
        <v>0</v>
      </c>
      <c r="Y2550" t="b">
        <v>0</v>
      </c>
      <c r="Z2550" t="b">
        <v>0</v>
      </c>
      <c r="AA2550" t="b">
        <v>0</v>
      </c>
      <c r="AB2550" t="b">
        <v>1</v>
      </c>
      <c r="AC2550" t="b">
        <v>0</v>
      </c>
      <c r="AE2550" t="s">
        <v>6318</v>
      </c>
    </row>
    <row r="2551" spans="1:31" x14ac:dyDescent="0.3">
      <c r="A2551">
        <v>-73.969480574550005</v>
      </c>
      <c r="B2551">
        <v>40.774355690279997</v>
      </c>
      <c r="C2551" t="s">
        <v>6319</v>
      </c>
      <c r="D2551" t="s">
        <v>646</v>
      </c>
      <c r="E2551" t="s">
        <v>38</v>
      </c>
      <c r="F2551">
        <v>10202018</v>
      </c>
      <c r="G2551">
        <v>1</v>
      </c>
      <c r="H2551" t="s">
        <v>48</v>
      </c>
      <c r="I2551" t="s">
        <v>53</v>
      </c>
      <c r="J2551" t="s">
        <v>59</v>
      </c>
      <c r="K2551" t="s">
        <v>60</v>
      </c>
      <c r="M2551" t="s">
        <v>44</v>
      </c>
      <c r="N2551">
        <v>17</v>
      </c>
      <c r="O2551" t="s">
        <v>2865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s">
        <v>685</v>
      </c>
      <c r="V2551" t="b">
        <v>0</v>
      </c>
      <c r="W2551" t="b">
        <v>0</v>
      </c>
      <c r="X2551" t="b">
        <v>0</v>
      </c>
      <c r="Y2551" t="b">
        <v>0</v>
      </c>
      <c r="Z2551" t="b">
        <v>0</v>
      </c>
      <c r="AA2551" t="b">
        <v>0</v>
      </c>
      <c r="AB2551" t="b">
        <v>0</v>
      </c>
      <c r="AC2551" t="b">
        <v>0</v>
      </c>
      <c r="AE2551" t="s">
        <v>6320</v>
      </c>
    </row>
    <row r="2552" spans="1:31" x14ac:dyDescent="0.3">
      <c r="A2552">
        <v>-73.970138810250006</v>
      </c>
      <c r="B2552">
        <v>40.770579297639998</v>
      </c>
      <c r="C2552" t="s">
        <v>6321</v>
      </c>
      <c r="D2552" t="s">
        <v>183</v>
      </c>
      <c r="E2552" t="s">
        <v>33</v>
      </c>
      <c r="F2552">
        <v>10142018</v>
      </c>
      <c r="G2552">
        <v>2</v>
      </c>
      <c r="H2552" t="s">
        <v>48</v>
      </c>
      <c r="I2552" t="s">
        <v>42</v>
      </c>
      <c r="J2552" t="s">
        <v>59</v>
      </c>
      <c r="K2552" t="s">
        <v>79</v>
      </c>
      <c r="M2552" t="s">
        <v>65</v>
      </c>
      <c r="N2552" t="b">
        <v>0</v>
      </c>
      <c r="P2552" t="b">
        <v>0</v>
      </c>
      <c r="Q2552" t="b">
        <v>0</v>
      </c>
      <c r="R2552" t="b">
        <v>0</v>
      </c>
      <c r="S2552" t="b">
        <v>1</v>
      </c>
      <c r="T2552" t="b">
        <v>0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b">
        <v>0</v>
      </c>
      <c r="AB2552" t="b">
        <v>0</v>
      </c>
      <c r="AC2552" t="b">
        <v>0</v>
      </c>
      <c r="AD2552" t="s">
        <v>6322</v>
      </c>
      <c r="AE2552" t="s">
        <v>6323</v>
      </c>
    </row>
    <row r="2553" spans="1:31" x14ac:dyDescent="0.3">
      <c r="A2553">
        <v>-73.972494771070004</v>
      </c>
      <c r="B2553">
        <v>40.769661934090003</v>
      </c>
      <c r="C2553" t="s">
        <v>6324</v>
      </c>
      <c r="D2553" t="s">
        <v>221</v>
      </c>
      <c r="E2553" t="s">
        <v>38</v>
      </c>
      <c r="F2553">
        <v>10082018</v>
      </c>
      <c r="G2553">
        <v>5</v>
      </c>
      <c r="H2553" t="s">
        <v>48</v>
      </c>
      <c r="I2553" t="s">
        <v>42</v>
      </c>
      <c r="K2553" t="s">
        <v>43</v>
      </c>
      <c r="M2553" t="s">
        <v>44</v>
      </c>
      <c r="N2553">
        <v>30</v>
      </c>
      <c r="O2553" t="s">
        <v>3931</v>
      </c>
      <c r="P2553" t="b">
        <v>0</v>
      </c>
      <c r="Q2553" t="b">
        <v>0</v>
      </c>
      <c r="R2553" t="b">
        <v>1</v>
      </c>
      <c r="S2553" t="b">
        <v>0</v>
      </c>
      <c r="T2553" t="b">
        <v>0</v>
      </c>
      <c r="U2553" t="s">
        <v>121</v>
      </c>
      <c r="V2553" t="b">
        <v>0</v>
      </c>
      <c r="W2553" t="b">
        <v>0</v>
      </c>
      <c r="X2553" t="b">
        <v>0</v>
      </c>
      <c r="Y2553" t="b">
        <v>0</v>
      </c>
      <c r="Z2553" t="b">
        <v>0</v>
      </c>
      <c r="AA2553" t="b">
        <v>0</v>
      </c>
      <c r="AB2553" t="b">
        <v>1</v>
      </c>
      <c r="AC2553" t="b">
        <v>0</v>
      </c>
      <c r="AE2553" t="s">
        <v>6325</v>
      </c>
    </row>
    <row r="2554" spans="1:31" x14ac:dyDescent="0.3">
      <c r="A2554">
        <v>-73.971474457490004</v>
      </c>
      <c r="B2554">
        <v>40.773626615890002</v>
      </c>
      <c r="C2554" t="s">
        <v>6326</v>
      </c>
      <c r="D2554" t="s">
        <v>6019</v>
      </c>
      <c r="E2554" t="s">
        <v>38</v>
      </c>
      <c r="F2554">
        <v>10102018</v>
      </c>
      <c r="G2554">
        <v>1</v>
      </c>
      <c r="H2554" t="s">
        <v>48</v>
      </c>
      <c r="I2554" t="s">
        <v>42</v>
      </c>
      <c r="J2554" t="s">
        <v>53</v>
      </c>
      <c r="K2554" t="s">
        <v>54</v>
      </c>
      <c r="M2554" t="s">
        <v>65</v>
      </c>
      <c r="N2554" t="b">
        <v>0</v>
      </c>
      <c r="P2554" t="b">
        <v>0</v>
      </c>
      <c r="Q2554" t="b">
        <v>0</v>
      </c>
      <c r="R2554" t="b">
        <v>0</v>
      </c>
      <c r="S2554" t="b">
        <v>0</v>
      </c>
      <c r="T2554" t="b">
        <v>1</v>
      </c>
      <c r="V2554" t="b">
        <v>0</v>
      </c>
      <c r="W2554" t="b">
        <v>0</v>
      </c>
      <c r="X2554" t="b">
        <v>0</v>
      </c>
      <c r="Y2554" t="b">
        <v>0</v>
      </c>
      <c r="Z2554" t="b">
        <v>1</v>
      </c>
      <c r="AA2554" t="b">
        <v>0</v>
      </c>
      <c r="AB2554" t="b">
        <v>1</v>
      </c>
      <c r="AC2554" t="b">
        <v>0</v>
      </c>
      <c r="AE2554" t="s">
        <v>6327</v>
      </c>
    </row>
    <row r="2555" spans="1:31" x14ac:dyDescent="0.3">
      <c r="A2555">
        <v>-73.970150524540003</v>
      </c>
      <c r="B2555">
        <v>40.768998364570002</v>
      </c>
      <c r="C2555" t="s">
        <v>6328</v>
      </c>
      <c r="D2555" t="s">
        <v>228</v>
      </c>
      <c r="E2555" t="s">
        <v>33</v>
      </c>
      <c r="F2555">
        <v>10132018</v>
      </c>
      <c r="G2555">
        <v>7</v>
      </c>
      <c r="H2555" t="s">
        <v>48</v>
      </c>
      <c r="I2555" t="s">
        <v>53</v>
      </c>
      <c r="K2555" t="s">
        <v>155</v>
      </c>
      <c r="M2555" t="s">
        <v>44</v>
      </c>
      <c r="N2555">
        <v>11</v>
      </c>
      <c r="P2555" t="b">
        <v>0</v>
      </c>
      <c r="Q2555" t="b">
        <v>0</v>
      </c>
      <c r="R2555" t="b">
        <v>1</v>
      </c>
      <c r="S2555" t="b">
        <v>0</v>
      </c>
      <c r="T2555" t="b">
        <v>0</v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b">
        <v>0</v>
      </c>
      <c r="AB2555" t="b">
        <v>0</v>
      </c>
      <c r="AC2555" t="b">
        <v>0</v>
      </c>
      <c r="AE2555" t="s">
        <v>6329</v>
      </c>
    </row>
    <row r="2556" spans="1:31" x14ac:dyDescent="0.3">
      <c r="A2556">
        <v>-73.961312797839994</v>
      </c>
      <c r="B2556">
        <v>40.792932150459997</v>
      </c>
      <c r="C2556" t="s">
        <v>6330</v>
      </c>
      <c r="D2556" t="s">
        <v>928</v>
      </c>
      <c r="E2556" t="s">
        <v>38</v>
      </c>
      <c r="F2556">
        <v>10102018</v>
      </c>
      <c r="G2556">
        <v>4</v>
      </c>
      <c r="H2556" t="s">
        <v>48</v>
      </c>
      <c r="I2556" t="s">
        <v>42</v>
      </c>
      <c r="K2556" t="s">
        <v>43</v>
      </c>
      <c r="M2556" t="s">
        <v>65</v>
      </c>
      <c r="N2556" t="b">
        <v>0</v>
      </c>
      <c r="P2556" t="b">
        <v>0</v>
      </c>
      <c r="Q2556" t="b">
        <v>0</v>
      </c>
      <c r="R2556" t="b">
        <v>0</v>
      </c>
      <c r="S2556" t="b">
        <v>0</v>
      </c>
      <c r="T2556" t="b">
        <v>1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b">
        <v>0</v>
      </c>
      <c r="AB2556" t="b">
        <v>1</v>
      </c>
      <c r="AC2556" t="b">
        <v>0</v>
      </c>
      <c r="AE2556" t="s">
        <v>6331</v>
      </c>
    </row>
    <row r="2557" spans="1:31" x14ac:dyDescent="0.3">
      <c r="A2557">
        <v>-73.963982843140002</v>
      </c>
      <c r="B2557">
        <v>40.791015199619999</v>
      </c>
      <c r="C2557" t="s">
        <v>6332</v>
      </c>
      <c r="D2557" t="s">
        <v>908</v>
      </c>
      <c r="E2557" t="s">
        <v>33</v>
      </c>
      <c r="F2557">
        <v>10192018</v>
      </c>
      <c r="G2557">
        <v>9</v>
      </c>
      <c r="H2557" t="s">
        <v>48</v>
      </c>
      <c r="I2557" t="s">
        <v>42</v>
      </c>
      <c r="J2557" t="s">
        <v>96</v>
      </c>
      <c r="K2557" t="s">
        <v>97</v>
      </c>
      <c r="M2557" t="s">
        <v>65</v>
      </c>
      <c r="N2557" t="b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1</v>
      </c>
      <c r="V2557" t="b">
        <v>0</v>
      </c>
      <c r="W2557" t="b">
        <v>0</v>
      </c>
      <c r="X2557" t="b">
        <v>0</v>
      </c>
      <c r="Y2557" t="b">
        <v>0</v>
      </c>
      <c r="Z2557" t="b">
        <v>0</v>
      </c>
      <c r="AA2557" t="b">
        <v>0</v>
      </c>
      <c r="AB2557" t="b">
        <v>0</v>
      </c>
      <c r="AC2557" t="b">
        <v>1</v>
      </c>
      <c r="AE2557" t="s">
        <v>6333</v>
      </c>
    </row>
    <row r="2558" spans="1:31" x14ac:dyDescent="0.3">
      <c r="A2558">
        <v>-73.971245425169997</v>
      </c>
      <c r="B2558">
        <v>40.767426274990001</v>
      </c>
      <c r="C2558" t="s">
        <v>6334</v>
      </c>
      <c r="D2558" t="s">
        <v>704</v>
      </c>
      <c r="E2558" t="s">
        <v>33</v>
      </c>
      <c r="F2558">
        <v>10082018</v>
      </c>
      <c r="G2558">
        <v>2</v>
      </c>
      <c r="H2558" t="s">
        <v>48</v>
      </c>
      <c r="I2558" t="s">
        <v>176</v>
      </c>
      <c r="K2558" t="s">
        <v>177</v>
      </c>
      <c r="M2558" t="s">
        <v>65</v>
      </c>
      <c r="N2558" t="b">
        <v>0</v>
      </c>
      <c r="O2558" t="s">
        <v>6335</v>
      </c>
      <c r="P2558" t="b">
        <v>1</v>
      </c>
      <c r="Q2558" t="b">
        <v>0</v>
      </c>
      <c r="R2558" t="b">
        <v>0</v>
      </c>
      <c r="S2558" t="b">
        <v>0</v>
      </c>
      <c r="T2558" t="b">
        <v>0</v>
      </c>
      <c r="V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b">
        <v>0</v>
      </c>
      <c r="AB2558" t="b">
        <v>0</v>
      </c>
      <c r="AC2558" t="b">
        <v>0</v>
      </c>
      <c r="AE2558" t="s">
        <v>6336</v>
      </c>
    </row>
    <row r="2559" spans="1:31" x14ac:dyDescent="0.3">
      <c r="A2559">
        <v>-73.974946956690005</v>
      </c>
      <c r="B2559">
        <v>40.766780536719999</v>
      </c>
      <c r="C2559" t="s">
        <v>6337</v>
      </c>
      <c r="D2559" t="s">
        <v>471</v>
      </c>
      <c r="E2559" t="s">
        <v>33</v>
      </c>
      <c r="F2559">
        <v>10142018</v>
      </c>
      <c r="G2559">
        <v>10</v>
      </c>
      <c r="H2559" t="s">
        <v>48</v>
      </c>
      <c r="I2559" t="s">
        <v>42</v>
      </c>
      <c r="J2559" t="s">
        <v>59</v>
      </c>
      <c r="K2559" t="s">
        <v>79</v>
      </c>
      <c r="M2559" t="s">
        <v>65</v>
      </c>
      <c r="N2559" t="b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b">
        <v>0</v>
      </c>
      <c r="AB2559" t="b">
        <v>1</v>
      </c>
      <c r="AC2559" t="b">
        <v>0</v>
      </c>
      <c r="AE2559" t="s">
        <v>6338</v>
      </c>
    </row>
    <row r="2560" spans="1:31" x14ac:dyDescent="0.3">
      <c r="A2560">
        <v>-73.957238347879994</v>
      </c>
      <c r="B2560">
        <v>40.787685738070003</v>
      </c>
      <c r="C2560" t="s">
        <v>6339</v>
      </c>
      <c r="D2560" t="s">
        <v>5624</v>
      </c>
      <c r="E2560" t="s">
        <v>33</v>
      </c>
      <c r="F2560">
        <v>10062018</v>
      </c>
      <c r="G2560">
        <v>1</v>
      </c>
      <c r="H2560" t="s">
        <v>48</v>
      </c>
      <c r="I2560" t="s">
        <v>42</v>
      </c>
      <c r="J2560" t="s">
        <v>53</v>
      </c>
      <c r="K2560" t="s">
        <v>54</v>
      </c>
      <c r="M2560" t="s">
        <v>44</v>
      </c>
      <c r="N2560">
        <v>5</v>
      </c>
      <c r="P2560" t="b">
        <v>0</v>
      </c>
      <c r="Q2560" t="b">
        <v>0</v>
      </c>
      <c r="R2560" t="b">
        <v>1</v>
      </c>
      <c r="S2560" t="b">
        <v>0</v>
      </c>
      <c r="T2560" t="b">
        <v>0</v>
      </c>
      <c r="V2560" t="b">
        <v>0</v>
      </c>
      <c r="W2560" t="b">
        <v>0</v>
      </c>
      <c r="X2560" t="b">
        <v>0</v>
      </c>
      <c r="Y2560" t="b">
        <v>0</v>
      </c>
      <c r="Z2560" t="b">
        <v>1</v>
      </c>
      <c r="AA2560" t="b">
        <v>0</v>
      </c>
      <c r="AB2560" t="b">
        <v>1</v>
      </c>
      <c r="AC2560" t="b">
        <v>0</v>
      </c>
      <c r="AE2560" t="s">
        <v>6340</v>
      </c>
    </row>
    <row r="2561" spans="1:31" x14ac:dyDescent="0.3">
      <c r="A2561">
        <v>-73.975545909049998</v>
      </c>
      <c r="B2561">
        <v>40.768086662400002</v>
      </c>
      <c r="C2561" t="s">
        <v>6341</v>
      </c>
      <c r="D2561" t="s">
        <v>782</v>
      </c>
      <c r="E2561" t="s">
        <v>38</v>
      </c>
      <c r="F2561">
        <v>10202018</v>
      </c>
      <c r="G2561">
        <v>4</v>
      </c>
      <c r="H2561" t="s">
        <v>48</v>
      </c>
      <c r="I2561" t="s">
        <v>53</v>
      </c>
      <c r="J2561" t="s">
        <v>176</v>
      </c>
      <c r="K2561" t="s">
        <v>1142</v>
      </c>
      <c r="M2561" t="s">
        <v>65</v>
      </c>
      <c r="N2561" t="b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s">
        <v>4327</v>
      </c>
      <c r="V2561" t="b">
        <v>0</v>
      </c>
      <c r="W2561" t="b">
        <v>0</v>
      </c>
      <c r="X2561" t="b">
        <v>0</v>
      </c>
      <c r="Y2561" t="b">
        <v>0</v>
      </c>
      <c r="Z2561" t="b">
        <v>0</v>
      </c>
      <c r="AA2561" t="b">
        <v>0</v>
      </c>
      <c r="AB2561" t="b">
        <v>0</v>
      </c>
      <c r="AC2561" t="b">
        <v>1</v>
      </c>
      <c r="AE2561" t="s">
        <v>6342</v>
      </c>
    </row>
    <row r="2562" spans="1:31" x14ac:dyDescent="0.3">
      <c r="A2562">
        <v>-73.959151302850003</v>
      </c>
      <c r="B2562">
        <v>40.78359780673</v>
      </c>
      <c r="C2562" t="s">
        <v>6343</v>
      </c>
      <c r="D2562" t="s">
        <v>2573</v>
      </c>
      <c r="E2562" t="s">
        <v>33</v>
      </c>
      <c r="F2562">
        <v>10072018</v>
      </c>
      <c r="G2562">
        <v>1</v>
      </c>
      <c r="H2562" t="s">
        <v>48</v>
      </c>
      <c r="I2562" t="s">
        <v>42</v>
      </c>
      <c r="K2562" t="s">
        <v>43</v>
      </c>
      <c r="M2562" t="s">
        <v>44</v>
      </c>
      <c r="N2562">
        <v>15</v>
      </c>
      <c r="P2562" t="b">
        <v>0</v>
      </c>
      <c r="Q2562" t="b">
        <v>0</v>
      </c>
      <c r="R2562" t="b">
        <v>1</v>
      </c>
      <c r="S2562" t="b">
        <v>0</v>
      </c>
      <c r="T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b">
        <v>0</v>
      </c>
      <c r="AB2562" t="b">
        <v>0</v>
      </c>
      <c r="AC2562" t="b">
        <v>0</v>
      </c>
      <c r="AE2562" t="s">
        <v>6344</v>
      </c>
    </row>
    <row r="2563" spans="1:31" x14ac:dyDescent="0.3">
      <c r="A2563">
        <v>-73.961564374290006</v>
      </c>
      <c r="B2563">
        <v>40.794467844780002</v>
      </c>
      <c r="C2563" t="s">
        <v>6345</v>
      </c>
      <c r="D2563" t="s">
        <v>423</v>
      </c>
      <c r="E2563" t="s">
        <v>33</v>
      </c>
      <c r="F2563">
        <v>10132018</v>
      </c>
      <c r="G2563">
        <v>6</v>
      </c>
      <c r="H2563" t="s">
        <v>48</v>
      </c>
      <c r="I2563" t="s">
        <v>42</v>
      </c>
      <c r="J2563" t="s">
        <v>53</v>
      </c>
      <c r="K2563" t="s">
        <v>54</v>
      </c>
      <c r="M2563" t="s">
        <v>65</v>
      </c>
      <c r="N2563" t="b">
        <v>0</v>
      </c>
      <c r="P2563" t="b">
        <v>1</v>
      </c>
      <c r="Q2563" t="b">
        <v>0</v>
      </c>
      <c r="R2563" t="b">
        <v>1</v>
      </c>
      <c r="S2563" t="b">
        <v>0</v>
      </c>
      <c r="T2563" t="b">
        <v>0</v>
      </c>
      <c r="U2563" t="s">
        <v>6346</v>
      </c>
      <c r="V2563" t="b">
        <v>1</v>
      </c>
      <c r="W2563" t="b">
        <v>0</v>
      </c>
      <c r="X2563" t="b">
        <v>0</v>
      </c>
      <c r="Y2563" t="b">
        <v>0</v>
      </c>
      <c r="Z2563" t="b">
        <v>0</v>
      </c>
      <c r="AA2563" t="b">
        <v>0</v>
      </c>
      <c r="AB2563" t="b">
        <v>0</v>
      </c>
      <c r="AC2563" t="b">
        <v>1</v>
      </c>
      <c r="AD2563" t="s">
        <v>1294</v>
      </c>
      <c r="AE2563" t="s">
        <v>6347</v>
      </c>
    </row>
    <row r="2564" spans="1:31" x14ac:dyDescent="0.3">
      <c r="A2564">
        <v>-73.966453661119999</v>
      </c>
      <c r="B2564">
        <v>40.782769413190003</v>
      </c>
      <c r="C2564" t="s">
        <v>6348</v>
      </c>
      <c r="D2564" t="s">
        <v>459</v>
      </c>
      <c r="E2564" t="s">
        <v>38</v>
      </c>
      <c r="F2564">
        <v>10082018</v>
      </c>
      <c r="G2564">
        <v>3</v>
      </c>
      <c r="H2564" t="s">
        <v>48</v>
      </c>
      <c r="I2564" t="s">
        <v>42</v>
      </c>
      <c r="K2564" t="s">
        <v>43</v>
      </c>
      <c r="M2564" t="s">
        <v>65</v>
      </c>
      <c r="N2564" t="b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1</v>
      </c>
      <c r="V2564" t="b">
        <v>0</v>
      </c>
      <c r="W2564" t="b">
        <v>0</v>
      </c>
      <c r="X2564" t="b">
        <v>0</v>
      </c>
      <c r="Y2564" t="b">
        <v>0</v>
      </c>
      <c r="Z2564" t="b">
        <v>0</v>
      </c>
      <c r="AA2564" t="b">
        <v>0</v>
      </c>
      <c r="AB2564" t="b">
        <v>1</v>
      </c>
      <c r="AC2564" t="b">
        <v>0</v>
      </c>
      <c r="AE2564" t="s">
        <v>6349</v>
      </c>
    </row>
    <row r="2565" spans="1:31" x14ac:dyDescent="0.3">
      <c r="A2565">
        <v>-73.970996228529998</v>
      </c>
      <c r="B2565">
        <v>40.77155407123</v>
      </c>
      <c r="C2565" t="s">
        <v>6350</v>
      </c>
      <c r="D2565" t="s">
        <v>571</v>
      </c>
      <c r="E2565" t="s">
        <v>33</v>
      </c>
      <c r="F2565">
        <v>10072018</v>
      </c>
      <c r="G2565">
        <v>2</v>
      </c>
      <c r="H2565" t="s">
        <v>48</v>
      </c>
      <c r="I2565" t="s">
        <v>42</v>
      </c>
      <c r="J2565" t="s">
        <v>53</v>
      </c>
      <c r="K2565" t="s">
        <v>54</v>
      </c>
      <c r="M2565" t="s">
        <v>65</v>
      </c>
      <c r="N2565" t="b">
        <v>0</v>
      </c>
      <c r="P2565" t="b">
        <v>1</v>
      </c>
      <c r="Q2565" t="b">
        <v>0</v>
      </c>
      <c r="R2565" t="b">
        <v>0</v>
      </c>
      <c r="S2565" t="b">
        <v>0</v>
      </c>
      <c r="T2565" t="b">
        <v>1</v>
      </c>
      <c r="V2565" t="b">
        <v>0</v>
      </c>
      <c r="W2565" t="b">
        <v>0</v>
      </c>
      <c r="X2565" t="b">
        <v>0</v>
      </c>
      <c r="Y2565" t="b">
        <v>0</v>
      </c>
      <c r="Z2565" t="b">
        <v>0</v>
      </c>
      <c r="AA2565" t="b">
        <v>0</v>
      </c>
      <c r="AB2565" t="b">
        <v>0</v>
      </c>
      <c r="AC2565" t="b">
        <v>0</v>
      </c>
      <c r="AE2565" t="s">
        <v>6351</v>
      </c>
    </row>
    <row r="2566" spans="1:31" x14ac:dyDescent="0.3">
      <c r="A2566">
        <v>-73.970864029180007</v>
      </c>
      <c r="B2566">
        <v>40.778172106349999</v>
      </c>
      <c r="C2566" t="s">
        <v>6352</v>
      </c>
      <c r="D2566" t="s">
        <v>1626</v>
      </c>
      <c r="E2566" t="s">
        <v>38</v>
      </c>
      <c r="F2566">
        <v>10102018</v>
      </c>
      <c r="G2566">
        <v>1</v>
      </c>
      <c r="H2566" t="s">
        <v>48</v>
      </c>
      <c r="I2566" t="s">
        <v>42</v>
      </c>
      <c r="K2566" t="s">
        <v>43</v>
      </c>
      <c r="M2566" t="s">
        <v>65</v>
      </c>
      <c r="N2566" t="b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1</v>
      </c>
      <c r="V2566" t="b">
        <v>0</v>
      </c>
      <c r="W2566" t="b">
        <v>0</v>
      </c>
      <c r="X2566" t="b">
        <v>0</v>
      </c>
      <c r="Y2566" t="b">
        <v>0</v>
      </c>
      <c r="Z2566" t="b">
        <v>0</v>
      </c>
      <c r="AA2566" t="b">
        <v>0</v>
      </c>
      <c r="AB2566" t="b">
        <v>0</v>
      </c>
      <c r="AC2566" t="b">
        <v>1</v>
      </c>
      <c r="AE2566" t="s">
        <v>6353</v>
      </c>
    </row>
    <row r="2567" spans="1:31" x14ac:dyDescent="0.3">
      <c r="A2567">
        <v>-73.974422668290003</v>
      </c>
      <c r="B2567">
        <v>40.775562571729999</v>
      </c>
      <c r="C2567" t="s">
        <v>6354</v>
      </c>
      <c r="D2567" t="s">
        <v>41</v>
      </c>
      <c r="E2567" t="s">
        <v>38</v>
      </c>
      <c r="F2567">
        <v>10072018</v>
      </c>
      <c r="G2567">
        <v>4</v>
      </c>
      <c r="H2567" t="s">
        <v>48</v>
      </c>
      <c r="I2567" t="s">
        <v>42</v>
      </c>
      <c r="K2567" t="s">
        <v>43</v>
      </c>
      <c r="M2567" t="s">
        <v>65</v>
      </c>
      <c r="N2567" t="b">
        <v>0</v>
      </c>
      <c r="P2567" t="b">
        <v>0</v>
      </c>
      <c r="Q2567" t="b">
        <v>0</v>
      </c>
      <c r="R2567" t="b">
        <v>0</v>
      </c>
      <c r="S2567" t="b">
        <v>1</v>
      </c>
      <c r="T2567" t="b">
        <v>1</v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b">
        <v>0</v>
      </c>
      <c r="AB2567" t="b">
        <v>0</v>
      </c>
      <c r="AC2567" t="b">
        <v>0</v>
      </c>
      <c r="AE2567" t="s">
        <v>6355</v>
      </c>
    </row>
    <row r="2568" spans="1:31" x14ac:dyDescent="0.3">
      <c r="A2568">
        <v>-73.969024180540003</v>
      </c>
      <c r="B2568">
        <v>40.783796758080001</v>
      </c>
      <c r="C2568" t="s">
        <v>6356</v>
      </c>
      <c r="D2568" t="s">
        <v>37</v>
      </c>
      <c r="E2568" t="s">
        <v>38</v>
      </c>
      <c r="F2568">
        <v>10192018</v>
      </c>
      <c r="G2568">
        <v>7</v>
      </c>
      <c r="H2568" t="s">
        <v>48</v>
      </c>
      <c r="I2568" t="s">
        <v>42</v>
      </c>
      <c r="K2568" t="s">
        <v>43</v>
      </c>
      <c r="M2568" t="s">
        <v>65</v>
      </c>
      <c r="N2568" t="b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1</v>
      </c>
      <c r="V2568" t="b">
        <v>0</v>
      </c>
      <c r="W2568" t="b">
        <v>0</v>
      </c>
      <c r="X2568" t="b">
        <v>0</v>
      </c>
      <c r="Y2568" t="b">
        <v>0</v>
      </c>
      <c r="Z2568" t="b">
        <v>0</v>
      </c>
      <c r="AA2568" t="b">
        <v>0</v>
      </c>
      <c r="AB2568" t="b">
        <v>1</v>
      </c>
      <c r="AC2568" t="b">
        <v>0</v>
      </c>
      <c r="AE2568" t="s">
        <v>6357</v>
      </c>
    </row>
    <row r="2569" spans="1:31" x14ac:dyDescent="0.3">
      <c r="A2569">
        <v>-73.977903908260004</v>
      </c>
      <c r="B2569">
        <v>40.767531310830002</v>
      </c>
      <c r="C2569" t="s">
        <v>6358</v>
      </c>
      <c r="D2569" t="s">
        <v>756</v>
      </c>
      <c r="E2569" t="s">
        <v>33</v>
      </c>
      <c r="F2569">
        <v>10122018</v>
      </c>
      <c r="G2569">
        <v>1</v>
      </c>
      <c r="H2569" t="s">
        <v>48</v>
      </c>
      <c r="I2569" t="s">
        <v>42</v>
      </c>
      <c r="J2569" t="s">
        <v>96</v>
      </c>
      <c r="K2569" t="s">
        <v>97</v>
      </c>
      <c r="M2569" t="s">
        <v>65</v>
      </c>
      <c r="N2569" t="b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1</v>
      </c>
      <c r="V2569" t="b">
        <v>0</v>
      </c>
      <c r="W2569" t="b">
        <v>0</v>
      </c>
      <c r="X2569" t="b">
        <v>0</v>
      </c>
      <c r="Y2569" t="b">
        <v>0</v>
      </c>
      <c r="Z2569" t="b">
        <v>0</v>
      </c>
      <c r="AA2569" t="b">
        <v>0</v>
      </c>
      <c r="AB2569" t="b">
        <v>1</v>
      </c>
      <c r="AC2569" t="b">
        <v>0</v>
      </c>
      <c r="AE2569" t="s">
        <v>6359</v>
      </c>
    </row>
    <row r="2570" spans="1:31" x14ac:dyDescent="0.3">
      <c r="A2570">
        <v>-73.955966373440006</v>
      </c>
      <c r="B2570">
        <v>40.794582826140001</v>
      </c>
      <c r="C2570" t="s">
        <v>6360</v>
      </c>
      <c r="D2570" t="s">
        <v>32</v>
      </c>
      <c r="E2570" t="s">
        <v>38</v>
      </c>
      <c r="F2570">
        <v>10102018</v>
      </c>
      <c r="G2570">
        <v>1</v>
      </c>
      <c r="H2570" t="s">
        <v>48</v>
      </c>
      <c r="I2570" t="s">
        <v>42</v>
      </c>
      <c r="J2570" t="s">
        <v>53</v>
      </c>
      <c r="K2570" t="s">
        <v>54</v>
      </c>
      <c r="M2570" t="s">
        <v>44</v>
      </c>
      <c r="N2570">
        <v>4</v>
      </c>
      <c r="P2570" t="b">
        <v>0</v>
      </c>
      <c r="Q2570" t="b">
        <v>0</v>
      </c>
      <c r="R2570" t="b">
        <v>1</v>
      </c>
      <c r="S2570" t="b">
        <v>0</v>
      </c>
      <c r="T2570" t="b">
        <v>0</v>
      </c>
      <c r="V2570" t="b">
        <v>0</v>
      </c>
      <c r="W2570" t="b">
        <v>0</v>
      </c>
      <c r="X2570" t="b">
        <v>0</v>
      </c>
      <c r="Y2570" t="b">
        <v>1</v>
      </c>
      <c r="Z2570" t="b">
        <v>0</v>
      </c>
      <c r="AA2570" t="b">
        <v>0</v>
      </c>
      <c r="AB2570" t="b">
        <v>1</v>
      </c>
      <c r="AC2570" t="b">
        <v>0</v>
      </c>
      <c r="AE2570" t="s">
        <v>6361</v>
      </c>
    </row>
    <row r="2571" spans="1:31" x14ac:dyDescent="0.3">
      <c r="A2571">
        <v>-73.972106415019994</v>
      </c>
      <c r="B2571">
        <v>40.766705382200001</v>
      </c>
      <c r="C2571" t="s">
        <v>6362</v>
      </c>
      <c r="D2571" t="s">
        <v>985</v>
      </c>
      <c r="E2571" t="s">
        <v>38</v>
      </c>
      <c r="F2571">
        <v>10102018</v>
      </c>
      <c r="G2571">
        <v>1</v>
      </c>
      <c r="H2571" t="s">
        <v>48</v>
      </c>
      <c r="I2571" t="s">
        <v>42</v>
      </c>
      <c r="K2571" t="s">
        <v>43</v>
      </c>
      <c r="M2571" t="s">
        <v>65</v>
      </c>
      <c r="N2571" t="b">
        <v>0</v>
      </c>
      <c r="P2571" t="b">
        <v>1</v>
      </c>
      <c r="Q2571" t="b">
        <v>0</v>
      </c>
      <c r="R2571" t="b">
        <v>0</v>
      </c>
      <c r="S2571" t="b">
        <v>0</v>
      </c>
      <c r="T2571" t="b">
        <v>0</v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b">
        <v>0</v>
      </c>
      <c r="AB2571" t="b">
        <v>1</v>
      </c>
      <c r="AC2571" t="b">
        <v>0</v>
      </c>
      <c r="AE2571" t="s">
        <v>6363</v>
      </c>
    </row>
    <row r="2572" spans="1:31" x14ac:dyDescent="0.3">
      <c r="A2572">
        <v>-73.969546815019996</v>
      </c>
      <c r="B2572">
        <v>40.782114205169997</v>
      </c>
      <c r="C2572" t="s">
        <v>6364</v>
      </c>
      <c r="D2572" t="s">
        <v>78</v>
      </c>
      <c r="E2572" t="s">
        <v>33</v>
      </c>
      <c r="F2572">
        <v>10132018</v>
      </c>
      <c r="G2572">
        <v>3</v>
      </c>
      <c r="H2572" t="s">
        <v>48</v>
      </c>
      <c r="I2572" t="s">
        <v>42</v>
      </c>
      <c r="J2572" t="s">
        <v>59</v>
      </c>
      <c r="K2572" t="s">
        <v>79</v>
      </c>
      <c r="M2572" t="s">
        <v>65</v>
      </c>
      <c r="N2572" t="b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1</v>
      </c>
      <c r="V2572" t="b">
        <v>0</v>
      </c>
      <c r="W2572" t="b">
        <v>0</v>
      </c>
      <c r="X2572" t="b">
        <v>0</v>
      </c>
      <c r="Y2572" t="b">
        <v>0</v>
      </c>
      <c r="Z2572" t="b">
        <v>0</v>
      </c>
      <c r="AA2572" t="b">
        <v>0</v>
      </c>
      <c r="AB2572" t="b">
        <v>0</v>
      </c>
      <c r="AC2572" t="b">
        <v>0</v>
      </c>
      <c r="AE2572" t="s">
        <v>6365</v>
      </c>
    </row>
    <row r="2573" spans="1:31" x14ac:dyDescent="0.3">
      <c r="A2573">
        <v>-73.971990184860005</v>
      </c>
      <c r="B2573">
        <v>40.77205259654</v>
      </c>
      <c r="C2573" t="s">
        <v>6366</v>
      </c>
      <c r="D2573" t="s">
        <v>517</v>
      </c>
      <c r="E2573" t="s">
        <v>33</v>
      </c>
      <c r="F2573">
        <v>10142018</v>
      </c>
      <c r="G2573">
        <v>7</v>
      </c>
      <c r="H2573" t="s">
        <v>48</v>
      </c>
      <c r="I2573" t="s">
        <v>176</v>
      </c>
      <c r="K2573" t="s">
        <v>177</v>
      </c>
      <c r="L2573" t="s">
        <v>6367</v>
      </c>
      <c r="M2573" t="s">
        <v>65</v>
      </c>
      <c r="N2573" t="b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1</v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b">
        <v>0</v>
      </c>
      <c r="AB2573" t="b">
        <v>1</v>
      </c>
      <c r="AC2573" t="b">
        <v>0</v>
      </c>
      <c r="AE2573" t="s">
        <v>6368</v>
      </c>
    </row>
    <row r="2574" spans="1:31" x14ac:dyDescent="0.3">
      <c r="A2574">
        <v>-73.981014914759996</v>
      </c>
      <c r="B2574">
        <v>40.768392537769998</v>
      </c>
      <c r="C2574" t="s">
        <v>6369</v>
      </c>
      <c r="D2574" t="s">
        <v>1906</v>
      </c>
      <c r="E2574" t="s">
        <v>38</v>
      </c>
      <c r="F2574">
        <v>10102018</v>
      </c>
      <c r="G2574">
        <v>3</v>
      </c>
      <c r="H2574" t="s">
        <v>48</v>
      </c>
      <c r="I2574" t="s">
        <v>42</v>
      </c>
      <c r="J2574" t="s">
        <v>53</v>
      </c>
      <c r="K2574" t="s">
        <v>54</v>
      </c>
      <c r="M2574" t="s">
        <v>44</v>
      </c>
      <c r="N2574">
        <v>1</v>
      </c>
      <c r="O2574" t="s">
        <v>6370</v>
      </c>
      <c r="P2574" t="b">
        <v>0</v>
      </c>
      <c r="Q2574" t="b">
        <v>0</v>
      </c>
      <c r="R2574" t="b">
        <v>0</v>
      </c>
      <c r="S2574" t="b">
        <v>1</v>
      </c>
      <c r="T2574" t="b">
        <v>0</v>
      </c>
      <c r="V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b">
        <v>0</v>
      </c>
      <c r="AB2574" t="b">
        <v>1</v>
      </c>
      <c r="AC2574" t="b">
        <v>0</v>
      </c>
      <c r="AE2574" t="s">
        <v>6371</v>
      </c>
    </row>
    <row r="2575" spans="1:31" x14ac:dyDescent="0.3">
      <c r="A2575">
        <v>-73.978199543689996</v>
      </c>
      <c r="B2575">
        <v>40.769566056339997</v>
      </c>
      <c r="C2575" t="s">
        <v>6372</v>
      </c>
      <c r="D2575" t="s">
        <v>1581</v>
      </c>
      <c r="E2575" t="s">
        <v>33</v>
      </c>
      <c r="F2575">
        <v>10102018</v>
      </c>
      <c r="G2575">
        <v>17</v>
      </c>
      <c r="H2575" t="s">
        <v>48</v>
      </c>
      <c r="I2575" t="s">
        <v>53</v>
      </c>
      <c r="J2575" t="s">
        <v>115</v>
      </c>
      <c r="K2575" t="s">
        <v>116</v>
      </c>
      <c r="M2575" t="s">
        <v>65</v>
      </c>
      <c r="N2575" t="b">
        <v>0</v>
      </c>
      <c r="O2575" t="s">
        <v>6373</v>
      </c>
      <c r="P2575" t="b">
        <v>1</v>
      </c>
      <c r="Q2575" t="b">
        <v>0</v>
      </c>
      <c r="R2575" t="b">
        <v>1</v>
      </c>
      <c r="S2575" t="b">
        <v>0</v>
      </c>
      <c r="T2575" t="b">
        <v>1</v>
      </c>
      <c r="V2575" t="b">
        <v>0</v>
      </c>
      <c r="W2575" t="b">
        <v>0</v>
      </c>
      <c r="X2575" t="b">
        <v>0</v>
      </c>
      <c r="Y2575" t="b">
        <v>0</v>
      </c>
      <c r="Z2575" t="b">
        <v>1</v>
      </c>
      <c r="AA2575" t="b">
        <v>0</v>
      </c>
      <c r="AB2575" t="b">
        <v>0</v>
      </c>
      <c r="AC2575" t="b">
        <v>1</v>
      </c>
      <c r="AE2575" t="s">
        <v>6374</v>
      </c>
    </row>
    <row r="2576" spans="1:31" x14ac:dyDescent="0.3">
      <c r="A2576">
        <v>-73.973575335210001</v>
      </c>
      <c r="B2576">
        <v>40.768706144699998</v>
      </c>
      <c r="C2576" t="s">
        <v>6375</v>
      </c>
      <c r="D2576" t="s">
        <v>1663</v>
      </c>
      <c r="E2576" t="s">
        <v>33</v>
      </c>
      <c r="F2576">
        <v>10102018</v>
      </c>
      <c r="G2576">
        <v>4</v>
      </c>
      <c r="H2576" t="s">
        <v>48</v>
      </c>
      <c r="I2576" t="s">
        <v>42</v>
      </c>
      <c r="J2576" t="s">
        <v>53</v>
      </c>
      <c r="K2576" t="s">
        <v>54</v>
      </c>
      <c r="M2576" t="s">
        <v>65</v>
      </c>
      <c r="N2576" t="b">
        <v>0</v>
      </c>
      <c r="P2576" t="b">
        <v>0</v>
      </c>
      <c r="Q2576" t="b">
        <v>0</v>
      </c>
      <c r="R2576" t="b">
        <v>0</v>
      </c>
      <c r="S2576" t="b">
        <v>1</v>
      </c>
      <c r="T2576" t="b">
        <v>0</v>
      </c>
      <c r="V2576" t="b">
        <v>0</v>
      </c>
      <c r="W2576" t="b">
        <v>0</v>
      </c>
      <c r="X2576" t="b">
        <v>0</v>
      </c>
      <c r="Y2576" t="b">
        <v>0</v>
      </c>
      <c r="Z2576" t="b">
        <v>0</v>
      </c>
      <c r="AA2576" t="b">
        <v>1</v>
      </c>
      <c r="AB2576" t="b">
        <v>0</v>
      </c>
      <c r="AC2576" t="b">
        <v>0</v>
      </c>
      <c r="AE2576" t="s">
        <v>6376</v>
      </c>
    </row>
    <row r="2577" spans="1:31" x14ac:dyDescent="0.3">
      <c r="A2577">
        <v>-73.975162591029999</v>
      </c>
      <c r="B2577">
        <v>40.767102341289998</v>
      </c>
      <c r="C2577" t="s">
        <v>6377</v>
      </c>
      <c r="D2577" t="s">
        <v>1701</v>
      </c>
      <c r="E2577" t="s">
        <v>38</v>
      </c>
      <c r="F2577">
        <v>10062018</v>
      </c>
      <c r="G2577">
        <v>2</v>
      </c>
      <c r="H2577" t="s">
        <v>48</v>
      </c>
      <c r="I2577" t="s">
        <v>42</v>
      </c>
      <c r="J2577" t="s">
        <v>59</v>
      </c>
      <c r="K2577" t="s">
        <v>79</v>
      </c>
      <c r="M2577" t="s">
        <v>65</v>
      </c>
      <c r="N2577" t="b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1</v>
      </c>
      <c r="V2577" t="b">
        <v>0</v>
      </c>
      <c r="W2577" t="b">
        <v>0</v>
      </c>
      <c r="X2577" t="b">
        <v>0</v>
      </c>
      <c r="Y2577" t="b">
        <v>0</v>
      </c>
      <c r="Z2577" t="b">
        <v>1</v>
      </c>
      <c r="AA2577" t="b">
        <v>0</v>
      </c>
      <c r="AB2577" t="b">
        <v>1</v>
      </c>
      <c r="AC2577" t="b">
        <v>0</v>
      </c>
      <c r="AE2577" t="s">
        <v>6378</v>
      </c>
    </row>
    <row r="2578" spans="1:31" x14ac:dyDescent="0.3">
      <c r="A2578">
        <v>-73.959704849009995</v>
      </c>
      <c r="B2578">
        <v>40.79558464662</v>
      </c>
      <c r="C2578" t="s">
        <v>6379</v>
      </c>
      <c r="D2578" t="s">
        <v>969</v>
      </c>
      <c r="E2578" t="s">
        <v>38</v>
      </c>
      <c r="F2578">
        <v>10182018</v>
      </c>
      <c r="G2578">
        <v>6</v>
      </c>
      <c r="H2578" t="s">
        <v>48</v>
      </c>
      <c r="I2578" t="s">
        <v>42</v>
      </c>
      <c r="K2578" t="s">
        <v>43</v>
      </c>
      <c r="M2578" t="s">
        <v>44</v>
      </c>
      <c r="N2578">
        <v>1</v>
      </c>
      <c r="P2578" t="b">
        <v>0</v>
      </c>
      <c r="Q2578" t="b">
        <v>0</v>
      </c>
      <c r="R2578" t="b">
        <v>1</v>
      </c>
      <c r="S2578" t="b">
        <v>0</v>
      </c>
      <c r="T2578" t="b">
        <v>0</v>
      </c>
      <c r="V2578" t="b">
        <v>0</v>
      </c>
      <c r="W2578" t="b">
        <v>1</v>
      </c>
      <c r="X2578" t="b">
        <v>0</v>
      </c>
      <c r="Y2578" t="b">
        <v>0</v>
      </c>
      <c r="Z2578" t="b">
        <v>0</v>
      </c>
      <c r="AA2578" t="b">
        <v>0</v>
      </c>
      <c r="AB2578" t="b">
        <v>0</v>
      </c>
      <c r="AC2578" t="b">
        <v>1</v>
      </c>
      <c r="AE2578" t="s">
        <v>6380</v>
      </c>
    </row>
    <row r="2579" spans="1:31" x14ac:dyDescent="0.3">
      <c r="A2579">
        <v>-73.976538696540004</v>
      </c>
      <c r="B2579">
        <v>40.766371971269997</v>
      </c>
      <c r="C2579" t="s">
        <v>6381</v>
      </c>
      <c r="D2579" t="s">
        <v>1859</v>
      </c>
      <c r="E2579" t="s">
        <v>38</v>
      </c>
      <c r="F2579">
        <v>10102018</v>
      </c>
      <c r="G2579">
        <v>2</v>
      </c>
      <c r="H2579" t="s">
        <v>48</v>
      </c>
      <c r="I2579" t="s">
        <v>42</v>
      </c>
      <c r="K2579" t="s">
        <v>43</v>
      </c>
      <c r="M2579" t="s">
        <v>65</v>
      </c>
      <c r="N2579" t="b">
        <v>0</v>
      </c>
      <c r="P2579" t="b">
        <v>0</v>
      </c>
      <c r="Q2579" t="b">
        <v>0</v>
      </c>
      <c r="R2579" t="b">
        <v>0</v>
      </c>
      <c r="S2579" t="b">
        <v>1</v>
      </c>
      <c r="T2579" t="b">
        <v>0</v>
      </c>
      <c r="V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b">
        <v>0</v>
      </c>
      <c r="AB2579" t="b">
        <v>1</v>
      </c>
      <c r="AC2579" t="b">
        <v>0</v>
      </c>
      <c r="AE2579" t="s">
        <v>6382</v>
      </c>
    </row>
    <row r="2580" spans="1:31" x14ac:dyDescent="0.3">
      <c r="A2580">
        <v>-73.969813045259997</v>
      </c>
      <c r="B2580">
        <v>40.77450006454</v>
      </c>
      <c r="C2580" t="s">
        <v>6383</v>
      </c>
      <c r="D2580" t="s">
        <v>646</v>
      </c>
      <c r="E2580" t="s">
        <v>33</v>
      </c>
      <c r="F2580">
        <v>10072018</v>
      </c>
      <c r="G2580">
        <v>15</v>
      </c>
      <c r="H2580" t="s">
        <v>48</v>
      </c>
      <c r="I2580" t="s">
        <v>42</v>
      </c>
      <c r="J2580" t="s">
        <v>96</v>
      </c>
      <c r="K2580" t="s">
        <v>97</v>
      </c>
      <c r="M2580" t="s">
        <v>65</v>
      </c>
      <c r="N2580" t="b">
        <v>0</v>
      </c>
      <c r="P2580" t="b">
        <v>0</v>
      </c>
      <c r="Q2580" t="b">
        <v>0</v>
      </c>
      <c r="R2580" t="b">
        <v>0</v>
      </c>
      <c r="S2580" t="b">
        <v>1</v>
      </c>
      <c r="T2580" t="b">
        <v>1</v>
      </c>
      <c r="V2580" t="b">
        <v>0</v>
      </c>
      <c r="W2580" t="b">
        <v>0</v>
      </c>
      <c r="X2580" t="b">
        <v>0</v>
      </c>
      <c r="Y2580" t="b">
        <v>0</v>
      </c>
      <c r="Z2580" t="b">
        <v>0</v>
      </c>
      <c r="AA2580" t="b">
        <v>0</v>
      </c>
      <c r="AB2580" t="b">
        <v>1</v>
      </c>
      <c r="AC2580" t="b">
        <v>0</v>
      </c>
      <c r="AE2580" t="s">
        <v>6384</v>
      </c>
    </row>
    <row r="2581" spans="1:31" x14ac:dyDescent="0.3">
      <c r="A2581">
        <v>-73.970795746099995</v>
      </c>
      <c r="B2581">
        <v>40.77047272123</v>
      </c>
      <c r="C2581" t="s">
        <v>6385</v>
      </c>
      <c r="D2581" t="s">
        <v>183</v>
      </c>
      <c r="E2581" t="s">
        <v>33</v>
      </c>
      <c r="F2581">
        <v>10142018</v>
      </c>
      <c r="G2581">
        <v>1</v>
      </c>
      <c r="H2581" t="s">
        <v>48</v>
      </c>
      <c r="I2581" t="s">
        <v>42</v>
      </c>
      <c r="J2581" t="s">
        <v>53</v>
      </c>
      <c r="K2581" t="s">
        <v>54</v>
      </c>
      <c r="M2581" t="s">
        <v>65</v>
      </c>
      <c r="N2581" t="b">
        <v>0</v>
      </c>
      <c r="P2581" t="b">
        <v>0</v>
      </c>
      <c r="Q2581" t="b">
        <v>0</v>
      </c>
      <c r="R2581" t="b">
        <v>0</v>
      </c>
      <c r="S2581" t="b">
        <v>1</v>
      </c>
      <c r="T2581" t="b">
        <v>0</v>
      </c>
      <c r="V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b">
        <v>0</v>
      </c>
      <c r="AB2581" t="b">
        <v>1</v>
      </c>
      <c r="AC2581" t="b">
        <v>0</v>
      </c>
      <c r="AE2581" t="s">
        <v>6386</v>
      </c>
    </row>
    <row r="2582" spans="1:31" x14ac:dyDescent="0.3">
      <c r="A2582">
        <v>-73.963598122760004</v>
      </c>
      <c r="B2582">
        <v>40.792816954030002</v>
      </c>
      <c r="C2582" t="s">
        <v>6387</v>
      </c>
      <c r="D2582" t="s">
        <v>104</v>
      </c>
      <c r="E2582" t="s">
        <v>38</v>
      </c>
      <c r="F2582">
        <v>10182018</v>
      </c>
      <c r="G2582">
        <v>5</v>
      </c>
      <c r="H2582" t="s">
        <v>48</v>
      </c>
      <c r="I2582" t="s">
        <v>42</v>
      </c>
      <c r="K2582" t="s">
        <v>43</v>
      </c>
      <c r="M2582" t="s">
        <v>65</v>
      </c>
      <c r="N2582" t="b">
        <v>0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  <c r="V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b">
        <v>0</v>
      </c>
      <c r="AB2582" t="b">
        <v>1</v>
      </c>
      <c r="AC2582" t="b">
        <v>0</v>
      </c>
      <c r="AE2582" t="s">
        <v>6388</v>
      </c>
    </row>
    <row r="2583" spans="1:31" x14ac:dyDescent="0.3">
      <c r="A2583">
        <v>-73.966500414850003</v>
      </c>
      <c r="B2583">
        <v>40.780565641179997</v>
      </c>
      <c r="C2583" t="s">
        <v>6389</v>
      </c>
      <c r="D2583" t="s">
        <v>2080</v>
      </c>
      <c r="E2583" t="s">
        <v>33</v>
      </c>
      <c r="F2583">
        <v>10182018</v>
      </c>
      <c r="G2583">
        <v>5</v>
      </c>
      <c r="I2583" t="s">
        <v>42</v>
      </c>
      <c r="J2583" t="s">
        <v>59</v>
      </c>
      <c r="K2583" t="s">
        <v>79</v>
      </c>
      <c r="M2583" t="s">
        <v>65</v>
      </c>
      <c r="N2583" t="b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1</v>
      </c>
      <c r="V2583" t="b">
        <v>0</v>
      </c>
      <c r="W2583" t="b">
        <v>0</v>
      </c>
      <c r="X2583" t="b">
        <v>0</v>
      </c>
      <c r="Y2583" t="b">
        <v>0</v>
      </c>
      <c r="Z2583" t="b">
        <v>0</v>
      </c>
      <c r="AA2583" t="b">
        <v>0</v>
      </c>
      <c r="AB2583" t="b">
        <v>1</v>
      </c>
      <c r="AC2583" t="b">
        <v>0</v>
      </c>
      <c r="AE2583" t="s">
        <v>6390</v>
      </c>
    </row>
    <row r="2584" spans="1:31" x14ac:dyDescent="0.3">
      <c r="A2584">
        <v>-73.976969314070004</v>
      </c>
      <c r="B2584">
        <v>40.768439001520001</v>
      </c>
      <c r="C2584" t="s">
        <v>6391</v>
      </c>
      <c r="D2584" t="s">
        <v>502</v>
      </c>
      <c r="E2584" t="s">
        <v>38</v>
      </c>
      <c r="F2584">
        <v>10062018</v>
      </c>
      <c r="G2584">
        <v>1</v>
      </c>
      <c r="H2584" t="s">
        <v>48</v>
      </c>
      <c r="I2584" t="s">
        <v>53</v>
      </c>
      <c r="J2584" t="s">
        <v>42</v>
      </c>
      <c r="K2584" t="s">
        <v>89</v>
      </c>
      <c r="M2584" t="s">
        <v>44</v>
      </c>
      <c r="N2584">
        <v>9</v>
      </c>
      <c r="O2584" t="s">
        <v>5488</v>
      </c>
      <c r="P2584" t="b">
        <v>1</v>
      </c>
      <c r="Q2584" t="b">
        <v>0</v>
      </c>
      <c r="R2584" t="b">
        <v>1</v>
      </c>
      <c r="S2584" t="b">
        <v>1</v>
      </c>
      <c r="T2584" t="b">
        <v>1</v>
      </c>
      <c r="U2584" t="s">
        <v>6392</v>
      </c>
      <c r="V2584" t="b">
        <v>0</v>
      </c>
      <c r="W2584" t="b">
        <v>0</v>
      </c>
      <c r="X2584" t="b">
        <v>0</v>
      </c>
      <c r="Y2584" t="b">
        <v>1</v>
      </c>
      <c r="Z2584" t="b">
        <v>0</v>
      </c>
      <c r="AA2584" t="b">
        <v>0</v>
      </c>
      <c r="AB2584" t="b">
        <v>0</v>
      </c>
      <c r="AC2584" t="b">
        <v>1</v>
      </c>
      <c r="AD2584" t="s">
        <v>6393</v>
      </c>
      <c r="AE2584" t="s">
        <v>6394</v>
      </c>
    </row>
    <row r="2585" spans="1:31" x14ac:dyDescent="0.3">
      <c r="A2585">
        <v>-73.972718745370003</v>
      </c>
      <c r="B2585">
        <v>40.766959571059999</v>
      </c>
      <c r="C2585" t="s">
        <v>6395</v>
      </c>
      <c r="D2585" t="s">
        <v>1899</v>
      </c>
      <c r="E2585" t="s">
        <v>38</v>
      </c>
      <c r="F2585">
        <v>10082018</v>
      </c>
      <c r="G2585">
        <v>2</v>
      </c>
      <c r="H2585" t="s">
        <v>48</v>
      </c>
      <c r="I2585" t="s">
        <v>42</v>
      </c>
      <c r="K2585" t="s">
        <v>43</v>
      </c>
      <c r="M2585" t="s">
        <v>44</v>
      </c>
      <c r="P2585" t="b">
        <v>0</v>
      </c>
      <c r="Q2585" t="b">
        <v>0</v>
      </c>
      <c r="R2585" t="b">
        <v>1</v>
      </c>
      <c r="S2585" t="b">
        <v>0</v>
      </c>
      <c r="T2585" t="b">
        <v>0</v>
      </c>
      <c r="V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b">
        <v>0</v>
      </c>
      <c r="AB2585" t="b">
        <v>1</v>
      </c>
      <c r="AC2585" t="b">
        <v>0</v>
      </c>
      <c r="AE2585" t="s">
        <v>6396</v>
      </c>
    </row>
    <row r="2586" spans="1:31" x14ac:dyDescent="0.3">
      <c r="A2586">
        <v>-73.977172683150002</v>
      </c>
      <c r="B2586">
        <v>40.773232078180001</v>
      </c>
      <c r="C2586" t="s">
        <v>6397</v>
      </c>
      <c r="D2586" t="s">
        <v>741</v>
      </c>
      <c r="E2586" t="s">
        <v>38</v>
      </c>
      <c r="F2586">
        <v>10132018</v>
      </c>
      <c r="G2586">
        <v>1</v>
      </c>
      <c r="H2586" t="s">
        <v>48</v>
      </c>
      <c r="I2586" t="s">
        <v>42</v>
      </c>
      <c r="J2586" t="s">
        <v>53</v>
      </c>
      <c r="K2586" t="s">
        <v>54</v>
      </c>
      <c r="M2586" t="s">
        <v>65</v>
      </c>
      <c r="N2586" t="b">
        <v>0</v>
      </c>
      <c r="O2586" t="s">
        <v>6398</v>
      </c>
      <c r="P2586" t="b">
        <v>1</v>
      </c>
      <c r="Q2586" t="b">
        <v>0</v>
      </c>
      <c r="R2586" t="b">
        <v>0</v>
      </c>
      <c r="S2586" t="b">
        <v>0</v>
      </c>
      <c r="T2586" t="b">
        <v>1</v>
      </c>
      <c r="V2586" t="b">
        <v>0</v>
      </c>
      <c r="W2586" t="b">
        <v>0</v>
      </c>
      <c r="X2586" t="b">
        <v>0</v>
      </c>
      <c r="Y2586" t="b">
        <v>0</v>
      </c>
      <c r="Z2586" t="b">
        <v>0</v>
      </c>
      <c r="AA2586" t="b">
        <v>0</v>
      </c>
      <c r="AB2586" t="b">
        <v>0</v>
      </c>
      <c r="AC2586" t="b">
        <v>1</v>
      </c>
      <c r="AE2586" t="s">
        <v>6399</v>
      </c>
    </row>
    <row r="2587" spans="1:31" x14ac:dyDescent="0.3">
      <c r="A2587">
        <v>-73.975296531690006</v>
      </c>
      <c r="B2587">
        <v>40.775253857579997</v>
      </c>
      <c r="C2587" t="s">
        <v>6400</v>
      </c>
      <c r="D2587" t="s">
        <v>462</v>
      </c>
      <c r="E2587" t="s">
        <v>38</v>
      </c>
      <c r="F2587">
        <v>10062018</v>
      </c>
      <c r="G2587">
        <v>3</v>
      </c>
      <c r="H2587" t="s">
        <v>48</v>
      </c>
      <c r="I2587" t="s">
        <v>42</v>
      </c>
      <c r="J2587" t="s">
        <v>53</v>
      </c>
      <c r="K2587" t="s">
        <v>54</v>
      </c>
      <c r="M2587" t="s">
        <v>44</v>
      </c>
      <c r="O2587" t="s">
        <v>1084</v>
      </c>
      <c r="P2587" t="b">
        <v>0</v>
      </c>
      <c r="Q2587" t="b">
        <v>0</v>
      </c>
      <c r="R2587" t="b">
        <v>1</v>
      </c>
      <c r="S2587" t="b">
        <v>0</v>
      </c>
      <c r="T2587" t="b">
        <v>0</v>
      </c>
      <c r="V2587" t="b">
        <v>0</v>
      </c>
      <c r="W2587" t="b">
        <v>0</v>
      </c>
      <c r="X2587" t="b">
        <v>0</v>
      </c>
      <c r="Y2587" t="b">
        <v>0</v>
      </c>
      <c r="Z2587" t="b">
        <v>1</v>
      </c>
      <c r="AA2587" t="b">
        <v>1</v>
      </c>
      <c r="AB2587" t="b">
        <v>0</v>
      </c>
      <c r="AC2587" t="b">
        <v>0</v>
      </c>
      <c r="AE2587" t="s">
        <v>6401</v>
      </c>
    </row>
    <row r="2588" spans="1:31" x14ac:dyDescent="0.3">
      <c r="A2588">
        <v>-73.978997128680007</v>
      </c>
      <c r="B2588">
        <v>40.770702414639999</v>
      </c>
      <c r="C2588" t="s">
        <v>6402</v>
      </c>
      <c r="D2588" t="s">
        <v>327</v>
      </c>
      <c r="E2588" t="s">
        <v>33</v>
      </c>
      <c r="F2588">
        <v>10102018</v>
      </c>
      <c r="G2588">
        <v>4</v>
      </c>
      <c r="H2588" t="s">
        <v>48</v>
      </c>
      <c r="I2588" t="s">
        <v>53</v>
      </c>
      <c r="J2588" t="s">
        <v>59</v>
      </c>
      <c r="K2588" t="s">
        <v>60</v>
      </c>
      <c r="M2588" t="s">
        <v>65</v>
      </c>
      <c r="N2588" t="b">
        <v>0</v>
      </c>
      <c r="P2588" t="b">
        <v>0</v>
      </c>
      <c r="Q2588" t="b">
        <v>0</v>
      </c>
      <c r="R2588" t="b">
        <v>0</v>
      </c>
      <c r="S2588" t="b">
        <v>1</v>
      </c>
      <c r="T2588" t="b">
        <v>1</v>
      </c>
      <c r="V2588" t="b">
        <v>0</v>
      </c>
      <c r="W2588" t="b">
        <v>0</v>
      </c>
      <c r="X2588" t="b">
        <v>0</v>
      </c>
      <c r="Y2588" t="b">
        <v>0</v>
      </c>
      <c r="Z2588" t="b">
        <v>1</v>
      </c>
      <c r="AA2588" t="b">
        <v>0</v>
      </c>
      <c r="AB2588" t="b">
        <v>0</v>
      </c>
      <c r="AC2588" t="b">
        <v>0</v>
      </c>
      <c r="AE2588" t="s">
        <v>6403</v>
      </c>
    </row>
    <row r="2589" spans="1:31" x14ac:dyDescent="0.3">
      <c r="A2589">
        <v>-73.958100743710006</v>
      </c>
      <c r="B2589">
        <v>40.795940311270002</v>
      </c>
      <c r="C2589" t="s">
        <v>6404</v>
      </c>
      <c r="D2589" t="s">
        <v>175</v>
      </c>
      <c r="E2589" t="s">
        <v>38</v>
      </c>
      <c r="F2589">
        <v>10192018</v>
      </c>
      <c r="G2589">
        <v>6</v>
      </c>
      <c r="H2589" t="s">
        <v>48</v>
      </c>
      <c r="I2589" t="s">
        <v>42</v>
      </c>
      <c r="K2589" t="s">
        <v>43</v>
      </c>
      <c r="M2589" t="s">
        <v>44</v>
      </c>
      <c r="N2589">
        <v>23</v>
      </c>
      <c r="P2589" t="b">
        <v>0</v>
      </c>
      <c r="Q2589" t="b">
        <v>0</v>
      </c>
      <c r="R2589" t="b">
        <v>1</v>
      </c>
      <c r="S2589" t="b">
        <v>0</v>
      </c>
      <c r="T2589" t="b">
        <v>0</v>
      </c>
      <c r="V2589" t="b">
        <v>1</v>
      </c>
      <c r="W2589" t="b">
        <v>0</v>
      </c>
      <c r="X2589" t="b">
        <v>0</v>
      </c>
      <c r="Y2589" t="b">
        <v>1</v>
      </c>
      <c r="Z2589" t="b">
        <v>0</v>
      </c>
      <c r="AA2589" t="b">
        <v>0</v>
      </c>
      <c r="AB2589" t="b">
        <v>1</v>
      </c>
      <c r="AC2589" t="b">
        <v>0</v>
      </c>
      <c r="AE2589" t="s">
        <v>6405</v>
      </c>
    </row>
    <row r="2590" spans="1:31" x14ac:dyDescent="0.3">
      <c r="A2590">
        <v>-73.969416664229996</v>
      </c>
      <c r="B2590">
        <v>40.769778864110002</v>
      </c>
      <c r="C2590" t="s">
        <v>6406</v>
      </c>
      <c r="D2590" t="s">
        <v>1326</v>
      </c>
      <c r="E2590" t="s">
        <v>33</v>
      </c>
      <c r="F2590">
        <v>10132018</v>
      </c>
      <c r="G2590">
        <v>3</v>
      </c>
      <c r="H2590" t="s">
        <v>48</v>
      </c>
      <c r="I2590" t="s">
        <v>42</v>
      </c>
      <c r="J2590" t="s">
        <v>96</v>
      </c>
      <c r="K2590" t="s">
        <v>97</v>
      </c>
      <c r="M2590" t="s">
        <v>65</v>
      </c>
      <c r="N2590" t="b">
        <v>0</v>
      </c>
      <c r="P2590" t="b">
        <v>0</v>
      </c>
      <c r="Q2590" t="b">
        <v>0</v>
      </c>
      <c r="R2590" t="b">
        <v>0</v>
      </c>
      <c r="S2590" t="b">
        <v>1</v>
      </c>
      <c r="T2590" t="b">
        <v>1</v>
      </c>
      <c r="V2590" t="b">
        <v>0</v>
      </c>
      <c r="W2590" t="b">
        <v>0</v>
      </c>
      <c r="X2590" t="b">
        <v>0</v>
      </c>
      <c r="Y2590" t="b">
        <v>0</v>
      </c>
      <c r="Z2590" t="b">
        <v>0</v>
      </c>
      <c r="AA2590" t="b">
        <v>0</v>
      </c>
      <c r="AB2590" t="b">
        <v>1</v>
      </c>
      <c r="AC2590" t="b">
        <v>0</v>
      </c>
      <c r="AE2590" t="s">
        <v>6407</v>
      </c>
    </row>
    <row r="2591" spans="1:31" x14ac:dyDescent="0.3">
      <c r="A2591">
        <v>-73.956852477110004</v>
      </c>
      <c r="B2591">
        <v>40.797466498559999</v>
      </c>
      <c r="C2591" t="s">
        <v>6408</v>
      </c>
      <c r="D2591" t="s">
        <v>1245</v>
      </c>
      <c r="E2591" t="s">
        <v>33</v>
      </c>
      <c r="F2591">
        <v>10062018</v>
      </c>
      <c r="G2591">
        <v>6</v>
      </c>
      <c r="H2591" t="s">
        <v>105</v>
      </c>
      <c r="I2591" t="s">
        <v>42</v>
      </c>
      <c r="K2591" t="s">
        <v>43</v>
      </c>
      <c r="M2591" t="s">
        <v>65</v>
      </c>
      <c r="N2591" t="b">
        <v>0</v>
      </c>
      <c r="O2591" t="s">
        <v>6409</v>
      </c>
      <c r="P2591" t="b">
        <v>0</v>
      </c>
      <c r="Q2591" t="b">
        <v>0</v>
      </c>
      <c r="R2591" t="b">
        <v>0</v>
      </c>
      <c r="S2591" t="b">
        <v>0</v>
      </c>
      <c r="T2591" t="b">
        <v>1</v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b">
        <v>1</v>
      </c>
      <c r="AB2591" t="b">
        <v>0</v>
      </c>
      <c r="AC2591" t="b">
        <v>0</v>
      </c>
      <c r="AE2591" t="s">
        <v>6410</v>
      </c>
    </row>
    <row r="2592" spans="1:31" x14ac:dyDescent="0.3">
      <c r="A2592">
        <v>-73.978635102910005</v>
      </c>
      <c r="B2592">
        <v>40.771611416399999</v>
      </c>
      <c r="C2592" t="s">
        <v>6411</v>
      </c>
      <c r="D2592" t="s">
        <v>870</v>
      </c>
      <c r="E2592" t="s">
        <v>33</v>
      </c>
      <c r="F2592">
        <v>10122018</v>
      </c>
      <c r="G2592">
        <v>6</v>
      </c>
      <c r="H2592" t="s">
        <v>48</v>
      </c>
      <c r="I2592" t="s">
        <v>42</v>
      </c>
      <c r="J2592" t="s">
        <v>59</v>
      </c>
      <c r="K2592" t="s">
        <v>79</v>
      </c>
      <c r="M2592" t="s">
        <v>65</v>
      </c>
      <c r="N2592" t="b">
        <v>0</v>
      </c>
      <c r="O2592" t="s">
        <v>1879</v>
      </c>
      <c r="P2592" t="b">
        <v>0</v>
      </c>
      <c r="Q2592" t="b">
        <v>1</v>
      </c>
      <c r="R2592" t="b">
        <v>0</v>
      </c>
      <c r="S2592" t="b">
        <v>0</v>
      </c>
      <c r="T2592" t="b">
        <v>1</v>
      </c>
      <c r="V2592" t="b">
        <v>0</v>
      </c>
      <c r="W2592" t="b">
        <v>0</v>
      </c>
      <c r="X2592" t="b">
        <v>0</v>
      </c>
      <c r="Y2592" t="b">
        <v>1</v>
      </c>
      <c r="Z2592" t="b">
        <v>0</v>
      </c>
      <c r="AA2592" t="b">
        <v>0</v>
      </c>
      <c r="AB2592" t="b">
        <v>1</v>
      </c>
      <c r="AC2592" t="b">
        <v>0</v>
      </c>
      <c r="AE2592" t="s">
        <v>6412</v>
      </c>
    </row>
    <row r="2593" spans="1:31" x14ac:dyDescent="0.3">
      <c r="A2593">
        <v>-73.975812850970001</v>
      </c>
      <c r="B2593">
        <v>40.77159460971</v>
      </c>
      <c r="C2593" t="s">
        <v>6413</v>
      </c>
      <c r="D2593" t="s">
        <v>2803</v>
      </c>
      <c r="E2593" t="s">
        <v>33</v>
      </c>
      <c r="F2593">
        <v>10202018</v>
      </c>
      <c r="G2593">
        <v>3</v>
      </c>
      <c r="H2593" t="s">
        <v>48</v>
      </c>
      <c r="I2593" t="s">
        <v>42</v>
      </c>
      <c r="J2593" t="s">
        <v>53</v>
      </c>
      <c r="K2593" t="s">
        <v>54</v>
      </c>
      <c r="M2593" t="s">
        <v>44</v>
      </c>
      <c r="N2593">
        <v>5</v>
      </c>
      <c r="P2593" t="b">
        <v>0</v>
      </c>
      <c r="Q2593" t="b">
        <v>0</v>
      </c>
      <c r="R2593" t="b">
        <v>1</v>
      </c>
      <c r="S2593" t="b">
        <v>0</v>
      </c>
      <c r="T2593" t="b">
        <v>0</v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b">
        <v>0</v>
      </c>
      <c r="AB2593" t="b">
        <v>0</v>
      </c>
      <c r="AC2593" t="b">
        <v>0</v>
      </c>
      <c r="AE2593" t="s">
        <v>6414</v>
      </c>
    </row>
    <row r="2594" spans="1:31" x14ac:dyDescent="0.3">
      <c r="A2594">
        <v>-73.95901918125</v>
      </c>
      <c r="B2594">
        <v>40.790616698139999</v>
      </c>
      <c r="C2594" t="s">
        <v>6415</v>
      </c>
      <c r="D2594" t="s">
        <v>47</v>
      </c>
      <c r="E2594" t="s">
        <v>33</v>
      </c>
      <c r="F2594">
        <v>10172018</v>
      </c>
      <c r="G2594">
        <v>8</v>
      </c>
      <c r="H2594" t="s">
        <v>48</v>
      </c>
      <c r="I2594" t="s">
        <v>42</v>
      </c>
      <c r="K2594" t="s">
        <v>43</v>
      </c>
      <c r="M2594" t="s">
        <v>65</v>
      </c>
      <c r="N2594" t="b">
        <v>0</v>
      </c>
      <c r="O2594" t="s">
        <v>815</v>
      </c>
      <c r="P2594" t="b">
        <v>0</v>
      </c>
      <c r="Q2594" t="b">
        <v>0</v>
      </c>
      <c r="R2594" t="b">
        <v>0</v>
      </c>
      <c r="S2594" t="b">
        <v>1</v>
      </c>
      <c r="T2594" t="b">
        <v>1</v>
      </c>
      <c r="V2594" t="b">
        <v>0</v>
      </c>
      <c r="W2594" t="b">
        <v>0</v>
      </c>
      <c r="X2594" t="b">
        <v>0</v>
      </c>
      <c r="Y2594" t="b">
        <v>0</v>
      </c>
      <c r="Z2594" t="b">
        <v>0</v>
      </c>
      <c r="AA2594" t="b">
        <v>0</v>
      </c>
      <c r="AB2594" t="b">
        <v>0</v>
      </c>
      <c r="AC2594" t="b">
        <v>1</v>
      </c>
      <c r="AE2594" t="s">
        <v>6416</v>
      </c>
    </row>
    <row r="2595" spans="1:31" x14ac:dyDescent="0.3">
      <c r="A2595">
        <v>-73.96388120604</v>
      </c>
      <c r="B2595">
        <v>40.792371494139999</v>
      </c>
      <c r="C2595" t="s">
        <v>6417</v>
      </c>
      <c r="D2595" t="s">
        <v>104</v>
      </c>
      <c r="E2595" t="s">
        <v>33</v>
      </c>
      <c r="F2595">
        <v>10132018</v>
      </c>
      <c r="G2595">
        <v>2</v>
      </c>
      <c r="H2595" t="s">
        <v>3842</v>
      </c>
      <c r="I2595" t="s">
        <v>42</v>
      </c>
      <c r="J2595" t="s">
        <v>59</v>
      </c>
      <c r="K2595" t="s">
        <v>79</v>
      </c>
      <c r="M2595" t="s">
        <v>65</v>
      </c>
      <c r="N2595" t="b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1</v>
      </c>
      <c r="V2595" t="b">
        <v>0</v>
      </c>
      <c r="W2595" t="b">
        <v>0</v>
      </c>
      <c r="X2595" t="b">
        <v>0</v>
      </c>
      <c r="Y2595" t="b">
        <v>0</v>
      </c>
      <c r="Z2595" t="b">
        <v>0</v>
      </c>
      <c r="AA2595" t="b">
        <v>0</v>
      </c>
      <c r="AB2595" t="b">
        <v>1</v>
      </c>
      <c r="AC2595" t="b">
        <v>0</v>
      </c>
      <c r="AE2595" t="s">
        <v>6418</v>
      </c>
    </row>
    <row r="2596" spans="1:31" x14ac:dyDescent="0.3">
      <c r="A2596">
        <v>-73.969267665979999</v>
      </c>
      <c r="B2596">
        <v>40.770067891910003</v>
      </c>
      <c r="C2596" t="s">
        <v>6419</v>
      </c>
      <c r="D2596" t="s">
        <v>1326</v>
      </c>
      <c r="E2596" t="s">
        <v>33</v>
      </c>
      <c r="F2596">
        <v>10132018</v>
      </c>
      <c r="G2596">
        <v>8</v>
      </c>
      <c r="H2596" t="s">
        <v>48</v>
      </c>
      <c r="I2596" t="s">
        <v>53</v>
      </c>
      <c r="J2596" t="s">
        <v>115</v>
      </c>
      <c r="K2596" t="s">
        <v>116</v>
      </c>
      <c r="M2596" t="s">
        <v>44</v>
      </c>
      <c r="N2596">
        <v>1</v>
      </c>
      <c r="P2596" t="b">
        <v>0</v>
      </c>
      <c r="Q2596" t="b">
        <v>0</v>
      </c>
      <c r="R2596" t="b">
        <v>1</v>
      </c>
      <c r="S2596" t="b">
        <v>1</v>
      </c>
      <c r="T2596" t="b">
        <v>1</v>
      </c>
      <c r="V2596" t="b">
        <v>0</v>
      </c>
      <c r="W2596" t="b">
        <v>0</v>
      </c>
      <c r="X2596" t="b">
        <v>0</v>
      </c>
      <c r="Y2596" t="b">
        <v>0</v>
      </c>
      <c r="Z2596" t="b">
        <v>0</v>
      </c>
      <c r="AA2596" t="b">
        <v>0</v>
      </c>
      <c r="AB2596" t="b">
        <v>0</v>
      </c>
      <c r="AC2596" t="b">
        <v>1</v>
      </c>
      <c r="AE2596" t="s">
        <v>6420</v>
      </c>
    </row>
    <row r="2597" spans="1:31" x14ac:dyDescent="0.3">
      <c r="A2597">
        <v>-73.972978657089996</v>
      </c>
      <c r="B2597">
        <v>40.777823857039998</v>
      </c>
      <c r="C2597" t="s">
        <v>6421</v>
      </c>
      <c r="D2597" t="s">
        <v>1759</v>
      </c>
      <c r="E2597" t="s">
        <v>38</v>
      </c>
      <c r="F2597">
        <v>10072018</v>
      </c>
      <c r="G2597">
        <v>1</v>
      </c>
      <c r="H2597" t="s">
        <v>48</v>
      </c>
      <c r="I2597" t="s">
        <v>42</v>
      </c>
      <c r="J2597" t="s">
        <v>53</v>
      </c>
      <c r="K2597" t="s">
        <v>54</v>
      </c>
      <c r="L2597" t="s">
        <v>6422</v>
      </c>
      <c r="M2597" t="s">
        <v>65</v>
      </c>
      <c r="N2597" t="b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1</v>
      </c>
      <c r="V2597" t="b">
        <v>0</v>
      </c>
      <c r="W2597" t="b">
        <v>0</v>
      </c>
      <c r="X2597" t="b">
        <v>0</v>
      </c>
      <c r="Y2597" t="b">
        <v>0</v>
      </c>
      <c r="Z2597" t="b">
        <v>0</v>
      </c>
      <c r="AA2597" t="b">
        <v>0</v>
      </c>
      <c r="AB2597" t="b">
        <v>0</v>
      </c>
      <c r="AC2597" t="b">
        <v>1</v>
      </c>
      <c r="AE2597" t="s">
        <v>6423</v>
      </c>
    </row>
    <row r="2598" spans="1:31" x14ac:dyDescent="0.3">
      <c r="A2598">
        <v>-73.970630440510007</v>
      </c>
      <c r="B2598">
        <v>40.777106059479998</v>
      </c>
      <c r="C2598" t="s">
        <v>6424</v>
      </c>
      <c r="D2598" t="s">
        <v>729</v>
      </c>
      <c r="E2598" t="s">
        <v>33</v>
      </c>
      <c r="F2598">
        <v>10192018</v>
      </c>
      <c r="G2598">
        <v>14</v>
      </c>
      <c r="H2598" t="s">
        <v>48</v>
      </c>
      <c r="I2598" t="s">
        <v>42</v>
      </c>
      <c r="J2598" t="s">
        <v>53</v>
      </c>
      <c r="K2598" t="s">
        <v>54</v>
      </c>
      <c r="M2598" t="s">
        <v>65</v>
      </c>
      <c r="N2598" t="b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1</v>
      </c>
      <c r="V2598" t="b">
        <v>0</v>
      </c>
      <c r="W2598" t="b">
        <v>0</v>
      </c>
      <c r="X2598" t="b">
        <v>0</v>
      </c>
      <c r="Y2598" t="b">
        <v>0</v>
      </c>
      <c r="Z2598" t="b">
        <v>0</v>
      </c>
      <c r="AA2598" t="b">
        <v>0</v>
      </c>
      <c r="AB2598" t="b">
        <v>0</v>
      </c>
      <c r="AC2598" t="b">
        <v>0</v>
      </c>
      <c r="AE2598" t="s">
        <v>6425</v>
      </c>
    </row>
    <row r="2599" spans="1:31" x14ac:dyDescent="0.3">
      <c r="A2599">
        <v>-73.976658503419998</v>
      </c>
      <c r="B2599">
        <v>40.768686845689999</v>
      </c>
      <c r="C2599" t="s">
        <v>6426</v>
      </c>
      <c r="D2599" t="s">
        <v>534</v>
      </c>
      <c r="E2599" t="s">
        <v>38</v>
      </c>
      <c r="F2599">
        <v>10122018</v>
      </c>
      <c r="G2599">
        <v>3</v>
      </c>
      <c r="H2599" t="s">
        <v>48</v>
      </c>
      <c r="I2599" t="s">
        <v>42</v>
      </c>
      <c r="K2599" t="s">
        <v>43</v>
      </c>
      <c r="M2599" t="s">
        <v>65</v>
      </c>
      <c r="N2599" t="b">
        <v>0</v>
      </c>
      <c r="P2599" t="b">
        <v>0</v>
      </c>
      <c r="Q2599" t="b">
        <v>1</v>
      </c>
      <c r="R2599" t="b">
        <v>1</v>
      </c>
      <c r="S2599" t="b">
        <v>0</v>
      </c>
      <c r="T2599" t="b">
        <v>0</v>
      </c>
      <c r="V2599" t="b">
        <v>0</v>
      </c>
      <c r="W2599" t="b">
        <v>0</v>
      </c>
      <c r="X2599" t="b">
        <v>0</v>
      </c>
      <c r="Y2599" t="b">
        <v>0</v>
      </c>
      <c r="Z2599" t="b">
        <v>1</v>
      </c>
      <c r="AA2599" t="b">
        <v>0</v>
      </c>
      <c r="AB2599" t="b">
        <v>1</v>
      </c>
      <c r="AC2599" t="b">
        <v>0</v>
      </c>
      <c r="AE2599" t="s">
        <v>6427</v>
      </c>
    </row>
    <row r="2600" spans="1:31" x14ac:dyDescent="0.3">
      <c r="A2600">
        <v>-73.968989341270003</v>
      </c>
      <c r="B2600">
        <v>40.785308737679998</v>
      </c>
      <c r="C2600" t="s">
        <v>6428</v>
      </c>
      <c r="D2600" t="s">
        <v>2864</v>
      </c>
      <c r="E2600" t="s">
        <v>38</v>
      </c>
      <c r="F2600">
        <v>10182018</v>
      </c>
      <c r="G2600">
        <v>3</v>
      </c>
      <c r="H2600" t="s">
        <v>105</v>
      </c>
      <c r="I2600" t="s">
        <v>42</v>
      </c>
      <c r="J2600" t="s">
        <v>53</v>
      </c>
      <c r="K2600" t="s">
        <v>54</v>
      </c>
      <c r="M2600" t="s">
        <v>44</v>
      </c>
      <c r="N2600">
        <v>8</v>
      </c>
      <c r="O2600" t="s">
        <v>2865</v>
      </c>
      <c r="P2600" t="b">
        <v>0</v>
      </c>
      <c r="Q2600" t="b">
        <v>0</v>
      </c>
      <c r="R2600" t="b">
        <v>1</v>
      </c>
      <c r="S2600" t="b">
        <v>0</v>
      </c>
      <c r="T2600" t="b">
        <v>0</v>
      </c>
      <c r="V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b">
        <v>0</v>
      </c>
      <c r="AB2600" t="b">
        <v>1</v>
      </c>
      <c r="AC2600" t="b">
        <v>0</v>
      </c>
      <c r="AE2600" t="s">
        <v>6429</v>
      </c>
    </row>
    <row r="2601" spans="1:31" x14ac:dyDescent="0.3">
      <c r="A2601">
        <v>-73.954455369770002</v>
      </c>
      <c r="B2601">
        <v>40.791286620809998</v>
      </c>
      <c r="C2601" t="s">
        <v>6430</v>
      </c>
      <c r="D2601" t="s">
        <v>1025</v>
      </c>
      <c r="E2601" t="s">
        <v>38</v>
      </c>
      <c r="F2601">
        <v>10122018</v>
      </c>
      <c r="G2601">
        <v>1</v>
      </c>
      <c r="H2601" t="s">
        <v>48</v>
      </c>
      <c r="I2601" t="s">
        <v>42</v>
      </c>
      <c r="J2601" t="s">
        <v>96</v>
      </c>
      <c r="K2601" t="s">
        <v>97</v>
      </c>
      <c r="M2601" t="s">
        <v>65</v>
      </c>
      <c r="N2601" t="b">
        <v>0</v>
      </c>
      <c r="P2601" t="b">
        <v>0</v>
      </c>
      <c r="Q2601" t="b">
        <v>0</v>
      </c>
      <c r="R2601" t="b">
        <v>0</v>
      </c>
      <c r="S2601" t="b">
        <v>1</v>
      </c>
      <c r="T2601" t="b">
        <v>0</v>
      </c>
      <c r="V2601" t="b">
        <v>0</v>
      </c>
      <c r="W2601" t="b">
        <v>0</v>
      </c>
      <c r="X2601" t="b">
        <v>0</v>
      </c>
      <c r="Y2601" t="b">
        <v>0</v>
      </c>
      <c r="Z2601" t="b">
        <v>0</v>
      </c>
      <c r="AA2601" t="b">
        <v>0</v>
      </c>
      <c r="AB2601" t="b">
        <v>0</v>
      </c>
      <c r="AC2601" t="b">
        <v>0</v>
      </c>
      <c r="AE2601" t="s">
        <v>6431</v>
      </c>
    </row>
    <row r="2602" spans="1:31" x14ac:dyDescent="0.3">
      <c r="A2602">
        <v>-73.979636950070002</v>
      </c>
      <c r="B2602">
        <v>40.767799975400003</v>
      </c>
      <c r="C2602" t="s">
        <v>6432</v>
      </c>
      <c r="D2602" t="s">
        <v>1301</v>
      </c>
      <c r="E2602" t="s">
        <v>33</v>
      </c>
      <c r="F2602">
        <v>10132018</v>
      </c>
      <c r="G2602">
        <v>10</v>
      </c>
      <c r="H2602" t="s">
        <v>48</v>
      </c>
      <c r="I2602" t="s">
        <v>53</v>
      </c>
      <c r="K2602" t="s">
        <v>155</v>
      </c>
      <c r="M2602" t="s">
        <v>65</v>
      </c>
      <c r="N2602" t="b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1</v>
      </c>
      <c r="V2602" t="b">
        <v>0</v>
      </c>
      <c r="W2602" t="b">
        <v>0</v>
      </c>
      <c r="X2602" t="b">
        <v>0</v>
      </c>
      <c r="Y2602" t="b">
        <v>0</v>
      </c>
      <c r="Z2602" t="b">
        <v>0</v>
      </c>
      <c r="AA2602" t="b">
        <v>0</v>
      </c>
      <c r="AB2602" t="b">
        <v>1</v>
      </c>
      <c r="AC2602" t="b">
        <v>0</v>
      </c>
      <c r="AE2602" t="s">
        <v>6433</v>
      </c>
    </row>
    <row r="2603" spans="1:31" x14ac:dyDescent="0.3">
      <c r="A2603">
        <v>-73.975482293889996</v>
      </c>
      <c r="B2603">
        <v>40.771776689379998</v>
      </c>
      <c r="C2603" t="s">
        <v>6434</v>
      </c>
      <c r="D2603" t="s">
        <v>2803</v>
      </c>
      <c r="E2603" t="s">
        <v>33</v>
      </c>
      <c r="F2603">
        <v>10202018</v>
      </c>
      <c r="G2603">
        <v>1</v>
      </c>
      <c r="H2603" t="s">
        <v>48</v>
      </c>
      <c r="I2603" t="s">
        <v>42</v>
      </c>
      <c r="J2603" t="s">
        <v>53</v>
      </c>
      <c r="K2603" t="s">
        <v>54</v>
      </c>
      <c r="M2603" t="s">
        <v>65</v>
      </c>
      <c r="N2603" t="b">
        <v>0</v>
      </c>
      <c r="P2603" t="b">
        <v>0</v>
      </c>
      <c r="Q2603" t="b">
        <v>0</v>
      </c>
      <c r="R2603" t="b">
        <v>0</v>
      </c>
      <c r="S2603" t="b">
        <v>1</v>
      </c>
      <c r="T2603" t="b">
        <v>0</v>
      </c>
      <c r="V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b">
        <v>0</v>
      </c>
      <c r="AB2603" t="b">
        <v>0</v>
      </c>
      <c r="AC2603" t="b">
        <v>0</v>
      </c>
      <c r="AE2603" t="s">
        <v>6435</v>
      </c>
    </row>
    <row r="2604" spans="1:31" x14ac:dyDescent="0.3">
      <c r="A2604">
        <v>-73.970878150450005</v>
      </c>
      <c r="B2604">
        <v>40.772413807040003</v>
      </c>
      <c r="C2604" t="s">
        <v>6436</v>
      </c>
      <c r="D2604" t="s">
        <v>314</v>
      </c>
      <c r="E2604" t="s">
        <v>38</v>
      </c>
      <c r="F2604">
        <v>10072018</v>
      </c>
      <c r="G2604">
        <v>3</v>
      </c>
      <c r="H2604" t="s">
        <v>48</v>
      </c>
      <c r="I2604" t="s">
        <v>42</v>
      </c>
      <c r="K2604" t="s">
        <v>43</v>
      </c>
      <c r="M2604" t="s">
        <v>44</v>
      </c>
      <c r="N2604">
        <v>50</v>
      </c>
      <c r="P2604" t="b">
        <v>0</v>
      </c>
      <c r="Q2604" t="b">
        <v>0</v>
      </c>
      <c r="R2604" t="b">
        <v>1</v>
      </c>
      <c r="S2604" t="b">
        <v>0</v>
      </c>
      <c r="T2604" t="b">
        <v>0</v>
      </c>
      <c r="V2604" t="b">
        <v>0</v>
      </c>
      <c r="W2604" t="b">
        <v>0</v>
      </c>
      <c r="X2604" t="b">
        <v>0</v>
      </c>
      <c r="Y2604" t="b">
        <v>0</v>
      </c>
      <c r="Z2604" t="b">
        <v>0</v>
      </c>
      <c r="AA2604" t="b">
        <v>0</v>
      </c>
      <c r="AB2604" t="b">
        <v>0</v>
      </c>
      <c r="AC2604" t="b">
        <v>0</v>
      </c>
      <c r="AE2604" t="s">
        <v>6437</v>
      </c>
    </row>
    <row r="2605" spans="1:31" x14ac:dyDescent="0.3">
      <c r="A2605">
        <v>-73.960516369830003</v>
      </c>
      <c r="B2605">
        <v>40.791417999499998</v>
      </c>
      <c r="C2605" t="s">
        <v>6438</v>
      </c>
      <c r="D2605" t="s">
        <v>294</v>
      </c>
      <c r="E2605" t="s">
        <v>33</v>
      </c>
      <c r="F2605">
        <v>10062018</v>
      </c>
      <c r="G2605">
        <v>5</v>
      </c>
      <c r="H2605" t="s">
        <v>105</v>
      </c>
      <c r="I2605" t="s">
        <v>42</v>
      </c>
      <c r="J2605" t="s">
        <v>148</v>
      </c>
      <c r="K2605" t="s">
        <v>149</v>
      </c>
      <c r="M2605" t="s">
        <v>65</v>
      </c>
      <c r="N2605" t="b">
        <v>0</v>
      </c>
      <c r="P2605" t="b">
        <v>1</v>
      </c>
      <c r="Q2605" t="b">
        <v>0</v>
      </c>
      <c r="R2605" t="b">
        <v>1</v>
      </c>
      <c r="S2605" t="b">
        <v>1</v>
      </c>
      <c r="T2605" t="b">
        <v>0</v>
      </c>
      <c r="V2605" t="b">
        <v>0</v>
      </c>
      <c r="W2605" t="b">
        <v>0</v>
      </c>
      <c r="X2605" t="b">
        <v>0</v>
      </c>
      <c r="Y2605" t="b">
        <v>0</v>
      </c>
      <c r="Z2605" t="b">
        <v>1</v>
      </c>
      <c r="AA2605" t="b">
        <v>0</v>
      </c>
      <c r="AB2605" t="b">
        <v>0</v>
      </c>
      <c r="AC2605" t="b">
        <v>1</v>
      </c>
      <c r="AE2605" t="s">
        <v>6439</v>
      </c>
    </row>
    <row r="2606" spans="1:31" x14ac:dyDescent="0.3">
      <c r="A2606">
        <v>-73.973689636299994</v>
      </c>
      <c r="B2606">
        <v>40.767763086259997</v>
      </c>
      <c r="C2606" t="s">
        <v>6440</v>
      </c>
      <c r="D2606" t="s">
        <v>642</v>
      </c>
      <c r="E2606" t="s">
        <v>38</v>
      </c>
      <c r="F2606">
        <v>10062018</v>
      </c>
      <c r="G2606">
        <v>1</v>
      </c>
      <c r="H2606" t="s">
        <v>48</v>
      </c>
      <c r="I2606" t="s">
        <v>42</v>
      </c>
      <c r="J2606" t="s">
        <v>59</v>
      </c>
      <c r="K2606" t="s">
        <v>79</v>
      </c>
      <c r="M2606" t="s">
        <v>65</v>
      </c>
      <c r="N2606" t="b">
        <v>0</v>
      </c>
      <c r="P2606" t="b">
        <v>0</v>
      </c>
      <c r="Q2606" t="b">
        <v>0</v>
      </c>
      <c r="R2606" t="b">
        <v>0</v>
      </c>
      <c r="S2606" t="b">
        <v>0</v>
      </c>
      <c r="T2606" t="b">
        <v>1</v>
      </c>
      <c r="V2606" t="b">
        <v>0</v>
      </c>
      <c r="W2606" t="b">
        <v>0</v>
      </c>
      <c r="X2606" t="b">
        <v>0</v>
      </c>
      <c r="Y2606" t="b">
        <v>0</v>
      </c>
      <c r="Z2606" t="b">
        <v>0</v>
      </c>
      <c r="AA2606" t="b">
        <v>0</v>
      </c>
      <c r="AB2606" t="b">
        <v>1</v>
      </c>
      <c r="AC2606" t="b">
        <v>0</v>
      </c>
      <c r="AE2606" t="s">
        <v>6441</v>
      </c>
    </row>
    <row r="2607" spans="1:31" x14ac:dyDescent="0.3">
      <c r="A2607">
        <v>-73.961434173849995</v>
      </c>
      <c r="B2607">
        <v>40.794546426209997</v>
      </c>
      <c r="C2607" t="s">
        <v>6442</v>
      </c>
      <c r="D2607" t="s">
        <v>423</v>
      </c>
      <c r="E2607" t="s">
        <v>33</v>
      </c>
      <c r="F2607">
        <v>10132018</v>
      </c>
      <c r="G2607">
        <v>2</v>
      </c>
      <c r="H2607" t="s">
        <v>105</v>
      </c>
      <c r="K2607" t="s">
        <v>34</v>
      </c>
      <c r="M2607" t="s">
        <v>65</v>
      </c>
      <c r="N2607" t="b">
        <v>0</v>
      </c>
      <c r="P2607" t="b">
        <v>0</v>
      </c>
      <c r="Q2607" t="b">
        <v>0</v>
      </c>
      <c r="R2607" t="b">
        <v>0</v>
      </c>
      <c r="S2607" t="b">
        <v>1</v>
      </c>
      <c r="T2607" t="b">
        <v>0</v>
      </c>
      <c r="U2607" t="s">
        <v>5392</v>
      </c>
      <c r="V2607" t="b">
        <v>0</v>
      </c>
      <c r="W2607" t="b">
        <v>0</v>
      </c>
      <c r="X2607" t="b">
        <v>0</v>
      </c>
      <c r="Y2607" t="b">
        <v>0</v>
      </c>
      <c r="Z2607" t="b">
        <v>1</v>
      </c>
      <c r="AA2607" t="b">
        <v>0</v>
      </c>
      <c r="AB2607" t="b">
        <v>1</v>
      </c>
      <c r="AC2607" t="b">
        <v>0</v>
      </c>
      <c r="AE2607" t="s">
        <v>6443</v>
      </c>
    </row>
    <row r="2608" spans="1:31" x14ac:dyDescent="0.3">
      <c r="A2608">
        <v>-73.964298869070007</v>
      </c>
      <c r="B2608">
        <v>40.779559128199999</v>
      </c>
      <c r="C2608" t="s">
        <v>6444</v>
      </c>
      <c r="D2608" t="s">
        <v>1015</v>
      </c>
      <c r="E2608" t="s">
        <v>38</v>
      </c>
      <c r="F2608">
        <v>10102018</v>
      </c>
      <c r="G2608">
        <v>4</v>
      </c>
      <c r="H2608" t="s">
        <v>48</v>
      </c>
      <c r="I2608" t="s">
        <v>42</v>
      </c>
      <c r="J2608" t="s">
        <v>96</v>
      </c>
      <c r="K2608" t="s">
        <v>97</v>
      </c>
      <c r="M2608" t="s">
        <v>65</v>
      </c>
      <c r="N2608" t="b">
        <v>0</v>
      </c>
      <c r="P2608" t="b">
        <v>0</v>
      </c>
      <c r="Q2608" t="b">
        <v>0</v>
      </c>
      <c r="R2608" t="b">
        <v>1</v>
      </c>
      <c r="S2608" t="b">
        <v>1</v>
      </c>
      <c r="T2608" t="b">
        <v>1</v>
      </c>
      <c r="V2608" t="b">
        <v>0</v>
      </c>
      <c r="W2608" t="b">
        <v>0</v>
      </c>
      <c r="X2608" t="b">
        <v>0</v>
      </c>
      <c r="Y2608" t="b">
        <v>0</v>
      </c>
      <c r="Z2608" t="b">
        <v>0</v>
      </c>
      <c r="AA2608" t="b">
        <v>0</v>
      </c>
      <c r="AB2608" t="b">
        <v>1</v>
      </c>
      <c r="AC2608" t="b">
        <v>1</v>
      </c>
      <c r="AD2608" t="s">
        <v>6445</v>
      </c>
      <c r="AE2608" t="s">
        <v>6446</v>
      </c>
    </row>
    <row r="2609" spans="1:31" x14ac:dyDescent="0.3">
      <c r="A2609">
        <v>-73.952267765770003</v>
      </c>
      <c r="B2609">
        <v>40.793403481139997</v>
      </c>
      <c r="C2609" t="s">
        <v>6447</v>
      </c>
      <c r="D2609" t="s">
        <v>2053</v>
      </c>
      <c r="E2609" t="s">
        <v>38</v>
      </c>
      <c r="F2609">
        <v>10192018</v>
      </c>
      <c r="G2609">
        <v>2</v>
      </c>
      <c r="H2609" t="s">
        <v>48</v>
      </c>
      <c r="I2609" t="s">
        <v>53</v>
      </c>
      <c r="J2609" t="s">
        <v>42</v>
      </c>
      <c r="K2609" t="s">
        <v>89</v>
      </c>
      <c r="M2609" t="s">
        <v>65</v>
      </c>
      <c r="N2609" t="b">
        <v>0</v>
      </c>
      <c r="P2609" t="b">
        <v>0</v>
      </c>
      <c r="Q2609" t="b">
        <v>0</v>
      </c>
      <c r="R2609" t="b">
        <v>0</v>
      </c>
      <c r="S2609" t="b">
        <v>0</v>
      </c>
      <c r="T2609" t="b">
        <v>1</v>
      </c>
      <c r="V2609" t="b">
        <v>0</v>
      </c>
      <c r="W2609" t="b">
        <v>0</v>
      </c>
      <c r="X2609" t="b">
        <v>0</v>
      </c>
      <c r="Y2609" t="b">
        <v>0</v>
      </c>
      <c r="Z2609" t="b">
        <v>0</v>
      </c>
      <c r="AA2609" t="b">
        <v>0</v>
      </c>
      <c r="AB2609" t="b">
        <v>0</v>
      </c>
      <c r="AC2609" t="b">
        <v>1</v>
      </c>
      <c r="AE2609" t="s">
        <v>6448</v>
      </c>
    </row>
    <row r="2610" spans="1:31" x14ac:dyDescent="0.3">
      <c r="A2610">
        <v>-73.959686531809993</v>
      </c>
      <c r="B2610">
        <v>40.789378718850003</v>
      </c>
      <c r="C2610" t="s">
        <v>6449</v>
      </c>
      <c r="D2610" t="s">
        <v>893</v>
      </c>
      <c r="E2610" t="s">
        <v>38</v>
      </c>
      <c r="F2610">
        <v>10132018</v>
      </c>
      <c r="G2610">
        <v>1</v>
      </c>
      <c r="H2610" t="s">
        <v>48</v>
      </c>
      <c r="I2610" t="s">
        <v>42</v>
      </c>
      <c r="J2610" t="s">
        <v>176</v>
      </c>
      <c r="K2610" t="s">
        <v>339</v>
      </c>
      <c r="M2610" t="s">
        <v>44</v>
      </c>
      <c r="N2610">
        <v>25</v>
      </c>
      <c r="P2610" t="b">
        <v>1</v>
      </c>
      <c r="Q2610" t="b">
        <v>0</v>
      </c>
      <c r="R2610" t="b">
        <v>1</v>
      </c>
      <c r="S2610" t="b">
        <v>0</v>
      </c>
      <c r="T2610" t="b">
        <v>0</v>
      </c>
      <c r="V2610" t="b">
        <v>0</v>
      </c>
      <c r="W2610" t="b">
        <v>0</v>
      </c>
      <c r="X2610" t="b">
        <v>0</v>
      </c>
      <c r="Y2610" t="b">
        <v>0</v>
      </c>
      <c r="Z2610" t="b">
        <v>0</v>
      </c>
      <c r="AA2610" t="b">
        <v>0</v>
      </c>
      <c r="AB2610" t="b">
        <v>0</v>
      </c>
      <c r="AC2610" t="b">
        <v>0</v>
      </c>
      <c r="AE2610" t="s">
        <v>6450</v>
      </c>
    </row>
    <row r="2611" spans="1:31" x14ac:dyDescent="0.3">
      <c r="A2611">
        <v>-73.971337991439995</v>
      </c>
      <c r="B2611">
        <v>40.769636760959997</v>
      </c>
      <c r="C2611" t="s">
        <v>6451</v>
      </c>
      <c r="D2611" t="s">
        <v>92</v>
      </c>
      <c r="E2611" t="s">
        <v>33</v>
      </c>
      <c r="F2611">
        <v>10062018</v>
      </c>
      <c r="G2611">
        <v>1</v>
      </c>
      <c r="H2611" t="s">
        <v>48</v>
      </c>
      <c r="I2611" t="s">
        <v>42</v>
      </c>
      <c r="J2611" t="s">
        <v>96</v>
      </c>
      <c r="K2611" t="s">
        <v>97</v>
      </c>
      <c r="M2611" t="s">
        <v>65</v>
      </c>
      <c r="N2611" t="b">
        <v>0</v>
      </c>
      <c r="O2611" t="s">
        <v>6452</v>
      </c>
      <c r="P2611" t="b">
        <v>0</v>
      </c>
      <c r="Q2611" t="b">
        <v>0</v>
      </c>
      <c r="R2611" t="b">
        <v>0</v>
      </c>
      <c r="S2611" t="b">
        <v>1</v>
      </c>
      <c r="T2611" t="b">
        <v>1</v>
      </c>
      <c r="V2611" t="b">
        <v>0</v>
      </c>
      <c r="W2611" t="b">
        <v>0</v>
      </c>
      <c r="X2611" t="b">
        <v>0</v>
      </c>
      <c r="Y2611" t="b">
        <v>0</v>
      </c>
      <c r="Z2611" t="b">
        <v>1</v>
      </c>
      <c r="AA2611" t="b">
        <v>1</v>
      </c>
      <c r="AB2611" t="b">
        <v>0</v>
      </c>
      <c r="AC2611" t="b">
        <v>0</v>
      </c>
      <c r="AE2611" t="s">
        <v>6453</v>
      </c>
    </row>
    <row r="2612" spans="1:31" x14ac:dyDescent="0.3">
      <c r="A2612">
        <v>-73.951448051870003</v>
      </c>
      <c r="B2612">
        <v>40.797395164930002</v>
      </c>
      <c r="C2612" t="s">
        <v>6454</v>
      </c>
      <c r="D2612" t="s">
        <v>386</v>
      </c>
      <c r="E2612" t="s">
        <v>38</v>
      </c>
      <c r="F2612">
        <v>10182018</v>
      </c>
      <c r="G2612">
        <v>2</v>
      </c>
      <c r="H2612" t="s">
        <v>48</v>
      </c>
      <c r="I2612" t="s">
        <v>42</v>
      </c>
      <c r="K2612" t="s">
        <v>43</v>
      </c>
      <c r="M2612" t="s">
        <v>65</v>
      </c>
      <c r="N2612" t="b">
        <v>0</v>
      </c>
      <c r="P2612" t="b">
        <v>1</v>
      </c>
      <c r="Q2612" t="b">
        <v>0</v>
      </c>
      <c r="R2612" t="b">
        <v>0</v>
      </c>
      <c r="S2612" t="b">
        <v>0</v>
      </c>
      <c r="T2612" t="b">
        <v>0</v>
      </c>
      <c r="V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b">
        <v>0</v>
      </c>
      <c r="AB2612" t="b">
        <v>1</v>
      </c>
      <c r="AC2612" t="b">
        <v>0</v>
      </c>
      <c r="AE2612" t="s">
        <v>6455</v>
      </c>
    </row>
    <row r="2613" spans="1:31" x14ac:dyDescent="0.3">
      <c r="A2613">
        <v>-73.971167300649995</v>
      </c>
      <c r="B2613">
        <v>40.774797961460003</v>
      </c>
      <c r="C2613" t="s">
        <v>6456</v>
      </c>
      <c r="D2613" t="s">
        <v>726</v>
      </c>
      <c r="E2613" t="s">
        <v>33</v>
      </c>
      <c r="F2613">
        <v>10182018</v>
      </c>
      <c r="G2613">
        <v>5</v>
      </c>
      <c r="H2613" t="s">
        <v>48</v>
      </c>
      <c r="I2613" t="s">
        <v>53</v>
      </c>
      <c r="K2613" t="s">
        <v>155</v>
      </c>
      <c r="M2613" t="s">
        <v>65</v>
      </c>
      <c r="N2613" t="b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1</v>
      </c>
      <c r="V2613" t="b">
        <v>0</v>
      </c>
      <c r="W2613" t="b">
        <v>0</v>
      </c>
      <c r="X2613" t="b">
        <v>0</v>
      </c>
      <c r="Y2613" t="b">
        <v>0</v>
      </c>
      <c r="Z2613" t="b">
        <v>1</v>
      </c>
      <c r="AA2613" t="b">
        <v>0</v>
      </c>
      <c r="AB2613" t="b">
        <v>1</v>
      </c>
      <c r="AC2613" t="b">
        <v>0</v>
      </c>
      <c r="AE2613" t="s">
        <v>6457</v>
      </c>
    </row>
    <row r="2614" spans="1:31" x14ac:dyDescent="0.3">
      <c r="A2614">
        <v>-73.963932526830007</v>
      </c>
      <c r="B2614">
        <v>40.780828976590001</v>
      </c>
      <c r="C2614" t="s">
        <v>6458</v>
      </c>
      <c r="D2614" t="s">
        <v>343</v>
      </c>
      <c r="E2614" t="s">
        <v>38</v>
      </c>
      <c r="F2614">
        <v>10142018</v>
      </c>
      <c r="G2614">
        <v>4</v>
      </c>
      <c r="H2614" t="s">
        <v>48</v>
      </c>
      <c r="I2614" t="s">
        <v>42</v>
      </c>
      <c r="J2614" t="s">
        <v>59</v>
      </c>
      <c r="K2614" t="s">
        <v>79</v>
      </c>
      <c r="M2614" t="s">
        <v>44</v>
      </c>
      <c r="N2614">
        <v>6</v>
      </c>
      <c r="P2614" t="b">
        <v>0</v>
      </c>
      <c r="Q2614" t="b">
        <v>0</v>
      </c>
      <c r="R2614" t="b">
        <v>0</v>
      </c>
      <c r="S2614" t="b">
        <v>1</v>
      </c>
      <c r="T2614" t="b">
        <v>0</v>
      </c>
      <c r="V2614" t="b">
        <v>0</v>
      </c>
      <c r="W2614" t="b">
        <v>0</v>
      </c>
      <c r="X2614" t="b">
        <v>0</v>
      </c>
      <c r="Y2614" t="b">
        <v>0</v>
      </c>
      <c r="Z2614" t="b">
        <v>0</v>
      </c>
      <c r="AA2614" t="b">
        <v>0</v>
      </c>
      <c r="AB2614" t="b">
        <v>1</v>
      </c>
      <c r="AC2614" t="b">
        <v>0</v>
      </c>
      <c r="AE2614" t="s">
        <v>6459</v>
      </c>
    </row>
    <row r="2615" spans="1:31" x14ac:dyDescent="0.3">
      <c r="A2615">
        <v>-73.976587792060002</v>
      </c>
      <c r="B2615">
        <v>40.766094607159999</v>
      </c>
      <c r="C2615" t="s">
        <v>6282</v>
      </c>
      <c r="D2615" t="s">
        <v>1859</v>
      </c>
      <c r="E2615" t="s">
        <v>38</v>
      </c>
      <c r="F2615">
        <v>10102018</v>
      </c>
      <c r="G2615">
        <v>4</v>
      </c>
      <c r="H2615" t="s">
        <v>48</v>
      </c>
      <c r="I2615" t="s">
        <v>42</v>
      </c>
      <c r="K2615" t="s">
        <v>43</v>
      </c>
      <c r="M2615" t="s">
        <v>65</v>
      </c>
      <c r="N2615" t="b">
        <v>0</v>
      </c>
      <c r="P2615" t="b">
        <v>0</v>
      </c>
      <c r="Q2615" t="b">
        <v>0</v>
      </c>
      <c r="R2615" t="b">
        <v>0</v>
      </c>
      <c r="S2615" t="b">
        <v>1</v>
      </c>
      <c r="T2615" t="b">
        <v>0</v>
      </c>
      <c r="V2615" t="b">
        <v>0</v>
      </c>
      <c r="W2615" t="b">
        <v>0</v>
      </c>
      <c r="X2615" t="b">
        <v>0</v>
      </c>
      <c r="Y2615" t="b">
        <v>0</v>
      </c>
      <c r="Z2615" t="b">
        <v>0</v>
      </c>
      <c r="AA2615" t="b">
        <v>0</v>
      </c>
      <c r="AB2615" t="b">
        <v>1</v>
      </c>
      <c r="AC2615" t="b">
        <v>0</v>
      </c>
      <c r="AE2615" t="s">
        <v>6460</v>
      </c>
    </row>
    <row r="2616" spans="1:31" x14ac:dyDescent="0.3">
      <c r="A2616">
        <v>-73.973460517660001</v>
      </c>
      <c r="B2616">
        <v>40.768621888139997</v>
      </c>
      <c r="C2616" t="s">
        <v>6461</v>
      </c>
      <c r="D2616" t="s">
        <v>1663</v>
      </c>
      <c r="E2616" t="s">
        <v>33</v>
      </c>
      <c r="F2616">
        <v>10102018</v>
      </c>
      <c r="G2616">
        <v>2</v>
      </c>
      <c r="H2616" t="s">
        <v>48</v>
      </c>
      <c r="I2616" t="s">
        <v>42</v>
      </c>
      <c r="J2616" t="s">
        <v>53</v>
      </c>
      <c r="K2616" t="s">
        <v>54</v>
      </c>
      <c r="M2616" t="s">
        <v>65</v>
      </c>
      <c r="N2616" t="b">
        <v>0</v>
      </c>
      <c r="P2616" t="b">
        <v>0</v>
      </c>
      <c r="Q2616" t="b">
        <v>0</v>
      </c>
      <c r="R2616" t="b">
        <v>0</v>
      </c>
      <c r="S2616" t="b">
        <v>1</v>
      </c>
      <c r="T2616" t="b">
        <v>1</v>
      </c>
      <c r="V2616" t="b">
        <v>0</v>
      </c>
      <c r="W2616" t="b">
        <v>0</v>
      </c>
      <c r="X2616" t="b">
        <v>0</v>
      </c>
      <c r="Y2616" t="b">
        <v>0</v>
      </c>
      <c r="Z2616" t="b">
        <v>0</v>
      </c>
      <c r="AA2616" t="b">
        <v>0</v>
      </c>
      <c r="AB2616" t="b">
        <v>0</v>
      </c>
      <c r="AC2616" t="b">
        <v>1</v>
      </c>
      <c r="AE2616" t="s">
        <v>6462</v>
      </c>
    </row>
    <row r="2617" spans="1:31" x14ac:dyDescent="0.3">
      <c r="A2617">
        <v>-73.967591770219997</v>
      </c>
      <c r="B2617">
        <v>40.77899222816</v>
      </c>
      <c r="C2617" t="s">
        <v>6463</v>
      </c>
      <c r="D2617" t="s">
        <v>200</v>
      </c>
      <c r="E2617" t="s">
        <v>38</v>
      </c>
      <c r="F2617">
        <v>10172018</v>
      </c>
      <c r="G2617">
        <v>2</v>
      </c>
      <c r="H2617" t="s">
        <v>48</v>
      </c>
      <c r="I2617" t="s">
        <v>42</v>
      </c>
      <c r="K2617" t="s">
        <v>43</v>
      </c>
      <c r="M2617" t="s">
        <v>44</v>
      </c>
      <c r="N2617">
        <v>8</v>
      </c>
      <c r="O2617" t="s">
        <v>3013</v>
      </c>
      <c r="P2617" t="b">
        <v>0</v>
      </c>
      <c r="Q2617" t="b">
        <v>0</v>
      </c>
      <c r="R2617" t="b">
        <v>1</v>
      </c>
      <c r="S2617" t="b">
        <v>0</v>
      </c>
      <c r="T2617" t="b">
        <v>1</v>
      </c>
      <c r="V2617" t="b">
        <v>0</v>
      </c>
      <c r="W2617" t="b">
        <v>0</v>
      </c>
      <c r="X2617" t="b">
        <v>0</v>
      </c>
      <c r="Y2617" t="b">
        <v>0</v>
      </c>
      <c r="Z2617" t="b">
        <v>0</v>
      </c>
      <c r="AA2617" t="b">
        <v>0</v>
      </c>
      <c r="AB2617" t="b">
        <v>1</v>
      </c>
      <c r="AC2617" t="b">
        <v>0</v>
      </c>
      <c r="AE2617" t="s">
        <v>6464</v>
      </c>
    </row>
    <row r="2618" spans="1:31" x14ac:dyDescent="0.3">
      <c r="A2618">
        <v>-73.95642282387</v>
      </c>
      <c r="B2618">
        <v>40.793690888759997</v>
      </c>
      <c r="C2618" t="s">
        <v>6465</v>
      </c>
      <c r="D2618" t="s">
        <v>693</v>
      </c>
      <c r="E2618" t="s">
        <v>33</v>
      </c>
      <c r="F2618">
        <v>10122018</v>
      </c>
      <c r="G2618">
        <v>6</v>
      </c>
      <c r="H2618" t="s">
        <v>48</v>
      </c>
      <c r="I2618" t="s">
        <v>42</v>
      </c>
      <c r="J2618" t="s">
        <v>59</v>
      </c>
      <c r="K2618" t="s">
        <v>79</v>
      </c>
      <c r="M2618" t="s">
        <v>65</v>
      </c>
      <c r="N2618" t="b">
        <v>0</v>
      </c>
      <c r="P2618" t="b">
        <v>0</v>
      </c>
      <c r="Q2618" t="b">
        <v>0</v>
      </c>
      <c r="R2618" t="b">
        <v>0</v>
      </c>
      <c r="S2618" t="b">
        <v>0</v>
      </c>
      <c r="T2618" t="b">
        <v>0</v>
      </c>
      <c r="V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b">
        <v>0</v>
      </c>
      <c r="AB2618" t="b">
        <v>0</v>
      </c>
      <c r="AC2618" t="b">
        <v>0</v>
      </c>
      <c r="AE2618" t="s">
        <v>6466</v>
      </c>
    </row>
    <row r="2619" spans="1:31" x14ac:dyDescent="0.3">
      <c r="A2619">
        <v>-73.957951575690004</v>
      </c>
      <c r="B2619">
        <v>40.796125469800003</v>
      </c>
      <c r="C2619" t="s">
        <v>6467</v>
      </c>
      <c r="D2619" t="s">
        <v>175</v>
      </c>
      <c r="E2619" t="s">
        <v>33</v>
      </c>
      <c r="F2619">
        <v>10142018</v>
      </c>
      <c r="G2619">
        <v>4</v>
      </c>
      <c r="H2619" t="s">
        <v>48</v>
      </c>
      <c r="I2619" t="s">
        <v>42</v>
      </c>
      <c r="J2619" t="s">
        <v>59</v>
      </c>
      <c r="K2619" t="s">
        <v>79</v>
      </c>
      <c r="M2619" t="s">
        <v>65</v>
      </c>
      <c r="N2619" t="b">
        <v>0</v>
      </c>
      <c r="P2619" t="b">
        <v>1</v>
      </c>
      <c r="Q2619" t="b">
        <v>0</v>
      </c>
      <c r="R2619" t="b">
        <v>0</v>
      </c>
      <c r="S2619" t="b">
        <v>1</v>
      </c>
      <c r="T2619" t="b">
        <v>0</v>
      </c>
      <c r="V2619" t="b">
        <v>0</v>
      </c>
      <c r="W2619" t="b">
        <v>0</v>
      </c>
      <c r="X2619" t="b">
        <v>0</v>
      </c>
      <c r="Y2619" t="b">
        <v>1</v>
      </c>
      <c r="Z2619" t="b">
        <v>0</v>
      </c>
      <c r="AA2619" t="b">
        <v>0</v>
      </c>
      <c r="AB2619" t="b">
        <v>0</v>
      </c>
      <c r="AC2619" t="b">
        <v>1</v>
      </c>
      <c r="AE2619" t="s">
        <v>6468</v>
      </c>
    </row>
    <row r="2620" spans="1:31" x14ac:dyDescent="0.3">
      <c r="A2620">
        <v>-73.973973759260005</v>
      </c>
      <c r="B2620">
        <v>40.77271304768</v>
      </c>
      <c r="C2620" t="s">
        <v>6469</v>
      </c>
      <c r="D2620" t="s">
        <v>1544</v>
      </c>
      <c r="E2620" t="s">
        <v>38</v>
      </c>
      <c r="F2620">
        <v>10082018</v>
      </c>
      <c r="G2620">
        <v>4</v>
      </c>
      <c r="H2620" t="s">
        <v>48</v>
      </c>
      <c r="I2620" t="s">
        <v>42</v>
      </c>
      <c r="K2620" t="s">
        <v>43</v>
      </c>
      <c r="M2620" t="s">
        <v>65</v>
      </c>
      <c r="N2620" t="b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V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b">
        <v>0</v>
      </c>
      <c r="AB2620" t="b">
        <v>1</v>
      </c>
      <c r="AC2620" t="b">
        <v>0</v>
      </c>
      <c r="AE2620" t="s">
        <v>6470</v>
      </c>
    </row>
    <row r="2621" spans="1:31" x14ac:dyDescent="0.3">
      <c r="A2621">
        <v>-73.977180009809999</v>
      </c>
      <c r="B2621">
        <v>40.770886313129999</v>
      </c>
      <c r="C2621" t="s">
        <v>6471</v>
      </c>
      <c r="D2621" t="s">
        <v>88</v>
      </c>
      <c r="E2621" t="s">
        <v>33</v>
      </c>
      <c r="F2621">
        <v>10102018</v>
      </c>
      <c r="G2621">
        <v>3</v>
      </c>
      <c r="H2621" t="s">
        <v>48</v>
      </c>
      <c r="I2621" t="s">
        <v>53</v>
      </c>
      <c r="J2621" t="s">
        <v>59</v>
      </c>
      <c r="K2621" t="s">
        <v>60</v>
      </c>
      <c r="M2621" t="s">
        <v>65</v>
      </c>
      <c r="N2621" t="b">
        <v>0</v>
      </c>
      <c r="P2621" t="b">
        <v>1</v>
      </c>
      <c r="Q2621" t="b">
        <v>0</v>
      </c>
      <c r="R2621" t="b">
        <v>0</v>
      </c>
      <c r="S2621" t="b">
        <v>0</v>
      </c>
      <c r="T2621" t="b">
        <v>0</v>
      </c>
      <c r="V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b">
        <v>0</v>
      </c>
      <c r="AB2621" t="b">
        <v>0</v>
      </c>
      <c r="AC2621" t="b">
        <v>1</v>
      </c>
      <c r="AE2621" t="s">
        <v>6472</v>
      </c>
    </row>
    <row r="2622" spans="1:31" x14ac:dyDescent="0.3">
      <c r="A2622">
        <v>-73.959690474029998</v>
      </c>
      <c r="B2622">
        <v>40.78972000257</v>
      </c>
      <c r="C2622" t="s">
        <v>6473</v>
      </c>
      <c r="D2622" t="s">
        <v>1407</v>
      </c>
      <c r="E2622" t="s">
        <v>38</v>
      </c>
      <c r="F2622">
        <v>10142018</v>
      </c>
      <c r="G2622">
        <v>1</v>
      </c>
      <c r="H2622" t="s">
        <v>48</v>
      </c>
      <c r="I2622" t="s">
        <v>42</v>
      </c>
      <c r="K2622" t="s">
        <v>43</v>
      </c>
      <c r="M2622" t="s">
        <v>65</v>
      </c>
      <c r="N2622" t="b">
        <v>0</v>
      </c>
      <c r="P2622" t="b">
        <v>1</v>
      </c>
      <c r="Q2622" t="b">
        <v>0</v>
      </c>
      <c r="R2622" t="b">
        <v>0</v>
      </c>
      <c r="S2622" t="b">
        <v>0</v>
      </c>
      <c r="T2622" t="b">
        <v>0</v>
      </c>
      <c r="V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b">
        <v>0</v>
      </c>
      <c r="AB2622" t="b">
        <v>0</v>
      </c>
      <c r="AC2622" t="b">
        <v>1</v>
      </c>
      <c r="AE2622" t="s">
        <v>6474</v>
      </c>
    </row>
    <row r="2623" spans="1:31" x14ac:dyDescent="0.3">
      <c r="A2623">
        <v>-73.969715956290003</v>
      </c>
      <c r="B2623">
        <v>40.773067141769999</v>
      </c>
      <c r="C2623" t="s">
        <v>6475</v>
      </c>
      <c r="D2623" t="s">
        <v>486</v>
      </c>
      <c r="E2623" t="s">
        <v>33</v>
      </c>
      <c r="F2623">
        <v>10132018</v>
      </c>
      <c r="G2623">
        <v>2</v>
      </c>
      <c r="H2623" t="s">
        <v>48</v>
      </c>
      <c r="I2623" t="s">
        <v>42</v>
      </c>
      <c r="J2623" t="s">
        <v>53</v>
      </c>
      <c r="K2623" t="s">
        <v>54</v>
      </c>
      <c r="M2623" t="s">
        <v>65</v>
      </c>
      <c r="N2623" t="b">
        <v>0</v>
      </c>
      <c r="O2623" t="s">
        <v>6476</v>
      </c>
      <c r="P2623" t="b">
        <v>0</v>
      </c>
      <c r="Q2623" t="b">
        <v>0</v>
      </c>
      <c r="R2623" t="b">
        <v>0</v>
      </c>
      <c r="S2623" t="b">
        <v>0</v>
      </c>
      <c r="T2623" t="b">
        <v>1</v>
      </c>
      <c r="V2623" t="b">
        <v>0</v>
      </c>
      <c r="W2623" t="b">
        <v>0</v>
      </c>
      <c r="X2623" t="b">
        <v>0</v>
      </c>
      <c r="Y2623" t="b">
        <v>0</v>
      </c>
      <c r="Z2623" t="b">
        <v>0</v>
      </c>
      <c r="AA2623" t="b">
        <v>0</v>
      </c>
      <c r="AB2623" t="b">
        <v>1</v>
      </c>
      <c r="AC2623" t="b">
        <v>0</v>
      </c>
      <c r="AE2623" t="s">
        <v>6477</v>
      </c>
    </row>
    <row r="2624" spans="1:31" x14ac:dyDescent="0.3">
      <c r="A2624">
        <v>-73.960448290149998</v>
      </c>
      <c r="B2624">
        <v>40.789864629359997</v>
      </c>
      <c r="C2624" t="s">
        <v>6478</v>
      </c>
      <c r="D2624" t="s">
        <v>1407</v>
      </c>
      <c r="E2624" t="s">
        <v>33</v>
      </c>
      <c r="F2624">
        <v>10062018</v>
      </c>
      <c r="G2624">
        <v>7</v>
      </c>
      <c r="H2624" t="s">
        <v>48</v>
      </c>
      <c r="I2624" t="s">
        <v>42</v>
      </c>
      <c r="J2624" t="s">
        <v>53</v>
      </c>
      <c r="K2624" t="s">
        <v>54</v>
      </c>
      <c r="M2624" t="s">
        <v>65</v>
      </c>
      <c r="N2624" t="b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1</v>
      </c>
      <c r="V2624" t="b">
        <v>0</v>
      </c>
      <c r="W2624" t="b">
        <v>0</v>
      </c>
      <c r="X2624" t="b">
        <v>0</v>
      </c>
      <c r="Y2624" t="b">
        <v>0</v>
      </c>
      <c r="Z2624" t="b">
        <v>0</v>
      </c>
      <c r="AA2624" t="b">
        <v>0</v>
      </c>
      <c r="AB2624" t="b">
        <v>1</v>
      </c>
      <c r="AC2624" t="b">
        <v>0</v>
      </c>
      <c r="AE2624" t="s">
        <v>6479</v>
      </c>
    </row>
    <row r="2625" spans="1:31" x14ac:dyDescent="0.3">
      <c r="A2625">
        <v>-73.970630850060004</v>
      </c>
      <c r="B2625">
        <v>40.769617487460003</v>
      </c>
      <c r="C2625" t="s">
        <v>6480</v>
      </c>
      <c r="D2625" t="s">
        <v>92</v>
      </c>
      <c r="E2625" t="s">
        <v>33</v>
      </c>
      <c r="F2625">
        <v>10062018</v>
      </c>
      <c r="G2625">
        <v>10</v>
      </c>
      <c r="H2625" t="s">
        <v>48</v>
      </c>
      <c r="I2625" t="s">
        <v>42</v>
      </c>
      <c r="K2625" t="s">
        <v>43</v>
      </c>
      <c r="M2625" t="s">
        <v>65</v>
      </c>
      <c r="N2625" t="b">
        <v>0</v>
      </c>
      <c r="P2625" t="b">
        <v>0</v>
      </c>
      <c r="Q2625" t="b">
        <v>0</v>
      </c>
      <c r="R2625" t="b">
        <v>0</v>
      </c>
      <c r="S2625" t="b">
        <v>0</v>
      </c>
      <c r="T2625" t="b">
        <v>1</v>
      </c>
      <c r="V2625" t="b">
        <v>0</v>
      </c>
      <c r="W2625" t="b">
        <v>0</v>
      </c>
      <c r="X2625" t="b">
        <v>0</v>
      </c>
      <c r="Y2625" t="b">
        <v>0</v>
      </c>
      <c r="Z2625" t="b">
        <v>0</v>
      </c>
      <c r="AA2625" t="b">
        <v>0</v>
      </c>
      <c r="AB2625" t="b">
        <v>0</v>
      </c>
      <c r="AC2625" t="b">
        <v>0</v>
      </c>
      <c r="AE2625" t="s">
        <v>6481</v>
      </c>
    </row>
    <row r="2626" spans="1:31" x14ac:dyDescent="0.3">
      <c r="A2626">
        <v>-73.96991885445</v>
      </c>
      <c r="B2626">
        <v>40.777218037010002</v>
      </c>
      <c r="C2626" t="s">
        <v>6482</v>
      </c>
      <c r="D2626" t="s">
        <v>130</v>
      </c>
      <c r="E2626" t="s">
        <v>33</v>
      </c>
      <c r="F2626">
        <v>10082018</v>
      </c>
      <c r="G2626">
        <v>9</v>
      </c>
      <c r="H2626" t="s">
        <v>48</v>
      </c>
      <c r="I2626" t="s">
        <v>42</v>
      </c>
      <c r="K2626" t="s">
        <v>43</v>
      </c>
      <c r="M2626" t="s">
        <v>65</v>
      </c>
      <c r="N2626" t="b">
        <v>0</v>
      </c>
      <c r="P2626" t="b">
        <v>0</v>
      </c>
      <c r="Q2626" t="b">
        <v>0</v>
      </c>
      <c r="R2626" t="b">
        <v>0</v>
      </c>
      <c r="S2626" t="b">
        <v>1</v>
      </c>
      <c r="T2626" t="b">
        <v>1</v>
      </c>
      <c r="V2626" t="b">
        <v>0</v>
      </c>
      <c r="W2626" t="b">
        <v>0</v>
      </c>
      <c r="X2626" t="b">
        <v>0</v>
      </c>
      <c r="Y2626" t="b">
        <v>0</v>
      </c>
      <c r="Z2626" t="b">
        <v>0</v>
      </c>
      <c r="AA2626" t="b">
        <v>0</v>
      </c>
      <c r="AB2626" t="b">
        <v>1</v>
      </c>
      <c r="AC2626" t="b">
        <v>0</v>
      </c>
      <c r="AE2626" t="s">
        <v>6483</v>
      </c>
    </row>
    <row r="2627" spans="1:31" x14ac:dyDescent="0.3">
      <c r="A2627">
        <v>-73.973732965579998</v>
      </c>
      <c r="B2627">
        <v>40.77264244413</v>
      </c>
      <c r="C2627" t="s">
        <v>6484</v>
      </c>
      <c r="D2627" t="s">
        <v>2085</v>
      </c>
      <c r="E2627" t="s">
        <v>33</v>
      </c>
      <c r="F2627">
        <v>10072018</v>
      </c>
      <c r="G2627">
        <v>2</v>
      </c>
      <c r="H2627" t="s">
        <v>48</v>
      </c>
      <c r="I2627" t="s">
        <v>42</v>
      </c>
      <c r="J2627" t="s">
        <v>53</v>
      </c>
      <c r="K2627" t="s">
        <v>54</v>
      </c>
      <c r="M2627" t="s">
        <v>65</v>
      </c>
      <c r="N2627" t="b">
        <v>0</v>
      </c>
      <c r="P2627" t="b">
        <v>0</v>
      </c>
      <c r="Q2627" t="b">
        <v>0</v>
      </c>
      <c r="R2627" t="b">
        <v>0</v>
      </c>
      <c r="S2627" t="b">
        <v>1</v>
      </c>
      <c r="T2627" t="b">
        <v>0</v>
      </c>
      <c r="V2627" t="b">
        <v>0</v>
      </c>
      <c r="W2627" t="b">
        <v>0</v>
      </c>
      <c r="X2627" t="b">
        <v>0</v>
      </c>
      <c r="Y2627" t="b">
        <v>0</v>
      </c>
      <c r="Z2627" t="b">
        <v>0</v>
      </c>
      <c r="AA2627" t="b">
        <v>0</v>
      </c>
      <c r="AB2627" t="b">
        <v>1</v>
      </c>
      <c r="AC2627" t="b">
        <v>0</v>
      </c>
      <c r="AE2627" t="s">
        <v>6485</v>
      </c>
    </row>
    <row r="2628" spans="1:31" x14ac:dyDescent="0.3">
      <c r="A2628">
        <v>-73.976634807859995</v>
      </c>
      <c r="B2628">
        <v>40.771771563439998</v>
      </c>
      <c r="C2628" t="s">
        <v>6486</v>
      </c>
      <c r="D2628" t="s">
        <v>2803</v>
      </c>
      <c r="E2628" t="s">
        <v>38</v>
      </c>
      <c r="F2628">
        <v>10122018</v>
      </c>
      <c r="G2628">
        <v>1</v>
      </c>
      <c r="H2628" t="s">
        <v>48</v>
      </c>
      <c r="I2628" t="s">
        <v>42</v>
      </c>
      <c r="J2628" t="s">
        <v>53</v>
      </c>
      <c r="K2628" t="s">
        <v>54</v>
      </c>
      <c r="M2628" t="s">
        <v>65</v>
      </c>
      <c r="N2628" t="b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1</v>
      </c>
      <c r="U2628" t="s">
        <v>6487</v>
      </c>
      <c r="V2628" t="b">
        <v>0</v>
      </c>
      <c r="W2628" t="b">
        <v>0</v>
      </c>
      <c r="X2628" t="b">
        <v>0</v>
      </c>
      <c r="Y2628" t="b">
        <v>0</v>
      </c>
      <c r="Z2628" t="b">
        <v>0</v>
      </c>
      <c r="AA2628" t="b">
        <v>0</v>
      </c>
      <c r="AB2628" t="b">
        <v>1</v>
      </c>
      <c r="AC2628" t="b">
        <v>0</v>
      </c>
      <c r="AE2628" t="s">
        <v>6488</v>
      </c>
    </row>
    <row r="2629" spans="1:31" x14ac:dyDescent="0.3">
      <c r="A2629">
        <v>-73.977043907699993</v>
      </c>
      <c r="B2629">
        <v>40.768572014169997</v>
      </c>
      <c r="C2629" t="s">
        <v>6489</v>
      </c>
      <c r="D2629" t="s">
        <v>502</v>
      </c>
      <c r="E2629" t="s">
        <v>33</v>
      </c>
      <c r="F2629">
        <v>10102018</v>
      </c>
      <c r="G2629">
        <v>13</v>
      </c>
      <c r="H2629" t="s">
        <v>48</v>
      </c>
      <c r="I2629" t="s">
        <v>42</v>
      </c>
      <c r="J2629" t="s">
        <v>59</v>
      </c>
      <c r="K2629" t="s">
        <v>79</v>
      </c>
      <c r="M2629" t="s">
        <v>65</v>
      </c>
      <c r="N2629" t="b">
        <v>0</v>
      </c>
      <c r="P2629" t="b">
        <v>1</v>
      </c>
      <c r="Q2629" t="b">
        <v>0</v>
      </c>
      <c r="R2629" t="b">
        <v>0</v>
      </c>
      <c r="S2629" t="b">
        <v>0</v>
      </c>
      <c r="T2629" t="b">
        <v>0</v>
      </c>
      <c r="V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b">
        <v>0</v>
      </c>
      <c r="AB2629" t="b">
        <v>0</v>
      </c>
      <c r="AC2629" t="b">
        <v>0</v>
      </c>
      <c r="AE2629" t="s">
        <v>6490</v>
      </c>
    </row>
    <row r="2630" spans="1:31" x14ac:dyDescent="0.3">
      <c r="A2630">
        <v>-73.960457623750003</v>
      </c>
      <c r="B2630">
        <v>40.781812010140001</v>
      </c>
      <c r="C2630" t="s">
        <v>6491</v>
      </c>
      <c r="D2630" t="s">
        <v>3109</v>
      </c>
      <c r="E2630" t="s">
        <v>33</v>
      </c>
      <c r="F2630">
        <v>10192018</v>
      </c>
      <c r="G2630">
        <v>1</v>
      </c>
      <c r="H2630" t="s">
        <v>48</v>
      </c>
      <c r="I2630" t="s">
        <v>42</v>
      </c>
      <c r="K2630" t="s">
        <v>43</v>
      </c>
      <c r="M2630" t="s">
        <v>44</v>
      </c>
      <c r="N2630">
        <v>35</v>
      </c>
      <c r="P2630" t="b">
        <v>1</v>
      </c>
      <c r="Q2630" t="b">
        <v>0</v>
      </c>
      <c r="R2630" t="b">
        <v>0</v>
      </c>
      <c r="S2630" t="b">
        <v>0</v>
      </c>
      <c r="T2630" t="b">
        <v>0</v>
      </c>
      <c r="U2630" t="s">
        <v>6492</v>
      </c>
      <c r="V2630" t="b">
        <v>0</v>
      </c>
      <c r="W2630" t="b">
        <v>0</v>
      </c>
      <c r="X2630" t="b">
        <v>0</v>
      </c>
      <c r="Y2630" t="b">
        <v>0</v>
      </c>
      <c r="Z2630" t="b">
        <v>0</v>
      </c>
      <c r="AA2630" t="b">
        <v>0</v>
      </c>
      <c r="AB2630" t="b">
        <v>0</v>
      </c>
      <c r="AC2630" t="b">
        <v>0</v>
      </c>
      <c r="AE2630" t="s">
        <v>6493</v>
      </c>
    </row>
    <row r="2631" spans="1:31" x14ac:dyDescent="0.3">
      <c r="A2631">
        <v>-73.965019827310002</v>
      </c>
      <c r="B2631">
        <v>40.77598642913</v>
      </c>
      <c r="C2631" t="s">
        <v>6494</v>
      </c>
      <c r="D2631" t="s">
        <v>408</v>
      </c>
      <c r="E2631" t="s">
        <v>38</v>
      </c>
      <c r="F2631">
        <v>10082018</v>
      </c>
      <c r="G2631">
        <v>3</v>
      </c>
      <c r="H2631" t="s">
        <v>48</v>
      </c>
      <c r="I2631" t="s">
        <v>42</v>
      </c>
      <c r="K2631" t="s">
        <v>43</v>
      </c>
      <c r="M2631" t="s">
        <v>65</v>
      </c>
      <c r="N2631" t="b">
        <v>0</v>
      </c>
      <c r="P2631" t="b">
        <v>1</v>
      </c>
      <c r="Q2631" t="b">
        <v>0</v>
      </c>
      <c r="R2631" t="b">
        <v>0</v>
      </c>
      <c r="S2631" t="b">
        <v>0</v>
      </c>
      <c r="T2631" t="b">
        <v>0</v>
      </c>
      <c r="V2631" t="b">
        <v>0</v>
      </c>
      <c r="W2631" t="b">
        <v>0</v>
      </c>
      <c r="X2631" t="b">
        <v>0</v>
      </c>
      <c r="Y2631" t="b">
        <v>0</v>
      </c>
      <c r="Z2631" t="b">
        <v>0</v>
      </c>
      <c r="AA2631" t="b">
        <v>0</v>
      </c>
      <c r="AB2631" t="b">
        <v>1</v>
      </c>
      <c r="AC2631" t="b">
        <v>0</v>
      </c>
      <c r="AE2631" t="s">
        <v>6495</v>
      </c>
    </row>
    <row r="2632" spans="1:31" x14ac:dyDescent="0.3">
      <c r="A2632">
        <v>-73.969008010530004</v>
      </c>
      <c r="B2632">
        <v>40.771023051509999</v>
      </c>
      <c r="C2632" t="s">
        <v>6496</v>
      </c>
      <c r="D2632" t="s">
        <v>1780</v>
      </c>
      <c r="E2632" t="s">
        <v>33</v>
      </c>
      <c r="F2632">
        <v>10102018</v>
      </c>
      <c r="G2632">
        <v>3</v>
      </c>
      <c r="H2632" t="s">
        <v>48</v>
      </c>
      <c r="I2632" t="s">
        <v>42</v>
      </c>
      <c r="J2632" t="s">
        <v>96</v>
      </c>
      <c r="K2632" t="s">
        <v>97</v>
      </c>
      <c r="P2632" t="b">
        <v>0</v>
      </c>
      <c r="Q2632" t="b">
        <v>0</v>
      </c>
      <c r="R2632" t="b">
        <v>0</v>
      </c>
      <c r="S2632" t="b">
        <v>0</v>
      </c>
      <c r="T2632" t="b">
        <v>1</v>
      </c>
      <c r="V2632" t="b">
        <v>0</v>
      </c>
      <c r="W2632" t="b">
        <v>0</v>
      </c>
      <c r="X2632" t="b">
        <v>0</v>
      </c>
      <c r="Y2632" t="b">
        <v>0</v>
      </c>
      <c r="Z2632" t="b">
        <v>0</v>
      </c>
      <c r="AA2632" t="b">
        <v>0</v>
      </c>
      <c r="AB2632" t="b">
        <v>1</v>
      </c>
      <c r="AC2632" t="b">
        <v>1</v>
      </c>
      <c r="AE2632" t="s">
        <v>6497</v>
      </c>
    </row>
    <row r="2633" spans="1:31" x14ac:dyDescent="0.3">
      <c r="A2633">
        <v>-73.950827557340006</v>
      </c>
      <c r="B2633">
        <v>40.797579073670001</v>
      </c>
      <c r="C2633" t="s">
        <v>6498</v>
      </c>
      <c r="D2633" t="s">
        <v>677</v>
      </c>
      <c r="E2633" t="s">
        <v>33</v>
      </c>
      <c r="F2633">
        <v>10142018</v>
      </c>
      <c r="G2633">
        <v>2</v>
      </c>
      <c r="H2633" t="s">
        <v>48</v>
      </c>
      <c r="I2633" t="s">
        <v>42</v>
      </c>
      <c r="J2633" t="s">
        <v>59</v>
      </c>
      <c r="K2633" t="s">
        <v>79</v>
      </c>
      <c r="M2633" t="s">
        <v>44</v>
      </c>
      <c r="O2633" t="s">
        <v>6499</v>
      </c>
      <c r="P2633" t="b">
        <v>1</v>
      </c>
      <c r="Q2633" t="b">
        <v>0</v>
      </c>
      <c r="R2633" t="b">
        <v>0</v>
      </c>
      <c r="S2633" t="b">
        <v>0</v>
      </c>
      <c r="T2633" t="b">
        <v>0</v>
      </c>
      <c r="V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b">
        <v>0</v>
      </c>
      <c r="AB2633" t="b">
        <v>1</v>
      </c>
      <c r="AC2633" t="b">
        <v>0</v>
      </c>
      <c r="AE2633" t="s">
        <v>6500</v>
      </c>
    </row>
    <row r="2634" spans="1:31" x14ac:dyDescent="0.3">
      <c r="A2634">
        <v>-73.977615110990001</v>
      </c>
      <c r="B2634">
        <v>40.769468155840002</v>
      </c>
      <c r="C2634" t="s">
        <v>6501</v>
      </c>
      <c r="D2634" t="s">
        <v>1581</v>
      </c>
      <c r="E2634" t="s">
        <v>33</v>
      </c>
      <c r="F2634">
        <v>10102018</v>
      </c>
      <c r="G2634">
        <v>9</v>
      </c>
      <c r="H2634" t="s">
        <v>48</v>
      </c>
      <c r="I2634" t="s">
        <v>42</v>
      </c>
      <c r="J2634" t="s">
        <v>59</v>
      </c>
      <c r="K2634" t="s">
        <v>79</v>
      </c>
      <c r="M2634" t="s">
        <v>65</v>
      </c>
      <c r="N2634" t="b">
        <v>0</v>
      </c>
      <c r="P2634" t="b">
        <v>0</v>
      </c>
      <c r="Q2634" t="b">
        <v>1</v>
      </c>
      <c r="R2634" t="b">
        <v>0</v>
      </c>
      <c r="S2634" t="b">
        <v>0</v>
      </c>
      <c r="T2634" t="b">
        <v>1</v>
      </c>
      <c r="V2634" t="b">
        <v>0</v>
      </c>
      <c r="W2634" t="b">
        <v>0</v>
      </c>
      <c r="X2634" t="b">
        <v>0</v>
      </c>
      <c r="Y2634" t="b">
        <v>0</v>
      </c>
      <c r="Z2634" t="b">
        <v>0</v>
      </c>
      <c r="AA2634" t="b">
        <v>0</v>
      </c>
      <c r="AB2634" t="b">
        <v>0</v>
      </c>
      <c r="AC2634" t="b">
        <v>0</v>
      </c>
      <c r="AE2634" t="s">
        <v>6502</v>
      </c>
    </row>
    <row r="2635" spans="1:31" x14ac:dyDescent="0.3">
      <c r="A2635">
        <v>-73.969568518649993</v>
      </c>
      <c r="B2635">
        <v>40.778829302630001</v>
      </c>
      <c r="C2635" t="s">
        <v>6503</v>
      </c>
      <c r="D2635" t="s">
        <v>709</v>
      </c>
      <c r="E2635" t="s">
        <v>38</v>
      </c>
      <c r="F2635">
        <v>10072018</v>
      </c>
      <c r="G2635">
        <v>4</v>
      </c>
      <c r="H2635" t="s">
        <v>48</v>
      </c>
      <c r="I2635" t="s">
        <v>42</v>
      </c>
      <c r="K2635" t="s">
        <v>43</v>
      </c>
      <c r="M2635" t="s">
        <v>44</v>
      </c>
      <c r="N2635">
        <v>8</v>
      </c>
      <c r="P2635" t="b">
        <v>0</v>
      </c>
      <c r="Q2635" t="b">
        <v>0</v>
      </c>
      <c r="R2635" t="b">
        <v>1</v>
      </c>
      <c r="S2635" t="b">
        <v>0</v>
      </c>
      <c r="T2635" t="b">
        <v>0</v>
      </c>
      <c r="V2635" t="b">
        <v>0</v>
      </c>
      <c r="W2635" t="b">
        <v>0</v>
      </c>
      <c r="X2635" t="b">
        <v>0</v>
      </c>
      <c r="Y2635" t="b">
        <v>1</v>
      </c>
      <c r="Z2635" t="b">
        <v>0</v>
      </c>
      <c r="AA2635" t="b">
        <v>0</v>
      </c>
      <c r="AB2635" t="b">
        <v>0</v>
      </c>
      <c r="AC2635" t="b">
        <v>1</v>
      </c>
      <c r="AE2635" t="s">
        <v>6504</v>
      </c>
    </row>
    <row r="2636" spans="1:31" x14ac:dyDescent="0.3">
      <c r="A2636">
        <v>-73.976383674030004</v>
      </c>
      <c r="B2636">
        <v>40.770612115150001</v>
      </c>
      <c r="C2636" t="s">
        <v>6505</v>
      </c>
      <c r="D2636" t="s">
        <v>88</v>
      </c>
      <c r="E2636" t="s">
        <v>38</v>
      </c>
      <c r="F2636">
        <v>10062018</v>
      </c>
      <c r="G2636">
        <v>6</v>
      </c>
      <c r="H2636" t="s">
        <v>48</v>
      </c>
      <c r="I2636" t="s">
        <v>42</v>
      </c>
      <c r="J2636" t="s">
        <v>53</v>
      </c>
      <c r="K2636" t="s">
        <v>54</v>
      </c>
      <c r="M2636" t="s">
        <v>65</v>
      </c>
      <c r="N2636" t="b">
        <v>0</v>
      </c>
      <c r="P2636" t="b">
        <v>0</v>
      </c>
      <c r="Q2636" t="b">
        <v>0</v>
      </c>
      <c r="R2636" t="b">
        <v>0</v>
      </c>
      <c r="S2636" t="b">
        <v>1</v>
      </c>
      <c r="T2636" t="b">
        <v>0</v>
      </c>
      <c r="V2636" t="b">
        <v>0</v>
      </c>
      <c r="W2636" t="b">
        <v>0</v>
      </c>
      <c r="X2636" t="b">
        <v>0</v>
      </c>
      <c r="Y2636" t="b">
        <v>0</v>
      </c>
      <c r="Z2636" t="b">
        <v>0</v>
      </c>
      <c r="AA2636" t="b">
        <v>0</v>
      </c>
      <c r="AB2636" t="b">
        <v>1</v>
      </c>
      <c r="AC2636" t="b">
        <v>0</v>
      </c>
      <c r="AE2636" t="s">
        <v>6506</v>
      </c>
    </row>
    <row r="2637" spans="1:31" x14ac:dyDescent="0.3">
      <c r="A2637">
        <v>-73.970026412839999</v>
      </c>
      <c r="B2637">
        <v>40.769201463770003</v>
      </c>
      <c r="C2637" t="s">
        <v>6507</v>
      </c>
      <c r="D2637" t="s">
        <v>1310</v>
      </c>
      <c r="E2637" t="s">
        <v>33</v>
      </c>
      <c r="F2637">
        <v>10132018</v>
      </c>
      <c r="G2637">
        <v>1</v>
      </c>
      <c r="H2637" t="s">
        <v>105</v>
      </c>
      <c r="I2637" t="s">
        <v>53</v>
      </c>
      <c r="J2637" t="s">
        <v>42</v>
      </c>
      <c r="K2637" t="s">
        <v>89</v>
      </c>
      <c r="M2637" t="s">
        <v>65</v>
      </c>
      <c r="N2637" t="b">
        <v>0</v>
      </c>
      <c r="O2637" t="s">
        <v>6508</v>
      </c>
      <c r="P2637" t="b">
        <v>0</v>
      </c>
      <c r="Q2637" t="b">
        <v>0</v>
      </c>
      <c r="R2637" t="b">
        <v>0</v>
      </c>
      <c r="S2637" t="b">
        <v>1</v>
      </c>
      <c r="T2637" t="b">
        <v>0</v>
      </c>
      <c r="V2637" t="b">
        <v>0</v>
      </c>
      <c r="W2637" t="b">
        <v>0</v>
      </c>
      <c r="X2637" t="b">
        <v>0</v>
      </c>
      <c r="Y2637" t="b">
        <v>0</v>
      </c>
      <c r="Z2637" t="b">
        <v>0</v>
      </c>
      <c r="AA2637" t="b">
        <v>1</v>
      </c>
      <c r="AB2637" t="b">
        <v>0</v>
      </c>
      <c r="AC2637" t="b">
        <v>0</v>
      </c>
      <c r="AE2637" t="s">
        <v>6509</v>
      </c>
    </row>
    <row r="2638" spans="1:31" x14ac:dyDescent="0.3">
      <c r="A2638">
        <v>-73.968891673889999</v>
      </c>
      <c r="B2638">
        <v>40.776700147169997</v>
      </c>
      <c r="C2638" t="s">
        <v>6510</v>
      </c>
      <c r="D2638" t="s">
        <v>232</v>
      </c>
      <c r="E2638" t="s">
        <v>38</v>
      </c>
      <c r="F2638">
        <v>10072018</v>
      </c>
      <c r="G2638">
        <v>6</v>
      </c>
      <c r="H2638" t="s">
        <v>48</v>
      </c>
      <c r="I2638" t="s">
        <v>42</v>
      </c>
      <c r="J2638" t="s">
        <v>53</v>
      </c>
      <c r="K2638" t="s">
        <v>54</v>
      </c>
      <c r="M2638" t="s">
        <v>65</v>
      </c>
      <c r="N2638" t="b">
        <v>0</v>
      </c>
      <c r="P2638" t="b">
        <v>1</v>
      </c>
      <c r="Q2638" t="b">
        <v>0</v>
      </c>
      <c r="R2638" t="b">
        <v>0</v>
      </c>
      <c r="S2638" t="b">
        <v>0</v>
      </c>
      <c r="T2638" t="b">
        <v>0</v>
      </c>
      <c r="U2638" t="s">
        <v>6511</v>
      </c>
      <c r="V2638" t="b">
        <v>0</v>
      </c>
      <c r="W2638" t="b">
        <v>0</v>
      </c>
      <c r="X2638" t="b">
        <v>0</v>
      </c>
      <c r="Y2638" t="b">
        <v>0</v>
      </c>
      <c r="Z2638" t="b">
        <v>0</v>
      </c>
      <c r="AA2638" t="b">
        <v>0</v>
      </c>
      <c r="AB2638" t="b">
        <v>0</v>
      </c>
      <c r="AC2638" t="b">
        <v>1</v>
      </c>
      <c r="AE2638" t="s">
        <v>6512</v>
      </c>
    </row>
    <row r="2639" spans="1:31" x14ac:dyDescent="0.3">
      <c r="A2639">
        <v>-73.959897333770002</v>
      </c>
      <c r="B2639">
        <v>40.793334636049998</v>
      </c>
      <c r="C2639" t="s">
        <v>6513</v>
      </c>
      <c r="D2639" t="s">
        <v>3811</v>
      </c>
      <c r="E2639" t="s">
        <v>33</v>
      </c>
      <c r="F2639">
        <v>10122018</v>
      </c>
      <c r="G2639">
        <v>1</v>
      </c>
      <c r="H2639" t="s">
        <v>48</v>
      </c>
      <c r="I2639" t="s">
        <v>176</v>
      </c>
      <c r="K2639" t="s">
        <v>177</v>
      </c>
      <c r="M2639" t="s">
        <v>65</v>
      </c>
      <c r="N2639" t="b">
        <v>0</v>
      </c>
      <c r="P2639" t="b">
        <v>0</v>
      </c>
      <c r="Q2639" t="b">
        <v>0</v>
      </c>
      <c r="R2639" t="b">
        <v>0</v>
      </c>
      <c r="S2639" t="b">
        <v>0</v>
      </c>
      <c r="T2639" t="b">
        <v>1</v>
      </c>
      <c r="U2639" t="s">
        <v>340</v>
      </c>
      <c r="V2639" t="b">
        <v>0</v>
      </c>
      <c r="W2639" t="b">
        <v>0</v>
      </c>
      <c r="X2639" t="b">
        <v>0</v>
      </c>
      <c r="Y2639" t="b">
        <v>0</v>
      </c>
      <c r="Z2639" t="b">
        <v>0</v>
      </c>
      <c r="AA2639" t="b">
        <v>0</v>
      </c>
      <c r="AB2639" t="b">
        <v>1</v>
      </c>
      <c r="AC2639" t="b">
        <v>0</v>
      </c>
      <c r="AE2639" t="s">
        <v>6514</v>
      </c>
    </row>
    <row r="2640" spans="1:31" x14ac:dyDescent="0.3">
      <c r="A2640">
        <v>-73.954383260989999</v>
      </c>
      <c r="B2640">
        <v>40.79535506397</v>
      </c>
      <c r="C2640" t="s">
        <v>6515</v>
      </c>
      <c r="D2640" t="s">
        <v>1063</v>
      </c>
      <c r="E2640" t="s">
        <v>38</v>
      </c>
      <c r="F2640">
        <v>10142018</v>
      </c>
      <c r="G2640">
        <v>2</v>
      </c>
      <c r="H2640" t="s">
        <v>48</v>
      </c>
      <c r="I2640" t="s">
        <v>42</v>
      </c>
      <c r="J2640" t="s">
        <v>53</v>
      </c>
      <c r="K2640" t="s">
        <v>54</v>
      </c>
      <c r="M2640" t="s">
        <v>44</v>
      </c>
      <c r="N2640">
        <v>2</v>
      </c>
      <c r="O2640" t="s">
        <v>1374</v>
      </c>
      <c r="P2640" t="b">
        <v>1</v>
      </c>
      <c r="Q2640" t="b">
        <v>0</v>
      </c>
      <c r="R2640" t="b">
        <v>1</v>
      </c>
      <c r="S2640" t="b">
        <v>0</v>
      </c>
      <c r="T2640" t="b">
        <v>1</v>
      </c>
      <c r="V2640" t="b">
        <v>0</v>
      </c>
      <c r="W2640" t="b">
        <v>0</v>
      </c>
      <c r="X2640" t="b">
        <v>0</v>
      </c>
      <c r="Y2640" t="b">
        <v>0</v>
      </c>
      <c r="Z2640" t="b">
        <v>0</v>
      </c>
      <c r="AA2640" t="b">
        <v>0</v>
      </c>
      <c r="AB2640" t="b">
        <v>0</v>
      </c>
      <c r="AC2640" t="b">
        <v>0</v>
      </c>
      <c r="AE2640" t="s">
        <v>6516</v>
      </c>
    </row>
    <row r="2641" spans="1:31" x14ac:dyDescent="0.3">
      <c r="A2641">
        <v>-73.978830471410006</v>
      </c>
      <c r="B2641">
        <v>40.769637363530002</v>
      </c>
      <c r="C2641" t="s">
        <v>6517</v>
      </c>
      <c r="D2641" t="s">
        <v>886</v>
      </c>
      <c r="E2641" t="s">
        <v>38</v>
      </c>
      <c r="F2641">
        <v>10102018</v>
      </c>
      <c r="G2641">
        <v>6</v>
      </c>
      <c r="H2641" t="s">
        <v>48</v>
      </c>
      <c r="I2641" t="s">
        <v>42</v>
      </c>
      <c r="K2641" t="s">
        <v>43</v>
      </c>
      <c r="M2641" t="s">
        <v>44</v>
      </c>
      <c r="N2641">
        <v>12</v>
      </c>
      <c r="P2641" t="b">
        <v>1</v>
      </c>
      <c r="Q2641" t="b">
        <v>0</v>
      </c>
      <c r="R2641" t="b">
        <v>0</v>
      </c>
      <c r="S2641" t="b">
        <v>0</v>
      </c>
      <c r="T2641" t="b">
        <v>0</v>
      </c>
      <c r="U2641" t="s">
        <v>6518</v>
      </c>
      <c r="V2641" t="b">
        <v>0</v>
      </c>
      <c r="W2641" t="b">
        <v>0</v>
      </c>
      <c r="X2641" t="b">
        <v>0</v>
      </c>
      <c r="Y2641" t="b">
        <v>0</v>
      </c>
      <c r="Z2641" t="b">
        <v>0</v>
      </c>
      <c r="AA2641" t="b">
        <v>0</v>
      </c>
      <c r="AB2641" t="b">
        <v>0</v>
      </c>
      <c r="AC2641" t="b">
        <v>0</v>
      </c>
      <c r="AE2641" t="s">
        <v>6519</v>
      </c>
    </row>
    <row r="2642" spans="1:31" x14ac:dyDescent="0.3">
      <c r="A2642">
        <v>-73.961551670350005</v>
      </c>
      <c r="B2642">
        <v>40.790521938840001</v>
      </c>
      <c r="C2642" t="s">
        <v>6520</v>
      </c>
      <c r="D2642" t="s">
        <v>612</v>
      </c>
      <c r="E2642" t="s">
        <v>38</v>
      </c>
      <c r="F2642">
        <v>10142018</v>
      </c>
      <c r="G2642">
        <v>4</v>
      </c>
      <c r="H2642" t="s">
        <v>105</v>
      </c>
      <c r="I2642" t="s">
        <v>42</v>
      </c>
      <c r="K2642" t="s">
        <v>43</v>
      </c>
      <c r="M2642" t="s">
        <v>65</v>
      </c>
      <c r="N2642" t="b">
        <v>0</v>
      </c>
      <c r="O2642" t="s">
        <v>6521</v>
      </c>
      <c r="P2642" t="b">
        <v>1</v>
      </c>
      <c r="Q2642" t="b">
        <v>0</v>
      </c>
      <c r="R2642" t="b">
        <v>0</v>
      </c>
      <c r="S2642" t="b">
        <v>1</v>
      </c>
      <c r="T2642" t="b">
        <v>1</v>
      </c>
      <c r="V2642" t="b">
        <v>0</v>
      </c>
      <c r="W2642" t="b">
        <v>0</v>
      </c>
      <c r="X2642" t="b">
        <v>0</v>
      </c>
      <c r="Y2642" t="b">
        <v>0</v>
      </c>
      <c r="Z2642" t="b">
        <v>1</v>
      </c>
      <c r="AA2642" t="b">
        <v>0</v>
      </c>
      <c r="AB2642" t="b">
        <v>1</v>
      </c>
      <c r="AC2642" t="b">
        <v>0</v>
      </c>
      <c r="AE2642" t="s">
        <v>6522</v>
      </c>
    </row>
    <row r="2643" spans="1:31" x14ac:dyDescent="0.3">
      <c r="A2643">
        <v>-73.975145472600005</v>
      </c>
      <c r="B2643">
        <v>40.770291361570003</v>
      </c>
      <c r="C2643" t="s">
        <v>6523</v>
      </c>
      <c r="D2643" t="s">
        <v>722</v>
      </c>
      <c r="E2643" t="s">
        <v>33</v>
      </c>
      <c r="F2643">
        <v>10202018</v>
      </c>
      <c r="G2643">
        <v>6</v>
      </c>
      <c r="H2643" t="s">
        <v>48</v>
      </c>
      <c r="I2643" t="s">
        <v>42</v>
      </c>
      <c r="J2643" t="s">
        <v>59</v>
      </c>
      <c r="K2643" t="s">
        <v>79</v>
      </c>
      <c r="M2643" t="s">
        <v>65</v>
      </c>
      <c r="N2643" t="b">
        <v>0</v>
      </c>
      <c r="O2643" t="s">
        <v>6524</v>
      </c>
      <c r="P2643" t="b">
        <v>0</v>
      </c>
      <c r="Q2643" t="b">
        <v>0</v>
      </c>
      <c r="R2643" t="b">
        <v>0</v>
      </c>
      <c r="S2643" t="b">
        <v>0</v>
      </c>
      <c r="T2643" t="b">
        <v>1</v>
      </c>
      <c r="V2643" t="b">
        <v>0</v>
      </c>
      <c r="W2643" t="b">
        <v>0</v>
      </c>
      <c r="X2643" t="b">
        <v>0</v>
      </c>
      <c r="Y2643" t="b">
        <v>0</v>
      </c>
      <c r="Z2643" t="b">
        <v>0</v>
      </c>
      <c r="AA2643" t="b">
        <v>0</v>
      </c>
      <c r="AB2643" t="b">
        <v>1</v>
      </c>
      <c r="AC2643" t="b">
        <v>0</v>
      </c>
      <c r="AE2643" t="s">
        <v>6525</v>
      </c>
    </row>
    <row r="2644" spans="1:31" x14ac:dyDescent="0.3">
      <c r="A2644">
        <v>-73.969371901589994</v>
      </c>
      <c r="B2644">
        <v>40.776871016059999</v>
      </c>
      <c r="C2644" t="s">
        <v>6526</v>
      </c>
      <c r="D2644" t="s">
        <v>100</v>
      </c>
      <c r="E2644" t="s">
        <v>33</v>
      </c>
      <c r="F2644">
        <v>10172018</v>
      </c>
      <c r="G2644">
        <v>2</v>
      </c>
      <c r="H2644" t="s">
        <v>48</v>
      </c>
      <c r="I2644" t="s">
        <v>42</v>
      </c>
      <c r="J2644" t="s">
        <v>59</v>
      </c>
      <c r="K2644" t="s">
        <v>79</v>
      </c>
      <c r="M2644" t="s">
        <v>65</v>
      </c>
      <c r="N2644" t="b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1</v>
      </c>
      <c r="U2644" t="s">
        <v>1428</v>
      </c>
      <c r="V2644" t="b">
        <v>0</v>
      </c>
      <c r="W2644" t="b">
        <v>0</v>
      </c>
      <c r="X2644" t="b">
        <v>0</v>
      </c>
      <c r="Y2644" t="b">
        <v>0</v>
      </c>
      <c r="Z2644" t="b">
        <v>0</v>
      </c>
      <c r="AA2644" t="b">
        <v>0</v>
      </c>
      <c r="AB2644" t="b">
        <v>0</v>
      </c>
      <c r="AC2644" t="b">
        <v>0</v>
      </c>
      <c r="AE2644" t="s">
        <v>6527</v>
      </c>
    </row>
    <row r="2645" spans="1:31" x14ac:dyDescent="0.3">
      <c r="A2645">
        <v>-73.977544544119993</v>
      </c>
      <c r="B2645">
        <v>40.769709653370001</v>
      </c>
      <c r="C2645" t="s">
        <v>6528</v>
      </c>
      <c r="D2645" t="s">
        <v>1581</v>
      </c>
      <c r="E2645" t="s">
        <v>33</v>
      </c>
      <c r="F2645">
        <v>10102018</v>
      </c>
      <c r="G2645">
        <v>13</v>
      </c>
      <c r="H2645" t="s">
        <v>48</v>
      </c>
      <c r="I2645" t="s">
        <v>42</v>
      </c>
      <c r="J2645" t="s">
        <v>96</v>
      </c>
      <c r="K2645" t="s">
        <v>97</v>
      </c>
      <c r="M2645" t="s">
        <v>65</v>
      </c>
      <c r="N2645" t="b">
        <v>0</v>
      </c>
      <c r="P2645" t="b">
        <v>1</v>
      </c>
      <c r="Q2645" t="b">
        <v>0</v>
      </c>
      <c r="R2645" t="b">
        <v>0</v>
      </c>
      <c r="S2645" t="b">
        <v>0</v>
      </c>
      <c r="T2645" t="b">
        <v>1</v>
      </c>
      <c r="V2645" t="b">
        <v>0</v>
      </c>
      <c r="W2645" t="b">
        <v>0</v>
      </c>
      <c r="X2645" t="b">
        <v>0</v>
      </c>
      <c r="Y2645" t="b">
        <v>0</v>
      </c>
      <c r="Z2645" t="b">
        <v>0</v>
      </c>
      <c r="AA2645" t="b">
        <v>0</v>
      </c>
      <c r="AB2645" t="b">
        <v>0</v>
      </c>
      <c r="AC2645" t="b">
        <v>0</v>
      </c>
      <c r="AE2645" t="s">
        <v>6529</v>
      </c>
    </row>
    <row r="2646" spans="1:31" x14ac:dyDescent="0.3">
      <c r="A2646">
        <v>-73.958496736889998</v>
      </c>
      <c r="B2646">
        <v>40.797732034109998</v>
      </c>
      <c r="C2646" t="s">
        <v>6530</v>
      </c>
      <c r="D2646" t="s">
        <v>802</v>
      </c>
      <c r="E2646" t="s">
        <v>33</v>
      </c>
      <c r="F2646">
        <v>10142018</v>
      </c>
      <c r="G2646">
        <v>5</v>
      </c>
      <c r="H2646" t="s">
        <v>48</v>
      </c>
      <c r="I2646" t="s">
        <v>42</v>
      </c>
      <c r="J2646" t="s">
        <v>59</v>
      </c>
      <c r="K2646" t="s">
        <v>79</v>
      </c>
      <c r="M2646" t="s">
        <v>65</v>
      </c>
      <c r="N2646" t="b">
        <v>0</v>
      </c>
      <c r="P2646" t="b">
        <v>0</v>
      </c>
      <c r="Q2646" t="b">
        <v>0</v>
      </c>
      <c r="R2646" t="b">
        <v>0</v>
      </c>
      <c r="S2646" t="b">
        <v>1</v>
      </c>
      <c r="T2646" t="b">
        <v>1</v>
      </c>
      <c r="U2646" t="s">
        <v>6531</v>
      </c>
      <c r="V2646" t="b">
        <v>0</v>
      </c>
      <c r="W2646" t="b">
        <v>0</v>
      </c>
      <c r="X2646" t="b">
        <v>0</v>
      </c>
      <c r="Y2646" t="b">
        <v>0</v>
      </c>
      <c r="Z2646" t="b">
        <v>0</v>
      </c>
      <c r="AA2646" t="b">
        <v>0</v>
      </c>
      <c r="AB2646" t="b">
        <v>1</v>
      </c>
      <c r="AC2646" t="b">
        <v>0</v>
      </c>
      <c r="AE2646" t="s">
        <v>6532</v>
      </c>
    </row>
    <row r="2647" spans="1:31" x14ac:dyDescent="0.3">
      <c r="A2647">
        <v>-73.977223925190003</v>
      </c>
      <c r="B2647">
        <v>40.773171666579998</v>
      </c>
      <c r="C2647" t="s">
        <v>6533</v>
      </c>
      <c r="D2647" t="s">
        <v>741</v>
      </c>
      <c r="E2647" t="s">
        <v>38</v>
      </c>
      <c r="F2647">
        <v>10132018</v>
      </c>
      <c r="G2647">
        <v>5</v>
      </c>
      <c r="H2647" t="s">
        <v>48</v>
      </c>
      <c r="I2647" t="s">
        <v>53</v>
      </c>
      <c r="J2647" t="s">
        <v>42</v>
      </c>
      <c r="K2647" t="s">
        <v>89</v>
      </c>
      <c r="M2647" t="s">
        <v>44</v>
      </c>
      <c r="N2647">
        <v>20</v>
      </c>
      <c r="P2647" t="b">
        <v>1</v>
      </c>
      <c r="Q2647" t="b">
        <v>0</v>
      </c>
      <c r="R2647" t="b">
        <v>1</v>
      </c>
      <c r="S2647" t="b">
        <v>1</v>
      </c>
      <c r="T2647" t="b">
        <v>0</v>
      </c>
      <c r="V2647" t="b">
        <v>0</v>
      </c>
      <c r="W2647" t="b">
        <v>0</v>
      </c>
      <c r="X2647" t="b">
        <v>0</v>
      </c>
      <c r="Y2647" t="b">
        <v>0</v>
      </c>
      <c r="Z2647" t="b">
        <v>0</v>
      </c>
      <c r="AA2647" t="b">
        <v>1</v>
      </c>
      <c r="AB2647" t="b">
        <v>0</v>
      </c>
      <c r="AC2647" t="b">
        <v>0</v>
      </c>
      <c r="AE2647" t="s">
        <v>6534</v>
      </c>
    </row>
    <row r="2648" spans="1:31" x14ac:dyDescent="0.3">
      <c r="A2648">
        <v>-73.954499539820006</v>
      </c>
      <c r="B2648">
        <v>40.79497166937</v>
      </c>
      <c r="C2648" t="s">
        <v>6535</v>
      </c>
      <c r="D2648" t="s">
        <v>363</v>
      </c>
      <c r="E2648" t="s">
        <v>38</v>
      </c>
      <c r="F2648">
        <v>10182018</v>
      </c>
      <c r="G2648">
        <v>1</v>
      </c>
      <c r="H2648" t="s">
        <v>48</v>
      </c>
      <c r="I2648" t="s">
        <v>53</v>
      </c>
      <c r="J2648" t="s">
        <v>115</v>
      </c>
      <c r="K2648" t="s">
        <v>116</v>
      </c>
      <c r="M2648" t="s">
        <v>65</v>
      </c>
      <c r="N2648" t="b">
        <v>0</v>
      </c>
      <c r="P2648" t="b">
        <v>1</v>
      </c>
      <c r="Q2648" t="b">
        <v>0</v>
      </c>
      <c r="R2648" t="b">
        <v>0</v>
      </c>
      <c r="S2648" t="b">
        <v>0</v>
      </c>
      <c r="T2648" t="b">
        <v>0</v>
      </c>
      <c r="V2648" t="b">
        <v>0</v>
      </c>
      <c r="W2648" t="b">
        <v>0</v>
      </c>
      <c r="X2648" t="b">
        <v>0</v>
      </c>
      <c r="Y2648" t="b">
        <v>0</v>
      </c>
      <c r="Z2648" t="b">
        <v>0</v>
      </c>
      <c r="AA2648" t="b">
        <v>0</v>
      </c>
      <c r="AB2648" t="b">
        <v>0</v>
      </c>
      <c r="AC2648" t="b">
        <v>1</v>
      </c>
      <c r="AE2648" t="s">
        <v>6536</v>
      </c>
    </row>
    <row r="2649" spans="1:31" x14ac:dyDescent="0.3">
      <c r="A2649">
        <v>-73.972941048799996</v>
      </c>
      <c r="B2649">
        <v>40.770948496460001</v>
      </c>
      <c r="C2649" t="s">
        <v>6537</v>
      </c>
      <c r="D2649" t="s">
        <v>353</v>
      </c>
      <c r="E2649" t="s">
        <v>38</v>
      </c>
      <c r="F2649">
        <v>10082018</v>
      </c>
      <c r="G2649">
        <v>13</v>
      </c>
      <c r="H2649" t="s">
        <v>48</v>
      </c>
      <c r="I2649" t="s">
        <v>42</v>
      </c>
      <c r="K2649" t="s">
        <v>43</v>
      </c>
      <c r="M2649" t="s">
        <v>44</v>
      </c>
      <c r="N2649">
        <v>4</v>
      </c>
      <c r="O2649" t="s">
        <v>6538</v>
      </c>
      <c r="P2649" t="b">
        <v>1</v>
      </c>
      <c r="Q2649" t="b">
        <v>0</v>
      </c>
      <c r="R2649" t="b">
        <v>0</v>
      </c>
      <c r="S2649" t="b">
        <v>1</v>
      </c>
      <c r="T2649" t="b">
        <v>1</v>
      </c>
      <c r="U2649" t="s">
        <v>6539</v>
      </c>
      <c r="V2649" t="b">
        <v>0</v>
      </c>
      <c r="W2649" t="b">
        <v>0</v>
      </c>
      <c r="X2649" t="b">
        <v>0</v>
      </c>
      <c r="Y2649" t="b">
        <v>0</v>
      </c>
      <c r="Z2649" t="b">
        <v>0</v>
      </c>
      <c r="AA2649" t="b">
        <v>0</v>
      </c>
      <c r="AB2649" t="b">
        <v>1</v>
      </c>
      <c r="AC2649" t="b">
        <v>0</v>
      </c>
      <c r="AE2649" t="s">
        <v>6540</v>
      </c>
    </row>
    <row r="2650" spans="1:31" x14ac:dyDescent="0.3">
      <c r="A2650">
        <v>-73.970642864179993</v>
      </c>
      <c r="B2650">
        <v>40.77629339365</v>
      </c>
      <c r="C2650" t="s">
        <v>6541</v>
      </c>
      <c r="D2650" t="s">
        <v>52</v>
      </c>
      <c r="E2650" t="s">
        <v>38</v>
      </c>
      <c r="F2650">
        <v>10172018</v>
      </c>
      <c r="G2650">
        <v>7</v>
      </c>
      <c r="H2650" t="s">
        <v>48</v>
      </c>
      <c r="I2650" t="s">
        <v>42</v>
      </c>
      <c r="J2650" t="s">
        <v>53</v>
      </c>
      <c r="K2650" t="s">
        <v>54</v>
      </c>
      <c r="M2650" t="s">
        <v>65</v>
      </c>
      <c r="N2650" t="b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1</v>
      </c>
      <c r="V2650" t="b">
        <v>0</v>
      </c>
      <c r="W2650" t="b">
        <v>0</v>
      </c>
      <c r="X2650" t="b">
        <v>0</v>
      </c>
      <c r="Y2650" t="b">
        <v>0</v>
      </c>
      <c r="Z2650" t="b">
        <v>0</v>
      </c>
      <c r="AA2650" t="b">
        <v>0</v>
      </c>
      <c r="AB2650" t="b">
        <v>1</v>
      </c>
      <c r="AC2650" t="b">
        <v>0</v>
      </c>
      <c r="AE2650" t="s">
        <v>6542</v>
      </c>
    </row>
    <row r="2651" spans="1:31" x14ac:dyDescent="0.3">
      <c r="A2651">
        <v>-73.953825171630001</v>
      </c>
      <c r="B2651">
        <v>40.79193601982</v>
      </c>
      <c r="C2651" t="s">
        <v>6543</v>
      </c>
      <c r="D2651" t="s">
        <v>3750</v>
      </c>
      <c r="E2651" t="s">
        <v>33</v>
      </c>
      <c r="F2651">
        <v>10062018</v>
      </c>
      <c r="G2651">
        <v>1</v>
      </c>
      <c r="H2651" t="s">
        <v>48</v>
      </c>
      <c r="I2651" t="s">
        <v>42</v>
      </c>
      <c r="J2651" t="s">
        <v>53</v>
      </c>
      <c r="K2651" t="s">
        <v>54</v>
      </c>
      <c r="M2651" t="s">
        <v>65</v>
      </c>
      <c r="N2651" t="b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1</v>
      </c>
      <c r="V2651" t="b">
        <v>0</v>
      </c>
      <c r="W2651" t="b">
        <v>0</v>
      </c>
      <c r="X2651" t="b">
        <v>0</v>
      </c>
      <c r="Y2651" t="b">
        <v>0</v>
      </c>
      <c r="Z2651" t="b">
        <v>0</v>
      </c>
      <c r="AA2651" t="b">
        <v>0</v>
      </c>
      <c r="AB2651" t="b">
        <v>1</v>
      </c>
      <c r="AC2651" t="b">
        <v>0</v>
      </c>
      <c r="AE2651" t="s">
        <v>6544</v>
      </c>
    </row>
    <row r="2652" spans="1:31" x14ac:dyDescent="0.3">
      <c r="A2652">
        <v>-73.96329932463</v>
      </c>
      <c r="B2652">
        <v>40.788819951969998</v>
      </c>
      <c r="C2652" t="s">
        <v>6545</v>
      </c>
      <c r="D2652" t="s">
        <v>172</v>
      </c>
      <c r="E2652" t="s">
        <v>38</v>
      </c>
      <c r="F2652">
        <v>10072018</v>
      </c>
      <c r="G2652">
        <v>5</v>
      </c>
      <c r="H2652" t="s">
        <v>48</v>
      </c>
      <c r="I2652" t="s">
        <v>176</v>
      </c>
      <c r="J2652" t="s">
        <v>42</v>
      </c>
      <c r="K2652" t="s">
        <v>1233</v>
      </c>
      <c r="M2652" t="s">
        <v>65</v>
      </c>
      <c r="N2652" t="b">
        <v>0</v>
      </c>
      <c r="P2652" t="b">
        <v>0</v>
      </c>
      <c r="Q2652" t="b">
        <v>0</v>
      </c>
      <c r="R2652" t="b">
        <v>0</v>
      </c>
      <c r="S2652" t="b">
        <v>0</v>
      </c>
      <c r="T2652" t="b">
        <v>1</v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b">
        <v>0</v>
      </c>
      <c r="AB2652" t="b">
        <v>0</v>
      </c>
      <c r="AC2652" t="b">
        <v>0</v>
      </c>
      <c r="AE2652" t="s">
        <v>6546</v>
      </c>
    </row>
    <row r="2653" spans="1:31" x14ac:dyDescent="0.3">
      <c r="A2653">
        <v>-73.962054251469993</v>
      </c>
      <c r="B2653">
        <v>40.794373172210001</v>
      </c>
      <c r="C2653" t="s">
        <v>6547</v>
      </c>
      <c r="D2653" t="s">
        <v>2662</v>
      </c>
      <c r="E2653" t="s">
        <v>38</v>
      </c>
      <c r="F2653">
        <v>10122018</v>
      </c>
      <c r="G2653">
        <v>1</v>
      </c>
      <c r="H2653" t="s">
        <v>48</v>
      </c>
      <c r="I2653" t="s">
        <v>42</v>
      </c>
      <c r="J2653" t="s">
        <v>53</v>
      </c>
      <c r="K2653" t="s">
        <v>54</v>
      </c>
      <c r="M2653" t="s">
        <v>44</v>
      </c>
      <c r="N2653">
        <v>10</v>
      </c>
      <c r="O2653" t="s">
        <v>4120</v>
      </c>
      <c r="P2653" t="b">
        <v>1</v>
      </c>
      <c r="Q2653" t="b">
        <v>1</v>
      </c>
      <c r="R2653" t="b">
        <v>1</v>
      </c>
      <c r="S2653" t="b">
        <v>0</v>
      </c>
      <c r="T2653" t="b">
        <v>0</v>
      </c>
      <c r="V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b">
        <v>0</v>
      </c>
      <c r="AB2653" t="b">
        <v>1</v>
      </c>
      <c r="AC2653" t="b">
        <v>0</v>
      </c>
      <c r="AE2653" t="s">
        <v>6548</v>
      </c>
    </row>
    <row r="2654" spans="1:31" x14ac:dyDescent="0.3">
      <c r="A2654">
        <v>-73.95893254373</v>
      </c>
      <c r="B2654">
        <v>40.791344553130003</v>
      </c>
      <c r="C2654" t="s">
        <v>6549</v>
      </c>
      <c r="D2654" t="s">
        <v>1211</v>
      </c>
      <c r="E2654" t="s">
        <v>38</v>
      </c>
      <c r="F2654">
        <v>10142018</v>
      </c>
      <c r="G2654">
        <v>11</v>
      </c>
      <c r="H2654" t="s">
        <v>105</v>
      </c>
      <c r="I2654" t="s">
        <v>42</v>
      </c>
      <c r="J2654" t="s">
        <v>96</v>
      </c>
      <c r="K2654" t="s">
        <v>97</v>
      </c>
      <c r="M2654" t="s">
        <v>44</v>
      </c>
      <c r="N2654">
        <v>15</v>
      </c>
      <c r="P2654" t="b">
        <v>0</v>
      </c>
      <c r="Q2654" t="b">
        <v>1</v>
      </c>
      <c r="R2654" t="b">
        <v>0</v>
      </c>
      <c r="S2654" t="b">
        <v>0</v>
      </c>
      <c r="T2654" t="b">
        <v>0</v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b">
        <v>0</v>
      </c>
      <c r="AB2654" t="b">
        <v>1</v>
      </c>
      <c r="AC2654" t="b">
        <v>0</v>
      </c>
      <c r="AE2654" t="s">
        <v>6550</v>
      </c>
    </row>
    <row r="2655" spans="1:31" x14ac:dyDescent="0.3">
      <c r="A2655">
        <v>-73.954926124249994</v>
      </c>
      <c r="B2655">
        <v>40.794470199460001</v>
      </c>
      <c r="C2655" t="s">
        <v>6551</v>
      </c>
      <c r="D2655" t="s">
        <v>936</v>
      </c>
      <c r="E2655" t="s">
        <v>38</v>
      </c>
      <c r="F2655">
        <v>10142018</v>
      </c>
      <c r="G2655">
        <v>4</v>
      </c>
      <c r="H2655" t="s">
        <v>48</v>
      </c>
      <c r="I2655" t="s">
        <v>42</v>
      </c>
      <c r="K2655" t="s">
        <v>43</v>
      </c>
      <c r="M2655" t="s">
        <v>44</v>
      </c>
      <c r="N2655">
        <v>5</v>
      </c>
      <c r="P2655" t="b">
        <v>0</v>
      </c>
      <c r="Q2655" t="b">
        <v>1</v>
      </c>
      <c r="R2655" t="b">
        <v>0</v>
      </c>
      <c r="S2655" t="b">
        <v>0</v>
      </c>
      <c r="T2655" t="b">
        <v>0</v>
      </c>
      <c r="U2655" t="s">
        <v>1367</v>
      </c>
      <c r="V2655" t="b">
        <v>0</v>
      </c>
      <c r="W2655" t="b">
        <v>0</v>
      </c>
      <c r="X2655" t="b">
        <v>0</v>
      </c>
      <c r="Y2655" t="b">
        <v>0</v>
      </c>
      <c r="Z2655" t="b">
        <v>0</v>
      </c>
      <c r="AA2655" t="b">
        <v>0</v>
      </c>
      <c r="AB2655" t="b">
        <v>1</v>
      </c>
      <c r="AC2655" t="b">
        <v>0</v>
      </c>
      <c r="AE2655" t="s">
        <v>6552</v>
      </c>
    </row>
    <row r="2656" spans="1:31" x14ac:dyDescent="0.3">
      <c r="A2656">
        <v>-73.965915610810001</v>
      </c>
      <c r="B2656">
        <v>40.781070981870002</v>
      </c>
      <c r="C2656" t="s">
        <v>6553</v>
      </c>
      <c r="D2656" t="s">
        <v>6554</v>
      </c>
      <c r="E2656" t="s">
        <v>38</v>
      </c>
      <c r="F2656">
        <v>10142018</v>
      </c>
      <c r="G2656">
        <v>1</v>
      </c>
      <c r="H2656" t="s">
        <v>48</v>
      </c>
      <c r="I2656" t="s">
        <v>42</v>
      </c>
      <c r="J2656" t="s">
        <v>96</v>
      </c>
      <c r="K2656" t="s">
        <v>97</v>
      </c>
      <c r="M2656" t="s">
        <v>65</v>
      </c>
      <c r="N2656" t="b">
        <v>0</v>
      </c>
      <c r="P2656" t="b">
        <v>1</v>
      </c>
      <c r="Q2656" t="b">
        <v>0</v>
      </c>
      <c r="R2656" t="b">
        <v>0</v>
      </c>
      <c r="S2656" t="b">
        <v>1</v>
      </c>
      <c r="T2656" t="b">
        <v>1</v>
      </c>
      <c r="V2656" t="b">
        <v>0</v>
      </c>
      <c r="W2656" t="b">
        <v>0</v>
      </c>
      <c r="X2656" t="b">
        <v>0</v>
      </c>
      <c r="Y2656" t="b">
        <v>0</v>
      </c>
      <c r="Z2656" t="b">
        <v>1</v>
      </c>
      <c r="AA2656" t="b">
        <v>0</v>
      </c>
      <c r="AB2656" t="b">
        <v>0</v>
      </c>
      <c r="AC2656" t="b">
        <v>0</v>
      </c>
      <c r="AE2656" t="s">
        <v>6555</v>
      </c>
    </row>
    <row r="2657" spans="1:31" x14ac:dyDescent="0.3">
      <c r="A2657">
        <v>-73.972399596840006</v>
      </c>
      <c r="B2657">
        <v>40.778876507840003</v>
      </c>
      <c r="C2657" t="s">
        <v>6556</v>
      </c>
      <c r="D2657" t="s">
        <v>1138</v>
      </c>
      <c r="E2657" t="s">
        <v>33</v>
      </c>
      <c r="F2657">
        <v>10172018</v>
      </c>
      <c r="G2657">
        <v>4</v>
      </c>
      <c r="H2657" t="s">
        <v>48</v>
      </c>
      <c r="I2657" t="s">
        <v>42</v>
      </c>
      <c r="K2657" t="s">
        <v>43</v>
      </c>
      <c r="M2657" t="s">
        <v>65</v>
      </c>
      <c r="N2657" t="b">
        <v>0</v>
      </c>
      <c r="O2657" t="s">
        <v>6557</v>
      </c>
      <c r="P2657" t="b">
        <v>0</v>
      </c>
      <c r="Q2657" t="b">
        <v>0</v>
      </c>
      <c r="R2657" t="b">
        <v>0</v>
      </c>
      <c r="S2657" t="b">
        <v>0</v>
      </c>
      <c r="T2657" t="b">
        <v>1</v>
      </c>
      <c r="V2657" t="b">
        <v>0</v>
      </c>
      <c r="W2657" t="b">
        <v>0</v>
      </c>
      <c r="X2657" t="b">
        <v>0</v>
      </c>
      <c r="Y2657" t="b">
        <v>0</v>
      </c>
      <c r="Z2657" t="b">
        <v>0</v>
      </c>
      <c r="AA2657" t="b">
        <v>0</v>
      </c>
      <c r="AB2657" t="b">
        <v>0</v>
      </c>
      <c r="AC2657" t="b">
        <v>0</v>
      </c>
      <c r="AE2657" t="s">
        <v>6558</v>
      </c>
    </row>
    <row r="2658" spans="1:31" x14ac:dyDescent="0.3">
      <c r="A2658">
        <v>-73.958215073450006</v>
      </c>
      <c r="B2658">
        <v>40.796286279429999</v>
      </c>
      <c r="C2658" t="s">
        <v>6559</v>
      </c>
      <c r="D2658" t="s">
        <v>175</v>
      </c>
      <c r="E2658" t="s">
        <v>38</v>
      </c>
      <c r="F2658">
        <v>10192018</v>
      </c>
      <c r="G2658">
        <v>8</v>
      </c>
      <c r="H2658" t="s">
        <v>105</v>
      </c>
      <c r="I2658" t="s">
        <v>42</v>
      </c>
      <c r="J2658" t="s">
        <v>59</v>
      </c>
      <c r="K2658" t="s">
        <v>79</v>
      </c>
      <c r="M2658" t="s">
        <v>65</v>
      </c>
      <c r="N2658" t="b">
        <v>0</v>
      </c>
      <c r="P2658" t="b">
        <v>1</v>
      </c>
      <c r="Q2658" t="b">
        <v>0</v>
      </c>
      <c r="R2658" t="b">
        <v>0</v>
      </c>
      <c r="S2658" t="b">
        <v>0</v>
      </c>
      <c r="T2658" t="b">
        <v>1</v>
      </c>
      <c r="V2658" t="b">
        <v>1</v>
      </c>
      <c r="W2658" t="b">
        <v>0</v>
      </c>
      <c r="X2658" t="b">
        <v>0</v>
      </c>
      <c r="Y2658" t="b">
        <v>0</v>
      </c>
      <c r="Z2658" t="b">
        <v>0</v>
      </c>
      <c r="AA2658" t="b">
        <v>0</v>
      </c>
      <c r="AB2658" t="b">
        <v>1</v>
      </c>
      <c r="AC2658" t="b">
        <v>0</v>
      </c>
      <c r="AE2658" t="s">
        <v>6560</v>
      </c>
    </row>
    <row r="2659" spans="1:31" x14ac:dyDescent="0.3">
      <c r="A2659">
        <v>-73.969021217399998</v>
      </c>
      <c r="B2659">
        <v>40.783409940410003</v>
      </c>
      <c r="C2659" t="s">
        <v>6561</v>
      </c>
      <c r="D2659" t="s">
        <v>37</v>
      </c>
      <c r="E2659" t="s">
        <v>33</v>
      </c>
      <c r="F2659">
        <v>10172018</v>
      </c>
      <c r="G2659">
        <v>5</v>
      </c>
      <c r="H2659" t="s">
        <v>105</v>
      </c>
      <c r="I2659" t="s">
        <v>42</v>
      </c>
      <c r="K2659" t="s">
        <v>43</v>
      </c>
      <c r="M2659" t="s">
        <v>65</v>
      </c>
      <c r="N2659" t="b">
        <v>0</v>
      </c>
      <c r="P2659" t="b">
        <v>1</v>
      </c>
      <c r="Q2659" t="b">
        <v>0</v>
      </c>
      <c r="R2659" t="b">
        <v>0</v>
      </c>
      <c r="S2659" t="b">
        <v>0</v>
      </c>
      <c r="T2659" t="b">
        <v>0</v>
      </c>
      <c r="V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b">
        <v>0</v>
      </c>
      <c r="AB2659" t="b">
        <v>0</v>
      </c>
      <c r="AC2659" t="b">
        <v>0</v>
      </c>
      <c r="AE2659" t="s">
        <v>6562</v>
      </c>
    </row>
    <row r="2660" spans="1:31" x14ac:dyDescent="0.3">
      <c r="A2660">
        <v>-73.955360343799995</v>
      </c>
      <c r="B2660">
        <v>40.798528296320001</v>
      </c>
      <c r="C2660" t="s">
        <v>6563</v>
      </c>
      <c r="D2660" t="s">
        <v>338</v>
      </c>
      <c r="E2660" t="s">
        <v>33</v>
      </c>
      <c r="F2660">
        <v>10142018</v>
      </c>
      <c r="G2660">
        <v>5</v>
      </c>
      <c r="H2660" t="s">
        <v>48</v>
      </c>
      <c r="I2660" t="s">
        <v>42</v>
      </c>
      <c r="J2660" t="s">
        <v>59</v>
      </c>
      <c r="K2660" t="s">
        <v>79</v>
      </c>
      <c r="M2660" t="s">
        <v>44</v>
      </c>
      <c r="N2660">
        <v>12</v>
      </c>
      <c r="P2660" t="b">
        <v>0</v>
      </c>
      <c r="Q2660" t="b">
        <v>0</v>
      </c>
      <c r="R2660" t="b">
        <v>0</v>
      </c>
      <c r="S2660" t="b">
        <v>1</v>
      </c>
      <c r="T2660" t="b">
        <v>0</v>
      </c>
      <c r="V2660" t="b">
        <v>0</v>
      </c>
      <c r="W2660" t="b">
        <v>0</v>
      </c>
      <c r="X2660" t="b">
        <v>0</v>
      </c>
      <c r="Y2660" t="b">
        <v>0</v>
      </c>
      <c r="Z2660" t="b">
        <v>0</v>
      </c>
      <c r="AA2660" t="b">
        <v>0</v>
      </c>
      <c r="AB2660" t="b">
        <v>0</v>
      </c>
      <c r="AC2660" t="b">
        <v>0</v>
      </c>
      <c r="AE2660" t="s">
        <v>6564</v>
      </c>
    </row>
    <row r="2661" spans="1:31" x14ac:dyDescent="0.3">
      <c r="A2661">
        <v>-73.972605641200005</v>
      </c>
      <c r="B2661">
        <v>40.779346790470001</v>
      </c>
      <c r="C2661" t="s">
        <v>6565</v>
      </c>
      <c r="D2661" t="s">
        <v>1103</v>
      </c>
      <c r="E2661" t="s">
        <v>33</v>
      </c>
      <c r="F2661">
        <v>10192018</v>
      </c>
      <c r="G2661">
        <v>3</v>
      </c>
      <c r="I2661" t="s">
        <v>42</v>
      </c>
      <c r="K2661" t="s">
        <v>43</v>
      </c>
      <c r="M2661" t="s">
        <v>44</v>
      </c>
      <c r="N2661">
        <v>15</v>
      </c>
      <c r="P2661" t="b">
        <v>0</v>
      </c>
      <c r="Q2661" t="b">
        <v>0</v>
      </c>
      <c r="R2661" t="b">
        <v>1</v>
      </c>
      <c r="S2661" t="b">
        <v>0</v>
      </c>
      <c r="T2661" t="b">
        <v>0</v>
      </c>
      <c r="V2661" t="b">
        <v>0</v>
      </c>
      <c r="W2661" t="b">
        <v>0</v>
      </c>
      <c r="X2661" t="b">
        <v>0</v>
      </c>
      <c r="Y2661" t="b">
        <v>0</v>
      </c>
      <c r="Z2661" t="b">
        <v>0</v>
      </c>
      <c r="AA2661" t="b">
        <v>0</v>
      </c>
      <c r="AB2661" t="b">
        <v>0</v>
      </c>
      <c r="AC2661" t="b">
        <v>0</v>
      </c>
      <c r="AE2661" t="s">
        <v>6566</v>
      </c>
    </row>
    <row r="2662" spans="1:31" x14ac:dyDescent="0.3">
      <c r="A2662">
        <v>-73.969384100409997</v>
      </c>
      <c r="B2662">
        <v>40.770414865829999</v>
      </c>
      <c r="C2662" t="s">
        <v>6567</v>
      </c>
      <c r="D2662" t="s">
        <v>1326</v>
      </c>
      <c r="E2662" t="s">
        <v>33</v>
      </c>
      <c r="F2662">
        <v>10132018</v>
      </c>
      <c r="G2662">
        <v>6</v>
      </c>
      <c r="H2662" t="s">
        <v>48</v>
      </c>
      <c r="I2662" t="s">
        <v>42</v>
      </c>
      <c r="J2662" t="s">
        <v>96</v>
      </c>
      <c r="K2662" t="s">
        <v>97</v>
      </c>
      <c r="M2662" t="s">
        <v>65</v>
      </c>
      <c r="N2662" t="b">
        <v>0</v>
      </c>
      <c r="P2662" t="b">
        <v>0</v>
      </c>
      <c r="Q2662" t="b">
        <v>0</v>
      </c>
      <c r="R2662" t="b">
        <v>0</v>
      </c>
      <c r="S2662" t="b">
        <v>0</v>
      </c>
      <c r="T2662" t="b">
        <v>1</v>
      </c>
      <c r="V2662" t="b">
        <v>0</v>
      </c>
      <c r="W2662" t="b">
        <v>0</v>
      </c>
      <c r="X2662" t="b">
        <v>0</v>
      </c>
      <c r="Y2662" t="b">
        <v>0</v>
      </c>
      <c r="Z2662" t="b">
        <v>0</v>
      </c>
      <c r="AA2662" t="b">
        <v>0</v>
      </c>
      <c r="AB2662" t="b">
        <v>1</v>
      </c>
      <c r="AC2662" t="b">
        <v>0</v>
      </c>
      <c r="AE2662" t="s">
        <v>6568</v>
      </c>
    </row>
    <row r="2663" spans="1:31" x14ac:dyDescent="0.3">
      <c r="A2663">
        <v>-73.970862893360007</v>
      </c>
      <c r="B2663">
        <v>40.772563088680002</v>
      </c>
      <c r="C2663" t="s">
        <v>6569</v>
      </c>
      <c r="D2663" t="s">
        <v>314</v>
      </c>
      <c r="E2663" t="s">
        <v>33</v>
      </c>
      <c r="F2663">
        <v>10192018</v>
      </c>
      <c r="G2663">
        <v>8</v>
      </c>
      <c r="H2663" t="s">
        <v>48</v>
      </c>
      <c r="I2663" t="s">
        <v>42</v>
      </c>
      <c r="J2663" t="s">
        <v>53</v>
      </c>
      <c r="K2663" t="s">
        <v>54</v>
      </c>
      <c r="M2663" t="s">
        <v>65</v>
      </c>
      <c r="N2663" t="b">
        <v>0</v>
      </c>
      <c r="O2663" t="s">
        <v>6570</v>
      </c>
      <c r="P2663" t="b">
        <v>1</v>
      </c>
      <c r="Q2663" t="b">
        <v>0</v>
      </c>
      <c r="R2663" t="b">
        <v>0</v>
      </c>
      <c r="S2663" t="b">
        <v>0</v>
      </c>
      <c r="T2663" t="b">
        <v>1</v>
      </c>
      <c r="U2663" t="s">
        <v>340</v>
      </c>
      <c r="V2663" t="b">
        <v>0</v>
      </c>
      <c r="W2663" t="b">
        <v>0</v>
      </c>
      <c r="X2663" t="b">
        <v>0</v>
      </c>
      <c r="Y2663" t="b">
        <v>0</v>
      </c>
      <c r="Z2663" t="b">
        <v>0</v>
      </c>
      <c r="AA2663" t="b">
        <v>0</v>
      </c>
      <c r="AB2663" t="b">
        <v>0</v>
      </c>
      <c r="AC2663" t="b">
        <v>1</v>
      </c>
      <c r="AE2663" t="s">
        <v>6571</v>
      </c>
    </row>
    <row r="2664" spans="1:31" x14ac:dyDescent="0.3">
      <c r="A2664">
        <v>-73.961342918499994</v>
      </c>
      <c r="B2664">
        <v>40.791215805729998</v>
      </c>
      <c r="C2664" t="s">
        <v>6572</v>
      </c>
      <c r="D2664" t="s">
        <v>607</v>
      </c>
      <c r="E2664" t="s">
        <v>38</v>
      </c>
      <c r="F2664">
        <v>10142018</v>
      </c>
      <c r="G2664">
        <v>2</v>
      </c>
      <c r="H2664" t="s">
        <v>48</v>
      </c>
      <c r="I2664" t="s">
        <v>42</v>
      </c>
      <c r="K2664" t="s">
        <v>43</v>
      </c>
      <c r="M2664" t="s">
        <v>44</v>
      </c>
      <c r="N2664">
        <v>3</v>
      </c>
      <c r="P2664" t="b">
        <v>0</v>
      </c>
      <c r="Q2664" t="b">
        <v>1</v>
      </c>
      <c r="R2664" t="b">
        <v>1</v>
      </c>
      <c r="S2664" t="b">
        <v>0</v>
      </c>
      <c r="T2664" t="b">
        <v>0</v>
      </c>
      <c r="V2664" t="b">
        <v>0</v>
      </c>
      <c r="W2664" t="b">
        <v>0</v>
      </c>
      <c r="X2664" t="b">
        <v>0</v>
      </c>
      <c r="Y2664" t="b">
        <v>0</v>
      </c>
      <c r="Z2664" t="b">
        <v>0</v>
      </c>
      <c r="AA2664" t="b">
        <v>0</v>
      </c>
      <c r="AB2664" t="b">
        <v>0</v>
      </c>
      <c r="AC2664" t="b">
        <v>0</v>
      </c>
      <c r="AE2664" t="s">
        <v>6573</v>
      </c>
    </row>
    <row r="2665" spans="1:31" x14ac:dyDescent="0.3">
      <c r="A2665">
        <v>-73.959835038549997</v>
      </c>
      <c r="B2665">
        <v>40.797327400020002</v>
      </c>
      <c r="C2665" t="s">
        <v>6574</v>
      </c>
      <c r="D2665" t="s">
        <v>680</v>
      </c>
      <c r="E2665" t="s">
        <v>33</v>
      </c>
      <c r="F2665">
        <v>10132018</v>
      </c>
      <c r="G2665">
        <v>4</v>
      </c>
      <c r="H2665" t="s">
        <v>48</v>
      </c>
      <c r="I2665" t="s">
        <v>42</v>
      </c>
      <c r="J2665" t="s">
        <v>53</v>
      </c>
      <c r="K2665" t="s">
        <v>54</v>
      </c>
      <c r="M2665" t="s">
        <v>65</v>
      </c>
      <c r="N2665" t="b">
        <v>0</v>
      </c>
      <c r="P2665" t="b">
        <v>0</v>
      </c>
      <c r="Q2665" t="b">
        <v>0</v>
      </c>
      <c r="R2665" t="b">
        <v>1</v>
      </c>
      <c r="S2665" t="b">
        <v>0</v>
      </c>
      <c r="T2665" t="b">
        <v>0</v>
      </c>
      <c r="V2665" t="b">
        <v>0</v>
      </c>
      <c r="W2665" t="b">
        <v>0</v>
      </c>
      <c r="X2665" t="b">
        <v>0</v>
      </c>
      <c r="Y2665" t="b">
        <v>0</v>
      </c>
      <c r="Z2665" t="b">
        <v>0</v>
      </c>
      <c r="AA2665" t="b">
        <v>0</v>
      </c>
      <c r="AB2665" t="b">
        <v>1</v>
      </c>
      <c r="AC2665" t="b">
        <v>0</v>
      </c>
      <c r="AE2665" t="s">
        <v>6575</v>
      </c>
    </row>
    <row r="2666" spans="1:31" x14ac:dyDescent="0.3">
      <c r="A2666">
        <v>-73.969784066770004</v>
      </c>
      <c r="B2666">
        <v>40.776694040540001</v>
      </c>
      <c r="C2666" t="s">
        <v>6576</v>
      </c>
      <c r="D2666" t="s">
        <v>100</v>
      </c>
      <c r="E2666" t="s">
        <v>38</v>
      </c>
      <c r="F2666">
        <v>10082018</v>
      </c>
      <c r="G2666">
        <v>11</v>
      </c>
      <c r="H2666" t="s">
        <v>48</v>
      </c>
      <c r="I2666" t="s">
        <v>42</v>
      </c>
      <c r="J2666" t="s">
        <v>59</v>
      </c>
      <c r="K2666" t="s">
        <v>79</v>
      </c>
      <c r="M2666" t="s">
        <v>65</v>
      </c>
      <c r="N2666" t="b">
        <v>0</v>
      </c>
      <c r="P2666" t="b">
        <v>0</v>
      </c>
      <c r="Q2666" t="b">
        <v>0</v>
      </c>
      <c r="R2666" t="b">
        <v>0</v>
      </c>
      <c r="S2666" t="b">
        <v>1</v>
      </c>
      <c r="T2666" t="b">
        <v>1</v>
      </c>
      <c r="U2666" t="s">
        <v>511</v>
      </c>
      <c r="V2666" t="b">
        <v>0</v>
      </c>
      <c r="W2666" t="b">
        <v>0</v>
      </c>
      <c r="X2666" t="b">
        <v>0</v>
      </c>
      <c r="Y2666" t="b">
        <v>0</v>
      </c>
      <c r="Z2666" t="b">
        <v>0</v>
      </c>
      <c r="AA2666" t="b">
        <v>0</v>
      </c>
      <c r="AB2666" t="b">
        <v>1</v>
      </c>
      <c r="AC2666" t="b">
        <v>0</v>
      </c>
      <c r="AD2666" t="s">
        <v>1746</v>
      </c>
      <c r="AE2666" t="s">
        <v>6577</v>
      </c>
    </row>
    <row r="2667" spans="1:31" x14ac:dyDescent="0.3">
      <c r="A2667">
        <v>-73.976359339070001</v>
      </c>
      <c r="B2667">
        <v>40.771729705849999</v>
      </c>
      <c r="C2667" t="s">
        <v>6578</v>
      </c>
      <c r="D2667" t="s">
        <v>2803</v>
      </c>
      <c r="E2667" t="s">
        <v>38</v>
      </c>
      <c r="F2667">
        <v>10122018</v>
      </c>
      <c r="G2667">
        <v>3</v>
      </c>
      <c r="H2667" t="s">
        <v>48</v>
      </c>
      <c r="I2667" t="s">
        <v>42</v>
      </c>
      <c r="J2667" t="s">
        <v>53</v>
      </c>
      <c r="K2667" t="s">
        <v>54</v>
      </c>
      <c r="M2667" t="s">
        <v>65</v>
      </c>
      <c r="N2667" t="b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1</v>
      </c>
      <c r="U2667" t="s">
        <v>6579</v>
      </c>
      <c r="V2667" t="b">
        <v>0</v>
      </c>
      <c r="W2667" t="b">
        <v>0</v>
      </c>
      <c r="X2667" t="b">
        <v>0</v>
      </c>
      <c r="Y2667" t="b">
        <v>0</v>
      </c>
      <c r="Z2667" t="b">
        <v>0</v>
      </c>
      <c r="AA2667" t="b">
        <v>0</v>
      </c>
      <c r="AB2667" t="b">
        <v>1</v>
      </c>
      <c r="AC2667" t="b">
        <v>0</v>
      </c>
      <c r="AE2667" t="s">
        <v>6580</v>
      </c>
    </row>
    <row r="2668" spans="1:31" x14ac:dyDescent="0.3">
      <c r="A2668">
        <v>-73.975951084279998</v>
      </c>
      <c r="B2668">
        <v>40.769288289110001</v>
      </c>
      <c r="C2668" t="s">
        <v>6581</v>
      </c>
      <c r="D2668" t="s">
        <v>574</v>
      </c>
      <c r="E2668" t="s">
        <v>38</v>
      </c>
      <c r="F2668">
        <v>10202018</v>
      </c>
      <c r="G2668">
        <v>4</v>
      </c>
      <c r="H2668" t="s">
        <v>48</v>
      </c>
      <c r="I2668" t="s">
        <v>42</v>
      </c>
      <c r="J2668" t="s">
        <v>737</v>
      </c>
      <c r="K2668" t="s">
        <v>738</v>
      </c>
      <c r="L2668" t="s">
        <v>6582</v>
      </c>
      <c r="M2668" t="s">
        <v>65</v>
      </c>
      <c r="N2668" t="b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1</v>
      </c>
      <c r="V2668" t="b">
        <v>0</v>
      </c>
      <c r="W2668" t="b">
        <v>0</v>
      </c>
      <c r="X2668" t="b">
        <v>0</v>
      </c>
      <c r="Y2668" t="b">
        <v>0</v>
      </c>
      <c r="Z2668" t="b">
        <v>0</v>
      </c>
      <c r="AA2668" t="b">
        <v>0</v>
      </c>
      <c r="AB2668" t="b">
        <v>1</v>
      </c>
      <c r="AC2668" t="b">
        <v>0</v>
      </c>
      <c r="AE2668" t="s">
        <v>6583</v>
      </c>
    </row>
    <row r="2669" spans="1:31" x14ac:dyDescent="0.3">
      <c r="A2669">
        <v>-73.954864851859995</v>
      </c>
      <c r="B2669">
        <v>40.794673092490001</v>
      </c>
      <c r="C2669" t="s">
        <v>6584</v>
      </c>
      <c r="D2669" t="s">
        <v>363</v>
      </c>
      <c r="E2669" t="s">
        <v>33</v>
      </c>
      <c r="F2669">
        <v>10132018</v>
      </c>
      <c r="G2669">
        <v>3</v>
      </c>
      <c r="H2669" t="s">
        <v>105</v>
      </c>
      <c r="I2669" t="s">
        <v>42</v>
      </c>
      <c r="J2669" t="s">
        <v>53</v>
      </c>
      <c r="K2669" t="s">
        <v>54</v>
      </c>
      <c r="M2669" t="s">
        <v>65</v>
      </c>
      <c r="N2669" t="b">
        <v>0</v>
      </c>
      <c r="P2669" t="b">
        <v>0</v>
      </c>
      <c r="Q2669" t="b">
        <v>0</v>
      </c>
      <c r="R2669" t="b">
        <v>0</v>
      </c>
      <c r="S2669" t="b">
        <v>0</v>
      </c>
      <c r="T2669" t="b">
        <v>1</v>
      </c>
      <c r="V2669" t="b">
        <v>0</v>
      </c>
      <c r="W2669" t="b">
        <v>0</v>
      </c>
      <c r="X2669" t="b">
        <v>0</v>
      </c>
      <c r="Y2669" t="b">
        <v>0</v>
      </c>
      <c r="Z2669" t="b">
        <v>0</v>
      </c>
      <c r="AA2669" t="b">
        <v>0</v>
      </c>
      <c r="AB2669" t="b">
        <v>0</v>
      </c>
      <c r="AC2669" t="b">
        <v>0</v>
      </c>
      <c r="AE2669" t="s">
        <v>6585</v>
      </c>
    </row>
    <row r="2670" spans="1:31" x14ac:dyDescent="0.3">
      <c r="A2670">
        <v>-73.961590083390007</v>
      </c>
      <c r="B2670">
        <v>40.794543129280001</v>
      </c>
      <c r="C2670" t="s">
        <v>6586</v>
      </c>
      <c r="D2670" t="s">
        <v>286</v>
      </c>
      <c r="E2670" t="s">
        <v>33</v>
      </c>
      <c r="F2670">
        <v>10132018</v>
      </c>
      <c r="G2670">
        <v>7</v>
      </c>
      <c r="H2670" t="s">
        <v>48</v>
      </c>
      <c r="I2670" t="s">
        <v>42</v>
      </c>
      <c r="J2670" t="s">
        <v>59</v>
      </c>
      <c r="K2670" t="s">
        <v>79</v>
      </c>
      <c r="M2670" t="s">
        <v>65</v>
      </c>
      <c r="N2670" t="b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1</v>
      </c>
      <c r="V2670" t="b">
        <v>0</v>
      </c>
      <c r="W2670" t="b">
        <v>0</v>
      </c>
      <c r="X2670" t="b">
        <v>0</v>
      </c>
      <c r="Y2670" t="b">
        <v>0</v>
      </c>
      <c r="Z2670" t="b">
        <v>0</v>
      </c>
      <c r="AA2670" t="b">
        <v>0</v>
      </c>
      <c r="AB2670" t="b">
        <v>0</v>
      </c>
      <c r="AC2670" t="b">
        <v>0</v>
      </c>
      <c r="AE2670" t="s">
        <v>6587</v>
      </c>
    </row>
    <row r="2671" spans="1:31" x14ac:dyDescent="0.3">
      <c r="A2671">
        <v>-73.953104190649995</v>
      </c>
      <c r="B2671">
        <v>40.791991681920003</v>
      </c>
      <c r="C2671" t="s">
        <v>6588</v>
      </c>
      <c r="D2671" t="s">
        <v>85</v>
      </c>
      <c r="E2671" t="s">
        <v>33</v>
      </c>
      <c r="F2671">
        <v>10072018</v>
      </c>
      <c r="G2671">
        <v>2</v>
      </c>
      <c r="H2671" t="s">
        <v>48</v>
      </c>
      <c r="I2671" t="s">
        <v>42</v>
      </c>
      <c r="K2671" t="s">
        <v>43</v>
      </c>
      <c r="M2671" t="s">
        <v>65</v>
      </c>
      <c r="N2671" t="b">
        <v>0</v>
      </c>
      <c r="P2671" t="b">
        <v>1</v>
      </c>
      <c r="Q2671" t="b">
        <v>1</v>
      </c>
      <c r="R2671" t="b">
        <v>0</v>
      </c>
      <c r="S2671" t="b">
        <v>0</v>
      </c>
      <c r="T2671" t="b">
        <v>1</v>
      </c>
      <c r="V2671" t="b">
        <v>0</v>
      </c>
      <c r="W2671" t="b">
        <v>0</v>
      </c>
      <c r="X2671" t="b">
        <v>0</v>
      </c>
      <c r="Y2671" t="b">
        <v>0</v>
      </c>
      <c r="Z2671" t="b">
        <v>1</v>
      </c>
      <c r="AA2671" t="b">
        <v>1</v>
      </c>
      <c r="AB2671" t="b">
        <v>1</v>
      </c>
      <c r="AC2671" t="b">
        <v>0</v>
      </c>
      <c r="AD2671" t="s">
        <v>6589</v>
      </c>
      <c r="AE2671" t="s">
        <v>6590</v>
      </c>
    </row>
    <row r="2672" spans="1:31" x14ac:dyDescent="0.3">
      <c r="A2672">
        <v>-73.974336906830004</v>
      </c>
      <c r="B2672">
        <v>40.767572696599998</v>
      </c>
      <c r="C2672" t="s">
        <v>6591</v>
      </c>
      <c r="D2672" t="s">
        <v>1701</v>
      </c>
      <c r="E2672" t="s">
        <v>38</v>
      </c>
      <c r="F2672">
        <v>10062018</v>
      </c>
      <c r="G2672">
        <v>11</v>
      </c>
      <c r="H2672" t="s">
        <v>105</v>
      </c>
      <c r="I2672" t="s">
        <v>53</v>
      </c>
      <c r="J2672" t="s">
        <v>42</v>
      </c>
      <c r="K2672" t="s">
        <v>89</v>
      </c>
      <c r="M2672" t="s">
        <v>65</v>
      </c>
      <c r="N2672" t="b">
        <v>0</v>
      </c>
      <c r="P2672" t="b">
        <v>0</v>
      </c>
      <c r="Q2672" t="b">
        <v>0</v>
      </c>
      <c r="R2672" t="b">
        <v>0</v>
      </c>
      <c r="S2672" t="b">
        <v>1</v>
      </c>
      <c r="T2672" t="b">
        <v>0</v>
      </c>
      <c r="V2672" t="b">
        <v>0</v>
      </c>
      <c r="W2672" t="b">
        <v>0</v>
      </c>
      <c r="X2672" t="b">
        <v>0</v>
      </c>
      <c r="Y2672" t="b">
        <v>0</v>
      </c>
      <c r="Z2672" t="b">
        <v>0</v>
      </c>
      <c r="AA2672" t="b">
        <v>0</v>
      </c>
      <c r="AB2672" t="b">
        <v>0</v>
      </c>
      <c r="AC2672" t="b">
        <v>1</v>
      </c>
      <c r="AE2672" t="s">
        <v>6592</v>
      </c>
    </row>
    <row r="2673" spans="1:31" x14ac:dyDescent="0.3">
      <c r="A2673">
        <v>-73.961459902200005</v>
      </c>
      <c r="B2673">
        <v>40.794518128599996</v>
      </c>
      <c r="C2673" t="s">
        <v>6593</v>
      </c>
      <c r="D2673" t="s">
        <v>286</v>
      </c>
      <c r="E2673" t="s">
        <v>33</v>
      </c>
      <c r="F2673">
        <v>10132018</v>
      </c>
      <c r="G2673">
        <v>11</v>
      </c>
      <c r="H2673" t="s">
        <v>105</v>
      </c>
      <c r="I2673" t="s">
        <v>53</v>
      </c>
      <c r="K2673" t="s">
        <v>155</v>
      </c>
      <c r="M2673" t="s">
        <v>65</v>
      </c>
      <c r="N2673" t="b">
        <v>0</v>
      </c>
      <c r="P2673" t="b">
        <v>1</v>
      </c>
      <c r="Q2673" t="b">
        <v>0</v>
      </c>
      <c r="R2673" t="b">
        <v>0</v>
      </c>
      <c r="S2673" t="b">
        <v>0</v>
      </c>
      <c r="T2673" t="b">
        <v>0</v>
      </c>
      <c r="V2673" t="b">
        <v>0</v>
      </c>
      <c r="W2673" t="b">
        <v>0</v>
      </c>
      <c r="X2673" t="b">
        <v>0</v>
      </c>
      <c r="Y2673" t="b">
        <v>1</v>
      </c>
      <c r="Z2673" t="b">
        <v>0</v>
      </c>
      <c r="AA2673" t="b">
        <v>0</v>
      </c>
      <c r="AB2673" t="b">
        <v>0</v>
      </c>
      <c r="AC2673" t="b">
        <v>1</v>
      </c>
      <c r="AE2673" t="s">
        <v>6594</v>
      </c>
    </row>
    <row r="2674" spans="1:31" x14ac:dyDescent="0.3">
      <c r="A2674">
        <v>-73.976886795940004</v>
      </c>
      <c r="B2674">
        <v>40.773480395459998</v>
      </c>
      <c r="C2674" t="s">
        <v>6595</v>
      </c>
      <c r="D2674" t="s">
        <v>235</v>
      </c>
      <c r="E2674" t="s">
        <v>33</v>
      </c>
      <c r="F2674">
        <v>10122018</v>
      </c>
      <c r="G2674">
        <v>1</v>
      </c>
      <c r="H2674" t="s">
        <v>48</v>
      </c>
      <c r="I2674" t="s">
        <v>42</v>
      </c>
      <c r="J2674" t="s">
        <v>96</v>
      </c>
      <c r="K2674" t="s">
        <v>97</v>
      </c>
      <c r="M2674" t="s">
        <v>65</v>
      </c>
      <c r="N2674" t="b">
        <v>0</v>
      </c>
      <c r="P2674" t="b">
        <v>1</v>
      </c>
      <c r="Q2674" t="b">
        <v>0</v>
      </c>
      <c r="R2674" t="b">
        <v>0</v>
      </c>
      <c r="S2674" t="b">
        <v>0</v>
      </c>
      <c r="T2674" t="b">
        <v>1</v>
      </c>
      <c r="V2674" t="b">
        <v>0</v>
      </c>
      <c r="W2674" t="b">
        <v>0</v>
      </c>
      <c r="X2674" t="b">
        <v>0</v>
      </c>
      <c r="Y2674" t="b">
        <v>0</v>
      </c>
      <c r="Z2674" t="b">
        <v>0</v>
      </c>
      <c r="AA2674" t="b">
        <v>0</v>
      </c>
      <c r="AB2674" t="b">
        <v>0</v>
      </c>
      <c r="AC2674" t="b">
        <v>1</v>
      </c>
      <c r="AE2674" t="s">
        <v>6596</v>
      </c>
    </row>
    <row r="2675" spans="1:31" x14ac:dyDescent="0.3">
      <c r="A2675">
        <v>-73.977100902459995</v>
      </c>
      <c r="B2675">
        <v>40.768879328890002</v>
      </c>
      <c r="C2675" t="s">
        <v>6597</v>
      </c>
      <c r="D2675" t="s">
        <v>502</v>
      </c>
      <c r="E2675" t="s">
        <v>33</v>
      </c>
      <c r="F2675">
        <v>10102018</v>
      </c>
      <c r="G2675">
        <v>6</v>
      </c>
      <c r="H2675" t="s">
        <v>48</v>
      </c>
      <c r="I2675" t="s">
        <v>53</v>
      </c>
      <c r="J2675" t="s">
        <v>59</v>
      </c>
      <c r="K2675" t="s">
        <v>60</v>
      </c>
      <c r="M2675" t="s">
        <v>65</v>
      </c>
      <c r="N2675" t="b">
        <v>0</v>
      </c>
      <c r="P2675" t="b">
        <v>0</v>
      </c>
      <c r="Q2675" t="b">
        <v>0</v>
      </c>
      <c r="R2675" t="b">
        <v>0</v>
      </c>
      <c r="S2675" t="b">
        <v>0</v>
      </c>
      <c r="T2675" t="b">
        <v>1</v>
      </c>
      <c r="V2675" t="b">
        <v>0</v>
      </c>
      <c r="W2675" t="b">
        <v>0</v>
      </c>
      <c r="X2675" t="b">
        <v>0</v>
      </c>
      <c r="Y2675" t="b">
        <v>0</v>
      </c>
      <c r="Z2675" t="b">
        <v>0</v>
      </c>
      <c r="AA2675" t="b">
        <v>0</v>
      </c>
      <c r="AB2675" t="b">
        <v>0</v>
      </c>
      <c r="AC2675" t="b">
        <v>0</v>
      </c>
      <c r="AE2675" t="s">
        <v>6598</v>
      </c>
    </row>
    <row r="2676" spans="1:31" x14ac:dyDescent="0.3">
      <c r="A2676">
        <v>-73.976222732310006</v>
      </c>
      <c r="B2676">
        <v>40.768453603769998</v>
      </c>
      <c r="C2676" t="s">
        <v>6599</v>
      </c>
      <c r="D2676" t="s">
        <v>215</v>
      </c>
      <c r="E2676" t="s">
        <v>33</v>
      </c>
      <c r="F2676">
        <v>10082018</v>
      </c>
      <c r="G2676">
        <v>2</v>
      </c>
      <c r="H2676" t="s">
        <v>48</v>
      </c>
      <c r="I2676" t="s">
        <v>42</v>
      </c>
      <c r="J2676" t="s">
        <v>53</v>
      </c>
      <c r="K2676" t="s">
        <v>54</v>
      </c>
      <c r="M2676" t="s">
        <v>65</v>
      </c>
      <c r="N2676" t="b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1</v>
      </c>
      <c r="V2676" t="b">
        <v>0</v>
      </c>
      <c r="W2676" t="b">
        <v>0</v>
      </c>
      <c r="X2676" t="b">
        <v>0</v>
      </c>
      <c r="Y2676" t="b">
        <v>0</v>
      </c>
      <c r="Z2676" t="b">
        <v>0</v>
      </c>
      <c r="AA2676" t="b">
        <v>0</v>
      </c>
      <c r="AB2676" t="b">
        <v>1</v>
      </c>
      <c r="AC2676" t="b">
        <v>0</v>
      </c>
      <c r="AE2676" t="s">
        <v>6600</v>
      </c>
    </row>
    <row r="2677" spans="1:31" x14ac:dyDescent="0.3">
      <c r="A2677">
        <v>-73.969284907459993</v>
      </c>
      <c r="B2677">
        <v>40.770875509809997</v>
      </c>
      <c r="C2677" t="s">
        <v>6601</v>
      </c>
      <c r="D2677" t="s">
        <v>2056</v>
      </c>
      <c r="E2677" t="s">
        <v>33</v>
      </c>
      <c r="F2677">
        <v>10182018</v>
      </c>
      <c r="G2677">
        <v>6</v>
      </c>
      <c r="H2677" t="s">
        <v>48</v>
      </c>
      <c r="I2677" t="s">
        <v>42</v>
      </c>
      <c r="K2677" t="s">
        <v>43</v>
      </c>
      <c r="M2677" t="s">
        <v>65</v>
      </c>
      <c r="N2677" t="b">
        <v>0</v>
      </c>
      <c r="P2677" t="b">
        <v>1</v>
      </c>
      <c r="Q2677" t="b">
        <v>1</v>
      </c>
      <c r="R2677" t="b">
        <v>0</v>
      </c>
      <c r="S2677" t="b">
        <v>0</v>
      </c>
      <c r="T2677" t="b">
        <v>0</v>
      </c>
      <c r="V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b">
        <v>0</v>
      </c>
      <c r="AB2677" t="b">
        <v>0</v>
      </c>
      <c r="AC2677" t="b">
        <v>0</v>
      </c>
      <c r="AE2677" t="s">
        <v>6602</v>
      </c>
    </row>
    <row r="2678" spans="1:31" x14ac:dyDescent="0.3">
      <c r="A2678">
        <v>-73.973482761859998</v>
      </c>
      <c r="B2678">
        <v>40.765617183289997</v>
      </c>
      <c r="C2678" t="s">
        <v>6603</v>
      </c>
      <c r="D2678" t="s">
        <v>767</v>
      </c>
      <c r="E2678" t="s">
        <v>33</v>
      </c>
      <c r="F2678">
        <v>10062018</v>
      </c>
      <c r="G2678">
        <v>2</v>
      </c>
      <c r="H2678" t="s">
        <v>48</v>
      </c>
      <c r="I2678" t="s">
        <v>42</v>
      </c>
      <c r="K2678" t="s">
        <v>43</v>
      </c>
      <c r="M2678" t="s">
        <v>65</v>
      </c>
      <c r="N2678" t="b">
        <v>0</v>
      </c>
      <c r="P2678" t="b">
        <v>0</v>
      </c>
      <c r="Q2678" t="b">
        <v>0</v>
      </c>
      <c r="R2678" t="b">
        <v>0</v>
      </c>
      <c r="S2678" t="b">
        <v>1</v>
      </c>
      <c r="T2678" t="b">
        <v>0</v>
      </c>
      <c r="V2678" t="b">
        <v>0</v>
      </c>
      <c r="W2678" t="b">
        <v>0</v>
      </c>
      <c r="X2678" t="b">
        <v>0</v>
      </c>
      <c r="Y2678" t="b">
        <v>0</v>
      </c>
      <c r="Z2678" t="b">
        <v>0</v>
      </c>
      <c r="AA2678" t="b">
        <v>0</v>
      </c>
      <c r="AB2678" t="b">
        <v>1</v>
      </c>
      <c r="AC2678" t="b">
        <v>0</v>
      </c>
      <c r="AE2678" t="s">
        <v>6604</v>
      </c>
    </row>
    <row r="2679" spans="1:31" x14ac:dyDescent="0.3">
      <c r="A2679">
        <v>-73.956294687370004</v>
      </c>
      <c r="B2679">
        <v>40.793859301259999</v>
      </c>
      <c r="C2679" t="s">
        <v>6605</v>
      </c>
      <c r="D2679" t="s">
        <v>693</v>
      </c>
      <c r="E2679" t="s">
        <v>38</v>
      </c>
      <c r="F2679">
        <v>10172018</v>
      </c>
      <c r="G2679">
        <v>1</v>
      </c>
      <c r="H2679" t="s">
        <v>48</v>
      </c>
      <c r="I2679" t="s">
        <v>42</v>
      </c>
      <c r="K2679" t="s">
        <v>43</v>
      </c>
      <c r="M2679" t="s">
        <v>65</v>
      </c>
      <c r="N2679" t="b">
        <v>0</v>
      </c>
      <c r="P2679" t="b">
        <v>1</v>
      </c>
      <c r="Q2679" t="b">
        <v>0</v>
      </c>
      <c r="R2679" t="b">
        <v>0</v>
      </c>
      <c r="S2679" t="b">
        <v>0</v>
      </c>
      <c r="T2679" t="b">
        <v>0</v>
      </c>
      <c r="V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b">
        <v>0</v>
      </c>
      <c r="AB2679" t="b">
        <v>0</v>
      </c>
      <c r="AC2679" t="b">
        <v>1</v>
      </c>
      <c r="AD2679" t="s">
        <v>1294</v>
      </c>
      <c r="AE2679" t="s">
        <v>6606</v>
      </c>
    </row>
    <row r="2680" spans="1:31" x14ac:dyDescent="0.3">
      <c r="A2680">
        <v>-73.979448160239997</v>
      </c>
      <c r="B2680">
        <v>40.770638572860001</v>
      </c>
      <c r="C2680" t="s">
        <v>6607</v>
      </c>
      <c r="D2680" t="s">
        <v>1362</v>
      </c>
      <c r="E2680" t="s">
        <v>38</v>
      </c>
      <c r="F2680">
        <v>10072018</v>
      </c>
      <c r="G2680">
        <v>3</v>
      </c>
      <c r="H2680" t="s">
        <v>48</v>
      </c>
      <c r="I2680" t="s">
        <v>42</v>
      </c>
      <c r="J2680" t="s">
        <v>53</v>
      </c>
      <c r="K2680" t="s">
        <v>54</v>
      </c>
      <c r="M2680" t="s">
        <v>65</v>
      </c>
      <c r="N2680" t="b">
        <v>0</v>
      </c>
      <c r="P2680" t="b">
        <v>0</v>
      </c>
      <c r="Q2680" t="b">
        <v>0</v>
      </c>
      <c r="R2680" t="b">
        <v>0</v>
      </c>
      <c r="S2680" t="b">
        <v>0</v>
      </c>
      <c r="T2680" t="b">
        <v>1</v>
      </c>
      <c r="V2680" t="b">
        <v>0</v>
      </c>
      <c r="W2680" t="b">
        <v>0</v>
      </c>
      <c r="X2680" t="b">
        <v>0</v>
      </c>
      <c r="Y2680" t="b">
        <v>0</v>
      </c>
      <c r="Z2680" t="b">
        <v>0</v>
      </c>
      <c r="AA2680" t="b">
        <v>0</v>
      </c>
      <c r="AB2680" t="b">
        <v>1</v>
      </c>
      <c r="AC2680" t="b">
        <v>0</v>
      </c>
      <c r="AE2680" t="s">
        <v>6608</v>
      </c>
    </row>
    <row r="2681" spans="1:31" x14ac:dyDescent="0.3">
      <c r="A2681">
        <v>-73.972134805069999</v>
      </c>
      <c r="B2681">
        <v>40.766692004669999</v>
      </c>
      <c r="C2681" t="s">
        <v>6609</v>
      </c>
      <c r="D2681" t="s">
        <v>1899</v>
      </c>
      <c r="E2681" t="s">
        <v>38</v>
      </c>
      <c r="F2681">
        <v>10082018</v>
      </c>
      <c r="G2681">
        <v>1</v>
      </c>
      <c r="H2681" t="s">
        <v>48</v>
      </c>
      <c r="I2681" t="s">
        <v>42</v>
      </c>
      <c r="J2681" t="s">
        <v>53</v>
      </c>
      <c r="K2681" t="s">
        <v>54</v>
      </c>
      <c r="M2681" t="s">
        <v>44</v>
      </c>
      <c r="N2681">
        <v>8</v>
      </c>
      <c r="P2681" t="b">
        <v>0</v>
      </c>
      <c r="Q2681" t="b">
        <v>0</v>
      </c>
      <c r="R2681" t="b">
        <v>0</v>
      </c>
      <c r="S2681" t="b">
        <v>0</v>
      </c>
      <c r="T2681" t="b">
        <v>0</v>
      </c>
      <c r="U2681" t="s">
        <v>6610</v>
      </c>
      <c r="V2681" t="b">
        <v>0</v>
      </c>
      <c r="W2681" t="b">
        <v>0</v>
      </c>
      <c r="X2681" t="b">
        <v>0</v>
      </c>
      <c r="Y2681" t="b">
        <v>0</v>
      </c>
      <c r="Z2681" t="b">
        <v>0</v>
      </c>
      <c r="AA2681" t="b">
        <v>0</v>
      </c>
      <c r="AB2681" t="b">
        <v>1</v>
      </c>
      <c r="AC2681" t="b">
        <v>0</v>
      </c>
      <c r="AD2681" t="s">
        <v>6611</v>
      </c>
      <c r="AE2681" t="s">
        <v>6612</v>
      </c>
    </row>
    <row r="2682" spans="1:31" x14ac:dyDescent="0.3">
      <c r="A2682">
        <v>-73.968807163619999</v>
      </c>
      <c r="B2682">
        <v>40.781201815949998</v>
      </c>
      <c r="C2682" t="s">
        <v>6613</v>
      </c>
      <c r="D2682" t="s">
        <v>304</v>
      </c>
      <c r="E2682" t="s">
        <v>33</v>
      </c>
      <c r="F2682">
        <v>10182018</v>
      </c>
      <c r="G2682">
        <v>2</v>
      </c>
      <c r="H2682" t="s">
        <v>48</v>
      </c>
      <c r="I2682" t="s">
        <v>42</v>
      </c>
      <c r="J2682" t="s">
        <v>53</v>
      </c>
      <c r="K2682" t="s">
        <v>54</v>
      </c>
      <c r="M2682" t="s">
        <v>65</v>
      </c>
      <c r="N2682" t="b">
        <v>0</v>
      </c>
      <c r="P2682" t="b">
        <v>0</v>
      </c>
      <c r="Q2682" t="b">
        <v>0</v>
      </c>
      <c r="R2682" t="b">
        <v>0</v>
      </c>
      <c r="S2682" t="b">
        <v>0</v>
      </c>
      <c r="T2682" t="b">
        <v>1</v>
      </c>
      <c r="V2682" t="b">
        <v>0</v>
      </c>
      <c r="W2682" t="b">
        <v>0</v>
      </c>
      <c r="X2682" t="b">
        <v>0</v>
      </c>
      <c r="Y2682" t="b">
        <v>0</v>
      </c>
      <c r="Z2682" t="b">
        <v>0</v>
      </c>
      <c r="AA2682" t="b">
        <v>0</v>
      </c>
      <c r="AB2682" t="b">
        <v>0</v>
      </c>
      <c r="AC2682" t="b">
        <v>0</v>
      </c>
      <c r="AE2682" t="s">
        <v>6614</v>
      </c>
    </row>
    <row r="2683" spans="1:31" x14ac:dyDescent="0.3">
      <c r="A2683">
        <v>-73.971100127840003</v>
      </c>
      <c r="B2683">
        <v>40.778746609579997</v>
      </c>
      <c r="C2683" t="s">
        <v>6615</v>
      </c>
      <c r="D2683" t="s">
        <v>1626</v>
      </c>
      <c r="E2683" t="s">
        <v>33</v>
      </c>
      <c r="F2683">
        <v>10172018</v>
      </c>
      <c r="G2683">
        <v>1</v>
      </c>
      <c r="H2683" t="s">
        <v>48</v>
      </c>
      <c r="I2683" t="s">
        <v>42</v>
      </c>
      <c r="J2683" t="s">
        <v>53</v>
      </c>
      <c r="K2683" t="s">
        <v>54</v>
      </c>
      <c r="M2683" t="s">
        <v>65</v>
      </c>
      <c r="N2683" t="b">
        <v>0</v>
      </c>
      <c r="P2683" t="b">
        <v>1</v>
      </c>
      <c r="Q2683" t="b">
        <v>0</v>
      </c>
      <c r="R2683" t="b">
        <v>0</v>
      </c>
      <c r="S2683" t="b">
        <v>1</v>
      </c>
      <c r="T2683" t="b">
        <v>1</v>
      </c>
      <c r="V2683" t="b">
        <v>0</v>
      </c>
      <c r="W2683" t="b">
        <v>0</v>
      </c>
      <c r="X2683" t="b">
        <v>0</v>
      </c>
      <c r="Y2683" t="b">
        <v>0</v>
      </c>
      <c r="Z2683" t="b">
        <v>0</v>
      </c>
      <c r="AA2683" t="b">
        <v>0</v>
      </c>
      <c r="AB2683" t="b">
        <v>0</v>
      </c>
      <c r="AC2683" t="b">
        <v>1</v>
      </c>
      <c r="AE2683" t="s">
        <v>6616</v>
      </c>
    </row>
    <row r="2684" spans="1:31" x14ac:dyDescent="0.3">
      <c r="A2684">
        <v>-73.972179947940006</v>
      </c>
      <c r="B2684">
        <v>40.781004282719998</v>
      </c>
      <c r="C2684" t="s">
        <v>6617</v>
      </c>
      <c r="D2684" t="s">
        <v>1882</v>
      </c>
      <c r="E2684" t="s">
        <v>33</v>
      </c>
      <c r="F2684">
        <v>10132018</v>
      </c>
      <c r="G2684">
        <v>2</v>
      </c>
      <c r="H2684" t="s">
        <v>48</v>
      </c>
      <c r="I2684" t="s">
        <v>42</v>
      </c>
      <c r="J2684" t="s">
        <v>53</v>
      </c>
      <c r="K2684" t="s">
        <v>54</v>
      </c>
      <c r="M2684" t="s">
        <v>44</v>
      </c>
      <c r="N2684">
        <v>20</v>
      </c>
      <c r="O2684" t="s">
        <v>6618</v>
      </c>
      <c r="P2684" t="b">
        <v>0</v>
      </c>
      <c r="Q2684" t="b">
        <v>0</v>
      </c>
      <c r="R2684" t="b">
        <v>0</v>
      </c>
      <c r="S2684" t="b">
        <v>1</v>
      </c>
      <c r="T2684" t="b">
        <v>0</v>
      </c>
      <c r="V2684" t="b">
        <v>0</v>
      </c>
      <c r="W2684" t="b">
        <v>0</v>
      </c>
      <c r="X2684" t="b">
        <v>0</v>
      </c>
      <c r="Y2684" t="b">
        <v>0</v>
      </c>
      <c r="Z2684" t="b">
        <v>1</v>
      </c>
      <c r="AA2684" t="b">
        <v>0</v>
      </c>
      <c r="AB2684" t="b">
        <v>1</v>
      </c>
      <c r="AC2684" t="b">
        <v>0</v>
      </c>
      <c r="AE2684" t="s">
        <v>6619</v>
      </c>
    </row>
    <row r="2685" spans="1:31" x14ac:dyDescent="0.3">
      <c r="A2685">
        <v>-73.980968869410006</v>
      </c>
      <c r="B2685">
        <v>40.768853597490001</v>
      </c>
      <c r="C2685" t="s">
        <v>6620</v>
      </c>
      <c r="D2685" t="s">
        <v>1906</v>
      </c>
      <c r="E2685" t="s">
        <v>33</v>
      </c>
      <c r="F2685">
        <v>10192018</v>
      </c>
      <c r="G2685">
        <v>6</v>
      </c>
      <c r="H2685" t="s">
        <v>48</v>
      </c>
      <c r="I2685" t="s">
        <v>42</v>
      </c>
      <c r="J2685" t="s">
        <v>59</v>
      </c>
      <c r="K2685" t="s">
        <v>79</v>
      </c>
      <c r="M2685" t="s">
        <v>65</v>
      </c>
      <c r="N2685" t="b">
        <v>0</v>
      </c>
      <c r="P2685" t="b">
        <v>0</v>
      </c>
      <c r="Q2685" t="b">
        <v>0</v>
      </c>
      <c r="R2685" t="b">
        <v>0</v>
      </c>
      <c r="S2685" t="b">
        <v>0</v>
      </c>
      <c r="T2685" t="b">
        <v>1</v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b">
        <v>0</v>
      </c>
      <c r="AB2685" t="b">
        <v>1</v>
      </c>
      <c r="AC2685" t="b">
        <v>0</v>
      </c>
      <c r="AE2685" t="s">
        <v>6621</v>
      </c>
    </row>
    <row r="2686" spans="1:31" x14ac:dyDescent="0.3">
      <c r="A2686">
        <v>-73.960185146800001</v>
      </c>
      <c r="B2686">
        <v>40.796869815150004</v>
      </c>
      <c r="C2686" t="s">
        <v>6622</v>
      </c>
      <c r="D2686" t="s">
        <v>680</v>
      </c>
      <c r="E2686" t="s">
        <v>38</v>
      </c>
      <c r="F2686">
        <v>10192018</v>
      </c>
      <c r="G2686">
        <v>5</v>
      </c>
      <c r="H2686" t="s">
        <v>48</v>
      </c>
      <c r="I2686" t="s">
        <v>42</v>
      </c>
      <c r="J2686" t="s">
        <v>96</v>
      </c>
      <c r="K2686" t="s">
        <v>97</v>
      </c>
      <c r="L2686" t="s">
        <v>6623</v>
      </c>
      <c r="M2686" t="s">
        <v>65</v>
      </c>
      <c r="N2686" t="b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1</v>
      </c>
      <c r="U2686" t="s">
        <v>6624</v>
      </c>
      <c r="V2686" t="b">
        <v>0</v>
      </c>
      <c r="W2686" t="b">
        <v>0</v>
      </c>
      <c r="X2686" t="b">
        <v>0</v>
      </c>
      <c r="Y2686" t="b">
        <v>0</v>
      </c>
      <c r="Z2686" t="b">
        <v>0</v>
      </c>
      <c r="AA2686" t="b">
        <v>1</v>
      </c>
      <c r="AB2686" t="b">
        <v>1</v>
      </c>
      <c r="AC2686" t="b">
        <v>0</v>
      </c>
      <c r="AE2686" t="s">
        <v>6625</v>
      </c>
    </row>
    <row r="2687" spans="1:31" x14ac:dyDescent="0.3">
      <c r="A2687">
        <v>-73.977557140390005</v>
      </c>
      <c r="B2687">
        <v>40.766531658520002</v>
      </c>
      <c r="C2687" t="s">
        <v>6626</v>
      </c>
      <c r="D2687" t="s">
        <v>2593</v>
      </c>
      <c r="E2687" t="s">
        <v>33</v>
      </c>
      <c r="F2687">
        <v>10072018</v>
      </c>
      <c r="G2687">
        <v>3</v>
      </c>
      <c r="H2687" t="s">
        <v>48</v>
      </c>
      <c r="I2687" t="s">
        <v>42</v>
      </c>
      <c r="K2687" t="s">
        <v>43</v>
      </c>
      <c r="M2687" t="s">
        <v>65</v>
      </c>
      <c r="N2687" t="b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1</v>
      </c>
      <c r="V2687" t="b">
        <v>0</v>
      </c>
      <c r="W2687" t="b">
        <v>0</v>
      </c>
      <c r="X2687" t="b">
        <v>0</v>
      </c>
      <c r="Y2687" t="b">
        <v>0</v>
      </c>
      <c r="Z2687" t="b">
        <v>0</v>
      </c>
      <c r="AA2687" t="b">
        <v>0</v>
      </c>
      <c r="AB2687" t="b">
        <v>1</v>
      </c>
      <c r="AC2687" t="b">
        <v>0</v>
      </c>
      <c r="AE2687" t="s">
        <v>6627</v>
      </c>
    </row>
    <row r="2688" spans="1:31" x14ac:dyDescent="0.3">
      <c r="A2688">
        <v>-73.955023558929994</v>
      </c>
      <c r="B2688">
        <v>40.795131235680003</v>
      </c>
      <c r="C2688" t="s">
        <v>6628</v>
      </c>
      <c r="D2688" t="s">
        <v>363</v>
      </c>
      <c r="E2688" t="s">
        <v>38</v>
      </c>
      <c r="F2688">
        <v>10182018</v>
      </c>
      <c r="G2688">
        <v>3</v>
      </c>
      <c r="H2688" t="s">
        <v>48</v>
      </c>
      <c r="I2688" t="s">
        <v>42</v>
      </c>
      <c r="J2688" t="s">
        <v>96</v>
      </c>
      <c r="K2688" t="s">
        <v>97</v>
      </c>
      <c r="M2688" t="s">
        <v>65</v>
      </c>
      <c r="N2688" t="b">
        <v>0</v>
      </c>
      <c r="P2688" t="b">
        <v>1</v>
      </c>
      <c r="Q2688" t="b">
        <v>0</v>
      </c>
      <c r="R2688" t="b">
        <v>0</v>
      </c>
      <c r="S2688" t="b">
        <v>0</v>
      </c>
      <c r="T2688" t="b">
        <v>0</v>
      </c>
      <c r="V2688" t="b">
        <v>0</v>
      </c>
      <c r="W2688" t="b">
        <v>0</v>
      </c>
      <c r="X2688" t="b">
        <v>0</v>
      </c>
      <c r="Y2688" t="b">
        <v>0</v>
      </c>
      <c r="Z2688" t="b">
        <v>0</v>
      </c>
      <c r="AA2688" t="b">
        <v>0</v>
      </c>
      <c r="AB2688" t="b">
        <v>0</v>
      </c>
      <c r="AC2688" t="b">
        <v>1</v>
      </c>
      <c r="AE2688" t="s">
        <v>6629</v>
      </c>
    </row>
    <row r="2689" spans="1:31" x14ac:dyDescent="0.3">
      <c r="A2689">
        <v>-73.979930295220001</v>
      </c>
      <c r="B2689">
        <v>40.767720720980002</v>
      </c>
      <c r="C2689" t="s">
        <v>6630</v>
      </c>
      <c r="D2689" t="s">
        <v>851</v>
      </c>
      <c r="E2689" t="s">
        <v>33</v>
      </c>
      <c r="F2689">
        <v>10192018</v>
      </c>
      <c r="G2689">
        <v>2</v>
      </c>
      <c r="H2689" t="s">
        <v>48</v>
      </c>
      <c r="I2689" t="s">
        <v>42</v>
      </c>
      <c r="J2689" t="s">
        <v>59</v>
      </c>
      <c r="K2689" t="s">
        <v>79</v>
      </c>
      <c r="M2689" t="s">
        <v>65</v>
      </c>
      <c r="N2689" t="b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V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b">
        <v>0</v>
      </c>
      <c r="AB2689" t="b">
        <v>1</v>
      </c>
      <c r="AC2689" t="b">
        <v>0</v>
      </c>
      <c r="AE2689" t="s">
        <v>6631</v>
      </c>
    </row>
    <row r="2690" spans="1:31" x14ac:dyDescent="0.3">
      <c r="A2690">
        <v>-73.970412198950001</v>
      </c>
      <c r="B2690">
        <v>40.782404023700003</v>
      </c>
      <c r="C2690" t="s">
        <v>6632</v>
      </c>
      <c r="D2690" t="s">
        <v>2667</v>
      </c>
      <c r="E2690" t="s">
        <v>33</v>
      </c>
      <c r="F2690">
        <v>10132018</v>
      </c>
      <c r="G2690">
        <v>2</v>
      </c>
      <c r="H2690" t="s">
        <v>48</v>
      </c>
      <c r="I2690" t="s">
        <v>42</v>
      </c>
      <c r="J2690" t="s">
        <v>59</v>
      </c>
      <c r="K2690" t="s">
        <v>79</v>
      </c>
      <c r="L2690" t="s">
        <v>6633</v>
      </c>
      <c r="M2690" t="s">
        <v>65</v>
      </c>
      <c r="N2690" t="b">
        <v>0</v>
      </c>
      <c r="P2690" t="b">
        <v>0</v>
      </c>
      <c r="Q2690" t="b">
        <v>0</v>
      </c>
      <c r="R2690" t="b">
        <v>0</v>
      </c>
      <c r="S2690" t="b">
        <v>0</v>
      </c>
      <c r="T2690" t="b">
        <v>1</v>
      </c>
      <c r="V2690" t="b">
        <v>0</v>
      </c>
      <c r="W2690" t="b">
        <v>0</v>
      </c>
      <c r="X2690" t="b">
        <v>0</v>
      </c>
      <c r="Y2690" t="b">
        <v>0</v>
      </c>
      <c r="Z2690" t="b">
        <v>0</v>
      </c>
      <c r="AA2690" t="b">
        <v>0</v>
      </c>
      <c r="AB2690" t="b">
        <v>1</v>
      </c>
      <c r="AC2690" t="b">
        <v>0</v>
      </c>
      <c r="AE2690" t="s">
        <v>6634</v>
      </c>
    </row>
    <row r="2691" spans="1:31" x14ac:dyDescent="0.3">
      <c r="A2691">
        <v>-73.957284045799994</v>
      </c>
      <c r="B2691">
        <v>40.788693337170002</v>
      </c>
      <c r="C2691" t="s">
        <v>6635</v>
      </c>
      <c r="D2691" t="s">
        <v>180</v>
      </c>
      <c r="E2691" t="s">
        <v>33</v>
      </c>
      <c r="F2691">
        <v>10082018</v>
      </c>
      <c r="G2691">
        <v>4</v>
      </c>
      <c r="H2691" t="s">
        <v>48</v>
      </c>
      <c r="I2691" t="s">
        <v>42</v>
      </c>
      <c r="K2691" t="s">
        <v>43</v>
      </c>
      <c r="M2691" t="s">
        <v>44</v>
      </c>
      <c r="O2691" t="s">
        <v>6636</v>
      </c>
      <c r="P2691" t="b">
        <v>0</v>
      </c>
      <c r="Q2691" t="b">
        <v>0</v>
      </c>
      <c r="R2691" t="b">
        <v>1</v>
      </c>
      <c r="S2691" t="b">
        <v>0</v>
      </c>
      <c r="T2691" t="b">
        <v>1</v>
      </c>
      <c r="V2691" t="b">
        <v>0</v>
      </c>
      <c r="W2691" t="b">
        <v>0</v>
      </c>
      <c r="X2691" t="b">
        <v>0</v>
      </c>
      <c r="Y2691" t="b">
        <v>0</v>
      </c>
      <c r="Z2691" t="b">
        <v>0</v>
      </c>
      <c r="AA2691" t="b">
        <v>0</v>
      </c>
      <c r="AB2691" t="b">
        <v>0</v>
      </c>
      <c r="AC2691" t="b">
        <v>0</v>
      </c>
      <c r="AE2691" t="s">
        <v>6637</v>
      </c>
    </row>
    <row r="2692" spans="1:31" x14ac:dyDescent="0.3">
      <c r="A2692">
        <v>-73.956459907720003</v>
      </c>
      <c r="B2692">
        <v>40.796518509869998</v>
      </c>
      <c r="C2692" t="s">
        <v>6638</v>
      </c>
      <c r="D2692" t="s">
        <v>1945</v>
      </c>
      <c r="E2692" t="s">
        <v>33</v>
      </c>
      <c r="F2692">
        <v>10122018</v>
      </c>
      <c r="G2692">
        <v>1</v>
      </c>
      <c r="H2692" t="s">
        <v>48</v>
      </c>
      <c r="I2692" t="s">
        <v>42</v>
      </c>
      <c r="J2692" t="s">
        <v>59</v>
      </c>
      <c r="K2692" t="s">
        <v>79</v>
      </c>
      <c r="M2692" t="s">
        <v>65</v>
      </c>
      <c r="N2692" t="b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1</v>
      </c>
      <c r="V2692" t="b">
        <v>0</v>
      </c>
      <c r="W2692" t="b">
        <v>0</v>
      </c>
      <c r="X2692" t="b">
        <v>0</v>
      </c>
      <c r="Y2692" t="b">
        <v>0</v>
      </c>
      <c r="Z2692" t="b">
        <v>0</v>
      </c>
      <c r="AA2692" t="b">
        <v>0</v>
      </c>
      <c r="AB2692" t="b">
        <v>1</v>
      </c>
      <c r="AC2692" t="b">
        <v>0</v>
      </c>
      <c r="AE2692" t="s">
        <v>6639</v>
      </c>
    </row>
    <row r="2693" spans="1:31" x14ac:dyDescent="0.3">
      <c r="A2693">
        <v>-73.980163640070003</v>
      </c>
      <c r="B2693">
        <v>40.769019205589998</v>
      </c>
      <c r="C2693" t="s">
        <v>6640</v>
      </c>
      <c r="D2693" t="s">
        <v>1906</v>
      </c>
      <c r="E2693" t="s">
        <v>38</v>
      </c>
      <c r="F2693">
        <v>10102018</v>
      </c>
      <c r="G2693">
        <v>9</v>
      </c>
      <c r="H2693" t="s">
        <v>48</v>
      </c>
      <c r="I2693" t="s">
        <v>42</v>
      </c>
      <c r="J2693" t="s">
        <v>59</v>
      </c>
      <c r="K2693" t="s">
        <v>79</v>
      </c>
      <c r="M2693" t="s">
        <v>44</v>
      </c>
      <c r="O2693" t="s">
        <v>6641</v>
      </c>
      <c r="P2693" t="b">
        <v>0</v>
      </c>
      <c r="Q2693" t="b">
        <v>0</v>
      </c>
      <c r="R2693" t="b">
        <v>1</v>
      </c>
      <c r="S2693" t="b">
        <v>0</v>
      </c>
      <c r="T2693" t="b">
        <v>0</v>
      </c>
      <c r="U2693" t="s">
        <v>6642</v>
      </c>
      <c r="V2693" t="b">
        <v>0</v>
      </c>
      <c r="W2693" t="b">
        <v>0</v>
      </c>
      <c r="X2693" t="b">
        <v>0</v>
      </c>
      <c r="Y2693" t="b">
        <v>0</v>
      </c>
      <c r="Z2693" t="b">
        <v>1</v>
      </c>
      <c r="AA2693" t="b">
        <v>0</v>
      </c>
      <c r="AB2693" t="b">
        <v>0</v>
      </c>
      <c r="AC2693" t="b">
        <v>0</v>
      </c>
      <c r="AD2693" t="s">
        <v>6643</v>
      </c>
      <c r="AE2693" t="s">
        <v>6644</v>
      </c>
    </row>
    <row r="2694" spans="1:31" x14ac:dyDescent="0.3">
      <c r="A2694">
        <v>-73.956149864599993</v>
      </c>
      <c r="B2694">
        <v>40.794928856189998</v>
      </c>
      <c r="C2694" t="s">
        <v>6645</v>
      </c>
      <c r="D2694" t="s">
        <v>394</v>
      </c>
      <c r="E2694" t="s">
        <v>38</v>
      </c>
      <c r="F2694">
        <v>10132018</v>
      </c>
      <c r="G2694">
        <v>5</v>
      </c>
      <c r="H2694" t="s">
        <v>3842</v>
      </c>
      <c r="K2694" t="s">
        <v>34</v>
      </c>
      <c r="M2694" t="s">
        <v>44</v>
      </c>
      <c r="N2694">
        <v>10</v>
      </c>
      <c r="O2694" t="s">
        <v>6646</v>
      </c>
      <c r="P2694" t="b">
        <v>0</v>
      </c>
      <c r="Q2694" t="b">
        <v>0</v>
      </c>
      <c r="R2694" t="b">
        <v>0</v>
      </c>
      <c r="S2694" t="b">
        <v>0</v>
      </c>
      <c r="T2694" t="b">
        <v>0</v>
      </c>
      <c r="V2694" t="b">
        <v>1</v>
      </c>
      <c r="W2694" t="b">
        <v>0</v>
      </c>
      <c r="X2694" t="b">
        <v>0</v>
      </c>
      <c r="Y2694" t="b">
        <v>0</v>
      </c>
      <c r="Z2694" t="b">
        <v>0</v>
      </c>
      <c r="AA2694" t="b">
        <v>0</v>
      </c>
      <c r="AB2694" t="b">
        <v>0</v>
      </c>
      <c r="AC2694" t="b">
        <v>0</v>
      </c>
      <c r="AE2694" t="s">
        <v>6647</v>
      </c>
    </row>
    <row r="2695" spans="1:31" x14ac:dyDescent="0.3">
      <c r="A2695">
        <v>-73.969628583290003</v>
      </c>
      <c r="B2695">
        <v>40.770406779790001</v>
      </c>
      <c r="C2695" t="s">
        <v>6648</v>
      </c>
      <c r="D2695" t="s">
        <v>183</v>
      </c>
      <c r="E2695" t="s">
        <v>38</v>
      </c>
      <c r="F2695">
        <v>10172018</v>
      </c>
      <c r="G2695">
        <v>3</v>
      </c>
      <c r="H2695" t="s">
        <v>48</v>
      </c>
      <c r="I2695" t="s">
        <v>42</v>
      </c>
      <c r="J2695" t="s">
        <v>53</v>
      </c>
      <c r="K2695" t="s">
        <v>54</v>
      </c>
      <c r="M2695" t="s">
        <v>44</v>
      </c>
      <c r="N2695">
        <v>2</v>
      </c>
      <c r="O2695" t="s">
        <v>742</v>
      </c>
      <c r="P2695" t="b">
        <v>1</v>
      </c>
      <c r="Q2695" t="b">
        <v>0</v>
      </c>
      <c r="R2695" t="b">
        <v>0</v>
      </c>
      <c r="S2695" t="b">
        <v>0</v>
      </c>
      <c r="T2695" t="b">
        <v>1</v>
      </c>
      <c r="V2695" t="b">
        <v>0</v>
      </c>
      <c r="W2695" t="b">
        <v>0</v>
      </c>
      <c r="X2695" t="b">
        <v>0</v>
      </c>
      <c r="Y2695" t="b">
        <v>0</v>
      </c>
      <c r="Z2695" t="b">
        <v>0</v>
      </c>
      <c r="AA2695" t="b">
        <v>0</v>
      </c>
      <c r="AB2695" t="b">
        <v>1</v>
      </c>
      <c r="AC2695" t="b">
        <v>0</v>
      </c>
      <c r="AE2695" t="s">
        <v>6649</v>
      </c>
    </row>
    <row r="2696" spans="1:31" x14ac:dyDescent="0.3">
      <c r="A2696">
        <v>-73.96280044865</v>
      </c>
      <c r="B2696">
        <v>40.791553264009998</v>
      </c>
      <c r="C2696" t="s">
        <v>6650</v>
      </c>
      <c r="D2696" t="s">
        <v>2511</v>
      </c>
      <c r="E2696" t="s">
        <v>33</v>
      </c>
      <c r="F2696">
        <v>10072018</v>
      </c>
      <c r="G2696">
        <v>3</v>
      </c>
      <c r="H2696" t="s">
        <v>105</v>
      </c>
      <c r="I2696" t="s">
        <v>42</v>
      </c>
      <c r="J2696" t="s">
        <v>53</v>
      </c>
      <c r="K2696" t="s">
        <v>54</v>
      </c>
      <c r="M2696" t="s">
        <v>65</v>
      </c>
      <c r="N2696" t="b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1</v>
      </c>
      <c r="V2696" t="b">
        <v>0</v>
      </c>
      <c r="W2696" t="b">
        <v>0</v>
      </c>
      <c r="X2696" t="b">
        <v>0</v>
      </c>
      <c r="Y2696" t="b">
        <v>0</v>
      </c>
      <c r="Z2696" t="b">
        <v>0</v>
      </c>
      <c r="AA2696" t="b">
        <v>0</v>
      </c>
      <c r="AB2696" t="b">
        <v>1</v>
      </c>
      <c r="AC2696" t="b">
        <v>0</v>
      </c>
      <c r="AE2696" t="s">
        <v>6651</v>
      </c>
    </row>
    <row r="2697" spans="1:31" x14ac:dyDescent="0.3">
      <c r="A2697">
        <v>-73.950145723359995</v>
      </c>
      <c r="B2697">
        <v>40.797094356560002</v>
      </c>
      <c r="C2697" t="s">
        <v>6652</v>
      </c>
      <c r="D2697" t="s">
        <v>1718</v>
      </c>
      <c r="E2697" t="s">
        <v>33</v>
      </c>
      <c r="F2697">
        <v>10142018</v>
      </c>
      <c r="G2697">
        <v>1</v>
      </c>
      <c r="H2697" t="s">
        <v>48</v>
      </c>
      <c r="I2697" t="s">
        <v>53</v>
      </c>
      <c r="J2697" t="s">
        <v>42</v>
      </c>
      <c r="K2697" t="s">
        <v>89</v>
      </c>
      <c r="M2697" t="s">
        <v>65</v>
      </c>
      <c r="N2697" t="b">
        <v>0</v>
      </c>
      <c r="P2697" t="b">
        <v>0</v>
      </c>
      <c r="Q2697" t="b">
        <v>0</v>
      </c>
      <c r="R2697" t="b">
        <v>1</v>
      </c>
      <c r="S2697" t="b">
        <v>0</v>
      </c>
      <c r="T2697" t="b">
        <v>0</v>
      </c>
      <c r="V2697" t="b">
        <v>0</v>
      </c>
      <c r="W2697" t="b">
        <v>0</v>
      </c>
      <c r="X2697" t="b">
        <v>0</v>
      </c>
      <c r="Y2697" t="b">
        <v>0</v>
      </c>
      <c r="Z2697" t="b">
        <v>1</v>
      </c>
      <c r="AA2697" t="b">
        <v>0</v>
      </c>
      <c r="AB2697" t="b">
        <v>1</v>
      </c>
      <c r="AC2697" t="b">
        <v>0</v>
      </c>
      <c r="AE2697" t="s">
        <v>6653</v>
      </c>
    </row>
    <row r="2698" spans="1:31" x14ac:dyDescent="0.3">
      <c r="A2698">
        <v>-73.97106749289</v>
      </c>
      <c r="B2698">
        <v>40.7778757544</v>
      </c>
      <c r="C2698" t="s">
        <v>6654</v>
      </c>
      <c r="D2698" t="s">
        <v>544</v>
      </c>
      <c r="E2698" t="s">
        <v>33</v>
      </c>
      <c r="F2698">
        <v>10172018</v>
      </c>
      <c r="G2698">
        <v>6</v>
      </c>
      <c r="H2698" t="s">
        <v>48</v>
      </c>
      <c r="I2698" t="s">
        <v>42</v>
      </c>
      <c r="J2698" t="s">
        <v>53</v>
      </c>
      <c r="K2698" t="s">
        <v>54</v>
      </c>
      <c r="M2698" t="s">
        <v>65</v>
      </c>
      <c r="N2698" t="b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s">
        <v>101</v>
      </c>
      <c r="V2698" t="b">
        <v>0</v>
      </c>
      <c r="W2698" t="b">
        <v>0</v>
      </c>
      <c r="X2698" t="b">
        <v>0</v>
      </c>
      <c r="Y2698" t="b">
        <v>0</v>
      </c>
      <c r="Z2698" t="b">
        <v>0</v>
      </c>
      <c r="AA2698" t="b">
        <v>0</v>
      </c>
      <c r="AB2698" t="b">
        <v>0</v>
      </c>
      <c r="AC2698" t="b">
        <v>0</v>
      </c>
      <c r="AD2698" t="s">
        <v>6655</v>
      </c>
      <c r="AE2698" t="s">
        <v>6656</v>
      </c>
    </row>
    <row r="2699" spans="1:31" x14ac:dyDescent="0.3">
      <c r="A2699">
        <v>-73.974491736269997</v>
      </c>
      <c r="B2699">
        <v>40.777838873770001</v>
      </c>
      <c r="C2699" t="s">
        <v>6657</v>
      </c>
      <c r="D2699" t="s">
        <v>585</v>
      </c>
      <c r="E2699" t="s">
        <v>38</v>
      </c>
      <c r="F2699">
        <v>10172018</v>
      </c>
      <c r="G2699">
        <v>2</v>
      </c>
      <c r="H2699" t="s">
        <v>48</v>
      </c>
      <c r="I2699" t="s">
        <v>42</v>
      </c>
      <c r="K2699" t="s">
        <v>43</v>
      </c>
      <c r="M2699" t="s">
        <v>65</v>
      </c>
      <c r="N2699" t="b">
        <v>0</v>
      </c>
      <c r="P2699" t="b">
        <v>1</v>
      </c>
      <c r="Q2699" t="b">
        <v>0</v>
      </c>
      <c r="R2699" t="b">
        <v>0</v>
      </c>
      <c r="S2699" t="b">
        <v>0</v>
      </c>
      <c r="T2699" t="b">
        <v>0</v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b">
        <v>0</v>
      </c>
      <c r="AB2699" t="b">
        <v>1</v>
      </c>
      <c r="AC2699" t="b">
        <v>0</v>
      </c>
      <c r="AE2699" t="s">
        <v>6658</v>
      </c>
    </row>
    <row r="2700" spans="1:31" x14ac:dyDescent="0.3">
      <c r="A2700">
        <v>-73.974350942379999</v>
      </c>
      <c r="B2700">
        <v>40.769004367729998</v>
      </c>
      <c r="C2700" t="s">
        <v>6659</v>
      </c>
      <c r="D2700" t="s">
        <v>250</v>
      </c>
      <c r="E2700" t="s">
        <v>38</v>
      </c>
      <c r="F2700">
        <v>10072018</v>
      </c>
      <c r="G2700">
        <v>2</v>
      </c>
      <c r="H2700" t="s">
        <v>48</v>
      </c>
      <c r="I2700" t="s">
        <v>42</v>
      </c>
      <c r="J2700" t="s">
        <v>53</v>
      </c>
      <c r="K2700" t="s">
        <v>54</v>
      </c>
      <c r="M2700" t="s">
        <v>44</v>
      </c>
      <c r="O2700" t="s">
        <v>190</v>
      </c>
      <c r="P2700" t="b">
        <v>1</v>
      </c>
      <c r="Q2700" t="b">
        <v>1</v>
      </c>
      <c r="R2700" t="b">
        <v>0</v>
      </c>
      <c r="S2700" t="b">
        <v>0</v>
      </c>
      <c r="T2700" t="b">
        <v>1</v>
      </c>
      <c r="V2700" t="b">
        <v>0</v>
      </c>
      <c r="W2700" t="b">
        <v>0</v>
      </c>
      <c r="X2700" t="b">
        <v>0</v>
      </c>
      <c r="Y2700" t="b">
        <v>0</v>
      </c>
      <c r="Z2700" t="b">
        <v>0</v>
      </c>
      <c r="AA2700" t="b">
        <v>0</v>
      </c>
      <c r="AB2700" t="b">
        <v>0</v>
      </c>
      <c r="AC2700" t="b">
        <v>0</v>
      </c>
      <c r="AE2700" t="s">
        <v>6660</v>
      </c>
    </row>
    <row r="2701" spans="1:31" x14ac:dyDescent="0.3">
      <c r="A2701">
        <v>-73.96019888715</v>
      </c>
      <c r="B2701">
        <v>40.794347316130001</v>
      </c>
      <c r="C2701" t="s">
        <v>6661</v>
      </c>
      <c r="D2701" t="s">
        <v>195</v>
      </c>
      <c r="E2701" t="s">
        <v>33</v>
      </c>
      <c r="F2701">
        <v>10132018</v>
      </c>
      <c r="G2701">
        <v>1</v>
      </c>
      <c r="I2701" t="s">
        <v>42</v>
      </c>
      <c r="J2701" t="s">
        <v>53</v>
      </c>
      <c r="K2701" t="s">
        <v>54</v>
      </c>
      <c r="M2701" t="s">
        <v>44</v>
      </c>
      <c r="N2701">
        <v>20</v>
      </c>
      <c r="P2701" t="b">
        <v>0</v>
      </c>
      <c r="Q2701" t="b">
        <v>0</v>
      </c>
      <c r="R2701" t="b">
        <v>1</v>
      </c>
      <c r="S2701" t="b">
        <v>0</v>
      </c>
      <c r="T2701" t="b">
        <v>1</v>
      </c>
      <c r="V2701" t="b">
        <v>1</v>
      </c>
      <c r="W2701" t="b">
        <v>1</v>
      </c>
      <c r="X2701" t="b">
        <v>0</v>
      </c>
      <c r="Y2701" t="b">
        <v>1</v>
      </c>
      <c r="Z2701" t="b">
        <v>1</v>
      </c>
      <c r="AA2701" t="b">
        <v>0</v>
      </c>
      <c r="AB2701" t="b">
        <v>1</v>
      </c>
      <c r="AC2701" t="b">
        <v>0</v>
      </c>
      <c r="AE2701" t="s">
        <v>6662</v>
      </c>
    </row>
    <row r="2702" spans="1:31" x14ac:dyDescent="0.3">
      <c r="A2702">
        <v>-73.979121751069997</v>
      </c>
      <c r="B2702">
        <v>40.767658347539999</v>
      </c>
      <c r="C2702" t="s">
        <v>6663</v>
      </c>
      <c r="D2702" t="s">
        <v>1232</v>
      </c>
      <c r="E2702" t="s">
        <v>38</v>
      </c>
      <c r="F2702">
        <v>10102018</v>
      </c>
      <c r="G2702">
        <v>5</v>
      </c>
      <c r="H2702" t="s">
        <v>48</v>
      </c>
      <c r="I2702" t="s">
        <v>42</v>
      </c>
      <c r="J2702" t="s">
        <v>59</v>
      </c>
      <c r="K2702" t="s">
        <v>79</v>
      </c>
      <c r="M2702" t="s">
        <v>65</v>
      </c>
      <c r="N2702" t="b">
        <v>0</v>
      </c>
      <c r="O2702" t="s">
        <v>6664</v>
      </c>
      <c r="P2702" t="b">
        <v>0</v>
      </c>
      <c r="Q2702" t="b">
        <v>0</v>
      </c>
      <c r="R2702" t="b">
        <v>0</v>
      </c>
      <c r="S2702" t="b">
        <v>1</v>
      </c>
      <c r="T2702" t="b">
        <v>1</v>
      </c>
      <c r="V2702" t="b">
        <v>0</v>
      </c>
      <c r="W2702" t="b">
        <v>0</v>
      </c>
      <c r="X2702" t="b">
        <v>0</v>
      </c>
      <c r="Y2702" t="b">
        <v>0</v>
      </c>
      <c r="Z2702" t="b">
        <v>0</v>
      </c>
      <c r="AA2702" t="b">
        <v>0</v>
      </c>
      <c r="AB2702" t="b">
        <v>0</v>
      </c>
      <c r="AC2702" t="b">
        <v>0</v>
      </c>
      <c r="AE2702" t="s">
        <v>6665</v>
      </c>
    </row>
    <row r="2703" spans="1:31" x14ac:dyDescent="0.3">
      <c r="A2703">
        <v>-73.958833989759995</v>
      </c>
      <c r="B2703">
        <v>40.784808486540001</v>
      </c>
      <c r="C2703" t="s">
        <v>6666</v>
      </c>
      <c r="D2703" t="s">
        <v>844</v>
      </c>
      <c r="E2703" t="s">
        <v>33</v>
      </c>
      <c r="F2703">
        <v>10102018</v>
      </c>
      <c r="G2703">
        <v>6</v>
      </c>
      <c r="H2703" t="s">
        <v>48</v>
      </c>
      <c r="I2703" t="s">
        <v>42</v>
      </c>
      <c r="J2703" t="s">
        <v>53</v>
      </c>
      <c r="K2703" t="s">
        <v>54</v>
      </c>
      <c r="M2703" t="s">
        <v>44</v>
      </c>
      <c r="N2703">
        <v>35</v>
      </c>
      <c r="O2703" t="s">
        <v>190</v>
      </c>
      <c r="P2703" t="b">
        <v>0</v>
      </c>
      <c r="Q2703" t="b">
        <v>0</v>
      </c>
      <c r="R2703" t="b">
        <v>1</v>
      </c>
      <c r="S2703" t="b">
        <v>0</v>
      </c>
      <c r="T2703" t="b">
        <v>1</v>
      </c>
      <c r="V2703" t="b">
        <v>0</v>
      </c>
      <c r="W2703" t="b">
        <v>0</v>
      </c>
      <c r="X2703" t="b">
        <v>0</v>
      </c>
      <c r="Y2703" t="b">
        <v>0</v>
      </c>
      <c r="Z2703" t="b">
        <v>1</v>
      </c>
      <c r="AA2703" t="b">
        <v>0</v>
      </c>
      <c r="AB2703" t="b">
        <v>1</v>
      </c>
      <c r="AC2703" t="b">
        <v>0</v>
      </c>
      <c r="AE2703" t="s">
        <v>6667</v>
      </c>
    </row>
    <row r="2704" spans="1:31" x14ac:dyDescent="0.3">
      <c r="A2704">
        <v>-73.969017444290003</v>
      </c>
      <c r="B2704">
        <v>40.781761769649997</v>
      </c>
      <c r="C2704" t="s">
        <v>6668</v>
      </c>
      <c r="D2704" t="s">
        <v>304</v>
      </c>
      <c r="E2704" t="s">
        <v>33</v>
      </c>
      <c r="F2704">
        <v>10182018</v>
      </c>
      <c r="G2704">
        <v>5</v>
      </c>
      <c r="H2704" t="s">
        <v>48</v>
      </c>
      <c r="I2704" t="s">
        <v>42</v>
      </c>
      <c r="J2704" t="s">
        <v>53</v>
      </c>
      <c r="K2704" t="s">
        <v>54</v>
      </c>
      <c r="M2704" t="s">
        <v>65</v>
      </c>
      <c r="N2704" t="b">
        <v>0</v>
      </c>
      <c r="P2704" t="b">
        <v>1</v>
      </c>
      <c r="Q2704" t="b">
        <v>0</v>
      </c>
      <c r="R2704" t="b">
        <v>0</v>
      </c>
      <c r="S2704" t="b">
        <v>0</v>
      </c>
      <c r="T2704" t="b">
        <v>0</v>
      </c>
      <c r="V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b">
        <v>1</v>
      </c>
      <c r="AB2704" t="b">
        <v>0</v>
      </c>
      <c r="AC2704" t="b">
        <v>0</v>
      </c>
      <c r="AE2704" t="s">
        <v>6669</v>
      </c>
    </row>
    <row r="2705" spans="1:31" x14ac:dyDescent="0.3">
      <c r="A2705">
        <v>-73.965776449030002</v>
      </c>
      <c r="B2705">
        <v>40.781192322930004</v>
      </c>
      <c r="C2705" t="s">
        <v>6670</v>
      </c>
      <c r="D2705" t="s">
        <v>564</v>
      </c>
      <c r="E2705" t="s">
        <v>33</v>
      </c>
      <c r="F2705">
        <v>10072018</v>
      </c>
      <c r="G2705">
        <v>10</v>
      </c>
      <c r="H2705" t="s">
        <v>48</v>
      </c>
      <c r="I2705" t="s">
        <v>42</v>
      </c>
      <c r="J2705" t="s">
        <v>59</v>
      </c>
      <c r="K2705" t="s">
        <v>79</v>
      </c>
      <c r="M2705" t="s">
        <v>65</v>
      </c>
      <c r="N2705" t="b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1</v>
      </c>
      <c r="V2705" t="b">
        <v>0</v>
      </c>
      <c r="W2705" t="b">
        <v>0</v>
      </c>
      <c r="X2705" t="b">
        <v>0</v>
      </c>
      <c r="Y2705" t="b">
        <v>0</v>
      </c>
      <c r="Z2705" t="b">
        <v>0</v>
      </c>
      <c r="AA2705" t="b">
        <v>0</v>
      </c>
      <c r="AB2705" t="b">
        <v>1</v>
      </c>
      <c r="AC2705" t="b">
        <v>0</v>
      </c>
      <c r="AE2705" t="s">
        <v>6671</v>
      </c>
    </row>
    <row r="2706" spans="1:31" x14ac:dyDescent="0.3">
      <c r="A2706">
        <v>-73.974896268159995</v>
      </c>
      <c r="B2706">
        <v>40.767877827169997</v>
      </c>
      <c r="C2706" t="s">
        <v>6672</v>
      </c>
      <c r="D2706" t="s">
        <v>911</v>
      </c>
      <c r="E2706" t="s">
        <v>33</v>
      </c>
      <c r="F2706">
        <v>10132018</v>
      </c>
      <c r="G2706">
        <v>2</v>
      </c>
      <c r="H2706" t="s">
        <v>48</v>
      </c>
      <c r="I2706" t="s">
        <v>42</v>
      </c>
      <c r="J2706" t="s">
        <v>1921</v>
      </c>
      <c r="K2706" t="s">
        <v>1922</v>
      </c>
      <c r="M2706" t="s">
        <v>65</v>
      </c>
      <c r="N2706" t="b">
        <v>0</v>
      </c>
      <c r="P2706" t="b">
        <v>1</v>
      </c>
      <c r="Q2706" t="b">
        <v>0</v>
      </c>
      <c r="R2706" t="b">
        <v>0</v>
      </c>
      <c r="S2706" t="b">
        <v>0</v>
      </c>
      <c r="T2706" t="b">
        <v>0</v>
      </c>
      <c r="V2706" t="b">
        <v>0</v>
      </c>
      <c r="W2706" t="b">
        <v>0</v>
      </c>
      <c r="X2706" t="b">
        <v>0</v>
      </c>
      <c r="Y2706" t="b">
        <v>1</v>
      </c>
      <c r="Z2706" t="b">
        <v>0</v>
      </c>
      <c r="AA2706" t="b">
        <v>0</v>
      </c>
      <c r="AB2706" t="b">
        <v>1</v>
      </c>
      <c r="AC2706" t="b">
        <v>0</v>
      </c>
      <c r="AE2706" t="s">
        <v>6673</v>
      </c>
    </row>
    <row r="2707" spans="1:31" x14ac:dyDescent="0.3">
      <c r="A2707">
        <v>-73.974514118559995</v>
      </c>
      <c r="B2707">
        <v>40.769147978120003</v>
      </c>
      <c r="C2707" t="s">
        <v>6674</v>
      </c>
      <c r="D2707" t="s">
        <v>245</v>
      </c>
      <c r="E2707" t="s">
        <v>38</v>
      </c>
      <c r="F2707">
        <v>10082018</v>
      </c>
      <c r="G2707">
        <v>1</v>
      </c>
      <c r="H2707" t="s">
        <v>48</v>
      </c>
      <c r="I2707" t="s">
        <v>42</v>
      </c>
      <c r="J2707" t="s">
        <v>59</v>
      </c>
      <c r="K2707" t="s">
        <v>79</v>
      </c>
      <c r="M2707" t="s">
        <v>44</v>
      </c>
      <c r="N2707">
        <v>2</v>
      </c>
      <c r="O2707" t="s">
        <v>6675</v>
      </c>
      <c r="P2707" t="b">
        <v>0</v>
      </c>
      <c r="Q2707" t="b">
        <v>0</v>
      </c>
      <c r="R2707" t="b">
        <v>0</v>
      </c>
      <c r="S2707" t="b">
        <v>1</v>
      </c>
      <c r="T2707" t="b">
        <v>0</v>
      </c>
      <c r="V2707" t="b">
        <v>0</v>
      </c>
      <c r="W2707" t="b">
        <v>0</v>
      </c>
      <c r="X2707" t="b">
        <v>0</v>
      </c>
      <c r="Y2707" t="b">
        <v>0</v>
      </c>
      <c r="Z2707" t="b">
        <v>0</v>
      </c>
      <c r="AA2707" t="b">
        <v>0</v>
      </c>
      <c r="AB2707" t="b">
        <v>1</v>
      </c>
      <c r="AC2707" t="b">
        <v>0</v>
      </c>
      <c r="AE2707" t="s">
        <v>6676</v>
      </c>
    </row>
    <row r="2708" spans="1:31" x14ac:dyDescent="0.3">
      <c r="A2708">
        <v>-73.974316532109995</v>
      </c>
      <c r="B2708">
        <v>40.775467467859997</v>
      </c>
      <c r="C2708" t="s">
        <v>6677</v>
      </c>
      <c r="D2708" t="s">
        <v>41</v>
      </c>
      <c r="E2708" t="s">
        <v>33</v>
      </c>
      <c r="F2708">
        <v>10142018</v>
      </c>
      <c r="G2708">
        <v>7</v>
      </c>
      <c r="I2708" t="s">
        <v>42</v>
      </c>
      <c r="K2708" t="s">
        <v>43</v>
      </c>
      <c r="M2708" t="s">
        <v>44</v>
      </c>
      <c r="N2708">
        <v>10</v>
      </c>
      <c r="P2708" t="b">
        <v>1</v>
      </c>
      <c r="Q2708" t="b">
        <v>0</v>
      </c>
      <c r="R2708" t="b">
        <v>0</v>
      </c>
      <c r="S2708" t="b">
        <v>1</v>
      </c>
      <c r="T2708" t="b">
        <v>1</v>
      </c>
      <c r="V2708" t="b">
        <v>0</v>
      </c>
      <c r="W2708" t="b">
        <v>0</v>
      </c>
      <c r="X2708" t="b">
        <v>0</v>
      </c>
      <c r="Y2708" t="b">
        <v>0</v>
      </c>
      <c r="Z2708" t="b">
        <v>0</v>
      </c>
      <c r="AA2708" t="b">
        <v>0</v>
      </c>
      <c r="AB2708" t="b">
        <v>0</v>
      </c>
      <c r="AC2708" t="b">
        <v>0</v>
      </c>
      <c r="AE2708" t="s">
        <v>6678</v>
      </c>
    </row>
    <row r="2709" spans="1:31" x14ac:dyDescent="0.3">
      <c r="A2709">
        <v>-73.952842923809996</v>
      </c>
      <c r="B2709">
        <v>40.792265184889999</v>
      </c>
      <c r="C2709" t="s">
        <v>6679</v>
      </c>
      <c r="D2709" t="s">
        <v>85</v>
      </c>
      <c r="E2709" t="s">
        <v>33</v>
      </c>
      <c r="F2709">
        <v>10072018</v>
      </c>
      <c r="G2709">
        <v>9</v>
      </c>
      <c r="H2709" t="s">
        <v>105</v>
      </c>
      <c r="I2709" t="s">
        <v>42</v>
      </c>
      <c r="K2709" t="s">
        <v>43</v>
      </c>
      <c r="M2709" t="s">
        <v>44</v>
      </c>
      <c r="N2709">
        <v>5</v>
      </c>
      <c r="P2709" t="b">
        <v>1</v>
      </c>
      <c r="Q2709" t="b">
        <v>1</v>
      </c>
      <c r="R2709" t="b">
        <v>0</v>
      </c>
      <c r="S2709" t="b">
        <v>0</v>
      </c>
      <c r="T2709" t="b">
        <v>0</v>
      </c>
      <c r="U2709" t="s">
        <v>432</v>
      </c>
      <c r="V2709" t="b">
        <v>0</v>
      </c>
      <c r="W2709" t="b">
        <v>0</v>
      </c>
      <c r="X2709" t="b">
        <v>0</v>
      </c>
      <c r="Y2709" t="b">
        <v>0</v>
      </c>
      <c r="Z2709" t="b">
        <v>1</v>
      </c>
      <c r="AA2709" t="b">
        <v>0</v>
      </c>
      <c r="AB2709" t="b">
        <v>0</v>
      </c>
      <c r="AC2709" t="b">
        <v>0</v>
      </c>
      <c r="AE2709" t="s">
        <v>6680</v>
      </c>
    </row>
    <row r="2710" spans="1:31" x14ac:dyDescent="0.3">
      <c r="A2710">
        <v>-73.977506891570002</v>
      </c>
      <c r="B2710">
        <v>40.766442439469998</v>
      </c>
      <c r="C2710" t="s">
        <v>6681</v>
      </c>
      <c r="D2710" t="s">
        <v>2593</v>
      </c>
      <c r="E2710" t="s">
        <v>38</v>
      </c>
      <c r="F2710">
        <v>10062018</v>
      </c>
      <c r="G2710">
        <v>1</v>
      </c>
      <c r="H2710" t="s">
        <v>48</v>
      </c>
      <c r="I2710" t="s">
        <v>42</v>
      </c>
      <c r="J2710" t="s">
        <v>53</v>
      </c>
      <c r="K2710" t="s">
        <v>54</v>
      </c>
      <c r="M2710" t="s">
        <v>65</v>
      </c>
      <c r="N2710" t="b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1</v>
      </c>
      <c r="V2710" t="b">
        <v>0</v>
      </c>
      <c r="W2710" t="b">
        <v>0</v>
      </c>
      <c r="X2710" t="b">
        <v>0</v>
      </c>
      <c r="Y2710" t="b">
        <v>0</v>
      </c>
      <c r="Z2710" t="b">
        <v>0</v>
      </c>
      <c r="AA2710" t="b">
        <v>0</v>
      </c>
      <c r="AB2710" t="b">
        <v>1</v>
      </c>
      <c r="AC2710" t="b">
        <v>0</v>
      </c>
      <c r="AE2710" t="s">
        <v>6682</v>
      </c>
    </row>
    <row r="2711" spans="1:31" x14ac:dyDescent="0.3">
      <c r="A2711">
        <v>-73.95779193653</v>
      </c>
      <c r="B2711">
        <v>40.796085328510003</v>
      </c>
      <c r="C2711" t="s">
        <v>6683</v>
      </c>
      <c r="D2711" t="s">
        <v>175</v>
      </c>
      <c r="E2711" t="s">
        <v>33</v>
      </c>
      <c r="F2711">
        <v>10142018</v>
      </c>
      <c r="G2711">
        <v>8</v>
      </c>
      <c r="H2711" t="s">
        <v>48</v>
      </c>
      <c r="I2711" t="s">
        <v>42</v>
      </c>
      <c r="J2711" t="s">
        <v>53</v>
      </c>
      <c r="K2711" t="s">
        <v>54</v>
      </c>
      <c r="M2711" t="s">
        <v>65</v>
      </c>
      <c r="N2711" t="b">
        <v>0</v>
      </c>
      <c r="P2711" t="b">
        <v>1</v>
      </c>
      <c r="Q2711" t="b">
        <v>0</v>
      </c>
      <c r="R2711" t="b">
        <v>0</v>
      </c>
      <c r="S2711" t="b">
        <v>0</v>
      </c>
      <c r="T2711" t="b">
        <v>1</v>
      </c>
      <c r="V2711" t="b">
        <v>1</v>
      </c>
      <c r="W2711" t="b">
        <v>0</v>
      </c>
      <c r="X2711" t="b">
        <v>0</v>
      </c>
      <c r="Y2711" t="b">
        <v>0</v>
      </c>
      <c r="Z2711" t="b">
        <v>0</v>
      </c>
      <c r="AA2711" t="b">
        <v>0</v>
      </c>
      <c r="AB2711" t="b">
        <v>0</v>
      </c>
      <c r="AC2711" t="b">
        <v>1</v>
      </c>
      <c r="AE2711" t="s">
        <v>6684</v>
      </c>
    </row>
    <row r="2712" spans="1:31" x14ac:dyDescent="0.3">
      <c r="A2712">
        <v>-73.962884296010003</v>
      </c>
      <c r="B2712">
        <v>40.793804857239998</v>
      </c>
      <c r="C2712" t="s">
        <v>6685</v>
      </c>
      <c r="D2712" t="s">
        <v>2662</v>
      </c>
      <c r="E2712" t="s">
        <v>33</v>
      </c>
      <c r="F2712">
        <v>10132018</v>
      </c>
      <c r="G2712">
        <v>1</v>
      </c>
      <c r="H2712" t="s">
        <v>48</v>
      </c>
      <c r="I2712" t="s">
        <v>42</v>
      </c>
      <c r="J2712" t="s">
        <v>53</v>
      </c>
      <c r="K2712" t="s">
        <v>54</v>
      </c>
      <c r="M2712" t="s">
        <v>65</v>
      </c>
      <c r="N2712" t="b">
        <v>0</v>
      </c>
      <c r="P2712" t="b">
        <v>0</v>
      </c>
      <c r="Q2712" t="b">
        <v>0</v>
      </c>
      <c r="R2712" t="b">
        <v>0</v>
      </c>
      <c r="S2712" t="b">
        <v>1</v>
      </c>
      <c r="T2712" t="b">
        <v>1</v>
      </c>
      <c r="U2712" t="s">
        <v>6686</v>
      </c>
      <c r="V2712" t="b">
        <v>0</v>
      </c>
      <c r="W2712" t="b">
        <v>0</v>
      </c>
      <c r="X2712" t="b">
        <v>0</v>
      </c>
      <c r="Y2712" t="b">
        <v>0</v>
      </c>
      <c r="Z2712" t="b">
        <v>0</v>
      </c>
      <c r="AA2712" t="b">
        <v>0</v>
      </c>
      <c r="AB2712" t="b">
        <v>0</v>
      </c>
      <c r="AC2712" t="b">
        <v>0</v>
      </c>
      <c r="AE2712" t="s">
        <v>6687</v>
      </c>
    </row>
    <row r="2713" spans="1:31" x14ac:dyDescent="0.3">
      <c r="A2713">
        <v>-73.968276086450004</v>
      </c>
      <c r="B2713">
        <v>40.778072756939999</v>
      </c>
      <c r="C2713" t="s">
        <v>6688</v>
      </c>
      <c r="D2713" t="s">
        <v>256</v>
      </c>
      <c r="E2713" t="s">
        <v>33</v>
      </c>
      <c r="F2713">
        <v>10182018</v>
      </c>
      <c r="G2713">
        <v>4</v>
      </c>
      <c r="H2713" t="s">
        <v>48</v>
      </c>
      <c r="I2713" t="s">
        <v>42</v>
      </c>
      <c r="K2713" t="s">
        <v>43</v>
      </c>
      <c r="M2713" t="s">
        <v>65</v>
      </c>
      <c r="N2713" t="b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1</v>
      </c>
      <c r="V2713" t="b">
        <v>1</v>
      </c>
      <c r="W2713" t="b">
        <v>0</v>
      </c>
      <c r="X2713" t="b">
        <v>0</v>
      </c>
      <c r="Y2713" t="b">
        <v>0</v>
      </c>
      <c r="Z2713" t="b">
        <v>0</v>
      </c>
      <c r="AA2713" t="b">
        <v>0</v>
      </c>
      <c r="AB2713" t="b">
        <v>1</v>
      </c>
      <c r="AC2713" t="b">
        <v>0</v>
      </c>
      <c r="AE2713" t="s">
        <v>6689</v>
      </c>
    </row>
    <row r="2714" spans="1:31" x14ac:dyDescent="0.3">
      <c r="A2714">
        <v>-73.96872146842</v>
      </c>
      <c r="B2714">
        <v>40.779284172019999</v>
      </c>
      <c r="C2714" t="s">
        <v>6690</v>
      </c>
      <c r="D2714" t="s">
        <v>1995</v>
      </c>
      <c r="E2714" t="s">
        <v>38</v>
      </c>
      <c r="F2714">
        <v>10082018</v>
      </c>
      <c r="G2714">
        <v>7</v>
      </c>
      <c r="H2714" t="s">
        <v>48</v>
      </c>
      <c r="I2714" t="s">
        <v>42</v>
      </c>
      <c r="J2714" t="s">
        <v>59</v>
      </c>
      <c r="K2714" t="s">
        <v>79</v>
      </c>
      <c r="M2714" t="s">
        <v>65</v>
      </c>
      <c r="N2714" t="b">
        <v>0</v>
      </c>
      <c r="P2714" t="b">
        <v>1</v>
      </c>
      <c r="Q2714" t="b">
        <v>0</v>
      </c>
      <c r="R2714" t="b">
        <v>0</v>
      </c>
      <c r="S2714" t="b">
        <v>0</v>
      </c>
      <c r="T2714" t="b">
        <v>0</v>
      </c>
      <c r="V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b">
        <v>0</v>
      </c>
      <c r="AB2714" t="b">
        <v>1</v>
      </c>
      <c r="AC2714" t="b">
        <v>0</v>
      </c>
      <c r="AE2714" t="s">
        <v>6691</v>
      </c>
    </row>
    <row r="2715" spans="1:31" x14ac:dyDescent="0.3">
      <c r="A2715">
        <v>-73.960073898540003</v>
      </c>
      <c r="B2715">
        <v>40.79383287988</v>
      </c>
      <c r="C2715" t="s">
        <v>6692</v>
      </c>
      <c r="D2715" t="s">
        <v>195</v>
      </c>
      <c r="E2715" t="s">
        <v>33</v>
      </c>
      <c r="F2715">
        <v>10132018</v>
      </c>
      <c r="G2715">
        <v>8</v>
      </c>
      <c r="K2715" t="s">
        <v>34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V2715" t="b">
        <v>1</v>
      </c>
      <c r="W2715" t="b">
        <v>0</v>
      </c>
      <c r="X2715" t="b">
        <v>0</v>
      </c>
      <c r="Y2715" t="b">
        <v>0</v>
      </c>
      <c r="Z2715" t="b">
        <v>0</v>
      </c>
      <c r="AA2715" t="b">
        <v>0</v>
      </c>
      <c r="AB2715" t="b">
        <v>0</v>
      </c>
      <c r="AC2715" t="b">
        <v>0</v>
      </c>
      <c r="AD2715" t="s">
        <v>6693</v>
      </c>
      <c r="AE2715" t="s">
        <v>6694</v>
      </c>
    </row>
    <row r="2716" spans="1:31" x14ac:dyDescent="0.3">
      <c r="A2716">
        <v>-73.971027307070003</v>
      </c>
      <c r="B2716">
        <v>40.77665212462</v>
      </c>
      <c r="C2716" t="s">
        <v>6695</v>
      </c>
      <c r="D2716" t="s">
        <v>729</v>
      </c>
      <c r="E2716" t="s">
        <v>33</v>
      </c>
      <c r="F2716">
        <v>10192018</v>
      </c>
      <c r="G2716">
        <v>16</v>
      </c>
      <c r="H2716" t="s">
        <v>48</v>
      </c>
      <c r="I2716" t="s">
        <v>42</v>
      </c>
      <c r="J2716" t="s">
        <v>53</v>
      </c>
      <c r="K2716" t="s">
        <v>54</v>
      </c>
      <c r="M2716" t="s">
        <v>65</v>
      </c>
      <c r="N2716" t="b">
        <v>0</v>
      </c>
      <c r="P2716" t="b">
        <v>1</v>
      </c>
      <c r="Q2716" t="b">
        <v>0</v>
      </c>
      <c r="R2716" t="b">
        <v>0</v>
      </c>
      <c r="S2716" t="b">
        <v>0</v>
      </c>
      <c r="T2716" t="b">
        <v>0</v>
      </c>
      <c r="V2716" t="b">
        <v>0</v>
      </c>
      <c r="W2716" t="b">
        <v>0</v>
      </c>
      <c r="X2716" t="b">
        <v>0</v>
      </c>
      <c r="Y2716" t="b">
        <v>0</v>
      </c>
      <c r="Z2716" t="b">
        <v>0</v>
      </c>
      <c r="AA2716" t="b">
        <v>0</v>
      </c>
      <c r="AB2716" t="b">
        <v>0</v>
      </c>
      <c r="AC2716" t="b">
        <v>0</v>
      </c>
      <c r="AE2716" t="s">
        <v>6696</v>
      </c>
    </row>
    <row r="2717" spans="1:31" x14ac:dyDescent="0.3">
      <c r="A2717">
        <v>-73.96180940763</v>
      </c>
      <c r="B2717">
        <v>40.79440973682</v>
      </c>
      <c r="C2717" t="s">
        <v>6697</v>
      </c>
      <c r="D2717" t="s">
        <v>286</v>
      </c>
      <c r="E2717" t="s">
        <v>33</v>
      </c>
      <c r="F2717">
        <v>10132018</v>
      </c>
      <c r="G2717">
        <v>3</v>
      </c>
      <c r="H2717" t="s">
        <v>48</v>
      </c>
      <c r="I2717" t="s">
        <v>42</v>
      </c>
      <c r="J2717" t="s">
        <v>59</v>
      </c>
      <c r="K2717" t="s">
        <v>79</v>
      </c>
      <c r="M2717" t="s">
        <v>65</v>
      </c>
      <c r="N2717" t="b">
        <v>0</v>
      </c>
      <c r="P2717" t="b">
        <v>1</v>
      </c>
      <c r="Q2717" t="b">
        <v>0</v>
      </c>
      <c r="R2717" t="b">
        <v>0</v>
      </c>
      <c r="S2717" t="b">
        <v>1</v>
      </c>
      <c r="T2717" t="b">
        <v>1</v>
      </c>
      <c r="V2717" t="b">
        <v>0</v>
      </c>
      <c r="W2717" t="b">
        <v>0</v>
      </c>
      <c r="X2717" t="b">
        <v>0</v>
      </c>
      <c r="Y2717" t="b">
        <v>0</v>
      </c>
      <c r="Z2717" t="b">
        <v>0</v>
      </c>
      <c r="AA2717" t="b">
        <v>0</v>
      </c>
      <c r="AB2717" t="b">
        <v>0</v>
      </c>
      <c r="AC2717" t="b">
        <v>1</v>
      </c>
      <c r="AE2717" t="s">
        <v>6698</v>
      </c>
    </row>
    <row r="2718" spans="1:31" x14ac:dyDescent="0.3">
      <c r="A2718">
        <v>-73.963223852859997</v>
      </c>
      <c r="B2718">
        <v>40.79203289913</v>
      </c>
      <c r="C2718" t="s">
        <v>6699</v>
      </c>
      <c r="D2718" t="s">
        <v>773</v>
      </c>
      <c r="E2718" t="s">
        <v>33</v>
      </c>
      <c r="F2718">
        <v>10102018</v>
      </c>
      <c r="G2718">
        <v>2</v>
      </c>
      <c r="H2718" t="s">
        <v>48</v>
      </c>
      <c r="I2718" t="s">
        <v>42</v>
      </c>
      <c r="K2718" t="s">
        <v>43</v>
      </c>
      <c r="M2718" t="s">
        <v>65</v>
      </c>
      <c r="N2718" t="b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1</v>
      </c>
      <c r="V2718" t="b">
        <v>0</v>
      </c>
      <c r="W2718" t="b">
        <v>0</v>
      </c>
      <c r="X2718" t="b">
        <v>0</v>
      </c>
      <c r="Y2718" t="b">
        <v>0</v>
      </c>
      <c r="Z2718" t="b">
        <v>0</v>
      </c>
      <c r="AA2718" t="b">
        <v>0</v>
      </c>
      <c r="AB2718" t="b">
        <v>1</v>
      </c>
      <c r="AC2718" t="b">
        <v>0</v>
      </c>
      <c r="AE2718" t="s">
        <v>6700</v>
      </c>
    </row>
    <row r="2719" spans="1:31" x14ac:dyDescent="0.3">
      <c r="A2719">
        <v>-73.953058782539998</v>
      </c>
      <c r="B2719">
        <v>40.791908730919999</v>
      </c>
      <c r="C2719" t="s">
        <v>6701</v>
      </c>
      <c r="D2719" t="s">
        <v>85</v>
      </c>
      <c r="E2719" t="s">
        <v>33</v>
      </c>
      <c r="F2719">
        <v>10072018</v>
      </c>
      <c r="G2719">
        <v>3</v>
      </c>
      <c r="H2719" t="s">
        <v>48</v>
      </c>
      <c r="I2719" t="s">
        <v>42</v>
      </c>
      <c r="K2719" t="s">
        <v>43</v>
      </c>
      <c r="M2719" t="s">
        <v>65</v>
      </c>
      <c r="N2719" t="b">
        <v>0</v>
      </c>
      <c r="P2719" t="b">
        <v>0</v>
      </c>
      <c r="Q2719" t="b">
        <v>0</v>
      </c>
      <c r="R2719" t="b">
        <v>0</v>
      </c>
      <c r="S2719" t="b">
        <v>0</v>
      </c>
      <c r="T2719" t="b">
        <v>1</v>
      </c>
      <c r="V2719" t="b">
        <v>0</v>
      </c>
      <c r="W2719" t="b">
        <v>0</v>
      </c>
      <c r="X2719" t="b">
        <v>0</v>
      </c>
      <c r="Y2719" t="b">
        <v>0</v>
      </c>
      <c r="Z2719" t="b">
        <v>0</v>
      </c>
      <c r="AA2719" t="b">
        <v>0</v>
      </c>
      <c r="AB2719" t="b">
        <v>0</v>
      </c>
      <c r="AC2719" t="b">
        <v>0</v>
      </c>
      <c r="AE2719" t="s">
        <v>6702</v>
      </c>
    </row>
    <row r="2720" spans="1:31" x14ac:dyDescent="0.3">
      <c r="A2720">
        <v>-73.973425927349993</v>
      </c>
      <c r="B2720">
        <v>40.778192991929998</v>
      </c>
      <c r="C2720" t="s">
        <v>6703</v>
      </c>
      <c r="D2720" t="s">
        <v>1759</v>
      </c>
      <c r="E2720" t="s">
        <v>38</v>
      </c>
      <c r="F2720">
        <v>10072018</v>
      </c>
      <c r="G2720">
        <v>3</v>
      </c>
      <c r="H2720" t="s">
        <v>48</v>
      </c>
      <c r="I2720" t="s">
        <v>42</v>
      </c>
      <c r="K2720" t="s">
        <v>43</v>
      </c>
      <c r="P2720" t="b">
        <v>0</v>
      </c>
      <c r="Q2720" t="b">
        <v>0</v>
      </c>
      <c r="R2720" t="b">
        <v>0</v>
      </c>
      <c r="S2720" t="b">
        <v>0</v>
      </c>
      <c r="T2720" t="b">
        <v>0</v>
      </c>
      <c r="V2720" t="b">
        <v>0</v>
      </c>
      <c r="W2720" t="b">
        <v>0</v>
      </c>
      <c r="X2720" t="b">
        <v>0</v>
      </c>
      <c r="Y2720" t="b">
        <v>0</v>
      </c>
      <c r="Z2720" t="b">
        <v>0</v>
      </c>
      <c r="AA2720" t="b">
        <v>0</v>
      </c>
      <c r="AB2720" t="b">
        <v>0</v>
      </c>
      <c r="AC2720" t="b">
        <v>0</v>
      </c>
      <c r="AE2720" t="s">
        <v>6704</v>
      </c>
    </row>
    <row r="2721" spans="1:31" x14ac:dyDescent="0.3">
      <c r="A2721">
        <v>-73.95663007892</v>
      </c>
      <c r="B2721">
        <v>40.799369212080002</v>
      </c>
      <c r="C2721" t="s">
        <v>6705</v>
      </c>
      <c r="D2721" t="s">
        <v>335</v>
      </c>
      <c r="E2721" t="s">
        <v>33</v>
      </c>
      <c r="F2721">
        <v>10132018</v>
      </c>
      <c r="G2721">
        <v>6</v>
      </c>
      <c r="H2721" t="s">
        <v>48</v>
      </c>
      <c r="I2721" t="s">
        <v>42</v>
      </c>
      <c r="J2721" t="s">
        <v>53</v>
      </c>
      <c r="K2721" t="s">
        <v>54</v>
      </c>
      <c r="M2721" t="s">
        <v>65</v>
      </c>
      <c r="N2721" t="b">
        <v>0</v>
      </c>
      <c r="O2721" t="s">
        <v>6706</v>
      </c>
      <c r="P2721" t="b">
        <v>0</v>
      </c>
      <c r="Q2721" t="b">
        <v>0</v>
      </c>
      <c r="R2721" t="b">
        <v>1</v>
      </c>
      <c r="S2721" t="b">
        <v>1</v>
      </c>
      <c r="T2721" t="b">
        <v>0</v>
      </c>
      <c r="V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b">
        <v>0</v>
      </c>
      <c r="AB2721" t="b">
        <v>1</v>
      </c>
      <c r="AC2721" t="b">
        <v>1</v>
      </c>
      <c r="AE2721" t="s">
        <v>6707</v>
      </c>
    </row>
    <row r="2722" spans="1:31" x14ac:dyDescent="0.3">
      <c r="A2722">
        <v>-73.955192340820005</v>
      </c>
      <c r="B2722">
        <v>40.796830266139999</v>
      </c>
      <c r="C2722" t="s">
        <v>6708</v>
      </c>
      <c r="D2722" t="s">
        <v>627</v>
      </c>
      <c r="E2722" t="s">
        <v>33</v>
      </c>
      <c r="F2722">
        <v>10172018</v>
      </c>
      <c r="G2722">
        <v>1</v>
      </c>
      <c r="H2722" t="s">
        <v>48</v>
      </c>
      <c r="I2722" t="s">
        <v>42</v>
      </c>
      <c r="J2722" t="s">
        <v>53</v>
      </c>
      <c r="K2722" t="s">
        <v>54</v>
      </c>
      <c r="M2722" t="s">
        <v>65</v>
      </c>
      <c r="N2722" t="b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1</v>
      </c>
      <c r="V2722" t="b">
        <v>0</v>
      </c>
      <c r="W2722" t="b">
        <v>0</v>
      </c>
      <c r="X2722" t="b">
        <v>0</v>
      </c>
      <c r="Y2722" t="b">
        <v>0</v>
      </c>
      <c r="Z2722" t="b">
        <v>0</v>
      </c>
      <c r="AA2722" t="b">
        <v>0</v>
      </c>
      <c r="AB2722" t="b">
        <v>1</v>
      </c>
      <c r="AC2722" t="b">
        <v>0</v>
      </c>
      <c r="AE2722" t="s">
        <v>6709</v>
      </c>
    </row>
    <row r="2723" spans="1:31" x14ac:dyDescent="0.3">
      <c r="A2723">
        <v>-73.969227113209996</v>
      </c>
      <c r="B2723">
        <v>40.77752850884</v>
      </c>
      <c r="C2723" t="s">
        <v>6710</v>
      </c>
      <c r="D2723" t="s">
        <v>130</v>
      </c>
      <c r="E2723" t="s">
        <v>33</v>
      </c>
      <c r="F2723">
        <v>10082018</v>
      </c>
      <c r="G2723">
        <v>4</v>
      </c>
      <c r="H2723" t="s">
        <v>48</v>
      </c>
      <c r="I2723" t="s">
        <v>42</v>
      </c>
      <c r="K2723" t="s">
        <v>43</v>
      </c>
      <c r="M2723" t="s">
        <v>44</v>
      </c>
      <c r="N2723">
        <v>10</v>
      </c>
      <c r="P2723" t="b">
        <v>0</v>
      </c>
      <c r="Q2723" t="b">
        <v>0</v>
      </c>
      <c r="R2723" t="b">
        <v>1</v>
      </c>
      <c r="S2723" t="b">
        <v>0</v>
      </c>
      <c r="T2723" t="b">
        <v>0</v>
      </c>
      <c r="V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b">
        <v>0</v>
      </c>
      <c r="AB2723" t="b">
        <v>1</v>
      </c>
      <c r="AC2723" t="b">
        <v>0</v>
      </c>
      <c r="AE2723" t="s">
        <v>6711</v>
      </c>
    </row>
    <row r="2724" spans="1:31" x14ac:dyDescent="0.3">
      <c r="A2724">
        <v>-73.960642602760004</v>
      </c>
      <c r="B2724">
        <v>40.791726541979997</v>
      </c>
      <c r="C2724" t="s">
        <v>6712</v>
      </c>
      <c r="D2724" t="s">
        <v>294</v>
      </c>
      <c r="E2724" t="s">
        <v>33</v>
      </c>
      <c r="F2724">
        <v>10062018</v>
      </c>
      <c r="G2724">
        <v>8</v>
      </c>
      <c r="H2724" t="s">
        <v>105</v>
      </c>
      <c r="I2724" t="s">
        <v>42</v>
      </c>
      <c r="J2724" t="s">
        <v>148</v>
      </c>
      <c r="K2724" t="s">
        <v>149</v>
      </c>
      <c r="M2724" t="s">
        <v>65</v>
      </c>
      <c r="N2724" t="b">
        <v>0</v>
      </c>
      <c r="P2724" t="b">
        <v>0</v>
      </c>
      <c r="Q2724" t="b">
        <v>0</v>
      </c>
      <c r="R2724" t="b">
        <v>0</v>
      </c>
      <c r="S2724" t="b">
        <v>1</v>
      </c>
      <c r="T2724" t="b">
        <v>0</v>
      </c>
      <c r="V2724" t="b">
        <v>0</v>
      </c>
      <c r="W2724" t="b">
        <v>0</v>
      </c>
      <c r="X2724" t="b">
        <v>0</v>
      </c>
      <c r="Y2724" t="b">
        <v>0</v>
      </c>
      <c r="Z2724" t="b">
        <v>1</v>
      </c>
      <c r="AA2724" t="b">
        <v>0</v>
      </c>
      <c r="AB2724" t="b">
        <v>0</v>
      </c>
      <c r="AC2724" t="b">
        <v>0</v>
      </c>
      <c r="AD2724" t="s">
        <v>6713</v>
      </c>
      <c r="AE2724" t="s">
        <v>6714</v>
      </c>
    </row>
    <row r="2725" spans="1:31" x14ac:dyDescent="0.3">
      <c r="A2725">
        <v>-73.961143408270004</v>
      </c>
      <c r="B2725">
        <v>40.789367177279999</v>
      </c>
      <c r="C2725" t="s">
        <v>6715</v>
      </c>
      <c r="D2725" t="s">
        <v>1099</v>
      </c>
      <c r="E2725" t="s">
        <v>33</v>
      </c>
      <c r="F2725">
        <v>10082018</v>
      </c>
      <c r="G2725">
        <v>1</v>
      </c>
      <c r="H2725" t="s">
        <v>48</v>
      </c>
      <c r="I2725" t="s">
        <v>42</v>
      </c>
      <c r="J2725" t="s">
        <v>53</v>
      </c>
      <c r="K2725" t="s">
        <v>54</v>
      </c>
      <c r="M2725" t="s">
        <v>44</v>
      </c>
      <c r="N2725">
        <v>40</v>
      </c>
      <c r="P2725" t="b">
        <v>0</v>
      </c>
      <c r="Q2725" t="b">
        <v>0</v>
      </c>
      <c r="R2725" t="b">
        <v>1</v>
      </c>
      <c r="S2725" t="b">
        <v>0</v>
      </c>
      <c r="T2725" t="b">
        <v>0</v>
      </c>
      <c r="V2725" t="b">
        <v>0</v>
      </c>
      <c r="W2725" t="b">
        <v>1</v>
      </c>
      <c r="X2725" t="b">
        <v>0</v>
      </c>
      <c r="Y2725" t="b">
        <v>0</v>
      </c>
      <c r="Z2725" t="b">
        <v>0</v>
      </c>
      <c r="AA2725" t="b">
        <v>0</v>
      </c>
      <c r="AB2725" t="b">
        <v>0</v>
      </c>
      <c r="AC2725" t="b">
        <v>0</v>
      </c>
      <c r="AE2725" t="s">
        <v>6716</v>
      </c>
    </row>
    <row r="2726" spans="1:31" x14ac:dyDescent="0.3">
      <c r="A2726">
        <v>-73.965886766040001</v>
      </c>
      <c r="B2726">
        <v>40.775652357749998</v>
      </c>
      <c r="C2726" t="s">
        <v>6717</v>
      </c>
      <c r="D2726" t="s">
        <v>663</v>
      </c>
      <c r="E2726" t="s">
        <v>33</v>
      </c>
      <c r="F2726">
        <v>10082018</v>
      </c>
      <c r="G2726">
        <v>6</v>
      </c>
      <c r="H2726" t="s">
        <v>105</v>
      </c>
      <c r="I2726" t="s">
        <v>53</v>
      </c>
      <c r="J2726" t="s">
        <v>42</v>
      </c>
      <c r="K2726" t="s">
        <v>89</v>
      </c>
      <c r="M2726" t="s">
        <v>65</v>
      </c>
      <c r="N2726" t="b">
        <v>0</v>
      </c>
      <c r="O2726" t="s">
        <v>6718</v>
      </c>
      <c r="P2726" t="b">
        <v>0</v>
      </c>
      <c r="Q2726" t="b">
        <v>0</v>
      </c>
      <c r="R2726" t="b">
        <v>0</v>
      </c>
      <c r="S2726" t="b">
        <v>1</v>
      </c>
      <c r="T2726" t="b">
        <v>0</v>
      </c>
      <c r="V2726" t="b">
        <v>0</v>
      </c>
      <c r="W2726" t="b">
        <v>0</v>
      </c>
      <c r="X2726" t="b">
        <v>0</v>
      </c>
      <c r="Y2726" t="b">
        <v>0</v>
      </c>
      <c r="Z2726" t="b">
        <v>0</v>
      </c>
      <c r="AA2726" t="b">
        <v>0</v>
      </c>
      <c r="AB2726" t="b">
        <v>1</v>
      </c>
      <c r="AC2726" t="b">
        <v>0</v>
      </c>
      <c r="AE2726" t="s">
        <v>6719</v>
      </c>
    </row>
    <row r="2727" spans="1:31" x14ac:dyDescent="0.3">
      <c r="A2727">
        <v>-73.973420643530005</v>
      </c>
      <c r="B2727">
        <v>40.765785468419999</v>
      </c>
      <c r="C2727" t="s">
        <v>6720</v>
      </c>
      <c r="D2727" t="s">
        <v>767</v>
      </c>
      <c r="E2727" t="s">
        <v>33</v>
      </c>
      <c r="F2727">
        <v>10062018</v>
      </c>
      <c r="G2727">
        <v>1</v>
      </c>
      <c r="H2727" t="s">
        <v>48</v>
      </c>
      <c r="I2727" t="s">
        <v>42</v>
      </c>
      <c r="K2727" t="s">
        <v>43</v>
      </c>
      <c r="M2727" t="s">
        <v>65</v>
      </c>
      <c r="N2727" t="b">
        <v>0</v>
      </c>
      <c r="P2727" t="b">
        <v>0</v>
      </c>
      <c r="Q2727" t="b">
        <v>0</v>
      </c>
      <c r="R2727" t="b">
        <v>0</v>
      </c>
      <c r="S2727" t="b">
        <v>1</v>
      </c>
      <c r="T2727" t="b">
        <v>0</v>
      </c>
      <c r="V2727" t="b">
        <v>0</v>
      </c>
      <c r="W2727" t="b">
        <v>0</v>
      </c>
      <c r="X2727" t="b">
        <v>0</v>
      </c>
      <c r="Y2727" t="b">
        <v>0</v>
      </c>
      <c r="Z2727" t="b">
        <v>0</v>
      </c>
      <c r="AA2727" t="b">
        <v>0</v>
      </c>
      <c r="AB2727" t="b">
        <v>1</v>
      </c>
      <c r="AC2727" t="b">
        <v>0</v>
      </c>
      <c r="AE2727" t="s">
        <v>6721</v>
      </c>
    </row>
    <row r="2728" spans="1:31" x14ac:dyDescent="0.3">
      <c r="A2728">
        <v>-73.974596903920002</v>
      </c>
      <c r="B2728">
        <v>40.776549821570001</v>
      </c>
      <c r="C2728" t="s">
        <v>6722</v>
      </c>
      <c r="D2728" t="s">
        <v>1028</v>
      </c>
      <c r="E2728" t="s">
        <v>33</v>
      </c>
      <c r="F2728">
        <v>10132018</v>
      </c>
      <c r="G2728">
        <v>2</v>
      </c>
      <c r="H2728" t="s">
        <v>48</v>
      </c>
      <c r="I2728" t="s">
        <v>53</v>
      </c>
      <c r="J2728" t="s">
        <v>42</v>
      </c>
      <c r="K2728" t="s">
        <v>89</v>
      </c>
      <c r="M2728" t="s">
        <v>65</v>
      </c>
      <c r="N2728" t="b">
        <v>0</v>
      </c>
      <c r="P2728" t="b">
        <v>1</v>
      </c>
      <c r="Q2728" t="b">
        <v>0</v>
      </c>
      <c r="R2728" t="b">
        <v>1</v>
      </c>
      <c r="S2728" t="b">
        <v>0</v>
      </c>
      <c r="T2728" t="b">
        <v>1</v>
      </c>
      <c r="V2728" t="b">
        <v>0</v>
      </c>
      <c r="W2728" t="b">
        <v>0</v>
      </c>
      <c r="X2728" t="b">
        <v>0</v>
      </c>
      <c r="Y2728" t="b">
        <v>0</v>
      </c>
      <c r="Z2728" t="b">
        <v>1</v>
      </c>
      <c r="AA2728" t="b">
        <v>0</v>
      </c>
      <c r="AB2728" t="b">
        <v>0</v>
      </c>
      <c r="AC2728" t="b">
        <v>1</v>
      </c>
      <c r="AE2728" t="s">
        <v>6723</v>
      </c>
    </row>
    <row r="2729" spans="1:31" x14ac:dyDescent="0.3">
      <c r="A2729">
        <v>-73.950714004600002</v>
      </c>
      <c r="B2729">
        <v>40.795770098630001</v>
      </c>
      <c r="C2729" t="s">
        <v>6724</v>
      </c>
      <c r="D2729" t="s">
        <v>1377</v>
      </c>
      <c r="E2729" t="s">
        <v>33</v>
      </c>
      <c r="F2729">
        <v>10172018</v>
      </c>
      <c r="G2729">
        <v>1</v>
      </c>
      <c r="H2729" t="s">
        <v>48</v>
      </c>
      <c r="I2729" t="s">
        <v>42</v>
      </c>
      <c r="J2729" t="s">
        <v>53</v>
      </c>
      <c r="K2729" t="s">
        <v>54</v>
      </c>
      <c r="L2729" t="s">
        <v>6725</v>
      </c>
      <c r="M2729" t="s">
        <v>65</v>
      </c>
      <c r="N2729" t="b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1</v>
      </c>
      <c r="V2729" t="b">
        <v>0</v>
      </c>
      <c r="W2729" t="b">
        <v>0</v>
      </c>
      <c r="X2729" t="b">
        <v>0</v>
      </c>
      <c r="Y2729" t="b">
        <v>0</v>
      </c>
      <c r="Z2729" t="b">
        <v>0</v>
      </c>
      <c r="AA2729" t="b">
        <v>0</v>
      </c>
      <c r="AB2729" t="b">
        <v>1</v>
      </c>
      <c r="AC2729" t="b">
        <v>0</v>
      </c>
      <c r="AE2729" t="s">
        <v>6726</v>
      </c>
    </row>
    <row r="2730" spans="1:31" x14ac:dyDescent="0.3">
      <c r="A2730">
        <v>-73.961542920339994</v>
      </c>
      <c r="B2730">
        <v>40.790741764869999</v>
      </c>
      <c r="C2730" t="s">
        <v>6727</v>
      </c>
      <c r="D2730" t="s">
        <v>612</v>
      </c>
      <c r="E2730" t="s">
        <v>38</v>
      </c>
      <c r="F2730">
        <v>10142018</v>
      </c>
      <c r="G2730">
        <v>1</v>
      </c>
      <c r="I2730" t="s">
        <v>42</v>
      </c>
      <c r="J2730" t="s">
        <v>53</v>
      </c>
      <c r="K2730" t="s">
        <v>54</v>
      </c>
      <c r="M2730" t="s">
        <v>44</v>
      </c>
      <c r="N2730">
        <v>20</v>
      </c>
      <c r="O2730" t="s">
        <v>6728</v>
      </c>
      <c r="P2730" t="b">
        <v>0</v>
      </c>
      <c r="Q2730" t="b">
        <v>0</v>
      </c>
      <c r="R2730" t="b">
        <v>1</v>
      </c>
      <c r="S2730" t="b">
        <v>0</v>
      </c>
      <c r="T2730" t="b">
        <v>0</v>
      </c>
      <c r="U2730" t="s">
        <v>6729</v>
      </c>
      <c r="V2730" t="b">
        <v>0</v>
      </c>
      <c r="W2730" t="b">
        <v>0</v>
      </c>
      <c r="X2730" t="b">
        <v>1</v>
      </c>
      <c r="Y2730" t="b">
        <v>0</v>
      </c>
      <c r="Z2730" t="b">
        <v>0</v>
      </c>
      <c r="AA2730" t="b">
        <v>0</v>
      </c>
      <c r="AB2730" t="b">
        <v>0</v>
      </c>
      <c r="AC2730" t="b">
        <v>1</v>
      </c>
      <c r="AD2730" t="s">
        <v>6730</v>
      </c>
      <c r="AE2730" t="s">
        <v>6731</v>
      </c>
    </row>
    <row r="2731" spans="1:31" x14ac:dyDescent="0.3">
      <c r="A2731">
        <v>-73.965357575870001</v>
      </c>
      <c r="B2731">
        <v>40.780533995340001</v>
      </c>
      <c r="C2731" t="s">
        <v>6732</v>
      </c>
      <c r="D2731" t="s">
        <v>564</v>
      </c>
      <c r="E2731" t="s">
        <v>33</v>
      </c>
      <c r="F2731">
        <v>10072018</v>
      </c>
      <c r="G2731">
        <v>12</v>
      </c>
      <c r="H2731" t="s">
        <v>48</v>
      </c>
      <c r="I2731" t="s">
        <v>42</v>
      </c>
      <c r="J2731" t="s">
        <v>59</v>
      </c>
      <c r="K2731" t="s">
        <v>79</v>
      </c>
      <c r="M2731" t="s">
        <v>44</v>
      </c>
      <c r="N2731">
        <v>20</v>
      </c>
      <c r="O2731" t="s">
        <v>456</v>
      </c>
      <c r="P2731" t="b">
        <v>0</v>
      </c>
      <c r="Q2731" t="b">
        <v>0</v>
      </c>
      <c r="R2731" t="b">
        <v>1</v>
      </c>
      <c r="S2731" t="b">
        <v>1</v>
      </c>
      <c r="T2731" t="b">
        <v>0</v>
      </c>
      <c r="V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b">
        <v>0</v>
      </c>
      <c r="AB2731" t="b">
        <v>0</v>
      </c>
      <c r="AC2731" t="b">
        <v>0</v>
      </c>
      <c r="AE2731" t="s">
        <v>6733</v>
      </c>
    </row>
    <row r="2732" spans="1:31" x14ac:dyDescent="0.3">
      <c r="A2732">
        <v>-73.959588606319997</v>
      </c>
      <c r="B2732">
        <v>40.791840518260003</v>
      </c>
      <c r="C2732" t="s">
        <v>6734</v>
      </c>
      <c r="D2732" t="s">
        <v>1202</v>
      </c>
      <c r="E2732" t="s">
        <v>38</v>
      </c>
      <c r="F2732">
        <v>10172018</v>
      </c>
      <c r="G2732">
        <v>9</v>
      </c>
      <c r="H2732" t="s">
        <v>48</v>
      </c>
      <c r="I2732" t="s">
        <v>176</v>
      </c>
      <c r="J2732" t="s">
        <v>53</v>
      </c>
      <c r="K2732" t="s">
        <v>705</v>
      </c>
      <c r="M2732" t="s">
        <v>44</v>
      </c>
      <c r="N2732">
        <v>7</v>
      </c>
      <c r="P2732" t="b">
        <v>0</v>
      </c>
      <c r="Q2732" t="b">
        <v>0</v>
      </c>
      <c r="R2732" t="b">
        <v>1</v>
      </c>
      <c r="S2732" t="b">
        <v>0</v>
      </c>
      <c r="T2732" t="b">
        <v>0</v>
      </c>
      <c r="V2732" t="b">
        <v>1</v>
      </c>
      <c r="W2732" t="b">
        <v>1</v>
      </c>
      <c r="X2732" t="b">
        <v>0</v>
      </c>
      <c r="Y2732" t="b">
        <v>0</v>
      </c>
      <c r="Z2732" t="b">
        <v>0</v>
      </c>
      <c r="AA2732" t="b">
        <v>0</v>
      </c>
      <c r="AB2732" t="b">
        <v>1</v>
      </c>
      <c r="AC2732" t="b">
        <v>1</v>
      </c>
      <c r="AE2732" t="s">
        <v>6735</v>
      </c>
    </row>
    <row r="2733" spans="1:31" x14ac:dyDescent="0.3">
      <c r="A2733">
        <v>-73.969418578619994</v>
      </c>
      <c r="B2733">
        <v>40.778718999959999</v>
      </c>
      <c r="C2733" t="s">
        <v>6736</v>
      </c>
      <c r="D2733" t="s">
        <v>709</v>
      </c>
      <c r="E2733" t="s">
        <v>38</v>
      </c>
      <c r="F2733">
        <v>10072018</v>
      </c>
      <c r="G2733">
        <v>6</v>
      </c>
      <c r="H2733" t="s">
        <v>48</v>
      </c>
      <c r="I2733" t="s">
        <v>53</v>
      </c>
      <c r="J2733" t="s">
        <v>59</v>
      </c>
      <c r="K2733" t="s">
        <v>60</v>
      </c>
      <c r="L2733" t="s">
        <v>6737</v>
      </c>
      <c r="M2733" t="s">
        <v>65</v>
      </c>
      <c r="N2733" t="b">
        <v>0</v>
      </c>
      <c r="P2733" t="b">
        <v>1</v>
      </c>
      <c r="Q2733" t="b">
        <v>0</v>
      </c>
      <c r="R2733" t="b">
        <v>0</v>
      </c>
      <c r="S2733" t="b">
        <v>0</v>
      </c>
      <c r="T2733" t="b">
        <v>1</v>
      </c>
      <c r="V2733" t="b">
        <v>0</v>
      </c>
      <c r="W2733" t="b">
        <v>0</v>
      </c>
      <c r="X2733" t="b">
        <v>0</v>
      </c>
      <c r="Y2733" t="b">
        <v>0</v>
      </c>
      <c r="Z2733" t="b">
        <v>0</v>
      </c>
      <c r="AA2733" t="b">
        <v>0</v>
      </c>
      <c r="AB2733" t="b">
        <v>1</v>
      </c>
      <c r="AC2733" t="b">
        <v>0</v>
      </c>
      <c r="AE2733" t="s">
        <v>6738</v>
      </c>
    </row>
    <row r="2734" spans="1:31" x14ac:dyDescent="0.3">
      <c r="A2734">
        <v>-73.969008231489994</v>
      </c>
      <c r="B2734">
        <v>40.773899394289998</v>
      </c>
      <c r="C2734" t="s">
        <v>6739</v>
      </c>
      <c r="D2734" t="s">
        <v>988</v>
      </c>
      <c r="E2734" t="s">
        <v>38</v>
      </c>
      <c r="F2734">
        <v>10122018</v>
      </c>
      <c r="G2734">
        <v>5</v>
      </c>
      <c r="H2734" t="s">
        <v>48</v>
      </c>
      <c r="I2734" t="s">
        <v>42</v>
      </c>
      <c r="J2734" t="s">
        <v>96</v>
      </c>
      <c r="K2734" t="s">
        <v>97</v>
      </c>
      <c r="M2734" t="s">
        <v>65</v>
      </c>
      <c r="N2734" t="b">
        <v>0</v>
      </c>
      <c r="P2734" t="b">
        <v>0</v>
      </c>
      <c r="Q2734" t="b">
        <v>1</v>
      </c>
      <c r="R2734" t="b">
        <v>0</v>
      </c>
      <c r="S2734" t="b">
        <v>0</v>
      </c>
      <c r="T2734" t="b">
        <v>0</v>
      </c>
      <c r="V2734" t="b">
        <v>1</v>
      </c>
      <c r="W2734" t="b">
        <v>0</v>
      </c>
      <c r="X2734" t="b">
        <v>0</v>
      </c>
      <c r="Y2734" t="b">
        <v>0</v>
      </c>
      <c r="Z2734" t="b">
        <v>0</v>
      </c>
      <c r="AA2734" t="b">
        <v>0</v>
      </c>
      <c r="AB2734" t="b">
        <v>0</v>
      </c>
      <c r="AC2734" t="b">
        <v>1</v>
      </c>
      <c r="AE2734" t="s">
        <v>6740</v>
      </c>
    </row>
    <row r="2735" spans="1:31" x14ac:dyDescent="0.3">
      <c r="A2735">
        <v>-73.976362954150005</v>
      </c>
      <c r="B2735">
        <v>40.768232189700001</v>
      </c>
      <c r="C2735" t="s">
        <v>6741</v>
      </c>
      <c r="D2735" t="s">
        <v>215</v>
      </c>
      <c r="E2735" t="s">
        <v>33</v>
      </c>
      <c r="F2735">
        <v>10082018</v>
      </c>
      <c r="G2735">
        <v>4</v>
      </c>
      <c r="H2735" t="s">
        <v>48</v>
      </c>
      <c r="I2735" t="s">
        <v>42</v>
      </c>
      <c r="K2735" t="s">
        <v>43</v>
      </c>
      <c r="M2735" t="s">
        <v>44</v>
      </c>
      <c r="N2735">
        <v>6</v>
      </c>
      <c r="P2735" t="b">
        <v>1</v>
      </c>
      <c r="Q2735" t="b">
        <v>0</v>
      </c>
      <c r="R2735" t="b">
        <v>1</v>
      </c>
      <c r="S2735" t="b">
        <v>0</v>
      </c>
      <c r="T2735" t="b">
        <v>0</v>
      </c>
      <c r="V2735" t="b">
        <v>0</v>
      </c>
      <c r="W2735" t="b">
        <v>0</v>
      </c>
      <c r="X2735" t="b">
        <v>0</v>
      </c>
      <c r="Y2735" t="b">
        <v>0</v>
      </c>
      <c r="Z2735" t="b">
        <v>0</v>
      </c>
      <c r="AA2735" t="b">
        <v>0</v>
      </c>
      <c r="AB2735" t="b">
        <v>0</v>
      </c>
      <c r="AC2735" t="b">
        <v>1</v>
      </c>
      <c r="AE2735" t="s">
        <v>6742</v>
      </c>
    </row>
    <row r="2736" spans="1:31" x14ac:dyDescent="0.3">
      <c r="A2736">
        <v>-73.976809695360004</v>
      </c>
      <c r="B2736">
        <v>40.770818521309998</v>
      </c>
      <c r="C2736" t="s">
        <v>6743</v>
      </c>
      <c r="D2736" t="s">
        <v>88</v>
      </c>
      <c r="E2736" t="s">
        <v>33</v>
      </c>
      <c r="F2736">
        <v>10102018</v>
      </c>
      <c r="G2736">
        <v>8</v>
      </c>
      <c r="H2736" t="s">
        <v>48</v>
      </c>
      <c r="I2736" t="s">
        <v>53</v>
      </c>
      <c r="J2736" t="s">
        <v>115</v>
      </c>
      <c r="K2736" t="s">
        <v>116</v>
      </c>
      <c r="M2736" t="s">
        <v>65</v>
      </c>
      <c r="N2736" t="b">
        <v>0</v>
      </c>
      <c r="P2736" t="b">
        <v>1</v>
      </c>
      <c r="Q2736" t="b">
        <v>0</v>
      </c>
      <c r="R2736" t="b">
        <v>0</v>
      </c>
      <c r="S2736" t="b">
        <v>0</v>
      </c>
      <c r="T2736" t="b">
        <v>0</v>
      </c>
      <c r="V2736" t="b">
        <v>0</v>
      </c>
      <c r="W2736" t="b">
        <v>0</v>
      </c>
      <c r="X2736" t="b">
        <v>0</v>
      </c>
      <c r="Y2736" t="b">
        <v>0</v>
      </c>
      <c r="Z2736" t="b">
        <v>0</v>
      </c>
      <c r="AA2736" t="b">
        <v>0</v>
      </c>
      <c r="AB2736" t="b">
        <v>0</v>
      </c>
      <c r="AC2736" t="b">
        <v>0</v>
      </c>
      <c r="AE2736" t="s">
        <v>6744</v>
      </c>
    </row>
    <row r="2737" spans="1:31" x14ac:dyDescent="0.3">
      <c r="A2737">
        <v>-73.959389525350005</v>
      </c>
      <c r="B2737">
        <v>40.797308584409997</v>
      </c>
      <c r="C2737" t="s">
        <v>6745</v>
      </c>
      <c r="D2737" t="s">
        <v>431</v>
      </c>
      <c r="E2737" t="s">
        <v>38</v>
      </c>
      <c r="F2737">
        <v>10192018</v>
      </c>
      <c r="G2737">
        <v>3</v>
      </c>
      <c r="H2737" t="s">
        <v>105</v>
      </c>
      <c r="I2737" t="s">
        <v>42</v>
      </c>
      <c r="K2737" t="s">
        <v>43</v>
      </c>
      <c r="M2737" t="s">
        <v>65</v>
      </c>
      <c r="N2737" t="b">
        <v>0</v>
      </c>
      <c r="P2737" t="b">
        <v>0</v>
      </c>
      <c r="Q2737" t="b">
        <v>0</v>
      </c>
      <c r="R2737" t="b">
        <v>0</v>
      </c>
      <c r="S2737" t="b">
        <v>1</v>
      </c>
      <c r="T2737" t="b">
        <v>1</v>
      </c>
      <c r="V2737" t="b">
        <v>0</v>
      </c>
      <c r="W2737" t="b">
        <v>0</v>
      </c>
      <c r="X2737" t="b">
        <v>0</v>
      </c>
      <c r="Y2737" t="b">
        <v>0</v>
      </c>
      <c r="Z2737" t="b">
        <v>1</v>
      </c>
      <c r="AA2737" t="b">
        <v>0</v>
      </c>
      <c r="AB2737" t="b">
        <v>1</v>
      </c>
      <c r="AC2737" t="b">
        <v>0</v>
      </c>
      <c r="AE2737" t="s">
        <v>6746</v>
      </c>
    </row>
    <row r="2738" spans="1:31" x14ac:dyDescent="0.3">
      <c r="A2738">
        <v>-73.970368351019999</v>
      </c>
      <c r="B2738">
        <v>40.774397536400002</v>
      </c>
      <c r="C2738" t="s">
        <v>6747</v>
      </c>
      <c r="D2738" t="s">
        <v>646</v>
      </c>
      <c r="E2738" t="s">
        <v>33</v>
      </c>
      <c r="F2738">
        <v>10072018</v>
      </c>
      <c r="G2738">
        <v>10</v>
      </c>
      <c r="H2738" t="s">
        <v>48</v>
      </c>
      <c r="I2738" t="s">
        <v>42</v>
      </c>
      <c r="J2738" t="s">
        <v>53</v>
      </c>
      <c r="K2738" t="s">
        <v>54</v>
      </c>
      <c r="P2738" t="b">
        <v>0</v>
      </c>
      <c r="Q2738" t="b">
        <v>0</v>
      </c>
      <c r="R2738" t="b">
        <v>0</v>
      </c>
      <c r="S2738" t="b">
        <v>0</v>
      </c>
      <c r="T2738" t="b">
        <v>1</v>
      </c>
      <c r="V2738" t="b">
        <v>0</v>
      </c>
      <c r="W2738" t="b">
        <v>0</v>
      </c>
      <c r="X2738" t="b">
        <v>0</v>
      </c>
      <c r="Y2738" t="b">
        <v>0</v>
      </c>
      <c r="Z2738" t="b">
        <v>0</v>
      </c>
      <c r="AA2738" t="b">
        <v>0</v>
      </c>
      <c r="AB2738" t="b">
        <v>1</v>
      </c>
      <c r="AC2738" t="b">
        <v>0</v>
      </c>
      <c r="AE2738" t="s">
        <v>6748</v>
      </c>
    </row>
    <row r="2739" spans="1:31" x14ac:dyDescent="0.3">
      <c r="A2739">
        <v>-73.969180179139997</v>
      </c>
      <c r="B2739">
        <v>40.770927235359999</v>
      </c>
      <c r="C2739" t="s">
        <v>6749</v>
      </c>
      <c r="D2739" t="s">
        <v>1780</v>
      </c>
      <c r="E2739" t="s">
        <v>38</v>
      </c>
      <c r="F2739">
        <v>10142018</v>
      </c>
      <c r="G2739">
        <v>4</v>
      </c>
      <c r="H2739" t="s">
        <v>48</v>
      </c>
      <c r="I2739" t="s">
        <v>42</v>
      </c>
      <c r="J2739" t="s">
        <v>53</v>
      </c>
      <c r="K2739" t="s">
        <v>54</v>
      </c>
      <c r="M2739" t="s">
        <v>65</v>
      </c>
      <c r="N2739" t="b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1</v>
      </c>
      <c r="V2739" t="b">
        <v>0</v>
      </c>
      <c r="W2739" t="b">
        <v>0</v>
      </c>
      <c r="X2739" t="b">
        <v>0</v>
      </c>
      <c r="Y2739" t="b">
        <v>0</v>
      </c>
      <c r="Z2739" t="b">
        <v>0</v>
      </c>
      <c r="AA2739" t="b">
        <v>0</v>
      </c>
      <c r="AB2739" t="b">
        <v>0</v>
      </c>
      <c r="AC2739" t="b">
        <v>0</v>
      </c>
      <c r="AE2739" t="s">
        <v>6750</v>
      </c>
    </row>
    <row r="2740" spans="1:31" x14ac:dyDescent="0.3">
      <c r="A2740">
        <v>-73.968196013859995</v>
      </c>
      <c r="B2740">
        <v>40.772686742200001</v>
      </c>
      <c r="C2740" t="s">
        <v>6751</v>
      </c>
      <c r="D2740" t="s">
        <v>58</v>
      </c>
      <c r="E2740" t="s">
        <v>38</v>
      </c>
      <c r="F2740">
        <v>10102018</v>
      </c>
      <c r="G2740">
        <v>2</v>
      </c>
      <c r="I2740" t="s">
        <v>53</v>
      </c>
      <c r="J2740" t="s">
        <v>42</v>
      </c>
      <c r="K2740" t="s">
        <v>89</v>
      </c>
      <c r="P2740" t="b">
        <v>0</v>
      </c>
      <c r="Q2740" t="b">
        <v>0</v>
      </c>
      <c r="R2740" t="b">
        <v>0</v>
      </c>
      <c r="S2740" t="b">
        <v>1</v>
      </c>
      <c r="T2740" t="b">
        <v>0</v>
      </c>
      <c r="V2740" t="b">
        <v>0</v>
      </c>
      <c r="W2740" t="b">
        <v>0</v>
      </c>
      <c r="X2740" t="b">
        <v>0</v>
      </c>
      <c r="Y2740" t="b">
        <v>0</v>
      </c>
      <c r="Z2740" t="b">
        <v>1</v>
      </c>
      <c r="AA2740" t="b">
        <v>0</v>
      </c>
      <c r="AB2740" t="b">
        <v>1</v>
      </c>
      <c r="AC2740" t="b">
        <v>0</v>
      </c>
      <c r="AE2740" t="s">
        <v>6752</v>
      </c>
    </row>
    <row r="2741" spans="1:31" x14ac:dyDescent="0.3">
      <c r="A2741">
        <v>-73.961265868889996</v>
      </c>
      <c r="B2741">
        <v>40.791211994050002</v>
      </c>
      <c r="C2741" t="s">
        <v>6753</v>
      </c>
      <c r="D2741" t="s">
        <v>607</v>
      </c>
      <c r="E2741" t="s">
        <v>38</v>
      </c>
      <c r="F2741">
        <v>10142018</v>
      </c>
      <c r="G2741">
        <v>4</v>
      </c>
      <c r="H2741" t="s">
        <v>48</v>
      </c>
      <c r="I2741" t="s">
        <v>42</v>
      </c>
      <c r="K2741" t="s">
        <v>43</v>
      </c>
      <c r="M2741" t="s">
        <v>44</v>
      </c>
      <c r="N2741">
        <v>8</v>
      </c>
      <c r="P2741" t="b">
        <v>0</v>
      </c>
      <c r="Q2741" t="b">
        <v>0</v>
      </c>
      <c r="R2741" t="b">
        <v>0</v>
      </c>
      <c r="S2741" t="b">
        <v>1</v>
      </c>
      <c r="T2741" t="b">
        <v>0</v>
      </c>
      <c r="V2741" t="b">
        <v>0</v>
      </c>
      <c r="W2741" t="b">
        <v>0</v>
      </c>
      <c r="X2741" t="b">
        <v>0</v>
      </c>
      <c r="Y2741" t="b">
        <v>0</v>
      </c>
      <c r="Z2741" t="b">
        <v>0</v>
      </c>
      <c r="AA2741" t="b">
        <v>0</v>
      </c>
      <c r="AB2741" t="b">
        <v>0</v>
      </c>
      <c r="AC2741" t="b">
        <v>0</v>
      </c>
      <c r="AE2741" t="s">
        <v>6754</v>
      </c>
    </row>
    <row r="2742" spans="1:31" x14ac:dyDescent="0.3">
      <c r="A2742">
        <v>-73.95458777412</v>
      </c>
      <c r="B2742">
        <v>40.790000121040002</v>
      </c>
      <c r="C2742" t="s">
        <v>6755</v>
      </c>
      <c r="D2742" t="s">
        <v>921</v>
      </c>
      <c r="E2742" t="s">
        <v>33</v>
      </c>
      <c r="F2742">
        <v>10062018</v>
      </c>
      <c r="G2742">
        <v>1</v>
      </c>
      <c r="H2742" t="s">
        <v>48</v>
      </c>
      <c r="I2742" t="s">
        <v>42</v>
      </c>
      <c r="K2742" t="s">
        <v>43</v>
      </c>
      <c r="M2742" t="s">
        <v>65</v>
      </c>
      <c r="N2742" t="b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1</v>
      </c>
      <c r="V2742" t="b">
        <v>0</v>
      </c>
      <c r="W2742" t="b">
        <v>0</v>
      </c>
      <c r="X2742" t="b">
        <v>0</v>
      </c>
      <c r="Y2742" t="b">
        <v>0</v>
      </c>
      <c r="Z2742" t="b">
        <v>0</v>
      </c>
      <c r="AA2742" t="b">
        <v>0</v>
      </c>
      <c r="AB2742" t="b">
        <v>0</v>
      </c>
      <c r="AC2742" t="b">
        <v>0</v>
      </c>
      <c r="AE2742" t="s">
        <v>6756</v>
      </c>
    </row>
    <row r="2743" spans="1:31" x14ac:dyDescent="0.3">
      <c r="A2743">
        <v>-73.962804157790004</v>
      </c>
      <c r="B2743">
        <v>40.788418015609999</v>
      </c>
      <c r="C2743" t="s">
        <v>6757</v>
      </c>
      <c r="D2743" t="s">
        <v>1049</v>
      </c>
      <c r="E2743" t="s">
        <v>38</v>
      </c>
      <c r="F2743">
        <v>10122018</v>
      </c>
      <c r="G2743">
        <v>6</v>
      </c>
      <c r="H2743" t="s">
        <v>105</v>
      </c>
      <c r="I2743" t="s">
        <v>53</v>
      </c>
      <c r="J2743" t="s">
        <v>59</v>
      </c>
      <c r="K2743" t="s">
        <v>60</v>
      </c>
      <c r="M2743" t="s">
        <v>44</v>
      </c>
      <c r="N2743">
        <v>5</v>
      </c>
      <c r="P2743" t="b">
        <v>0</v>
      </c>
      <c r="Q2743" t="b">
        <v>0</v>
      </c>
      <c r="R2743" t="b">
        <v>0</v>
      </c>
      <c r="S2743" t="b">
        <v>1</v>
      </c>
      <c r="T2743" t="b">
        <v>0</v>
      </c>
      <c r="V2743" t="b">
        <v>0</v>
      </c>
      <c r="W2743" t="b">
        <v>0</v>
      </c>
      <c r="X2743" t="b">
        <v>0</v>
      </c>
      <c r="Y2743" t="b">
        <v>0</v>
      </c>
      <c r="Z2743" t="b">
        <v>0</v>
      </c>
      <c r="AA2743" t="b">
        <v>0</v>
      </c>
      <c r="AB2743" t="b">
        <v>0</v>
      </c>
      <c r="AC2743" t="b">
        <v>1</v>
      </c>
      <c r="AE2743" t="s">
        <v>6758</v>
      </c>
    </row>
    <row r="2744" spans="1:31" x14ac:dyDescent="0.3">
      <c r="A2744">
        <v>-73.958717961380003</v>
      </c>
      <c r="B2744">
        <v>40.799211957170002</v>
      </c>
      <c r="C2744" t="s">
        <v>6759</v>
      </c>
      <c r="D2744" t="s">
        <v>468</v>
      </c>
      <c r="E2744" t="s">
        <v>33</v>
      </c>
      <c r="F2744">
        <v>10072018</v>
      </c>
      <c r="G2744">
        <v>1</v>
      </c>
      <c r="H2744" t="s">
        <v>48</v>
      </c>
      <c r="I2744" t="s">
        <v>42</v>
      </c>
      <c r="J2744" t="s">
        <v>59</v>
      </c>
      <c r="K2744" t="s">
        <v>79</v>
      </c>
      <c r="M2744" t="s">
        <v>65</v>
      </c>
      <c r="N2744" t="b">
        <v>0</v>
      </c>
      <c r="P2744" t="b">
        <v>1</v>
      </c>
      <c r="Q2744" t="b">
        <v>0</v>
      </c>
      <c r="R2744" t="b">
        <v>0</v>
      </c>
      <c r="S2744" t="b">
        <v>0</v>
      </c>
      <c r="T2744" t="b">
        <v>0</v>
      </c>
      <c r="V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b">
        <v>0</v>
      </c>
      <c r="AB2744" t="b">
        <v>0</v>
      </c>
      <c r="AC2744" t="b">
        <v>0</v>
      </c>
      <c r="AE2744" t="s">
        <v>6760</v>
      </c>
    </row>
    <row r="2745" spans="1:31" x14ac:dyDescent="0.3">
      <c r="A2745">
        <v>-73.975291560170007</v>
      </c>
      <c r="B2745">
        <v>40.773932957</v>
      </c>
      <c r="C2745" t="s">
        <v>6761</v>
      </c>
      <c r="D2745" t="s">
        <v>790</v>
      </c>
      <c r="E2745" t="s">
        <v>38</v>
      </c>
      <c r="F2745">
        <v>10102018</v>
      </c>
      <c r="G2745">
        <v>4</v>
      </c>
      <c r="K2745" t="s">
        <v>34</v>
      </c>
      <c r="M2745" t="s">
        <v>44</v>
      </c>
      <c r="N2745">
        <v>10</v>
      </c>
      <c r="P2745" t="b">
        <v>1</v>
      </c>
      <c r="Q2745" t="b">
        <v>0</v>
      </c>
      <c r="R2745" t="b">
        <v>1</v>
      </c>
      <c r="S2745" t="b">
        <v>0</v>
      </c>
      <c r="T2745" t="b">
        <v>0</v>
      </c>
      <c r="V2745" t="b">
        <v>0</v>
      </c>
      <c r="W2745" t="b">
        <v>0</v>
      </c>
      <c r="X2745" t="b">
        <v>0</v>
      </c>
      <c r="Y2745" t="b">
        <v>0</v>
      </c>
      <c r="Z2745" t="b">
        <v>0</v>
      </c>
      <c r="AA2745" t="b">
        <v>0</v>
      </c>
      <c r="AB2745" t="b">
        <v>0</v>
      </c>
      <c r="AC2745" t="b">
        <v>0</v>
      </c>
      <c r="AE2745" t="s">
        <v>6762</v>
      </c>
    </row>
    <row r="2746" spans="1:31" x14ac:dyDescent="0.3">
      <c r="A2746">
        <v>-73.972962593630001</v>
      </c>
      <c r="B2746">
        <v>40.765260185130003</v>
      </c>
      <c r="C2746" t="s">
        <v>6763</v>
      </c>
      <c r="D2746" t="s">
        <v>4236</v>
      </c>
      <c r="E2746" t="s">
        <v>33</v>
      </c>
      <c r="F2746">
        <v>10122018</v>
      </c>
      <c r="G2746">
        <v>4</v>
      </c>
      <c r="H2746" t="s">
        <v>105</v>
      </c>
      <c r="I2746" t="s">
        <v>53</v>
      </c>
      <c r="J2746" t="s">
        <v>59</v>
      </c>
      <c r="K2746" t="s">
        <v>60</v>
      </c>
      <c r="L2746" t="s">
        <v>6764</v>
      </c>
      <c r="M2746" t="s">
        <v>44</v>
      </c>
      <c r="N2746">
        <v>2</v>
      </c>
      <c r="O2746" t="s">
        <v>6765</v>
      </c>
      <c r="P2746" t="b">
        <v>0</v>
      </c>
      <c r="Q2746" t="b">
        <v>0</v>
      </c>
      <c r="R2746" t="b">
        <v>1</v>
      </c>
      <c r="S2746" t="b">
        <v>0</v>
      </c>
      <c r="T2746" t="b">
        <v>0</v>
      </c>
      <c r="V2746" t="b">
        <v>0</v>
      </c>
      <c r="W2746" t="b">
        <v>0</v>
      </c>
      <c r="X2746" t="b">
        <v>0</v>
      </c>
      <c r="Y2746" t="b">
        <v>0</v>
      </c>
      <c r="Z2746" t="b">
        <v>1</v>
      </c>
      <c r="AA2746" t="b">
        <v>0</v>
      </c>
      <c r="AB2746" t="b">
        <v>0</v>
      </c>
      <c r="AC2746" t="b">
        <v>1</v>
      </c>
      <c r="AE2746" t="s">
        <v>6766</v>
      </c>
    </row>
    <row r="2747" spans="1:31" x14ac:dyDescent="0.3">
      <c r="A2747">
        <v>-73.956143283689997</v>
      </c>
      <c r="B2747">
        <v>40.79826653472</v>
      </c>
      <c r="C2747" t="s">
        <v>6767</v>
      </c>
      <c r="D2747" t="s">
        <v>1130</v>
      </c>
      <c r="E2747" t="s">
        <v>38</v>
      </c>
      <c r="F2747">
        <v>10172018</v>
      </c>
      <c r="G2747">
        <v>7</v>
      </c>
      <c r="H2747" t="s">
        <v>48</v>
      </c>
      <c r="I2747" t="s">
        <v>53</v>
      </c>
      <c r="J2747" t="s">
        <v>42</v>
      </c>
      <c r="K2747" t="s">
        <v>89</v>
      </c>
      <c r="M2747" t="s">
        <v>65</v>
      </c>
      <c r="N2747" t="b">
        <v>0</v>
      </c>
      <c r="P2747" t="b">
        <v>0</v>
      </c>
      <c r="Q2747" t="b">
        <v>0</v>
      </c>
      <c r="R2747" t="b">
        <v>0</v>
      </c>
      <c r="S2747" t="b">
        <v>0</v>
      </c>
      <c r="T2747" t="b">
        <v>1</v>
      </c>
      <c r="V2747" t="b">
        <v>0</v>
      </c>
      <c r="W2747" t="b">
        <v>0</v>
      </c>
      <c r="X2747" t="b">
        <v>0</v>
      </c>
      <c r="Y2747" t="b">
        <v>0</v>
      </c>
      <c r="Z2747" t="b">
        <v>1</v>
      </c>
      <c r="AA2747" t="b">
        <v>0</v>
      </c>
      <c r="AB2747" t="b">
        <v>1</v>
      </c>
      <c r="AC2747" t="b">
        <v>0</v>
      </c>
      <c r="AE2747" t="s">
        <v>6768</v>
      </c>
    </row>
    <row r="2748" spans="1:31" x14ac:dyDescent="0.3">
      <c r="A2748">
        <v>-73.971314838370006</v>
      </c>
      <c r="B2748">
        <v>40.774951285039997</v>
      </c>
      <c r="C2748" t="s">
        <v>6769</v>
      </c>
      <c r="D2748" t="s">
        <v>726</v>
      </c>
      <c r="E2748" t="s">
        <v>38</v>
      </c>
      <c r="F2748">
        <v>10172018</v>
      </c>
      <c r="G2748">
        <v>3</v>
      </c>
      <c r="H2748" t="s">
        <v>48</v>
      </c>
      <c r="I2748" t="s">
        <v>42</v>
      </c>
      <c r="J2748" t="s">
        <v>53</v>
      </c>
      <c r="K2748" t="s">
        <v>54</v>
      </c>
      <c r="M2748" t="s">
        <v>44</v>
      </c>
      <c r="N2748">
        <v>8</v>
      </c>
      <c r="P2748" t="b">
        <v>0</v>
      </c>
      <c r="Q2748" t="b">
        <v>0</v>
      </c>
      <c r="R2748" t="b">
        <v>1</v>
      </c>
      <c r="S2748" t="b">
        <v>0</v>
      </c>
      <c r="T2748" t="b">
        <v>1</v>
      </c>
      <c r="V2748" t="b">
        <v>0</v>
      </c>
      <c r="W2748" t="b">
        <v>0</v>
      </c>
      <c r="X2748" t="b">
        <v>0</v>
      </c>
      <c r="Y2748" t="b">
        <v>0</v>
      </c>
      <c r="Z2748" t="b">
        <v>0</v>
      </c>
      <c r="AA2748" t="b">
        <v>0</v>
      </c>
      <c r="AB2748" t="b">
        <v>1</v>
      </c>
      <c r="AC2748" t="b">
        <v>0</v>
      </c>
      <c r="AE2748" t="s">
        <v>6770</v>
      </c>
    </row>
    <row r="2749" spans="1:31" x14ac:dyDescent="0.3">
      <c r="A2749">
        <v>-73.960094705030002</v>
      </c>
      <c r="B2749">
        <v>40.79160661377</v>
      </c>
      <c r="C2749" t="s">
        <v>6771</v>
      </c>
      <c r="D2749" t="s">
        <v>1202</v>
      </c>
      <c r="E2749" t="s">
        <v>38</v>
      </c>
      <c r="F2749">
        <v>10172018</v>
      </c>
      <c r="G2749">
        <v>1</v>
      </c>
      <c r="H2749" t="s">
        <v>48</v>
      </c>
      <c r="I2749" t="s">
        <v>42</v>
      </c>
      <c r="J2749" t="s">
        <v>53</v>
      </c>
      <c r="K2749" t="s">
        <v>54</v>
      </c>
      <c r="M2749" t="s">
        <v>44</v>
      </c>
      <c r="N2749">
        <v>5</v>
      </c>
      <c r="P2749" t="b">
        <v>0</v>
      </c>
      <c r="Q2749" t="b">
        <v>0</v>
      </c>
      <c r="R2749" t="b">
        <v>1</v>
      </c>
      <c r="S2749" t="b">
        <v>0</v>
      </c>
      <c r="T2749" t="b">
        <v>0</v>
      </c>
      <c r="V2749" t="b">
        <v>0</v>
      </c>
      <c r="W2749" t="b">
        <v>0</v>
      </c>
      <c r="X2749" t="b">
        <v>0</v>
      </c>
      <c r="Y2749" t="b">
        <v>0</v>
      </c>
      <c r="Z2749" t="b">
        <v>0</v>
      </c>
      <c r="AA2749" t="b">
        <v>0</v>
      </c>
      <c r="AB2749" t="b">
        <v>1</v>
      </c>
      <c r="AC2749" t="b">
        <v>0</v>
      </c>
      <c r="AE2749" t="s">
        <v>6772</v>
      </c>
    </row>
    <row r="2750" spans="1:31" x14ac:dyDescent="0.3">
      <c r="A2750">
        <v>-73.972967003210002</v>
      </c>
      <c r="B2750">
        <v>40.771184843820002</v>
      </c>
      <c r="C2750" t="s">
        <v>6773</v>
      </c>
      <c r="D2750" t="s">
        <v>353</v>
      </c>
      <c r="E2750" t="s">
        <v>38</v>
      </c>
      <c r="F2750">
        <v>10082018</v>
      </c>
      <c r="G2750">
        <v>17</v>
      </c>
      <c r="H2750" t="s">
        <v>48</v>
      </c>
      <c r="I2750" t="s">
        <v>42</v>
      </c>
      <c r="K2750" t="s">
        <v>43</v>
      </c>
      <c r="M2750" t="s">
        <v>65</v>
      </c>
      <c r="N2750" t="b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1</v>
      </c>
      <c r="U2750" t="s">
        <v>5110</v>
      </c>
      <c r="V2750" t="b">
        <v>0</v>
      </c>
      <c r="W2750" t="b">
        <v>0</v>
      </c>
      <c r="X2750" t="b">
        <v>0</v>
      </c>
      <c r="Y2750" t="b">
        <v>0</v>
      </c>
      <c r="Z2750" t="b">
        <v>0</v>
      </c>
      <c r="AA2750" t="b">
        <v>0</v>
      </c>
      <c r="AB2750" t="b">
        <v>0</v>
      </c>
      <c r="AC2750" t="b">
        <v>1</v>
      </c>
      <c r="AE2750" t="s">
        <v>6774</v>
      </c>
    </row>
    <row r="2751" spans="1:31" x14ac:dyDescent="0.3">
      <c r="A2751">
        <v>-73.95777599809</v>
      </c>
      <c r="B2751">
        <v>40.793288093740003</v>
      </c>
      <c r="C2751" t="s">
        <v>6775</v>
      </c>
      <c r="D2751" t="s">
        <v>483</v>
      </c>
      <c r="E2751" t="s">
        <v>33</v>
      </c>
      <c r="F2751">
        <v>10062018</v>
      </c>
      <c r="G2751">
        <v>5</v>
      </c>
      <c r="H2751" t="s">
        <v>48</v>
      </c>
      <c r="I2751" t="s">
        <v>42</v>
      </c>
      <c r="K2751" t="s">
        <v>43</v>
      </c>
      <c r="M2751" t="s">
        <v>65</v>
      </c>
      <c r="N2751" t="b">
        <v>0</v>
      </c>
      <c r="P2751" t="b">
        <v>0</v>
      </c>
      <c r="Q2751" t="b">
        <v>0</v>
      </c>
      <c r="R2751" t="b">
        <v>0</v>
      </c>
      <c r="S2751" t="b">
        <v>1</v>
      </c>
      <c r="T2751" t="b">
        <v>1</v>
      </c>
      <c r="V2751" t="b">
        <v>0</v>
      </c>
      <c r="W2751" t="b">
        <v>0</v>
      </c>
      <c r="X2751" t="b">
        <v>0</v>
      </c>
      <c r="Y2751" t="b">
        <v>0</v>
      </c>
      <c r="Z2751" t="b">
        <v>0</v>
      </c>
      <c r="AA2751" t="b">
        <v>1</v>
      </c>
      <c r="AB2751" t="b">
        <v>0</v>
      </c>
      <c r="AC2751" t="b">
        <v>0</v>
      </c>
      <c r="AE2751" t="s">
        <v>6776</v>
      </c>
    </row>
    <row r="2752" spans="1:31" x14ac:dyDescent="0.3">
      <c r="A2752">
        <v>-73.956289117159997</v>
      </c>
      <c r="B2752">
        <v>40.795339399379998</v>
      </c>
      <c r="C2752" t="s">
        <v>6777</v>
      </c>
      <c r="D2752" t="s">
        <v>520</v>
      </c>
      <c r="E2752" t="s">
        <v>38</v>
      </c>
      <c r="F2752">
        <v>10102018</v>
      </c>
      <c r="G2752">
        <v>11</v>
      </c>
      <c r="H2752" t="s">
        <v>48</v>
      </c>
      <c r="I2752" t="s">
        <v>42</v>
      </c>
      <c r="J2752" t="s">
        <v>53</v>
      </c>
      <c r="K2752" t="s">
        <v>54</v>
      </c>
      <c r="M2752" t="s">
        <v>65</v>
      </c>
      <c r="N2752" t="b">
        <v>0</v>
      </c>
      <c r="O2752" t="s">
        <v>6778</v>
      </c>
      <c r="P2752" t="b">
        <v>0</v>
      </c>
      <c r="Q2752" t="b">
        <v>0</v>
      </c>
      <c r="R2752" t="b">
        <v>0</v>
      </c>
      <c r="S2752" t="b">
        <v>0</v>
      </c>
      <c r="T2752" t="b">
        <v>1</v>
      </c>
      <c r="V2752" t="b">
        <v>0</v>
      </c>
      <c r="W2752" t="b">
        <v>0</v>
      </c>
      <c r="X2752" t="b">
        <v>0</v>
      </c>
      <c r="Y2752" t="b">
        <v>1</v>
      </c>
      <c r="Z2752" t="b">
        <v>0</v>
      </c>
      <c r="AA2752" t="b">
        <v>0</v>
      </c>
      <c r="AB2752" t="b">
        <v>1</v>
      </c>
      <c r="AC2752" t="b">
        <v>0</v>
      </c>
      <c r="AE2752" t="s">
        <v>6779</v>
      </c>
    </row>
    <row r="2753" spans="1:31" x14ac:dyDescent="0.3">
      <c r="A2753">
        <v>-73.972069937750007</v>
      </c>
      <c r="B2753">
        <v>40.765940262779999</v>
      </c>
      <c r="C2753" t="s">
        <v>6780</v>
      </c>
      <c r="D2753" t="s">
        <v>985</v>
      </c>
      <c r="E2753" t="s">
        <v>33</v>
      </c>
      <c r="F2753">
        <v>10132018</v>
      </c>
      <c r="G2753">
        <v>4</v>
      </c>
      <c r="H2753" t="s">
        <v>48</v>
      </c>
      <c r="I2753" t="s">
        <v>53</v>
      </c>
      <c r="J2753" t="s">
        <v>42</v>
      </c>
      <c r="K2753" t="s">
        <v>89</v>
      </c>
      <c r="M2753" t="s">
        <v>65</v>
      </c>
      <c r="N2753" t="b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1</v>
      </c>
      <c r="V2753" t="b">
        <v>0</v>
      </c>
      <c r="W2753" t="b">
        <v>0</v>
      </c>
      <c r="X2753" t="b">
        <v>0</v>
      </c>
      <c r="Y2753" t="b">
        <v>0</v>
      </c>
      <c r="Z2753" t="b">
        <v>0</v>
      </c>
      <c r="AA2753" t="b">
        <v>0</v>
      </c>
      <c r="AB2753" t="b">
        <v>1</v>
      </c>
      <c r="AC2753" t="b">
        <v>0</v>
      </c>
      <c r="AE2753" t="s">
        <v>6781</v>
      </c>
    </row>
    <row r="2754" spans="1:31" x14ac:dyDescent="0.3">
      <c r="A2754">
        <v>-73.968109082500007</v>
      </c>
      <c r="B2754">
        <v>40.783827583030003</v>
      </c>
      <c r="C2754" t="s">
        <v>6782</v>
      </c>
      <c r="D2754" t="s">
        <v>320</v>
      </c>
      <c r="E2754" t="s">
        <v>33</v>
      </c>
      <c r="F2754">
        <v>10142018</v>
      </c>
      <c r="G2754">
        <v>4</v>
      </c>
      <c r="H2754" t="s">
        <v>48</v>
      </c>
      <c r="I2754" t="s">
        <v>53</v>
      </c>
      <c r="K2754" t="s">
        <v>155</v>
      </c>
      <c r="M2754" t="s">
        <v>65</v>
      </c>
      <c r="N2754" t="b">
        <v>0</v>
      </c>
      <c r="P2754" t="b">
        <v>0</v>
      </c>
      <c r="Q2754" t="b">
        <v>0</v>
      </c>
      <c r="R2754" t="b">
        <v>0</v>
      </c>
      <c r="S2754" t="b">
        <v>0</v>
      </c>
      <c r="T2754" t="b">
        <v>1</v>
      </c>
      <c r="V2754" t="b">
        <v>0</v>
      </c>
      <c r="W2754" t="b">
        <v>0</v>
      </c>
      <c r="X2754" t="b">
        <v>0</v>
      </c>
      <c r="Y2754" t="b">
        <v>0</v>
      </c>
      <c r="Z2754" t="b">
        <v>0</v>
      </c>
      <c r="AA2754" t="b">
        <v>0</v>
      </c>
      <c r="AB2754" t="b">
        <v>1</v>
      </c>
      <c r="AC2754" t="b">
        <v>0</v>
      </c>
      <c r="AE2754" t="s">
        <v>6783</v>
      </c>
    </row>
    <row r="2755" spans="1:31" x14ac:dyDescent="0.3">
      <c r="A2755">
        <v>-73.968702591240003</v>
      </c>
      <c r="B2755">
        <v>40.77193198226</v>
      </c>
      <c r="C2755" t="s">
        <v>6784</v>
      </c>
      <c r="D2755" t="s">
        <v>1251</v>
      </c>
      <c r="E2755" t="s">
        <v>38</v>
      </c>
      <c r="F2755">
        <v>10142018</v>
      </c>
      <c r="G2755">
        <v>4</v>
      </c>
      <c r="H2755" t="s">
        <v>105</v>
      </c>
      <c r="K2755" t="s">
        <v>34</v>
      </c>
      <c r="M2755" t="s">
        <v>44</v>
      </c>
      <c r="N2755">
        <v>20</v>
      </c>
      <c r="P2755" t="b">
        <v>0</v>
      </c>
      <c r="Q2755" t="b">
        <v>0</v>
      </c>
      <c r="R2755" t="b">
        <v>1</v>
      </c>
      <c r="S2755" t="b">
        <v>0</v>
      </c>
      <c r="T2755" t="b">
        <v>0</v>
      </c>
      <c r="V2755" t="b">
        <v>0</v>
      </c>
      <c r="W2755" t="b">
        <v>0</v>
      </c>
      <c r="X2755" t="b">
        <v>0</v>
      </c>
      <c r="Y2755" t="b">
        <v>0</v>
      </c>
      <c r="Z2755" t="b">
        <v>0</v>
      </c>
      <c r="AA2755" t="b">
        <v>0</v>
      </c>
      <c r="AB2755" t="b">
        <v>0</v>
      </c>
      <c r="AC2755" t="b">
        <v>0</v>
      </c>
      <c r="AE2755" t="s">
        <v>6785</v>
      </c>
    </row>
    <row r="2756" spans="1:31" x14ac:dyDescent="0.3">
      <c r="A2756">
        <v>-73.971202211100007</v>
      </c>
      <c r="B2756">
        <v>40.767250436829997</v>
      </c>
      <c r="C2756" t="s">
        <v>6786</v>
      </c>
      <c r="D2756" t="s">
        <v>1240</v>
      </c>
      <c r="E2756" t="s">
        <v>38</v>
      </c>
      <c r="F2756">
        <v>10062018</v>
      </c>
      <c r="G2756">
        <v>1</v>
      </c>
      <c r="H2756" t="s">
        <v>48</v>
      </c>
      <c r="I2756" t="s">
        <v>176</v>
      </c>
      <c r="K2756" t="s">
        <v>177</v>
      </c>
      <c r="M2756" t="s">
        <v>44</v>
      </c>
      <c r="N2756">
        <v>3</v>
      </c>
      <c r="O2756" t="s">
        <v>6787</v>
      </c>
      <c r="P2756" t="b">
        <v>1</v>
      </c>
      <c r="Q2756" t="b">
        <v>0</v>
      </c>
      <c r="R2756" t="b">
        <v>0</v>
      </c>
      <c r="S2756" t="b">
        <v>0</v>
      </c>
      <c r="T2756" t="b">
        <v>0</v>
      </c>
      <c r="V2756" t="b">
        <v>0</v>
      </c>
      <c r="W2756" t="b">
        <v>0</v>
      </c>
      <c r="X2756" t="b">
        <v>0</v>
      </c>
      <c r="Y2756" t="b">
        <v>0</v>
      </c>
      <c r="Z2756" t="b">
        <v>0</v>
      </c>
      <c r="AA2756" t="b">
        <v>0</v>
      </c>
      <c r="AB2756" t="b">
        <v>1</v>
      </c>
      <c r="AC2756" t="b">
        <v>0</v>
      </c>
      <c r="AE2756" t="s">
        <v>6788</v>
      </c>
    </row>
    <row r="2757" spans="1:31" x14ac:dyDescent="0.3">
      <c r="A2757">
        <v>-73.978731202559999</v>
      </c>
      <c r="B2757">
        <v>40.77010714059</v>
      </c>
      <c r="C2757" t="s">
        <v>6789</v>
      </c>
      <c r="D2757" t="s">
        <v>886</v>
      </c>
      <c r="E2757" t="s">
        <v>33</v>
      </c>
      <c r="F2757">
        <v>10182018</v>
      </c>
      <c r="G2757">
        <v>4</v>
      </c>
      <c r="H2757" t="s">
        <v>48</v>
      </c>
      <c r="I2757" t="s">
        <v>42</v>
      </c>
      <c r="K2757" t="s">
        <v>43</v>
      </c>
      <c r="M2757" t="s">
        <v>65</v>
      </c>
      <c r="N2757" t="b">
        <v>0</v>
      </c>
      <c r="P2757" t="b">
        <v>0</v>
      </c>
      <c r="Q2757" t="b">
        <v>0</v>
      </c>
      <c r="R2757" t="b">
        <v>0</v>
      </c>
      <c r="S2757" t="b">
        <v>1</v>
      </c>
      <c r="T2757" t="b">
        <v>0</v>
      </c>
      <c r="V2757" t="b">
        <v>0</v>
      </c>
      <c r="W2757" t="b">
        <v>0</v>
      </c>
      <c r="X2757" t="b">
        <v>0</v>
      </c>
      <c r="Y2757" t="b">
        <v>0</v>
      </c>
      <c r="Z2757" t="b">
        <v>0</v>
      </c>
      <c r="AA2757" t="b">
        <v>0</v>
      </c>
      <c r="AB2757" t="b">
        <v>0</v>
      </c>
      <c r="AC2757" t="b">
        <v>0</v>
      </c>
      <c r="AE2757" t="s">
        <v>6790</v>
      </c>
    </row>
    <row r="2758" spans="1:31" x14ac:dyDescent="0.3">
      <c r="A2758">
        <v>-73.967141911949994</v>
      </c>
      <c r="B2758">
        <v>40.775860248690002</v>
      </c>
      <c r="C2758" t="s">
        <v>6791</v>
      </c>
      <c r="D2758" t="s">
        <v>668</v>
      </c>
      <c r="E2758" t="s">
        <v>38</v>
      </c>
      <c r="F2758">
        <v>10122018</v>
      </c>
      <c r="G2758">
        <v>1</v>
      </c>
      <c r="H2758" t="s">
        <v>48</v>
      </c>
      <c r="I2758" t="s">
        <v>53</v>
      </c>
      <c r="J2758" t="s">
        <v>176</v>
      </c>
      <c r="K2758" t="s">
        <v>1142</v>
      </c>
      <c r="M2758" t="s">
        <v>65</v>
      </c>
      <c r="N2758" t="b">
        <v>0</v>
      </c>
      <c r="P2758" t="b">
        <v>0</v>
      </c>
      <c r="Q2758" t="b">
        <v>0</v>
      </c>
      <c r="R2758" t="b">
        <v>0</v>
      </c>
      <c r="S2758" t="b">
        <v>0</v>
      </c>
      <c r="T2758" t="b">
        <v>1</v>
      </c>
      <c r="V2758" t="b">
        <v>0</v>
      </c>
      <c r="W2758" t="b">
        <v>0</v>
      </c>
      <c r="X2758" t="b">
        <v>0</v>
      </c>
      <c r="Y2758" t="b">
        <v>0</v>
      </c>
      <c r="Z2758" t="b">
        <v>1</v>
      </c>
      <c r="AA2758" t="b">
        <v>0</v>
      </c>
      <c r="AB2758" t="b">
        <v>0</v>
      </c>
      <c r="AC2758" t="b">
        <v>1</v>
      </c>
      <c r="AE2758" t="s">
        <v>6792</v>
      </c>
    </row>
    <row r="2759" spans="1:31" x14ac:dyDescent="0.3">
      <c r="A2759">
        <v>-73.954207481430004</v>
      </c>
      <c r="B2759">
        <v>40.795432224000002</v>
      </c>
      <c r="C2759" t="s">
        <v>6793</v>
      </c>
      <c r="D2759" t="s">
        <v>1063</v>
      </c>
      <c r="E2759" t="s">
        <v>38</v>
      </c>
      <c r="F2759">
        <v>10142018</v>
      </c>
      <c r="G2759">
        <v>1</v>
      </c>
      <c r="H2759" t="s">
        <v>48</v>
      </c>
      <c r="I2759" t="s">
        <v>42</v>
      </c>
      <c r="J2759" t="s">
        <v>53</v>
      </c>
      <c r="K2759" t="s">
        <v>54</v>
      </c>
      <c r="M2759" t="s">
        <v>65</v>
      </c>
      <c r="N2759" t="b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1</v>
      </c>
      <c r="V2759" t="b">
        <v>0</v>
      </c>
      <c r="W2759" t="b">
        <v>0</v>
      </c>
      <c r="X2759" t="b">
        <v>0</v>
      </c>
      <c r="Y2759" t="b">
        <v>0</v>
      </c>
      <c r="Z2759" t="b">
        <v>0</v>
      </c>
      <c r="AA2759" t="b">
        <v>0</v>
      </c>
      <c r="AB2759" t="b">
        <v>0</v>
      </c>
      <c r="AC2759" t="b">
        <v>0</v>
      </c>
      <c r="AE2759" t="s">
        <v>6794</v>
      </c>
    </row>
    <row r="2760" spans="1:31" x14ac:dyDescent="0.3">
      <c r="A2760">
        <v>-73.954337370350004</v>
      </c>
      <c r="B2760">
        <v>40.794388908709998</v>
      </c>
      <c r="C2760" t="s">
        <v>6795</v>
      </c>
      <c r="D2760" t="s">
        <v>278</v>
      </c>
      <c r="E2760" t="s">
        <v>33</v>
      </c>
      <c r="F2760">
        <v>10202018</v>
      </c>
      <c r="G2760">
        <v>7</v>
      </c>
      <c r="H2760" t="s">
        <v>48</v>
      </c>
      <c r="I2760" t="s">
        <v>42</v>
      </c>
      <c r="J2760" t="s">
        <v>53</v>
      </c>
      <c r="K2760" t="s">
        <v>54</v>
      </c>
      <c r="M2760" t="s">
        <v>65</v>
      </c>
      <c r="N2760" t="b">
        <v>0</v>
      </c>
      <c r="P2760" t="b">
        <v>0</v>
      </c>
      <c r="Q2760" t="b">
        <v>1</v>
      </c>
      <c r="R2760" t="b">
        <v>0</v>
      </c>
      <c r="S2760" t="b">
        <v>0</v>
      </c>
      <c r="T2760" t="b">
        <v>1</v>
      </c>
      <c r="V2760" t="b">
        <v>0</v>
      </c>
      <c r="W2760" t="b">
        <v>1</v>
      </c>
      <c r="X2760" t="b">
        <v>0</v>
      </c>
      <c r="Y2760" t="b">
        <v>1</v>
      </c>
      <c r="Z2760" t="b">
        <v>0</v>
      </c>
      <c r="AA2760" t="b">
        <v>0</v>
      </c>
      <c r="AB2760" t="b">
        <v>1</v>
      </c>
      <c r="AC2760" t="b">
        <v>0</v>
      </c>
      <c r="AE2760" t="s">
        <v>6796</v>
      </c>
    </row>
    <row r="2761" spans="1:31" x14ac:dyDescent="0.3">
      <c r="A2761">
        <v>-73.970180812250007</v>
      </c>
      <c r="B2761">
        <v>40.774463273089999</v>
      </c>
      <c r="C2761" t="s">
        <v>6797</v>
      </c>
      <c r="D2761" t="s">
        <v>646</v>
      </c>
      <c r="E2761" t="s">
        <v>33</v>
      </c>
      <c r="F2761">
        <v>10072018</v>
      </c>
      <c r="G2761">
        <v>11</v>
      </c>
      <c r="H2761" t="s">
        <v>48</v>
      </c>
      <c r="I2761" t="s">
        <v>42</v>
      </c>
      <c r="J2761" t="s">
        <v>96</v>
      </c>
      <c r="K2761" t="s">
        <v>97</v>
      </c>
      <c r="M2761" t="s">
        <v>65</v>
      </c>
      <c r="N2761" t="b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1</v>
      </c>
      <c r="V2761" t="b">
        <v>0</v>
      </c>
      <c r="W2761" t="b">
        <v>0</v>
      </c>
      <c r="X2761" t="b">
        <v>0</v>
      </c>
      <c r="Y2761" t="b">
        <v>0</v>
      </c>
      <c r="Z2761" t="b">
        <v>0</v>
      </c>
      <c r="AA2761" t="b">
        <v>0</v>
      </c>
      <c r="AB2761" t="b">
        <v>1</v>
      </c>
      <c r="AC2761" t="b">
        <v>0</v>
      </c>
      <c r="AE2761" t="s">
        <v>6798</v>
      </c>
    </row>
    <row r="2762" spans="1:31" x14ac:dyDescent="0.3">
      <c r="A2762">
        <v>-73.968920425809998</v>
      </c>
      <c r="B2762">
        <v>40.771254058899999</v>
      </c>
      <c r="C2762" t="s">
        <v>6799</v>
      </c>
      <c r="D2762" t="s">
        <v>1780</v>
      </c>
      <c r="E2762" t="s">
        <v>38</v>
      </c>
      <c r="F2762">
        <v>10142018</v>
      </c>
      <c r="G2762">
        <v>1</v>
      </c>
      <c r="H2762" t="s">
        <v>48</v>
      </c>
      <c r="I2762" t="s">
        <v>53</v>
      </c>
      <c r="J2762" t="s">
        <v>737</v>
      </c>
      <c r="K2762" t="s">
        <v>3228</v>
      </c>
      <c r="L2762" t="s">
        <v>6800</v>
      </c>
      <c r="M2762" t="s">
        <v>65</v>
      </c>
      <c r="N2762" t="b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1</v>
      </c>
      <c r="U2762" t="s">
        <v>6801</v>
      </c>
      <c r="V2762" t="b">
        <v>0</v>
      </c>
      <c r="W2762" t="b">
        <v>0</v>
      </c>
      <c r="X2762" t="b">
        <v>0</v>
      </c>
      <c r="Y2762" t="b">
        <v>0</v>
      </c>
      <c r="Z2762" t="b">
        <v>0</v>
      </c>
      <c r="AA2762" t="b">
        <v>0</v>
      </c>
      <c r="AB2762" t="b">
        <v>1</v>
      </c>
      <c r="AC2762" t="b">
        <v>0</v>
      </c>
      <c r="AE2762" t="s">
        <v>6802</v>
      </c>
    </row>
    <row r="2763" spans="1:31" x14ac:dyDescent="0.3">
      <c r="A2763">
        <v>-73.965632446290002</v>
      </c>
      <c r="B2763">
        <v>40.783403475310003</v>
      </c>
      <c r="C2763" t="s">
        <v>6803</v>
      </c>
      <c r="D2763" t="s">
        <v>3400</v>
      </c>
      <c r="E2763" t="s">
        <v>33</v>
      </c>
      <c r="F2763">
        <v>10142018</v>
      </c>
      <c r="G2763">
        <v>2</v>
      </c>
      <c r="H2763" t="s">
        <v>48</v>
      </c>
      <c r="I2763" t="s">
        <v>42</v>
      </c>
      <c r="K2763" t="s">
        <v>43</v>
      </c>
      <c r="M2763" t="s">
        <v>44</v>
      </c>
      <c r="N2763">
        <v>6</v>
      </c>
      <c r="P2763" t="b">
        <v>0</v>
      </c>
      <c r="Q2763" t="b">
        <v>0</v>
      </c>
      <c r="R2763" t="b">
        <v>1</v>
      </c>
      <c r="S2763" t="b">
        <v>0</v>
      </c>
      <c r="T2763" t="b">
        <v>0</v>
      </c>
      <c r="V2763" t="b">
        <v>0</v>
      </c>
      <c r="W2763" t="b">
        <v>0</v>
      </c>
      <c r="X2763" t="b">
        <v>0</v>
      </c>
      <c r="Y2763" t="b">
        <v>0</v>
      </c>
      <c r="Z2763" t="b">
        <v>0</v>
      </c>
      <c r="AA2763" t="b">
        <v>1</v>
      </c>
      <c r="AB2763" t="b">
        <v>0</v>
      </c>
      <c r="AC2763" t="b">
        <v>0</v>
      </c>
      <c r="AE2763" t="s">
        <v>6804</v>
      </c>
    </row>
    <row r="2764" spans="1:31" x14ac:dyDescent="0.3">
      <c r="A2764">
        <v>-73.962606567289995</v>
      </c>
      <c r="B2764">
        <v>40.788722645119996</v>
      </c>
      <c r="C2764" t="s">
        <v>6805</v>
      </c>
      <c r="D2764" t="s">
        <v>1420</v>
      </c>
      <c r="E2764" t="s">
        <v>38</v>
      </c>
      <c r="F2764">
        <v>10142018</v>
      </c>
      <c r="G2764">
        <v>3</v>
      </c>
      <c r="H2764" t="s">
        <v>105</v>
      </c>
      <c r="I2764" t="s">
        <v>42</v>
      </c>
      <c r="K2764" t="s">
        <v>43</v>
      </c>
      <c r="M2764" t="s">
        <v>44</v>
      </c>
      <c r="N2764">
        <v>35</v>
      </c>
      <c r="O2764" t="s">
        <v>6806</v>
      </c>
      <c r="P2764" t="b">
        <v>0</v>
      </c>
      <c r="Q2764" t="b">
        <v>0</v>
      </c>
      <c r="R2764" t="b">
        <v>0</v>
      </c>
      <c r="S2764" t="b">
        <v>0</v>
      </c>
      <c r="T2764" t="b">
        <v>1</v>
      </c>
      <c r="V2764" t="b">
        <v>0</v>
      </c>
      <c r="W2764" t="b">
        <v>0</v>
      </c>
      <c r="X2764" t="b">
        <v>0</v>
      </c>
      <c r="Y2764" t="b">
        <v>0</v>
      </c>
      <c r="Z2764" t="b">
        <v>0</v>
      </c>
      <c r="AA2764" t="b">
        <v>0</v>
      </c>
      <c r="AB2764" t="b">
        <v>1</v>
      </c>
      <c r="AC2764" t="b">
        <v>0</v>
      </c>
      <c r="AE2764" t="s">
        <v>6807</v>
      </c>
    </row>
    <row r="2765" spans="1:31" x14ac:dyDescent="0.3">
      <c r="A2765">
        <v>-73.969266097749994</v>
      </c>
      <c r="B2765">
        <v>40.783053231079997</v>
      </c>
      <c r="C2765" t="s">
        <v>6808</v>
      </c>
      <c r="D2765" t="s">
        <v>37</v>
      </c>
      <c r="E2765" t="s">
        <v>33</v>
      </c>
      <c r="F2765">
        <v>10172018</v>
      </c>
      <c r="G2765">
        <v>1</v>
      </c>
      <c r="H2765" t="s">
        <v>105</v>
      </c>
      <c r="I2765" t="s">
        <v>53</v>
      </c>
      <c r="J2765" t="s">
        <v>59</v>
      </c>
      <c r="K2765" t="s">
        <v>60</v>
      </c>
      <c r="M2765" t="s">
        <v>65</v>
      </c>
      <c r="N2765" t="b">
        <v>0</v>
      </c>
      <c r="P2765" t="b">
        <v>0</v>
      </c>
      <c r="Q2765" t="b">
        <v>0</v>
      </c>
      <c r="R2765" t="b">
        <v>0</v>
      </c>
      <c r="S2765" t="b">
        <v>1</v>
      </c>
      <c r="T2765" t="b">
        <v>0</v>
      </c>
      <c r="V2765" t="b">
        <v>0</v>
      </c>
      <c r="W2765" t="b">
        <v>0</v>
      </c>
      <c r="X2765" t="b">
        <v>0</v>
      </c>
      <c r="Y2765" t="b">
        <v>0</v>
      </c>
      <c r="Z2765" t="b">
        <v>0</v>
      </c>
      <c r="AA2765" t="b">
        <v>0</v>
      </c>
      <c r="AB2765" t="b">
        <v>0</v>
      </c>
      <c r="AC2765" t="b">
        <v>0</v>
      </c>
      <c r="AD2765" t="s">
        <v>6809</v>
      </c>
      <c r="AE2765" t="s">
        <v>6810</v>
      </c>
    </row>
    <row r="2766" spans="1:31" x14ac:dyDescent="0.3">
      <c r="A2766">
        <v>-73.971525123570004</v>
      </c>
      <c r="B2766">
        <v>40.770368535979998</v>
      </c>
      <c r="C2766" t="s">
        <v>6811</v>
      </c>
      <c r="D2766" t="s">
        <v>402</v>
      </c>
      <c r="E2766" t="s">
        <v>33</v>
      </c>
      <c r="F2766">
        <v>10182018</v>
      </c>
      <c r="G2766">
        <v>6</v>
      </c>
      <c r="H2766" t="s">
        <v>48</v>
      </c>
      <c r="I2766" t="s">
        <v>42</v>
      </c>
      <c r="J2766" t="s">
        <v>53</v>
      </c>
      <c r="K2766" t="s">
        <v>54</v>
      </c>
      <c r="M2766" t="s">
        <v>65</v>
      </c>
      <c r="N2766" t="b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1</v>
      </c>
      <c r="U2766" t="s">
        <v>75</v>
      </c>
      <c r="V2766" t="b">
        <v>0</v>
      </c>
      <c r="W2766" t="b">
        <v>0</v>
      </c>
      <c r="X2766" t="b">
        <v>0</v>
      </c>
      <c r="Y2766" t="b">
        <v>0</v>
      </c>
      <c r="Z2766" t="b">
        <v>0</v>
      </c>
      <c r="AA2766" t="b">
        <v>0</v>
      </c>
      <c r="AB2766" t="b">
        <v>0</v>
      </c>
      <c r="AC2766" t="b">
        <v>0</v>
      </c>
      <c r="AE2766" t="s">
        <v>6812</v>
      </c>
    </row>
    <row r="2767" spans="1:31" x14ac:dyDescent="0.3">
      <c r="A2767">
        <v>-73.955163984750001</v>
      </c>
      <c r="B2767">
        <v>40.790858199890003</v>
      </c>
      <c r="C2767" t="s">
        <v>6813</v>
      </c>
      <c r="D2767" t="s">
        <v>1352</v>
      </c>
      <c r="E2767" t="s">
        <v>33</v>
      </c>
      <c r="F2767">
        <v>10062018</v>
      </c>
      <c r="G2767">
        <v>3</v>
      </c>
      <c r="I2767" t="s">
        <v>42</v>
      </c>
      <c r="J2767" t="s">
        <v>59</v>
      </c>
      <c r="K2767" t="s">
        <v>79</v>
      </c>
      <c r="L2767" t="s">
        <v>2637</v>
      </c>
      <c r="M2767" t="s">
        <v>65</v>
      </c>
      <c r="N2767" t="b">
        <v>0</v>
      </c>
      <c r="O2767" t="s">
        <v>6814</v>
      </c>
      <c r="P2767" t="b">
        <v>0</v>
      </c>
      <c r="Q2767" t="b">
        <v>0</v>
      </c>
      <c r="R2767" t="b">
        <v>0</v>
      </c>
      <c r="S2767" t="b">
        <v>1</v>
      </c>
      <c r="T2767" t="b">
        <v>0</v>
      </c>
      <c r="V2767" t="b">
        <v>0</v>
      </c>
      <c r="W2767" t="b">
        <v>0</v>
      </c>
      <c r="X2767" t="b">
        <v>0</v>
      </c>
      <c r="Y2767" t="b">
        <v>0</v>
      </c>
      <c r="Z2767" t="b">
        <v>1</v>
      </c>
      <c r="AA2767" t="b">
        <v>0</v>
      </c>
      <c r="AB2767" t="b">
        <v>0</v>
      </c>
      <c r="AC2767" t="b">
        <v>0</v>
      </c>
      <c r="AE2767" t="s">
        <v>6815</v>
      </c>
    </row>
    <row r="2768" spans="1:31" x14ac:dyDescent="0.3">
      <c r="A2768">
        <v>-73.975180672720001</v>
      </c>
      <c r="B2768">
        <v>40.767194033229998</v>
      </c>
      <c r="C2768" t="s">
        <v>6816</v>
      </c>
      <c r="D2768" t="s">
        <v>1701</v>
      </c>
      <c r="E2768" t="s">
        <v>33</v>
      </c>
      <c r="F2768">
        <v>10132018</v>
      </c>
      <c r="G2768">
        <v>5</v>
      </c>
      <c r="H2768" t="s">
        <v>48</v>
      </c>
      <c r="I2768" t="s">
        <v>42</v>
      </c>
      <c r="J2768" t="s">
        <v>59</v>
      </c>
      <c r="K2768" t="s">
        <v>79</v>
      </c>
      <c r="M2768" t="s">
        <v>44</v>
      </c>
      <c r="N2768">
        <v>13</v>
      </c>
      <c r="P2768" t="b">
        <v>1</v>
      </c>
      <c r="Q2768" t="b">
        <v>0</v>
      </c>
      <c r="R2768" t="b">
        <v>0</v>
      </c>
      <c r="S2768" t="b">
        <v>0</v>
      </c>
      <c r="T2768" t="b">
        <v>0</v>
      </c>
      <c r="V2768" t="b">
        <v>0</v>
      </c>
      <c r="W2768" t="b">
        <v>0</v>
      </c>
      <c r="X2768" t="b">
        <v>0</v>
      </c>
      <c r="Y2768" t="b">
        <v>0</v>
      </c>
      <c r="Z2768" t="b">
        <v>0</v>
      </c>
      <c r="AA2768" t="b">
        <v>0</v>
      </c>
      <c r="AB2768" t="b">
        <v>0</v>
      </c>
      <c r="AC2768" t="b">
        <v>1</v>
      </c>
      <c r="AE2768" t="s">
        <v>6817</v>
      </c>
    </row>
    <row r="2769" spans="1:31" x14ac:dyDescent="0.3">
      <c r="A2769">
        <v>-73.964108817259998</v>
      </c>
      <c r="B2769">
        <v>40.788655518420001</v>
      </c>
      <c r="C2769" t="s">
        <v>6818</v>
      </c>
      <c r="D2769" t="s">
        <v>289</v>
      </c>
      <c r="E2769" t="s">
        <v>38</v>
      </c>
      <c r="F2769">
        <v>10142018</v>
      </c>
      <c r="G2769">
        <v>1</v>
      </c>
      <c r="H2769" t="s">
        <v>48</v>
      </c>
      <c r="I2769" t="s">
        <v>176</v>
      </c>
      <c r="K2769" t="s">
        <v>177</v>
      </c>
      <c r="M2769" t="s">
        <v>65</v>
      </c>
      <c r="N2769" t="b">
        <v>0</v>
      </c>
      <c r="P2769" t="b">
        <v>1</v>
      </c>
      <c r="Q2769" t="b">
        <v>0</v>
      </c>
      <c r="R2769" t="b">
        <v>0</v>
      </c>
      <c r="S2769" t="b">
        <v>0</v>
      </c>
      <c r="T2769" t="b">
        <v>0</v>
      </c>
      <c r="V2769" t="b">
        <v>0</v>
      </c>
      <c r="W2769" t="b">
        <v>0</v>
      </c>
      <c r="X2769" t="b">
        <v>0</v>
      </c>
      <c r="Y2769" t="b">
        <v>0</v>
      </c>
      <c r="Z2769" t="b">
        <v>0</v>
      </c>
      <c r="AA2769" t="b">
        <v>0</v>
      </c>
      <c r="AB2769" t="b">
        <v>1</v>
      </c>
      <c r="AC2769" t="b">
        <v>0</v>
      </c>
      <c r="AE2769" t="s">
        <v>6819</v>
      </c>
    </row>
    <row r="2770" spans="1:31" x14ac:dyDescent="0.3">
      <c r="A2770">
        <v>-73.97698851893</v>
      </c>
      <c r="B2770">
        <v>40.770893617340001</v>
      </c>
      <c r="C2770" t="s">
        <v>6820</v>
      </c>
      <c r="D2770" t="s">
        <v>88</v>
      </c>
      <c r="E2770" t="s">
        <v>33</v>
      </c>
      <c r="F2770">
        <v>10102018</v>
      </c>
      <c r="G2770">
        <v>6</v>
      </c>
      <c r="H2770" t="s">
        <v>48</v>
      </c>
      <c r="I2770" t="s">
        <v>42</v>
      </c>
      <c r="J2770" t="s">
        <v>53</v>
      </c>
      <c r="K2770" t="s">
        <v>54</v>
      </c>
      <c r="M2770" t="s">
        <v>65</v>
      </c>
      <c r="N2770" t="b">
        <v>0</v>
      </c>
      <c r="P2770" t="b">
        <v>0</v>
      </c>
      <c r="Q2770" t="b">
        <v>0</v>
      </c>
      <c r="R2770" t="b">
        <v>0</v>
      </c>
      <c r="S2770" t="b">
        <v>1</v>
      </c>
      <c r="T2770" t="b">
        <v>1</v>
      </c>
      <c r="V2770" t="b">
        <v>0</v>
      </c>
      <c r="W2770" t="b">
        <v>0</v>
      </c>
      <c r="X2770" t="b">
        <v>0</v>
      </c>
      <c r="Y2770" t="b">
        <v>0</v>
      </c>
      <c r="Z2770" t="b">
        <v>0</v>
      </c>
      <c r="AA2770" t="b">
        <v>0</v>
      </c>
      <c r="AB2770" t="b">
        <v>0</v>
      </c>
      <c r="AC2770" t="b">
        <v>0</v>
      </c>
      <c r="AE2770" t="s">
        <v>6821</v>
      </c>
    </row>
    <row r="2771" spans="1:31" x14ac:dyDescent="0.3">
      <c r="A2771">
        <v>-73.963798351380007</v>
      </c>
      <c r="B2771">
        <v>40.782871251640003</v>
      </c>
      <c r="C2771" t="s">
        <v>6822</v>
      </c>
      <c r="D2771" t="s">
        <v>579</v>
      </c>
      <c r="E2771" t="s">
        <v>33</v>
      </c>
      <c r="F2771">
        <v>10132018</v>
      </c>
      <c r="G2771">
        <v>4</v>
      </c>
      <c r="H2771" t="s">
        <v>48</v>
      </c>
      <c r="I2771" t="s">
        <v>42</v>
      </c>
      <c r="J2771" t="s">
        <v>96</v>
      </c>
      <c r="K2771" t="s">
        <v>97</v>
      </c>
      <c r="L2771" t="s">
        <v>6823</v>
      </c>
      <c r="M2771" t="s">
        <v>65</v>
      </c>
      <c r="N2771" t="b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1</v>
      </c>
      <c r="V2771" t="b">
        <v>0</v>
      </c>
      <c r="W2771" t="b">
        <v>0</v>
      </c>
      <c r="X2771" t="b">
        <v>0</v>
      </c>
      <c r="Y2771" t="b">
        <v>0</v>
      </c>
      <c r="Z2771" t="b">
        <v>1</v>
      </c>
      <c r="AA2771" t="b">
        <v>0</v>
      </c>
      <c r="AB2771" t="b">
        <v>1</v>
      </c>
      <c r="AC2771" t="b">
        <v>0</v>
      </c>
      <c r="AD2771" t="s">
        <v>6824</v>
      </c>
      <c r="AE2771" t="s">
        <v>6825</v>
      </c>
    </row>
    <row r="2772" spans="1:31" x14ac:dyDescent="0.3">
      <c r="A2772">
        <v>-73.973538360289993</v>
      </c>
      <c r="B2772">
        <v>40.772312470389998</v>
      </c>
      <c r="C2772" t="s">
        <v>6826</v>
      </c>
      <c r="D2772" t="s">
        <v>2085</v>
      </c>
      <c r="E2772" t="s">
        <v>38</v>
      </c>
      <c r="F2772">
        <v>10072018</v>
      </c>
      <c r="G2772">
        <v>1</v>
      </c>
      <c r="H2772" t="s">
        <v>48</v>
      </c>
      <c r="I2772" t="s">
        <v>42</v>
      </c>
      <c r="J2772" t="s">
        <v>53</v>
      </c>
      <c r="K2772" t="s">
        <v>54</v>
      </c>
      <c r="M2772" t="s">
        <v>65</v>
      </c>
      <c r="N2772" t="b">
        <v>0</v>
      </c>
      <c r="P2772" t="b">
        <v>0</v>
      </c>
      <c r="Q2772" t="b">
        <v>0</v>
      </c>
      <c r="R2772" t="b">
        <v>0</v>
      </c>
      <c r="S2772" t="b">
        <v>0</v>
      </c>
      <c r="T2772" t="b">
        <v>1</v>
      </c>
      <c r="V2772" t="b">
        <v>0</v>
      </c>
      <c r="W2772" t="b">
        <v>0</v>
      </c>
      <c r="X2772" t="b">
        <v>0</v>
      </c>
      <c r="Y2772" t="b">
        <v>0</v>
      </c>
      <c r="Z2772" t="b">
        <v>0</v>
      </c>
      <c r="AA2772" t="b">
        <v>0</v>
      </c>
      <c r="AB2772" t="b">
        <v>1</v>
      </c>
      <c r="AC2772" t="b">
        <v>0</v>
      </c>
      <c r="AD2772" t="s">
        <v>6827</v>
      </c>
      <c r="AE2772" t="s">
        <v>6828</v>
      </c>
    </row>
    <row r="2773" spans="1:31" x14ac:dyDescent="0.3">
      <c r="A2773">
        <v>-73.967736864599999</v>
      </c>
      <c r="B2773">
        <v>40.782155096479997</v>
      </c>
      <c r="C2773" t="s">
        <v>6829</v>
      </c>
      <c r="D2773" t="s">
        <v>1035</v>
      </c>
      <c r="E2773" t="s">
        <v>33</v>
      </c>
      <c r="F2773">
        <v>10182018</v>
      </c>
      <c r="G2773">
        <v>6</v>
      </c>
      <c r="H2773" t="s">
        <v>105</v>
      </c>
      <c r="I2773" t="s">
        <v>42</v>
      </c>
      <c r="K2773" t="s">
        <v>43</v>
      </c>
      <c r="M2773" t="s">
        <v>65</v>
      </c>
      <c r="N2773" t="b">
        <v>0</v>
      </c>
      <c r="P2773" t="b">
        <v>1</v>
      </c>
      <c r="Q2773" t="b">
        <v>0</v>
      </c>
      <c r="R2773" t="b">
        <v>0</v>
      </c>
      <c r="S2773" t="b">
        <v>0</v>
      </c>
      <c r="T2773" t="b">
        <v>0</v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b">
        <v>1</v>
      </c>
      <c r="AB2773" t="b">
        <v>0</v>
      </c>
      <c r="AC2773" t="b">
        <v>0</v>
      </c>
      <c r="AE2773" t="s">
        <v>6830</v>
      </c>
    </row>
    <row r="2774" spans="1:31" x14ac:dyDescent="0.3">
      <c r="A2774">
        <v>-73.962593266499994</v>
      </c>
      <c r="B2774">
        <v>40.788537947729999</v>
      </c>
      <c r="C2774" t="s">
        <v>6831</v>
      </c>
      <c r="D2774" t="s">
        <v>1420</v>
      </c>
      <c r="E2774" t="s">
        <v>38</v>
      </c>
      <c r="F2774">
        <v>10142018</v>
      </c>
      <c r="G2774">
        <v>1</v>
      </c>
      <c r="H2774" t="s">
        <v>48</v>
      </c>
      <c r="I2774" t="s">
        <v>176</v>
      </c>
      <c r="K2774" t="s">
        <v>177</v>
      </c>
      <c r="M2774" t="s">
        <v>65</v>
      </c>
      <c r="N2774" t="b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1</v>
      </c>
      <c r="V2774" t="b">
        <v>0</v>
      </c>
      <c r="W2774" t="b">
        <v>0</v>
      </c>
      <c r="X2774" t="b">
        <v>0</v>
      </c>
      <c r="Y2774" t="b">
        <v>0</v>
      </c>
      <c r="Z2774" t="b">
        <v>0</v>
      </c>
      <c r="AA2774" t="b">
        <v>0</v>
      </c>
      <c r="AB2774" t="b">
        <v>1</v>
      </c>
      <c r="AC2774" t="b">
        <v>0</v>
      </c>
      <c r="AE2774" t="s">
        <v>6832</v>
      </c>
    </row>
    <row r="2775" spans="1:31" x14ac:dyDescent="0.3">
      <c r="A2775">
        <v>-73.970540944630002</v>
      </c>
      <c r="B2775">
        <v>40.776460808769997</v>
      </c>
      <c r="C2775" t="s">
        <v>6833</v>
      </c>
      <c r="D2775" t="s">
        <v>100</v>
      </c>
      <c r="E2775" t="s">
        <v>33</v>
      </c>
      <c r="F2775">
        <v>10172018</v>
      </c>
      <c r="G2775">
        <v>3</v>
      </c>
      <c r="H2775" t="s">
        <v>48</v>
      </c>
      <c r="I2775" t="s">
        <v>42</v>
      </c>
      <c r="J2775" t="s">
        <v>59</v>
      </c>
      <c r="K2775" t="s">
        <v>79</v>
      </c>
      <c r="M2775" t="s">
        <v>65</v>
      </c>
      <c r="N2775" t="b">
        <v>0</v>
      </c>
      <c r="P2775" t="b">
        <v>0</v>
      </c>
      <c r="Q2775" t="b">
        <v>0</v>
      </c>
      <c r="R2775" t="b">
        <v>0</v>
      </c>
      <c r="S2775" t="b">
        <v>1</v>
      </c>
      <c r="T2775" t="b">
        <v>0</v>
      </c>
      <c r="V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b">
        <v>0</v>
      </c>
      <c r="AB2775" t="b">
        <v>0</v>
      </c>
      <c r="AC2775" t="b">
        <v>0</v>
      </c>
      <c r="AE2775" t="s">
        <v>6834</v>
      </c>
    </row>
    <row r="2776" spans="1:31" x14ac:dyDescent="0.3">
      <c r="A2776">
        <v>-73.969710939829994</v>
      </c>
      <c r="B2776">
        <v>40.777621826080001</v>
      </c>
      <c r="C2776" t="s">
        <v>6835</v>
      </c>
      <c r="D2776" t="s">
        <v>130</v>
      </c>
      <c r="E2776" t="s">
        <v>33</v>
      </c>
      <c r="F2776">
        <v>10082018</v>
      </c>
      <c r="G2776">
        <v>6</v>
      </c>
      <c r="H2776" t="s">
        <v>48</v>
      </c>
      <c r="I2776" t="s">
        <v>42</v>
      </c>
      <c r="K2776" t="s">
        <v>43</v>
      </c>
      <c r="M2776" t="s">
        <v>65</v>
      </c>
      <c r="N2776" t="b">
        <v>0</v>
      </c>
      <c r="P2776" t="b">
        <v>0</v>
      </c>
      <c r="Q2776" t="b">
        <v>0</v>
      </c>
      <c r="R2776" t="b">
        <v>0</v>
      </c>
      <c r="S2776" t="b">
        <v>1</v>
      </c>
      <c r="T2776" t="b">
        <v>1</v>
      </c>
      <c r="U2776" t="s">
        <v>511</v>
      </c>
      <c r="V2776" t="b">
        <v>0</v>
      </c>
      <c r="W2776" t="b">
        <v>0</v>
      </c>
      <c r="X2776" t="b">
        <v>0</v>
      </c>
      <c r="Y2776" t="b">
        <v>0</v>
      </c>
      <c r="Z2776" t="b">
        <v>0</v>
      </c>
      <c r="AA2776" t="b">
        <v>0</v>
      </c>
      <c r="AB2776" t="b">
        <v>1</v>
      </c>
      <c r="AC2776" t="b">
        <v>0</v>
      </c>
      <c r="AE2776" t="s">
        <v>6836</v>
      </c>
    </row>
    <row r="2777" spans="1:31" x14ac:dyDescent="0.3">
      <c r="A2777">
        <v>-73.978968790590002</v>
      </c>
      <c r="B2777">
        <v>40.769269313930003</v>
      </c>
      <c r="C2777" t="s">
        <v>6837</v>
      </c>
      <c r="D2777" t="s">
        <v>455</v>
      </c>
      <c r="E2777" t="s">
        <v>33</v>
      </c>
      <c r="F2777">
        <v>10072018</v>
      </c>
      <c r="G2777">
        <v>4</v>
      </c>
      <c r="H2777" t="s">
        <v>105</v>
      </c>
      <c r="I2777" t="s">
        <v>42</v>
      </c>
      <c r="J2777" t="s">
        <v>96</v>
      </c>
      <c r="K2777" t="s">
        <v>97</v>
      </c>
      <c r="M2777" t="s">
        <v>44</v>
      </c>
      <c r="N2777">
        <v>4</v>
      </c>
      <c r="O2777" t="s">
        <v>6838</v>
      </c>
      <c r="P2777" t="b">
        <v>1</v>
      </c>
      <c r="Q2777" t="b">
        <v>0</v>
      </c>
      <c r="R2777" t="b">
        <v>1</v>
      </c>
      <c r="S2777" t="b">
        <v>1</v>
      </c>
      <c r="T2777" t="b">
        <v>0</v>
      </c>
      <c r="V2777" t="b">
        <v>0</v>
      </c>
      <c r="W2777" t="b">
        <v>0</v>
      </c>
      <c r="X2777" t="b">
        <v>0</v>
      </c>
      <c r="Y2777" t="b">
        <v>0</v>
      </c>
      <c r="Z2777" t="b">
        <v>1</v>
      </c>
      <c r="AA2777" t="b">
        <v>0</v>
      </c>
      <c r="AB2777" t="b">
        <v>1</v>
      </c>
      <c r="AC2777" t="b">
        <v>1</v>
      </c>
      <c r="AE2777" t="s">
        <v>6839</v>
      </c>
    </row>
    <row r="2778" spans="1:31" x14ac:dyDescent="0.3">
      <c r="A2778">
        <v>-73.981084361110007</v>
      </c>
      <c r="B2778">
        <v>40.768790549370003</v>
      </c>
      <c r="C2778" t="s">
        <v>6840</v>
      </c>
      <c r="D2778" t="s">
        <v>1906</v>
      </c>
      <c r="E2778" t="s">
        <v>33</v>
      </c>
      <c r="F2778">
        <v>10192018</v>
      </c>
      <c r="G2778">
        <v>5</v>
      </c>
      <c r="H2778" t="s">
        <v>3842</v>
      </c>
      <c r="I2778" t="s">
        <v>42</v>
      </c>
      <c r="K2778" t="s">
        <v>43</v>
      </c>
      <c r="M2778" t="s">
        <v>44</v>
      </c>
      <c r="N2778">
        <v>50</v>
      </c>
      <c r="O2778" t="s">
        <v>6841</v>
      </c>
      <c r="P2778" t="b">
        <v>1</v>
      </c>
      <c r="Q2778" t="b">
        <v>0</v>
      </c>
      <c r="R2778" t="b">
        <v>0</v>
      </c>
      <c r="S2778" t="b">
        <v>0</v>
      </c>
      <c r="T2778" t="b">
        <v>0</v>
      </c>
      <c r="V2778" t="b">
        <v>0</v>
      </c>
      <c r="W2778" t="b">
        <v>0</v>
      </c>
      <c r="X2778" t="b">
        <v>0</v>
      </c>
      <c r="Y2778" t="b">
        <v>0</v>
      </c>
      <c r="Z2778" t="b">
        <v>0</v>
      </c>
      <c r="AA2778" t="b">
        <v>0</v>
      </c>
      <c r="AB2778" t="b">
        <v>0</v>
      </c>
      <c r="AC2778" t="b">
        <v>0</v>
      </c>
      <c r="AE2778" t="s">
        <v>6842</v>
      </c>
    </row>
    <row r="2779" spans="1:31" x14ac:dyDescent="0.3">
      <c r="A2779">
        <v>-73.976179969930001</v>
      </c>
      <c r="B2779">
        <v>40.774213409929999</v>
      </c>
      <c r="C2779" t="s">
        <v>6843</v>
      </c>
      <c r="D2779" t="s">
        <v>790</v>
      </c>
      <c r="E2779" t="s">
        <v>38</v>
      </c>
      <c r="F2779">
        <v>10102018</v>
      </c>
      <c r="G2779">
        <v>7</v>
      </c>
      <c r="H2779" t="s">
        <v>48</v>
      </c>
      <c r="I2779" t="s">
        <v>42</v>
      </c>
      <c r="J2779" t="s">
        <v>59</v>
      </c>
      <c r="K2779" t="s">
        <v>79</v>
      </c>
      <c r="M2779" t="s">
        <v>65</v>
      </c>
      <c r="N2779" t="b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1</v>
      </c>
      <c r="V2779" t="b">
        <v>0</v>
      </c>
      <c r="W2779" t="b">
        <v>0</v>
      </c>
      <c r="X2779" t="b">
        <v>0</v>
      </c>
      <c r="Y2779" t="b">
        <v>0</v>
      </c>
      <c r="Z2779" t="b">
        <v>0</v>
      </c>
      <c r="AA2779" t="b">
        <v>0</v>
      </c>
      <c r="AB2779" t="b">
        <v>1</v>
      </c>
      <c r="AC2779" t="b">
        <v>0</v>
      </c>
      <c r="AE2779" t="s">
        <v>6844</v>
      </c>
    </row>
    <row r="2780" spans="1:31" x14ac:dyDescent="0.3">
      <c r="A2780">
        <v>-73.976783516010002</v>
      </c>
      <c r="B2780">
        <v>40.767403033050002</v>
      </c>
      <c r="C2780" t="s">
        <v>6845</v>
      </c>
      <c r="D2780" t="s">
        <v>879</v>
      </c>
      <c r="E2780" t="s">
        <v>33</v>
      </c>
      <c r="F2780">
        <v>10142018</v>
      </c>
      <c r="G2780">
        <v>4</v>
      </c>
      <c r="H2780" t="s">
        <v>48</v>
      </c>
      <c r="I2780" t="s">
        <v>53</v>
      </c>
      <c r="J2780" t="s">
        <v>59</v>
      </c>
      <c r="K2780" t="s">
        <v>60</v>
      </c>
      <c r="M2780" t="s">
        <v>44</v>
      </c>
      <c r="N2780">
        <v>15</v>
      </c>
      <c r="P2780" t="b">
        <v>0</v>
      </c>
      <c r="Q2780" t="b">
        <v>0</v>
      </c>
      <c r="R2780" t="b">
        <v>1</v>
      </c>
      <c r="S2780" t="b">
        <v>0</v>
      </c>
      <c r="T2780" t="b">
        <v>0</v>
      </c>
      <c r="V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b">
        <v>0</v>
      </c>
      <c r="AB2780" t="b">
        <v>0</v>
      </c>
      <c r="AC2780" t="b">
        <v>1</v>
      </c>
      <c r="AE2780" t="s">
        <v>6846</v>
      </c>
    </row>
    <row r="2781" spans="1:31" x14ac:dyDescent="0.3">
      <c r="A2781">
        <v>-73.9700634278</v>
      </c>
      <c r="B2781">
        <v>40.778422372249999</v>
      </c>
      <c r="C2781" t="s">
        <v>6847</v>
      </c>
      <c r="D2781" t="s">
        <v>709</v>
      </c>
      <c r="E2781" t="s">
        <v>33</v>
      </c>
      <c r="F2781">
        <v>10102018</v>
      </c>
      <c r="G2781">
        <v>7</v>
      </c>
      <c r="H2781" t="s">
        <v>48</v>
      </c>
      <c r="I2781" t="s">
        <v>42</v>
      </c>
      <c r="K2781" t="s">
        <v>43</v>
      </c>
      <c r="M2781" t="s">
        <v>65</v>
      </c>
      <c r="N2781" t="b">
        <v>0</v>
      </c>
      <c r="P2781" t="b">
        <v>0</v>
      </c>
      <c r="Q2781" t="b">
        <v>1</v>
      </c>
      <c r="R2781" t="b">
        <v>0</v>
      </c>
      <c r="S2781" t="b">
        <v>0</v>
      </c>
      <c r="T2781" t="b">
        <v>0</v>
      </c>
      <c r="V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b">
        <v>0</v>
      </c>
      <c r="AB2781" t="b">
        <v>1</v>
      </c>
      <c r="AC2781" t="b">
        <v>0</v>
      </c>
      <c r="AE2781" t="s">
        <v>6848</v>
      </c>
    </row>
    <row r="2782" spans="1:31" x14ac:dyDescent="0.3">
      <c r="A2782">
        <v>-73.975267388440002</v>
      </c>
      <c r="B2782">
        <v>40.76626424138</v>
      </c>
      <c r="C2782" t="s">
        <v>6849</v>
      </c>
      <c r="D2782" t="s">
        <v>2889</v>
      </c>
      <c r="E2782" t="s">
        <v>38</v>
      </c>
      <c r="F2782">
        <v>10102018</v>
      </c>
      <c r="G2782">
        <v>4</v>
      </c>
      <c r="H2782" t="s">
        <v>48</v>
      </c>
      <c r="I2782" t="s">
        <v>42</v>
      </c>
      <c r="K2782" t="s">
        <v>43</v>
      </c>
      <c r="M2782" t="s">
        <v>65</v>
      </c>
      <c r="N2782" t="b">
        <v>0</v>
      </c>
      <c r="P2782" t="b">
        <v>0</v>
      </c>
      <c r="Q2782" t="b">
        <v>0</v>
      </c>
      <c r="R2782" t="b">
        <v>0</v>
      </c>
      <c r="S2782" t="b">
        <v>1</v>
      </c>
      <c r="T2782" t="b">
        <v>0</v>
      </c>
      <c r="V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b">
        <v>0</v>
      </c>
      <c r="AB2782" t="b">
        <v>1</v>
      </c>
      <c r="AC2782" t="b">
        <v>0</v>
      </c>
      <c r="AE2782" t="s">
        <v>6850</v>
      </c>
    </row>
    <row r="2783" spans="1:31" x14ac:dyDescent="0.3">
      <c r="A2783">
        <v>-73.956347334170005</v>
      </c>
      <c r="B2783">
        <v>40.789371239840001</v>
      </c>
      <c r="C2783" t="s">
        <v>6851</v>
      </c>
      <c r="D2783" t="s">
        <v>331</v>
      </c>
      <c r="E2783" t="s">
        <v>33</v>
      </c>
      <c r="F2783">
        <v>10062018</v>
      </c>
      <c r="G2783">
        <v>3</v>
      </c>
      <c r="H2783" t="s">
        <v>48</v>
      </c>
      <c r="I2783" t="s">
        <v>42</v>
      </c>
      <c r="J2783" t="s">
        <v>59</v>
      </c>
      <c r="K2783" t="s">
        <v>79</v>
      </c>
      <c r="M2783" t="s">
        <v>65</v>
      </c>
      <c r="N2783" t="b">
        <v>0</v>
      </c>
      <c r="P2783" t="b">
        <v>1</v>
      </c>
      <c r="Q2783" t="b">
        <v>0</v>
      </c>
      <c r="R2783" t="b">
        <v>0</v>
      </c>
      <c r="S2783" t="b">
        <v>0</v>
      </c>
      <c r="T2783" t="b">
        <v>1</v>
      </c>
      <c r="V2783" t="b">
        <v>0</v>
      </c>
      <c r="W2783" t="b">
        <v>0</v>
      </c>
      <c r="X2783" t="b">
        <v>0</v>
      </c>
      <c r="Y2783" t="b">
        <v>0</v>
      </c>
      <c r="Z2783" t="b">
        <v>1</v>
      </c>
      <c r="AA2783" t="b">
        <v>1</v>
      </c>
      <c r="AB2783" t="b">
        <v>0</v>
      </c>
      <c r="AC2783" t="b">
        <v>1</v>
      </c>
      <c r="AE2783" t="s">
        <v>6852</v>
      </c>
    </row>
    <row r="2784" spans="1:31" x14ac:dyDescent="0.3">
      <c r="A2784">
        <v>-73.979176715630004</v>
      </c>
      <c r="B2784">
        <v>40.77144452588</v>
      </c>
      <c r="C2784" t="s">
        <v>6853</v>
      </c>
      <c r="D2784" t="s">
        <v>327</v>
      </c>
      <c r="E2784" t="s">
        <v>38</v>
      </c>
      <c r="F2784">
        <v>10062018</v>
      </c>
      <c r="G2784">
        <v>2</v>
      </c>
      <c r="H2784" t="s">
        <v>105</v>
      </c>
      <c r="I2784" t="s">
        <v>42</v>
      </c>
      <c r="J2784" t="s">
        <v>53</v>
      </c>
      <c r="K2784" t="s">
        <v>54</v>
      </c>
      <c r="M2784" t="s">
        <v>44</v>
      </c>
      <c r="N2784">
        <v>12</v>
      </c>
      <c r="O2784" t="s">
        <v>6854</v>
      </c>
      <c r="P2784" t="b">
        <v>0</v>
      </c>
      <c r="Q2784" t="b">
        <v>0</v>
      </c>
      <c r="R2784" t="b">
        <v>1</v>
      </c>
      <c r="S2784" t="b">
        <v>1</v>
      </c>
      <c r="T2784" t="b">
        <v>0</v>
      </c>
      <c r="V2784" t="b">
        <v>0</v>
      </c>
      <c r="W2784" t="b">
        <v>0</v>
      </c>
      <c r="X2784" t="b">
        <v>0</v>
      </c>
      <c r="Y2784" t="b">
        <v>0</v>
      </c>
      <c r="Z2784" t="b">
        <v>0</v>
      </c>
      <c r="AA2784" t="b">
        <v>0</v>
      </c>
      <c r="AB2784" t="b">
        <v>1</v>
      </c>
      <c r="AC2784" t="b">
        <v>0</v>
      </c>
      <c r="AE2784" t="s">
        <v>6855</v>
      </c>
    </row>
    <row r="2785" spans="1:31" x14ac:dyDescent="0.3">
      <c r="A2785">
        <v>-73.976372243379998</v>
      </c>
      <c r="B2785">
        <v>40.774412143089997</v>
      </c>
      <c r="C2785" t="s">
        <v>6856</v>
      </c>
      <c r="D2785" t="s">
        <v>855</v>
      </c>
      <c r="E2785" t="s">
        <v>38</v>
      </c>
      <c r="F2785">
        <v>10132018</v>
      </c>
      <c r="G2785">
        <v>7</v>
      </c>
      <c r="H2785" t="s">
        <v>48</v>
      </c>
      <c r="K2785" t="s">
        <v>34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V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b">
        <v>0</v>
      </c>
      <c r="AB2785" t="b">
        <v>0</v>
      </c>
      <c r="AC2785" t="b">
        <v>1</v>
      </c>
      <c r="AE2785" t="s">
        <v>6857</v>
      </c>
    </row>
    <row r="2786" spans="1:31" x14ac:dyDescent="0.3">
      <c r="A2786">
        <v>-73.97291050023</v>
      </c>
      <c r="B2786">
        <v>40.76727580371</v>
      </c>
      <c r="C2786" t="s">
        <v>6858</v>
      </c>
      <c r="D2786" t="s">
        <v>2122</v>
      </c>
      <c r="E2786" t="s">
        <v>33</v>
      </c>
      <c r="F2786">
        <v>10062018</v>
      </c>
      <c r="G2786">
        <v>2</v>
      </c>
      <c r="H2786" t="s">
        <v>48</v>
      </c>
      <c r="I2786" t="s">
        <v>42</v>
      </c>
      <c r="J2786" t="s">
        <v>96</v>
      </c>
      <c r="K2786" t="s">
        <v>97</v>
      </c>
      <c r="M2786" t="s">
        <v>65</v>
      </c>
      <c r="N2786" t="b">
        <v>0</v>
      </c>
      <c r="P2786" t="b">
        <v>1</v>
      </c>
      <c r="Q2786" t="b">
        <v>0</v>
      </c>
      <c r="R2786" t="b">
        <v>0</v>
      </c>
      <c r="S2786" t="b">
        <v>1</v>
      </c>
      <c r="T2786" t="b">
        <v>1</v>
      </c>
      <c r="V2786" t="b">
        <v>0</v>
      </c>
      <c r="W2786" t="b">
        <v>0</v>
      </c>
      <c r="X2786" t="b">
        <v>0</v>
      </c>
      <c r="Y2786" t="b">
        <v>0</v>
      </c>
      <c r="Z2786" t="b">
        <v>0</v>
      </c>
      <c r="AA2786" t="b">
        <v>0</v>
      </c>
      <c r="AB2786" t="b">
        <v>1</v>
      </c>
      <c r="AC2786" t="b">
        <v>0</v>
      </c>
      <c r="AE2786" t="s">
        <v>6859</v>
      </c>
    </row>
    <row r="2787" spans="1:31" x14ac:dyDescent="0.3">
      <c r="A2787">
        <v>-73.968388375009994</v>
      </c>
      <c r="B2787">
        <v>40.775434439679998</v>
      </c>
      <c r="C2787" t="s">
        <v>6860</v>
      </c>
      <c r="D2787" t="s">
        <v>2016</v>
      </c>
      <c r="E2787" t="s">
        <v>33</v>
      </c>
      <c r="F2787">
        <v>10082018</v>
      </c>
      <c r="G2787">
        <v>1</v>
      </c>
      <c r="H2787" t="s">
        <v>105</v>
      </c>
      <c r="I2787" t="s">
        <v>42</v>
      </c>
      <c r="K2787" t="s">
        <v>43</v>
      </c>
      <c r="M2787" t="s">
        <v>44</v>
      </c>
      <c r="N2787">
        <v>20</v>
      </c>
      <c r="O2787" t="s">
        <v>4876</v>
      </c>
      <c r="P2787" t="b">
        <v>0</v>
      </c>
      <c r="Q2787" t="b">
        <v>0</v>
      </c>
      <c r="R2787" t="b">
        <v>0</v>
      </c>
      <c r="S2787" t="b">
        <v>0</v>
      </c>
      <c r="T2787" t="b">
        <v>1</v>
      </c>
      <c r="V2787" t="b">
        <v>0</v>
      </c>
      <c r="W2787" t="b">
        <v>0</v>
      </c>
      <c r="X2787" t="b">
        <v>0</v>
      </c>
      <c r="Y2787" t="b">
        <v>0</v>
      </c>
      <c r="Z2787" t="b">
        <v>0</v>
      </c>
      <c r="AA2787" t="b">
        <v>0</v>
      </c>
      <c r="AB2787" t="b">
        <v>1</v>
      </c>
      <c r="AC2787" t="b">
        <v>0</v>
      </c>
      <c r="AE2787" t="s">
        <v>6861</v>
      </c>
    </row>
    <row r="2788" spans="1:31" x14ac:dyDescent="0.3">
      <c r="A2788">
        <v>-73.97653069703</v>
      </c>
      <c r="B2788">
        <v>40.769495687590002</v>
      </c>
      <c r="C2788" t="s">
        <v>6862</v>
      </c>
      <c r="D2788" t="s">
        <v>534</v>
      </c>
      <c r="E2788" t="s">
        <v>33</v>
      </c>
      <c r="F2788">
        <v>10082018</v>
      </c>
      <c r="G2788">
        <v>9</v>
      </c>
      <c r="H2788" t="s">
        <v>48</v>
      </c>
      <c r="I2788" t="s">
        <v>53</v>
      </c>
      <c r="J2788" t="s">
        <v>115</v>
      </c>
      <c r="K2788" t="s">
        <v>116</v>
      </c>
      <c r="P2788" t="b">
        <v>0</v>
      </c>
      <c r="Q2788" t="b">
        <v>0</v>
      </c>
      <c r="R2788" t="b">
        <v>0</v>
      </c>
      <c r="S2788" t="b">
        <v>0</v>
      </c>
      <c r="T2788" t="b">
        <v>1</v>
      </c>
      <c r="V2788" t="b">
        <v>0</v>
      </c>
      <c r="W2788" t="b">
        <v>0</v>
      </c>
      <c r="X2788" t="b">
        <v>0</v>
      </c>
      <c r="Y2788" t="b">
        <v>0</v>
      </c>
      <c r="Z2788" t="b">
        <v>0</v>
      </c>
      <c r="AA2788" t="b">
        <v>0</v>
      </c>
      <c r="AB2788" t="b">
        <v>1</v>
      </c>
      <c r="AC2788" t="b">
        <v>0</v>
      </c>
      <c r="AE2788" t="s">
        <v>6863</v>
      </c>
    </row>
    <row r="2789" spans="1:31" x14ac:dyDescent="0.3">
      <c r="A2789">
        <v>-73.964784565599999</v>
      </c>
      <c r="B2789">
        <v>40.781657380870001</v>
      </c>
      <c r="C2789" t="s">
        <v>6864</v>
      </c>
      <c r="D2789" t="s">
        <v>1199</v>
      </c>
      <c r="E2789" t="s">
        <v>38</v>
      </c>
      <c r="F2789">
        <v>10182018</v>
      </c>
      <c r="G2789">
        <v>7</v>
      </c>
      <c r="H2789" t="s">
        <v>48</v>
      </c>
      <c r="I2789" t="s">
        <v>53</v>
      </c>
      <c r="J2789" t="s">
        <v>42</v>
      </c>
      <c r="K2789" t="s">
        <v>89</v>
      </c>
      <c r="M2789" t="s">
        <v>65</v>
      </c>
      <c r="N2789" t="b">
        <v>0</v>
      </c>
      <c r="P2789" t="b">
        <v>1</v>
      </c>
      <c r="Q2789" t="b">
        <v>0</v>
      </c>
      <c r="R2789" t="b">
        <v>0</v>
      </c>
      <c r="S2789" t="b">
        <v>0</v>
      </c>
      <c r="T2789" t="b">
        <v>0</v>
      </c>
      <c r="V2789" t="b">
        <v>0</v>
      </c>
      <c r="W2789" t="b">
        <v>0</v>
      </c>
      <c r="X2789" t="b">
        <v>0</v>
      </c>
      <c r="Y2789" t="b">
        <v>0</v>
      </c>
      <c r="Z2789" t="b">
        <v>1</v>
      </c>
      <c r="AA2789" t="b">
        <v>0</v>
      </c>
      <c r="AB2789" t="b">
        <v>0</v>
      </c>
      <c r="AC2789" t="b">
        <v>1</v>
      </c>
      <c r="AE2789" t="s">
        <v>6865</v>
      </c>
    </row>
    <row r="2790" spans="1:31" x14ac:dyDescent="0.3">
      <c r="A2790">
        <v>-73.968680078489996</v>
      </c>
      <c r="B2790">
        <v>40.776673902909998</v>
      </c>
      <c r="C2790" t="s">
        <v>6866</v>
      </c>
      <c r="D2790" t="s">
        <v>232</v>
      </c>
      <c r="E2790" t="s">
        <v>38</v>
      </c>
      <c r="F2790">
        <v>10072018</v>
      </c>
      <c r="G2790">
        <v>3</v>
      </c>
      <c r="H2790" t="s">
        <v>48</v>
      </c>
      <c r="I2790" t="s">
        <v>42</v>
      </c>
      <c r="J2790" t="s">
        <v>53</v>
      </c>
      <c r="K2790" t="s">
        <v>54</v>
      </c>
      <c r="L2790" t="s">
        <v>1666</v>
      </c>
      <c r="M2790" t="s">
        <v>65</v>
      </c>
      <c r="N2790" t="b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1</v>
      </c>
      <c r="V2790" t="b">
        <v>0</v>
      </c>
      <c r="W2790" t="b">
        <v>0</v>
      </c>
      <c r="X2790" t="b">
        <v>0</v>
      </c>
      <c r="Y2790" t="b">
        <v>0</v>
      </c>
      <c r="Z2790" t="b">
        <v>0</v>
      </c>
      <c r="AA2790" t="b">
        <v>0</v>
      </c>
      <c r="AB2790" t="b">
        <v>1</v>
      </c>
      <c r="AC2790" t="b">
        <v>0</v>
      </c>
      <c r="AE2790" t="s">
        <v>6867</v>
      </c>
    </row>
    <row r="2791" spans="1:31" x14ac:dyDescent="0.3">
      <c r="A2791">
        <v>-73.967355493529993</v>
      </c>
      <c r="B2791">
        <v>40.782752724959998</v>
      </c>
      <c r="C2791" t="s">
        <v>6868</v>
      </c>
      <c r="D2791" t="s">
        <v>71</v>
      </c>
      <c r="E2791" t="s">
        <v>38</v>
      </c>
      <c r="F2791">
        <v>10142018</v>
      </c>
      <c r="G2791">
        <v>4</v>
      </c>
      <c r="H2791" t="s">
        <v>48</v>
      </c>
      <c r="K2791" t="s">
        <v>34</v>
      </c>
      <c r="L2791" t="s">
        <v>6869</v>
      </c>
      <c r="M2791" t="s">
        <v>44</v>
      </c>
      <c r="N2791">
        <v>60</v>
      </c>
      <c r="P2791" t="b">
        <v>0</v>
      </c>
      <c r="Q2791" t="b">
        <v>0</v>
      </c>
      <c r="R2791" t="b">
        <v>1</v>
      </c>
      <c r="S2791" t="b">
        <v>0</v>
      </c>
      <c r="T2791" t="b">
        <v>0</v>
      </c>
      <c r="V2791" t="b">
        <v>0</v>
      </c>
      <c r="W2791" t="b">
        <v>0</v>
      </c>
      <c r="X2791" t="b">
        <v>0</v>
      </c>
      <c r="Y2791" t="b">
        <v>1</v>
      </c>
      <c r="Z2791" t="b">
        <v>0</v>
      </c>
      <c r="AA2791" t="b">
        <v>0</v>
      </c>
      <c r="AB2791" t="b">
        <v>1</v>
      </c>
      <c r="AC2791" t="b">
        <v>0</v>
      </c>
      <c r="AE2791" t="s">
        <v>6870</v>
      </c>
    </row>
    <row r="2792" spans="1:31" x14ac:dyDescent="0.3">
      <c r="A2792">
        <v>-73.95936242594</v>
      </c>
      <c r="B2792">
        <v>40.790552235680003</v>
      </c>
      <c r="C2792" t="s">
        <v>6871</v>
      </c>
      <c r="D2792" t="s">
        <v>47</v>
      </c>
      <c r="E2792" t="s">
        <v>38</v>
      </c>
      <c r="F2792">
        <v>10072018</v>
      </c>
      <c r="G2792">
        <v>2</v>
      </c>
      <c r="H2792" t="s">
        <v>48</v>
      </c>
      <c r="I2792" t="s">
        <v>42</v>
      </c>
      <c r="K2792" t="s">
        <v>43</v>
      </c>
      <c r="M2792" t="s">
        <v>44</v>
      </c>
      <c r="N2792">
        <v>40</v>
      </c>
      <c r="P2792" t="b">
        <v>0</v>
      </c>
      <c r="Q2792" t="b">
        <v>0</v>
      </c>
      <c r="R2792" t="b">
        <v>1</v>
      </c>
      <c r="S2792" t="b">
        <v>0</v>
      </c>
      <c r="T2792" t="b">
        <v>1</v>
      </c>
      <c r="V2792" t="b">
        <v>0</v>
      </c>
      <c r="W2792" t="b">
        <v>0</v>
      </c>
      <c r="X2792" t="b">
        <v>0</v>
      </c>
      <c r="Y2792" t="b">
        <v>0</v>
      </c>
      <c r="Z2792" t="b">
        <v>0</v>
      </c>
      <c r="AA2792" t="b">
        <v>0</v>
      </c>
      <c r="AB2792" t="b">
        <v>1</v>
      </c>
      <c r="AC2792" t="b">
        <v>0</v>
      </c>
      <c r="AE2792" t="s">
        <v>6872</v>
      </c>
    </row>
    <row r="2793" spans="1:31" x14ac:dyDescent="0.3">
      <c r="A2793">
        <v>-73.972373649459996</v>
      </c>
      <c r="B2793">
        <v>40.766950134330003</v>
      </c>
      <c r="C2793" t="s">
        <v>6873</v>
      </c>
      <c r="D2793" t="s">
        <v>2122</v>
      </c>
      <c r="E2793" t="s">
        <v>38</v>
      </c>
      <c r="F2793">
        <v>10062018</v>
      </c>
      <c r="G2793">
        <v>1</v>
      </c>
      <c r="H2793" t="s">
        <v>48</v>
      </c>
      <c r="I2793" t="s">
        <v>42</v>
      </c>
      <c r="J2793" t="s">
        <v>53</v>
      </c>
      <c r="K2793" t="s">
        <v>54</v>
      </c>
      <c r="M2793" t="s">
        <v>65</v>
      </c>
      <c r="N2793" t="b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1</v>
      </c>
      <c r="V2793" t="b">
        <v>0</v>
      </c>
      <c r="W2793" t="b">
        <v>0</v>
      </c>
      <c r="X2793" t="b">
        <v>0</v>
      </c>
      <c r="Y2793" t="b">
        <v>0</v>
      </c>
      <c r="Z2793" t="b">
        <v>0</v>
      </c>
      <c r="AA2793" t="b">
        <v>0</v>
      </c>
      <c r="AB2793" t="b">
        <v>1</v>
      </c>
      <c r="AC2793" t="b">
        <v>0</v>
      </c>
      <c r="AE2793" t="s">
        <v>6874</v>
      </c>
    </row>
    <row r="2794" spans="1:31" x14ac:dyDescent="0.3">
      <c r="A2794">
        <v>-73.974284755270006</v>
      </c>
      <c r="B2794">
        <v>40.773174012299997</v>
      </c>
      <c r="C2794" t="s">
        <v>6875</v>
      </c>
      <c r="D2794" t="s">
        <v>1544</v>
      </c>
      <c r="E2794" t="s">
        <v>38</v>
      </c>
      <c r="F2794">
        <v>10082018</v>
      </c>
      <c r="G2794">
        <v>2</v>
      </c>
      <c r="H2794" t="s">
        <v>48</v>
      </c>
      <c r="I2794" t="s">
        <v>42</v>
      </c>
      <c r="K2794" t="s">
        <v>43</v>
      </c>
      <c r="M2794" t="s">
        <v>65</v>
      </c>
      <c r="N2794" t="b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1</v>
      </c>
      <c r="V2794" t="b">
        <v>0</v>
      </c>
      <c r="W2794" t="b">
        <v>0</v>
      </c>
      <c r="X2794" t="b">
        <v>0</v>
      </c>
      <c r="Y2794" t="b">
        <v>0</v>
      </c>
      <c r="Z2794" t="b">
        <v>0</v>
      </c>
      <c r="AA2794" t="b">
        <v>0</v>
      </c>
      <c r="AB2794" t="b">
        <v>1</v>
      </c>
      <c r="AC2794" t="b">
        <v>0</v>
      </c>
      <c r="AE2794" t="s">
        <v>6876</v>
      </c>
    </row>
    <row r="2795" spans="1:31" x14ac:dyDescent="0.3">
      <c r="A2795">
        <v>-73.971218789069994</v>
      </c>
      <c r="B2795">
        <v>40.775064017310001</v>
      </c>
      <c r="C2795" t="s">
        <v>6877</v>
      </c>
      <c r="D2795" t="s">
        <v>726</v>
      </c>
      <c r="E2795" t="s">
        <v>33</v>
      </c>
      <c r="F2795">
        <v>10182018</v>
      </c>
      <c r="G2795">
        <v>1</v>
      </c>
      <c r="H2795" t="s">
        <v>105</v>
      </c>
      <c r="I2795" t="s">
        <v>53</v>
      </c>
      <c r="J2795" t="s">
        <v>59</v>
      </c>
      <c r="K2795" t="s">
        <v>60</v>
      </c>
      <c r="M2795" t="s">
        <v>65</v>
      </c>
      <c r="N2795" t="b">
        <v>0</v>
      </c>
      <c r="P2795" t="b">
        <v>1</v>
      </c>
      <c r="Q2795" t="b">
        <v>0</v>
      </c>
      <c r="R2795" t="b">
        <v>1</v>
      </c>
      <c r="S2795" t="b">
        <v>0</v>
      </c>
      <c r="T2795" t="b">
        <v>0</v>
      </c>
      <c r="V2795" t="b">
        <v>1</v>
      </c>
      <c r="W2795" t="b">
        <v>0</v>
      </c>
      <c r="X2795" t="b">
        <v>0</v>
      </c>
      <c r="Y2795" t="b">
        <v>1</v>
      </c>
      <c r="Z2795" t="b">
        <v>0</v>
      </c>
      <c r="AA2795" t="b">
        <v>0</v>
      </c>
      <c r="AB2795" t="b">
        <v>0</v>
      </c>
      <c r="AC2795" t="b">
        <v>1</v>
      </c>
      <c r="AE2795" t="s">
        <v>6878</v>
      </c>
    </row>
    <row r="2796" spans="1:31" x14ac:dyDescent="0.3">
      <c r="A2796">
        <v>-73.954105605199999</v>
      </c>
      <c r="B2796">
        <v>40.793986392320001</v>
      </c>
      <c r="C2796" t="s">
        <v>6879</v>
      </c>
      <c r="D2796" t="s">
        <v>936</v>
      </c>
      <c r="E2796" t="s">
        <v>33</v>
      </c>
      <c r="F2796">
        <v>10072018</v>
      </c>
      <c r="G2796">
        <v>6</v>
      </c>
      <c r="H2796" t="s">
        <v>48</v>
      </c>
      <c r="I2796" t="s">
        <v>42</v>
      </c>
      <c r="K2796" t="s">
        <v>43</v>
      </c>
      <c r="M2796" t="s">
        <v>65</v>
      </c>
      <c r="N2796" t="b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V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b">
        <v>0</v>
      </c>
      <c r="AB2796" t="b">
        <v>0</v>
      </c>
      <c r="AC2796" t="b">
        <v>0</v>
      </c>
      <c r="AE2796" t="s">
        <v>6880</v>
      </c>
    </row>
    <row r="2797" spans="1:31" x14ac:dyDescent="0.3">
      <c r="A2797">
        <v>-73.963108901140004</v>
      </c>
      <c r="B2797">
        <v>40.789191946880003</v>
      </c>
      <c r="C2797" t="s">
        <v>6881</v>
      </c>
      <c r="D2797" t="s">
        <v>172</v>
      </c>
      <c r="E2797" t="s">
        <v>33</v>
      </c>
      <c r="F2797">
        <v>10062018</v>
      </c>
      <c r="G2797">
        <v>2</v>
      </c>
      <c r="H2797" t="s">
        <v>48</v>
      </c>
      <c r="I2797" t="s">
        <v>42</v>
      </c>
      <c r="J2797" t="s">
        <v>53</v>
      </c>
      <c r="K2797" t="s">
        <v>54</v>
      </c>
      <c r="M2797" t="s">
        <v>65</v>
      </c>
      <c r="N2797" t="b">
        <v>0</v>
      </c>
      <c r="P2797" t="b">
        <v>0</v>
      </c>
      <c r="Q2797" t="b">
        <v>1</v>
      </c>
      <c r="R2797" t="b">
        <v>0</v>
      </c>
      <c r="S2797" t="b">
        <v>0</v>
      </c>
      <c r="T2797" t="b">
        <v>0</v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b">
        <v>0</v>
      </c>
      <c r="AB2797" t="b">
        <v>0</v>
      </c>
      <c r="AC2797" t="b">
        <v>0</v>
      </c>
      <c r="AE2797" t="s">
        <v>6882</v>
      </c>
    </row>
    <row r="2798" spans="1:31" x14ac:dyDescent="0.3">
      <c r="A2798">
        <v>-73.957691349269993</v>
      </c>
      <c r="B2798">
        <v>40.799421606140001</v>
      </c>
      <c r="C2798" t="s">
        <v>6883</v>
      </c>
      <c r="D2798" t="s">
        <v>367</v>
      </c>
      <c r="E2798" t="s">
        <v>38</v>
      </c>
      <c r="F2798">
        <v>10102018</v>
      </c>
      <c r="G2798">
        <v>11</v>
      </c>
      <c r="H2798" t="s">
        <v>48</v>
      </c>
      <c r="I2798" t="s">
        <v>42</v>
      </c>
      <c r="J2798" t="s">
        <v>53</v>
      </c>
      <c r="K2798" t="s">
        <v>54</v>
      </c>
      <c r="P2798" t="b">
        <v>0</v>
      </c>
      <c r="Q2798" t="b">
        <v>0</v>
      </c>
      <c r="R2798" t="b">
        <v>0</v>
      </c>
      <c r="S2798" t="b">
        <v>1</v>
      </c>
      <c r="T2798" t="b">
        <v>0</v>
      </c>
      <c r="U2798" t="s">
        <v>6884</v>
      </c>
      <c r="V2798" t="b">
        <v>0</v>
      </c>
      <c r="W2798" t="b">
        <v>0</v>
      </c>
      <c r="X2798" t="b">
        <v>0</v>
      </c>
      <c r="Y2798" t="b">
        <v>0</v>
      </c>
      <c r="Z2798" t="b">
        <v>0</v>
      </c>
      <c r="AA2798" t="b">
        <v>0</v>
      </c>
      <c r="AB2798" t="b">
        <v>1</v>
      </c>
      <c r="AC2798" t="b">
        <v>0</v>
      </c>
      <c r="AE2798" t="s">
        <v>6885</v>
      </c>
    </row>
    <row r="2799" spans="1:31" x14ac:dyDescent="0.3">
      <c r="A2799">
        <v>-73.975382564</v>
      </c>
      <c r="B2799">
        <v>40.767166201389998</v>
      </c>
      <c r="C2799" t="s">
        <v>6886</v>
      </c>
      <c r="D2799" t="s">
        <v>1701</v>
      </c>
      <c r="E2799" t="s">
        <v>33</v>
      </c>
      <c r="F2799">
        <v>10132018</v>
      </c>
      <c r="G2799">
        <v>4</v>
      </c>
      <c r="H2799" t="s">
        <v>48</v>
      </c>
      <c r="I2799" t="s">
        <v>42</v>
      </c>
      <c r="J2799" t="s">
        <v>53</v>
      </c>
      <c r="K2799" t="s">
        <v>54</v>
      </c>
      <c r="M2799" t="s">
        <v>65</v>
      </c>
      <c r="N2799" t="b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1</v>
      </c>
      <c r="V2799" t="b">
        <v>0</v>
      </c>
      <c r="W2799" t="b">
        <v>0</v>
      </c>
      <c r="X2799" t="b">
        <v>0</v>
      </c>
      <c r="Y2799" t="b">
        <v>0</v>
      </c>
      <c r="Z2799" t="b">
        <v>0</v>
      </c>
      <c r="AA2799" t="b">
        <v>0</v>
      </c>
      <c r="AB2799" t="b">
        <v>1</v>
      </c>
      <c r="AC2799" t="b">
        <v>0</v>
      </c>
      <c r="AE2799" t="s">
        <v>6887</v>
      </c>
    </row>
    <row r="2800" spans="1:31" x14ac:dyDescent="0.3">
      <c r="A2800">
        <v>-73.968262738210001</v>
      </c>
      <c r="B2800">
        <v>40.773076674350001</v>
      </c>
      <c r="C2800" t="s">
        <v>6888</v>
      </c>
      <c r="D2800" t="s">
        <v>58</v>
      </c>
      <c r="E2800" t="s">
        <v>38</v>
      </c>
      <c r="F2800">
        <v>10102018</v>
      </c>
      <c r="G2800">
        <v>9</v>
      </c>
      <c r="H2800" t="s">
        <v>48</v>
      </c>
      <c r="I2800" t="s">
        <v>53</v>
      </c>
      <c r="J2800" t="s">
        <v>42</v>
      </c>
      <c r="K2800" t="s">
        <v>89</v>
      </c>
      <c r="M2800" t="s">
        <v>65</v>
      </c>
      <c r="N2800" t="b">
        <v>0</v>
      </c>
      <c r="P2800" t="b">
        <v>1</v>
      </c>
      <c r="Q2800" t="b">
        <v>0</v>
      </c>
      <c r="R2800" t="b">
        <v>0</v>
      </c>
      <c r="S2800" t="b">
        <v>0</v>
      </c>
      <c r="T2800" t="b">
        <v>0</v>
      </c>
      <c r="V2800" t="b">
        <v>0</v>
      </c>
      <c r="W2800" t="b">
        <v>0</v>
      </c>
      <c r="X2800" t="b">
        <v>0</v>
      </c>
      <c r="Y2800" t="b">
        <v>0</v>
      </c>
      <c r="Z2800" t="b">
        <v>0</v>
      </c>
      <c r="AA2800" t="b">
        <v>0</v>
      </c>
      <c r="AB2800" t="b">
        <v>0</v>
      </c>
      <c r="AC2800" t="b">
        <v>0</v>
      </c>
      <c r="AE2800" t="s">
        <v>6889</v>
      </c>
    </row>
    <row r="2801" spans="1:31" x14ac:dyDescent="0.3">
      <c r="A2801">
        <v>-73.980298313830005</v>
      </c>
      <c r="B2801">
        <v>40.767654077229999</v>
      </c>
      <c r="C2801" t="s">
        <v>6890</v>
      </c>
      <c r="D2801" t="s">
        <v>851</v>
      </c>
      <c r="E2801" t="s">
        <v>33</v>
      </c>
      <c r="F2801">
        <v>10192018</v>
      </c>
      <c r="G2801">
        <v>5</v>
      </c>
      <c r="H2801" t="s">
        <v>48</v>
      </c>
      <c r="I2801" t="s">
        <v>42</v>
      </c>
      <c r="J2801" t="s">
        <v>59</v>
      </c>
      <c r="K2801" t="s">
        <v>79</v>
      </c>
      <c r="M2801" t="s">
        <v>65</v>
      </c>
      <c r="N2801" t="b">
        <v>0</v>
      </c>
      <c r="P2801" t="b">
        <v>0</v>
      </c>
      <c r="Q2801" t="b">
        <v>0</v>
      </c>
      <c r="R2801" t="b">
        <v>0</v>
      </c>
      <c r="S2801" t="b">
        <v>1</v>
      </c>
      <c r="T2801" t="b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0</v>
      </c>
      <c r="AA2801" t="b">
        <v>0</v>
      </c>
      <c r="AB2801" t="b">
        <v>1</v>
      </c>
      <c r="AC2801" t="b">
        <v>0</v>
      </c>
      <c r="AE2801" t="s">
        <v>6891</v>
      </c>
    </row>
    <row r="2802" spans="1:31" x14ac:dyDescent="0.3">
      <c r="A2802">
        <v>-73.969766583009999</v>
      </c>
      <c r="B2802">
        <v>40.775909491710003</v>
      </c>
      <c r="C2802" t="s">
        <v>6892</v>
      </c>
      <c r="D2802" t="s">
        <v>52</v>
      </c>
      <c r="E2802" t="s">
        <v>33</v>
      </c>
      <c r="F2802">
        <v>10082018</v>
      </c>
      <c r="G2802">
        <v>8</v>
      </c>
      <c r="H2802" t="s">
        <v>105</v>
      </c>
      <c r="I2802" t="s">
        <v>53</v>
      </c>
      <c r="J2802" t="s">
        <v>737</v>
      </c>
      <c r="K2802" t="s">
        <v>3228</v>
      </c>
      <c r="M2802" t="s">
        <v>65</v>
      </c>
      <c r="N2802" t="b">
        <v>0</v>
      </c>
      <c r="P2802" t="b">
        <v>0</v>
      </c>
      <c r="Q2802" t="b">
        <v>0</v>
      </c>
      <c r="R2802" t="b">
        <v>0</v>
      </c>
      <c r="S2802" t="b">
        <v>1</v>
      </c>
      <c r="T2802" t="b">
        <v>0</v>
      </c>
      <c r="V2802" t="b">
        <v>0</v>
      </c>
      <c r="W2802" t="b">
        <v>0</v>
      </c>
      <c r="X2802" t="b">
        <v>0</v>
      </c>
      <c r="Y2802" t="b">
        <v>0</v>
      </c>
      <c r="Z2802" t="b">
        <v>1</v>
      </c>
      <c r="AA2802" t="b">
        <v>0</v>
      </c>
      <c r="AB2802" t="b">
        <v>1</v>
      </c>
      <c r="AC2802" t="b">
        <v>0</v>
      </c>
      <c r="AE2802" t="s">
        <v>6893</v>
      </c>
    </row>
    <row r="2803" spans="1:31" x14ac:dyDescent="0.3">
      <c r="A2803">
        <v>-73.953310154410005</v>
      </c>
      <c r="B2803">
        <v>40.793863428020003</v>
      </c>
      <c r="C2803" t="s">
        <v>6894</v>
      </c>
      <c r="D2803" t="s">
        <v>6895</v>
      </c>
      <c r="E2803" t="s">
        <v>38</v>
      </c>
      <c r="F2803">
        <v>10192018</v>
      </c>
      <c r="G2803">
        <v>1</v>
      </c>
      <c r="H2803" t="s">
        <v>48</v>
      </c>
      <c r="I2803" t="s">
        <v>53</v>
      </c>
      <c r="J2803" t="s">
        <v>42</v>
      </c>
      <c r="K2803" t="s">
        <v>89</v>
      </c>
      <c r="M2803" t="s">
        <v>65</v>
      </c>
      <c r="N2803" t="b">
        <v>0</v>
      </c>
      <c r="P2803" t="b">
        <v>0</v>
      </c>
      <c r="Q2803" t="b">
        <v>0</v>
      </c>
      <c r="R2803" t="b">
        <v>0</v>
      </c>
      <c r="S2803" t="b">
        <v>1</v>
      </c>
      <c r="T2803" t="b">
        <v>1</v>
      </c>
      <c r="V2803" t="b">
        <v>0</v>
      </c>
      <c r="W2803" t="b">
        <v>0</v>
      </c>
      <c r="X2803" t="b">
        <v>0</v>
      </c>
      <c r="Y2803" t="b">
        <v>0</v>
      </c>
      <c r="Z2803" t="b">
        <v>0</v>
      </c>
      <c r="AA2803" t="b">
        <v>0</v>
      </c>
      <c r="AB2803" t="b">
        <v>1</v>
      </c>
      <c r="AC2803" t="b">
        <v>0</v>
      </c>
      <c r="AE2803" t="s">
        <v>6896</v>
      </c>
    </row>
    <row r="2804" spans="1:31" x14ac:dyDescent="0.3">
      <c r="A2804">
        <v>-73.957665208730006</v>
      </c>
      <c r="B2804">
        <v>40.787545797779998</v>
      </c>
      <c r="C2804" t="s">
        <v>6897</v>
      </c>
      <c r="D2804" t="s">
        <v>268</v>
      </c>
      <c r="E2804" t="s">
        <v>33</v>
      </c>
      <c r="F2804">
        <v>10062018</v>
      </c>
      <c r="G2804">
        <v>2</v>
      </c>
      <c r="H2804" t="s">
        <v>48</v>
      </c>
      <c r="I2804" t="s">
        <v>42</v>
      </c>
      <c r="K2804" t="s">
        <v>43</v>
      </c>
      <c r="M2804" t="s">
        <v>44</v>
      </c>
      <c r="N2804">
        <v>2</v>
      </c>
      <c r="P2804" t="b">
        <v>1</v>
      </c>
      <c r="Q2804" t="b">
        <v>0</v>
      </c>
      <c r="R2804" t="b">
        <v>1</v>
      </c>
      <c r="S2804" t="b">
        <v>0</v>
      </c>
      <c r="T2804" t="b">
        <v>0</v>
      </c>
      <c r="V2804" t="b">
        <v>0</v>
      </c>
      <c r="W2804" t="b">
        <v>0</v>
      </c>
      <c r="X2804" t="b">
        <v>0</v>
      </c>
      <c r="Y2804" t="b">
        <v>0</v>
      </c>
      <c r="Z2804" t="b">
        <v>1</v>
      </c>
      <c r="AA2804" t="b">
        <v>0</v>
      </c>
      <c r="AB2804" t="b">
        <v>0</v>
      </c>
      <c r="AC2804" t="b">
        <v>1</v>
      </c>
      <c r="AE2804" t="s">
        <v>6898</v>
      </c>
    </row>
    <row r="2805" spans="1:31" x14ac:dyDescent="0.3">
      <c r="A2805">
        <v>-73.957609443250007</v>
      </c>
      <c r="B2805">
        <v>40.796534266409999</v>
      </c>
      <c r="C2805" t="s">
        <v>6899</v>
      </c>
      <c r="D2805" t="s">
        <v>175</v>
      </c>
      <c r="E2805" t="s">
        <v>33</v>
      </c>
      <c r="F2805">
        <v>10142018</v>
      </c>
      <c r="G2805">
        <v>7</v>
      </c>
      <c r="H2805" t="s">
        <v>48</v>
      </c>
      <c r="I2805" t="s">
        <v>42</v>
      </c>
      <c r="J2805" t="s">
        <v>59</v>
      </c>
      <c r="K2805" t="s">
        <v>79</v>
      </c>
      <c r="M2805" t="s">
        <v>65</v>
      </c>
      <c r="N2805" t="b">
        <v>0</v>
      </c>
      <c r="P2805" t="b">
        <v>0</v>
      </c>
      <c r="Q2805" t="b">
        <v>0</v>
      </c>
      <c r="R2805" t="b">
        <v>1</v>
      </c>
      <c r="S2805" t="b">
        <v>1</v>
      </c>
      <c r="T2805" t="b">
        <v>0</v>
      </c>
      <c r="V2805" t="b">
        <v>0</v>
      </c>
      <c r="W2805" t="b">
        <v>0</v>
      </c>
      <c r="X2805" t="b">
        <v>0</v>
      </c>
      <c r="Y2805" t="b">
        <v>0</v>
      </c>
      <c r="Z2805" t="b">
        <v>0</v>
      </c>
      <c r="AA2805" t="b">
        <v>0</v>
      </c>
      <c r="AB2805" t="b">
        <v>1</v>
      </c>
      <c r="AC2805" t="b">
        <v>0</v>
      </c>
      <c r="AE2805" t="s">
        <v>6900</v>
      </c>
    </row>
    <row r="2806" spans="1:31" x14ac:dyDescent="0.3">
      <c r="A2806">
        <v>-73.971163434069993</v>
      </c>
      <c r="B2806">
        <v>40.776055333869998</v>
      </c>
      <c r="C2806" t="s">
        <v>6901</v>
      </c>
      <c r="D2806" t="s">
        <v>415</v>
      </c>
      <c r="E2806" t="s">
        <v>38</v>
      </c>
      <c r="F2806">
        <v>10142018</v>
      </c>
      <c r="G2806">
        <v>5</v>
      </c>
      <c r="H2806" t="s">
        <v>48</v>
      </c>
      <c r="I2806" t="s">
        <v>42</v>
      </c>
      <c r="J2806" t="s">
        <v>59</v>
      </c>
      <c r="K2806" t="s">
        <v>79</v>
      </c>
      <c r="M2806" t="s">
        <v>65</v>
      </c>
      <c r="N2806" t="b">
        <v>0</v>
      </c>
      <c r="P2806" t="b">
        <v>0</v>
      </c>
      <c r="Q2806" t="b">
        <v>1</v>
      </c>
      <c r="R2806" t="b">
        <v>0</v>
      </c>
      <c r="S2806" t="b">
        <v>1</v>
      </c>
      <c r="T2806" t="b">
        <v>1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b">
        <v>0</v>
      </c>
      <c r="AB2806" t="b">
        <v>1</v>
      </c>
      <c r="AC2806" t="b">
        <v>0</v>
      </c>
      <c r="AE2806" t="s">
        <v>6902</v>
      </c>
    </row>
    <row r="2807" spans="1:31" x14ac:dyDescent="0.3">
      <c r="A2807">
        <v>-73.971429888040007</v>
      </c>
      <c r="B2807">
        <v>40.774105786889997</v>
      </c>
      <c r="C2807" t="s">
        <v>6903</v>
      </c>
      <c r="D2807" t="s">
        <v>1112</v>
      </c>
      <c r="E2807" t="s">
        <v>33</v>
      </c>
      <c r="F2807">
        <v>10122018</v>
      </c>
      <c r="G2807">
        <v>2</v>
      </c>
      <c r="H2807" t="s">
        <v>48</v>
      </c>
      <c r="I2807" t="s">
        <v>42</v>
      </c>
      <c r="J2807" t="s">
        <v>96</v>
      </c>
      <c r="K2807" t="s">
        <v>97</v>
      </c>
      <c r="M2807" t="s">
        <v>65</v>
      </c>
      <c r="N2807" t="b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1</v>
      </c>
      <c r="V2807" t="b">
        <v>0</v>
      </c>
      <c r="W2807" t="b">
        <v>0</v>
      </c>
      <c r="X2807" t="b">
        <v>0</v>
      </c>
      <c r="Y2807" t="b">
        <v>0</v>
      </c>
      <c r="Z2807" t="b">
        <v>0</v>
      </c>
      <c r="AA2807" t="b">
        <v>0</v>
      </c>
      <c r="AB2807" t="b">
        <v>1</v>
      </c>
      <c r="AC2807" t="b">
        <v>0</v>
      </c>
      <c r="AE2807" t="s">
        <v>6904</v>
      </c>
    </row>
    <row r="2808" spans="1:31" x14ac:dyDescent="0.3">
      <c r="A2808">
        <v>-73.961821364469998</v>
      </c>
      <c r="B2808">
        <v>40.792764881970001</v>
      </c>
      <c r="C2808" t="s">
        <v>6905</v>
      </c>
      <c r="D2808" t="s">
        <v>928</v>
      </c>
      <c r="E2808" t="s">
        <v>38</v>
      </c>
      <c r="F2808">
        <v>10102018</v>
      </c>
      <c r="G2808">
        <v>2</v>
      </c>
      <c r="H2808" t="s">
        <v>48</v>
      </c>
      <c r="I2808" t="s">
        <v>42</v>
      </c>
      <c r="K2808" t="s">
        <v>43</v>
      </c>
      <c r="M2808" t="s">
        <v>65</v>
      </c>
      <c r="N2808" t="b">
        <v>0</v>
      </c>
      <c r="P2808" t="b">
        <v>1</v>
      </c>
      <c r="Q2808" t="b">
        <v>0</v>
      </c>
      <c r="R2808" t="b">
        <v>0</v>
      </c>
      <c r="S2808" t="b">
        <v>0</v>
      </c>
      <c r="T2808" t="b">
        <v>0</v>
      </c>
      <c r="V2808" t="b">
        <v>0</v>
      </c>
      <c r="W2808" t="b">
        <v>0</v>
      </c>
      <c r="X2808" t="b">
        <v>0</v>
      </c>
      <c r="Y2808" t="b">
        <v>0</v>
      </c>
      <c r="Z2808" t="b">
        <v>0</v>
      </c>
      <c r="AA2808" t="b">
        <v>0</v>
      </c>
      <c r="AB2808" t="b">
        <v>0</v>
      </c>
      <c r="AC2808" t="b">
        <v>1</v>
      </c>
      <c r="AE2808" t="s">
        <v>6906</v>
      </c>
    </row>
    <row r="2809" spans="1:31" x14ac:dyDescent="0.3">
      <c r="A2809">
        <v>-73.976502795360005</v>
      </c>
      <c r="B2809">
        <v>40.771732736079997</v>
      </c>
      <c r="C2809" t="s">
        <v>6907</v>
      </c>
      <c r="D2809" t="s">
        <v>2803</v>
      </c>
      <c r="E2809" t="s">
        <v>38</v>
      </c>
      <c r="F2809">
        <v>10122018</v>
      </c>
      <c r="G2809">
        <v>2</v>
      </c>
      <c r="H2809" t="s">
        <v>48</v>
      </c>
      <c r="I2809" t="s">
        <v>42</v>
      </c>
      <c r="J2809" t="s">
        <v>53</v>
      </c>
      <c r="K2809" t="s">
        <v>54</v>
      </c>
      <c r="M2809" t="s">
        <v>65</v>
      </c>
      <c r="N2809" t="b">
        <v>0</v>
      </c>
      <c r="P2809" t="b">
        <v>1</v>
      </c>
      <c r="Q2809" t="b">
        <v>0</v>
      </c>
      <c r="R2809" t="b">
        <v>0</v>
      </c>
      <c r="S2809" t="b">
        <v>0</v>
      </c>
      <c r="T2809" t="b">
        <v>1</v>
      </c>
      <c r="U2809" t="s">
        <v>5863</v>
      </c>
      <c r="V2809" t="b">
        <v>0</v>
      </c>
      <c r="W2809" t="b">
        <v>0</v>
      </c>
      <c r="X2809" t="b">
        <v>0</v>
      </c>
      <c r="Y2809" t="b">
        <v>0</v>
      </c>
      <c r="Z2809" t="b">
        <v>0</v>
      </c>
      <c r="AA2809" t="b">
        <v>0</v>
      </c>
      <c r="AB2809" t="b">
        <v>1</v>
      </c>
      <c r="AC2809" t="b">
        <v>0</v>
      </c>
      <c r="AE2809" t="s">
        <v>6908</v>
      </c>
    </row>
    <row r="2810" spans="1:31" x14ac:dyDescent="0.3">
      <c r="A2810">
        <v>-73.968675625489993</v>
      </c>
      <c r="B2810">
        <v>40.777745910269999</v>
      </c>
      <c r="C2810" t="s">
        <v>6909</v>
      </c>
      <c r="D2810" t="s">
        <v>256</v>
      </c>
      <c r="E2810" t="s">
        <v>38</v>
      </c>
      <c r="F2810">
        <v>10142018</v>
      </c>
      <c r="G2810">
        <v>4</v>
      </c>
      <c r="H2810" t="s">
        <v>48</v>
      </c>
      <c r="I2810" t="s">
        <v>42</v>
      </c>
      <c r="J2810" t="s">
        <v>53</v>
      </c>
      <c r="K2810" t="s">
        <v>54</v>
      </c>
      <c r="M2810" t="s">
        <v>65</v>
      </c>
      <c r="N2810" t="b">
        <v>0</v>
      </c>
      <c r="P2810" t="b">
        <v>0</v>
      </c>
      <c r="Q2810" t="b">
        <v>1</v>
      </c>
      <c r="R2810" t="b">
        <v>0</v>
      </c>
      <c r="S2810" t="b">
        <v>0</v>
      </c>
      <c r="T2810" t="b">
        <v>0</v>
      </c>
      <c r="V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b">
        <v>0</v>
      </c>
      <c r="AB2810" t="b">
        <v>0</v>
      </c>
      <c r="AC2810" t="b">
        <v>1</v>
      </c>
      <c r="AE2810" t="s">
        <v>6910</v>
      </c>
    </row>
    <row r="2811" spans="1:31" x14ac:dyDescent="0.3">
      <c r="A2811">
        <v>-73.961465989900006</v>
      </c>
      <c r="B2811">
        <v>40.794556290759999</v>
      </c>
      <c r="C2811" t="s">
        <v>6911</v>
      </c>
      <c r="D2811" t="s">
        <v>286</v>
      </c>
      <c r="E2811" t="s">
        <v>33</v>
      </c>
      <c r="F2811">
        <v>10132018</v>
      </c>
      <c r="G2811">
        <v>10</v>
      </c>
      <c r="H2811" t="s">
        <v>48</v>
      </c>
      <c r="I2811" t="s">
        <v>42</v>
      </c>
      <c r="J2811" t="s">
        <v>53</v>
      </c>
      <c r="K2811" t="s">
        <v>54</v>
      </c>
      <c r="M2811" t="s">
        <v>65</v>
      </c>
      <c r="N2811" t="b">
        <v>0</v>
      </c>
      <c r="P2811" t="b">
        <v>1</v>
      </c>
      <c r="Q2811" t="b">
        <v>0</v>
      </c>
      <c r="R2811" t="b">
        <v>0</v>
      </c>
      <c r="S2811" t="b">
        <v>0</v>
      </c>
      <c r="T2811" t="b">
        <v>0</v>
      </c>
      <c r="V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b">
        <v>0</v>
      </c>
      <c r="AB2811" t="b">
        <v>0</v>
      </c>
      <c r="AC2811" t="b">
        <v>1</v>
      </c>
      <c r="AE2811" t="s">
        <v>6912</v>
      </c>
    </row>
    <row r="2812" spans="1:31" x14ac:dyDescent="0.3">
      <c r="A2812">
        <v>-73.975688976610002</v>
      </c>
      <c r="B2812">
        <v>40.767607830860001</v>
      </c>
      <c r="C2812" t="s">
        <v>6913</v>
      </c>
      <c r="D2812" t="s">
        <v>1701</v>
      </c>
      <c r="E2812" t="s">
        <v>38</v>
      </c>
      <c r="F2812">
        <v>10062018</v>
      </c>
      <c r="G2812">
        <v>14</v>
      </c>
      <c r="H2812" t="s">
        <v>48</v>
      </c>
      <c r="I2812" t="s">
        <v>42</v>
      </c>
      <c r="J2812" t="s">
        <v>59</v>
      </c>
      <c r="K2812" t="s">
        <v>79</v>
      </c>
      <c r="M2812" t="s">
        <v>44</v>
      </c>
      <c r="N2812">
        <v>12</v>
      </c>
      <c r="P2812" t="b">
        <v>1</v>
      </c>
      <c r="Q2812" t="b">
        <v>0</v>
      </c>
      <c r="R2812" t="b">
        <v>1</v>
      </c>
      <c r="S2812" t="b">
        <v>0</v>
      </c>
      <c r="T2812" t="b">
        <v>0</v>
      </c>
      <c r="U2812" t="s">
        <v>6914</v>
      </c>
      <c r="V2812" t="b">
        <v>0</v>
      </c>
      <c r="W2812" t="b">
        <v>0</v>
      </c>
      <c r="X2812" t="b">
        <v>0</v>
      </c>
      <c r="Y2812" t="b">
        <v>0</v>
      </c>
      <c r="Z2812" t="b">
        <v>0</v>
      </c>
      <c r="AA2812" t="b">
        <v>0</v>
      </c>
      <c r="AB2812" t="b">
        <v>0</v>
      </c>
      <c r="AC2812" t="b">
        <v>1</v>
      </c>
      <c r="AE2812" t="s">
        <v>6915</v>
      </c>
    </row>
    <row r="2813" spans="1:31" x14ac:dyDescent="0.3">
      <c r="A2813">
        <v>-73.963209639300004</v>
      </c>
      <c r="B2813">
        <v>40.792613844370003</v>
      </c>
      <c r="C2813" t="s">
        <v>6916</v>
      </c>
      <c r="D2813" t="s">
        <v>104</v>
      </c>
      <c r="E2813" t="s">
        <v>33</v>
      </c>
      <c r="F2813">
        <v>10132018</v>
      </c>
      <c r="G2813">
        <v>7</v>
      </c>
      <c r="H2813" t="s">
        <v>48</v>
      </c>
      <c r="I2813" t="s">
        <v>42</v>
      </c>
      <c r="J2813" t="s">
        <v>53</v>
      </c>
      <c r="K2813" t="s">
        <v>54</v>
      </c>
      <c r="M2813" t="s">
        <v>65</v>
      </c>
      <c r="N2813" t="b">
        <v>0</v>
      </c>
      <c r="P2813" t="b">
        <v>0</v>
      </c>
      <c r="Q2813" t="b">
        <v>1</v>
      </c>
      <c r="R2813" t="b">
        <v>0</v>
      </c>
      <c r="S2813" t="b">
        <v>0</v>
      </c>
      <c r="T2813" t="b">
        <v>0</v>
      </c>
      <c r="V2813" t="b">
        <v>0</v>
      </c>
      <c r="W2813" t="b">
        <v>0</v>
      </c>
      <c r="X2813" t="b">
        <v>0</v>
      </c>
      <c r="Y2813" t="b">
        <v>0</v>
      </c>
      <c r="Z2813" t="b">
        <v>0</v>
      </c>
      <c r="AA2813" t="b">
        <v>0</v>
      </c>
      <c r="AB2813" t="b">
        <v>1</v>
      </c>
      <c r="AC2813" t="b">
        <v>0</v>
      </c>
      <c r="AE2813" t="s">
        <v>6917</v>
      </c>
    </row>
    <row r="2814" spans="1:31" x14ac:dyDescent="0.3">
      <c r="A2814">
        <v>-73.96591181894</v>
      </c>
      <c r="B2814">
        <v>40.776573992849997</v>
      </c>
      <c r="C2814" t="s">
        <v>6918</v>
      </c>
      <c r="D2814" t="s">
        <v>663</v>
      </c>
      <c r="E2814" t="s">
        <v>38</v>
      </c>
      <c r="F2814">
        <v>10132018</v>
      </c>
      <c r="G2814">
        <v>2</v>
      </c>
      <c r="H2814" t="s">
        <v>48</v>
      </c>
      <c r="I2814" t="s">
        <v>42</v>
      </c>
      <c r="K2814" t="s">
        <v>43</v>
      </c>
      <c r="M2814" t="s">
        <v>44</v>
      </c>
      <c r="N2814">
        <v>15</v>
      </c>
      <c r="P2814" t="b">
        <v>0</v>
      </c>
      <c r="Q2814" t="b">
        <v>0</v>
      </c>
      <c r="R2814" t="b">
        <v>1</v>
      </c>
      <c r="S2814" t="b">
        <v>0</v>
      </c>
      <c r="T2814" t="b">
        <v>0</v>
      </c>
      <c r="V2814" t="b">
        <v>0</v>
      </c>
      <c r="W2814" t="b">
        <v>0</v>
      </c>
      <c r="X2814" t="b">
        <v>0</v>
      </c>
      <c r="Y2814" t="b">
        <v>0</v>
      </c>
      <c r="Z2814" t="b">
        <v>0</v>
      </c>
      <c r="AA2814" t="b">
        <v>0</v>
      </c>
      <c r="AB2814" t="b">
        <v>1</v>
      </c>
      <c r="AC2814" t="b">
        <v>0</v>
      </c>
      <c r="AE2814" t="s">
        <v>6919</v>
      </c>
    </row>
    <row r="2815" spans="1:31" x14ac:dyDescent="0.3">
      <c r="A2815">
        <v>-73.955162527230002</v>
      </c>
      <c r="B2815">
        <v>40.791193071919999</v>
      </c>
      <c r="C2815" t="s">
        <v>6920</v>
      </c>
      <c r="D2815" t="s">
        <v>1352</v>
      </c>
      <c r="E2815" t="s">
        <v>33</v>
      </c>
      <c r="F2815">
        <v>10062018</v>
      </c>
      <c r="G2815">
        <v>6</v>
      </c>
      <c r="H2815" t="s">
        <v>48</v>
      </c>
      <c r="I2815" t="s">
        <v>42</v>
      </c>
      <c r="K2815" t="s">
        <v>43</v>
      </c>
      <c r="M2815" t="s">
        <v>65</v>
      </c>
      <c r="N2815" t="b">
        <v>0</v>
      </c>
      <c r="O2815" t="s">
        <v>2996</v>
      </c>
      <c r="P2815" t="b">
        <v>1</v>
      </c>
      <c r="Q2815" t="b">
        <v>0</v>
      </c>
      <c r="R2815" t="b">
        <v>0</v>
      </c>
      <c r="S2815" t="b">
        <v>0</v>
      </c>
      <c r="T2815" t="b">
        <v>0</v>
      </c>
      <c r="V2815" t="b">
        <v>0</v>
      </c>
      <c r="W2815" t="b">
        <v>0</v>
      </c>
      <c r="X2815" t="b">
        <v>0</v>
      </c>
      <c r="Y2815" t="b">
        <v>0</v>
      </c>
      <c r="Z2815" t="b">
        <v>0</v>
      </c>
      <c r="AA2815" t="b">
        <v>0</v>
      </c>
      <c r="AB2815" t="b">
        <v>0</v>
      </c>
      <c r="AC2815" t="b">
        <v>0</v>
      </c>
      <c r="AE2815" t="s">
        <v>6921</v>
      </c>
    </row>
    <row r="2816" spans="1:31" x14ac:dyDescent="0.3">
      <c r="A2816">
        <v>-73.974731131240006</v>
      </c>
      <c r="B2816">
        <v>40.767731972500002</v>
      </c>
      <c r="C2816" t="s">
        <v>6922</v>
      </c>
      <c r="D2816" t="s">
        <v>1701</v>
      </c>
      <c r="E2816" t="s">
        <v>33</v>
      </c>
      <c r="F2816">
        <v>10132018</v>
      </c>
      <c r="G2816">
        <v>6</v>
      </c>
      <c r="H2816" t="s">
        <v>48</v>
      </c>
      <c r="I2816" t="s">
        <v>42</v>
      </c>
      <c r="J2816" t="s">
        <v>59</v>
      </c>
      <c r="K2816" t="s">
        <v>79</v>
      </c>
      <c r="M2816" t="s">
        <v>44</v>
      </c>
      <c r="N2816">
        <v>19</v>
      </c>
      <c r="P2816" t="b">
        <v>0</v>
      </c>
      <c r="Q2816" t="b">
        <v>0</v>
      </c>
      <c r="R2816" t="b">
        <v>1</v>
      </c>
      <c r="S2816" t="b">
        <v>0</v>
      </c>
      <c r="T2816" t="b">
        <v>0</v>
      </c>
      <c r="V2816" t="b">
        <v>0</v>
      </c>
      <c r="W2816" t="b">
        <v>1</v>
      </c>
      <c r="X2816" t="b">
        <v>0</v>
      </c>
      <c r="Y2816" t="b">
        <v>0</v>
      </c>
      <c r="Z2816" t="b">
        <v>0</v>
      </c>
      <c r="AA2816" t="b">
        <v>0</v>
      </c>
      <c r="AB2816" t="b">
        <v>0</v>
      </c>
      <c r="AC2816" t="b">
        <v>1</v>
      </c>
      <c r="AE2816" t="s">
        <v>6923</v>
      </c>
    </row>
    <row r="2817" spans="1:31" x14ac:dyDescent="0.3">
      <c r="A2817">
        <v>-73.980934229059997</v>
      </c>
      <c r="B2817">
        <v>40.768726560620003</v>
      </c>
      <c r="C2817" t="s">
        <v>6924</v>
      </c>
      <c r="D2817" t="s">
        <v>1906</v>
      </c>
      <c r="E2817" t="s">
        <v>38</v>
      </c>
      <c r="F2817">
        <v>10102018</v>
      </c>
      <c r="G2817">
        <v>5</v>
      </c>
      <c r="H2817" t="s">
        <v>48</v>
      </c>
      <c r="I2817" t="s">
        <v>42</v>
      </c>
      <c r="J2817" t="s">
        <v>59</v>
      </c>
      <c r="K2817" t="s">
        <v>79</v>
      </c>
      <c r="M2817" t="s">
        <v>65</v>
      </c>
      <c r="N2817" t="b">
        <v>0</v>
      </c>
      <c r="O2817" t="s">
        <v>6925</v>
      </c>
      <c r="P2817" t="b">
        <v>0</v>
      </c>
      <c r="Q2817" t="b">
        <v>0</v>
      </c>
      <c r="R2817" t="b">
        <v>0</v>
      </c>
      <c r="S2817" t="b">
        <v>1</v>
      </c>
      <c r="T2817" t="b">
        <v>1</v>
      </c>
      <c r="V2817" t="b">
        <v>0</v>
      </c>
      <c r="W2817" t="b">
        <v>0</v>
      </c>
      <c r="X2817" t="b">
        <v>0</v>
      </c>
      <c r="Y2817" t="b">
        <v>0</v>
      </c>
      <c r="Z2817" t="b">
        <v>1</v>
      </c>
      <c r="AA2817" t="b">
        <v>1</v>
      </c>
      <c r="AB2817" t="b">
        <v>1</v>
      </c>
      <c r="AC2817" t="b">
        <v>0</v>
      </c>
      <c r="AE2817" t="s">
        <v>6926</v>
      </c>
    </row>
    <row r="2818" spans="1:31" x14ac:dyDescent="0.3">
      <c r="A2818">
        <v>-73.959644586159996</v>
      </c>
      <c r="B2818">
        <v>40.797194867899996</v>
      </c>
      <c r="C2818" t="s">
        <v>6927</v>
      </c>
      <c r="D2818" t="s">
        <v>680</v>
      </c>
      <c r="E2818" t="s">
        <v>33</v>
      </c>
      <c r="F2818">
        <v>10132018</v>
      </c>
      <c r="G2818">
        <v>5</v>
      </c>
      <c r="H2818" t="s">
        <v>48</v>
      </c>
      <c r="I2818" t="s">
        <v>176</v>
      </c>
      <c r="K2818" t="s">
        <v>177</v>
      </c>
      <c r="M2818" t="s">
        <v>65</v>
      </c>
      <c r="N2818" t="b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1</v>
      </c>
      <c r="V2818" t="b">
        <v>0</v>
      </c>
      <c r="W2818" t="b">
        <v>0</v>
      </c>
      <c r="X2818" t="b">
        <v>0</v>
      </c>
      <c r="Y2818" t="b">
        <v>0</v>
      </c>
      <c r="Z2818" t="b">
        <v>0</v>
      </c>
      <c r="AA2818" t="b">
        <v>0</v>
      </c>
      <c r="AB2818" t="b">
        <v>0</v>
      </c>
      <c r="AC2818" t="b">
        <v>1</v>
      </c>
      <c r="AE2818" t="s">
        <v>6928</v>
      </c>
    </row>
    <row r="2819" spans="1:31" x14ac:dyDescent="0.3">
      <c r="A2819">
        <v>-73.968166464199996</v>
      </c>
      <c r="B2819">
        <v>40.7724669682</v>
      </c>
      <c r="C2819" t="s">
        <v>6929</v>
      </c>
      <c r="D2819" t="s">
        <v>1270</v>
      </c>
      <c r="E2819" t="s">
        <v>33</v>
      </c>
      <c r="F2819">
        <v>10122018</v>
      </c>
      <c r="G2819">
        <v>2</v>
      </c>
      <c r="H2819" t="s">
        <v>48</v>
      </c>
      <c r="I2819" t="s">
        <v>42</v>
      </c>
      <c r="K2819" t="s">
        <v>43</v>
      </c>
      <c r="M2819" t="s">
        <v>44</v>
      </c>
      <c r="N2819">
        <v>4</v>
      </c>
      <c r="P2819" t="b">
        <v>1</v>
      </c>
      <c r="Q2819" t="b">
        <v>0</v>
      </c>
      <c r="R2819" t="b">
        <v>1</v>
      </c>
      <c r="S2819" t="b">
        <v>0</v>
      </c>
      <c r="T2819" t="b">
        <v>1</v>
      </c>
      <c r="V2819" t="b">
        <v>0</v>
      </c>
      <c r="W2819" t="b">
        <v>0</v>
      </c>
      <c r="X2819" t="b">
        <v>0</v>
      </c>
      <c r="Y2819" t="b">
        <v>0</v>
      </c>
      <c r="Z2819" t="b">
        <v>0</v>
      </c>
      <c r="AA2819" t="b">
        <v>0</v>
      </c>
      <c r="AB2819" t="b">
        <v>0</v>
      </c>
      <c r="AC2819" t="b">
        <v>1</v>
      </c>
      <c r="AD2819" t="s">
        <v>6930</v>
      </c>
      <c r="AE2819" t="s">
        <v>6931</v>
      </c>
    </row>
    <row r="2820" spans="1:31" x14ac:dyDescent="0.3">
      <c r="A2820">
        <v>-73.955035009689993</v>
      </c>
      <c r="B2820">
        <v>40.797694218709999</v>
      </c>
      <c r="C2820" t="s">
        <v>6932</v>
      </c>
      <c r="D2820" t="s">
        <v>1515</v>
      </c>
      <c r="E2820" t="s">
        <v>33</v>
      </c>
      <c r="F2820">
        <v>10132018</v>
      </c>
      <c r="G2820">
        <v>2</v>
      </c>
      <c r="H2820" t="s">
        <v>48</v>
      </c>
      <c r="I2820" t="s">
        <v>42</v>
      </c>
      <c r="J2820" t="s">
        <v>59</v>
      </c>
      <c r="K2820" t="s">
        <v>79</v>
      </c>
      <c r="M2820" t="s">
        <v>65</v>
      </c>
      <c r="N2820" t="b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1</v>
      </c>
      <c r="V2820" t="b">
        <v>0</v>
      </c>
      <c r="W2820" t="b">
        <v>0</v>
      </c>
      <c r="X2820" t="b">
        <v>0</v>
      </c>
      <c r="Y2820" t="b">
        <v>0</v>
      </c>
      <c r="Z2820" t="b">
        <v>0</v>
      </c>
      <c r="AA2820" t="b">
        <v>0</v>
      </c>
      <c r="AB2820" t="b">
        <v>0</v>
      </c>
      <c r="AC2820" t="b">
        <v>0</v>
      </c>
      <c r="AE2820" t="s">
        <v>6933</v>
      </c>
    </row>
    <row r="2821" spans="1:31" x14ac:dyDescent="0.3">
      <c r="A2821">
        <v>-73.961592603130001</v>
      </c>
      <c r="B2821">
        <v>40.794422323539997</v>
      </c>
      <c r="C2821" t="s">
        <v>6934</v>
      </c>
      <c r="D2821" t="s">
        <v>423</v>
      </c>
      <c r="E2821" t="s">
        <v>33</v>
      </c>
      <c r="F2821">
        <v>10132018</v>
      </c>
      <c r="G2821">
        <v>5</v>
      </c>
      <c r="H2821" t="s">
        <v>48</v>
      </c>
      <c r="I2821" t="s">
        <v>42</v>
      </c>
      <c r="K2821" t="s">
        <v>43</v>
      </c>
      <c r="M2821" t="s">
        <v>65</v>
      </c>
      <c r="N2821" t="b">
        <v>0</v>
      </c>
      <c r="P2821" t="b">
        <v>1</v>
      </c>
      <c r="Q2821" t="b">
        <v>0</v>
      </c>
      <c r="R2821" t="b">
        <v>1</v>
      </c>
      <c r="S2821" t="b">
        <v>0</v>
      </c>
      <c r="T2821" t="b">
        <v>0</v>
      </c>
      <c r="U2821" t="s">
        <v>6346</v>
      </c>
      <c r="V2821" t="b">
        <v>1</v>
      </c>
      <c r="W2821" t="b">
        <v>0</v>
      </c>
      <c r="X2821" t="b">
        <v>0</v>
      </c>
      <c r="Y2821" t="b">
        <v>0</v>
      </c>
      <c r="Z2821" t="b">
        <v>0</v>
      </c>
      <c r="AA2821" t="b">
        <v>0</v>
      </c>
      <c r="AB2821" t="b">
        <v>0</v>
      </c>
      <c r="AC2821" t="b">
        <v>1</v>
      </c>
      <c r="AD2821" t="s">
        <v>1294</v>
      </c>
      <c r="AE2821" t="s">
        <v>6935</v>
      </c>
    </row>
    <row r="2822" spans="1:31" x14ac:dyDescent="0.3">
      <c r="A2822">
        <v>-73.975453656599996</v>
      </c>
      <c r="B2822">
        <v>40.769860491880003</v>
      </c>
      <c r="C2822" t="s">
        <v>6936</v>
      </c>
      <c r="D2822" t="s">
        <v>245</v>
      </c>
      <c r="E2822" t="s">
        <v>33</v>
      </c>
      <c r="F2822">
        <v>10122018</v>
      </c>
      <c r="G2822">
        <v>4</v>
      </c>
      <c r="H2822" t="s">
        <v>48</v>
      </c>
      <c r="I2822" t="s">
        <v>42</v>
      </c>
      <c r="J2822" t="s">
        <v>96</v>
      </c>
      <c r="K2822" t="s">
        <v>97</v>
      </c>
      <c r="M2822" t="s">
        <v>65</v>
      </c>
      <c r="N2822" t="b">
        <v>0</v>
      </c>
      <c r="P2822" t="b">
        <v>1</v>
      </c>
      <c r="Q2822" t="b">
        <v>0</v>
      </c>
      <c r="R2822" t="b">
        <v>0</v>
      </c>
      <c r="S2822" t="b">
        <v>0</v>
      </c>
      <c r="T2822" t="b">
        <v>0</v>
      </c>
      <c r="V2822" t="b">
        <v>0</v>
      </c>
      <c r="W2822" t="b">
        <v>0</v>
      </c>
      <c r="X2822" t="b">
        <v>0</v>
      </c>
      <c r="Y2822" t="b">
        <v>1</v>
      </c>
      <c r="Z2822" t="b">
        <v>0</v>
      </c>
      <c r="AA2822" t="b">
        <v>0</v>
      </c>
      <c r="AB2822" t="b">
        <v>0</v>
      </c>
      <c r="AC2822" t="b">
        <v>1</v>
      </c>
      <c r="AE2822" t="s">
        <v>6937</v>
      </c>
    </row>
    <row r="2823" spans="1:31" x14ac:dyDescent="0.3">
      <c r="A2823">
        <v>-73.971112007949998</v>
      </c>
      <c r="B2823">
        <v>40.77608019118</v>
      </c>
      <c r="C2823" t="s">
        <v>6938</v>
      </c>
      <c r="D2823" t="s">
        <v>415</v>
      </c>
      <c r="E2823" t="s">
        <v>33</v>
      </c>
      <c r="F2823">
        <v>10182018</v>
      </c>
      <c r="G2823">
        <v>14</v>
      </c>
      <c r="H2823" t="s">
        <v>48</v>
      </c>
      <c r="I2823" t="s">
        <v>53</v>
      </c>
      <c r="J2823" t="s">
        <v>42</v>
      </c>
      <c r="K2823" t="s">
        <v>89</v>
      </c>
      <c r="M2823" t="s">
        <v>65</v>
      </c>
      <c r="N2823" t="b">
        <v>0</v>
      </c>
      <c r="P2823" t="b">
        <v>1</v>
      </c>
      <c r="Q2823" t="b">
        <v>0</v>
      </c>
      <c r="R2823" t="b">
        <v>1</v>
      </c>
      <c r="S2823" t="b">
        <v>0</v>
      </c>
      <c r="T2823" t="b">
        <v>0</v>
      </c>
      <c r="U2823" t="s">
        <v>6939</v>
      </c>
      <c r="V2823" t="b">
        <v>0</v>
      </c>
      <c r="W2823" t="b">
        <v>0</v>
      </c>
      <c r="X2823" t="b">
        <v>0</v>
      </c>
      <c r="Y2823" t="b">
        <v>0</v>
      </c>
      <c r="Z2823" t="b">
        <v>0</v>
      </c>
      <c r="AA2823" t="b">
        <v>0</v>
      </c>
      <c r="AB2823" t="b">
        <v>1</v>
      </c>
      <c r="AC2823" t="b">
        <v>0</v>
      </c>
      <c r="AE2823" t="s">
        <v>6940</v>
      </c>
    </row>
    <row r="2824" spans="1:31" x14ac:dyDescent="0.3">
      <c r="A2824">
        <v>-73.966405432779993</v>
      </c>
      <c r="B2824">
        <v>40.775618089330003</v>
      </c>
      <c r="C2824" t="s">
        <v>6941</v>
      </c>
      <c r="D2824" t="s">
        <v>1320</v>
      </c>
      <c r="E2824" t="s">
        <v>33</v>
      </c>
      <c r="F2824">
        <v>10122018</v>
      </c>
      <c r="G2824">
        <v>7</v>
      </c>
      <c r="H2824" t="s">
        <v>48</v>
      </c>
      <c r="I2824" t="s">
        <v>42</v>
      </c>
      <c r="J2824" t="s">
        <v>53</v>
      </c>
      <c r="K2824" t="s">
        <v>54</v>
      </c>
      <c r="M2824" t="s">
        <v>65</v>
      </c>
      <c r="N2824" t="b">
        <v>0</v>
      </c>
      <c r="P2824" t="b">
        <v>0</v>
      </c>
      <c r="Q2824" t="b">
        <v>0</v>
      </c>
      <c r="R2824" t="b">
        <v>0</v>
      </c>
      <c r="S2824" t="b">
        <v>1</v>
      </c>
      <c r="T2824" t="b">
        <v>1</v>
      </c>
      <c r="V2824" t="b">
        <v>0</v>
      </c>
      <c r="W2824" t="b">
        <v>0</v>
      </c>
      <c r="X2824" t="b">
        <v>0</v>
      </c>
      <c r="Y2824" t="b">
        <v>0</v>
      </c>
      <c r="Z2824" t="b">
        <v>0</v>
      </c>
      <c r="AA2824" t="b">
        <v>0</v>
      </c>
      <c r="AB2824" t="b">
        <v>1</v>
      </c>
      <c r="AC2824" t="b">
        <v>0</v>
      </c>
      <c r="AE2824" t="s">
        <v>6942</v>
      </c>
    </row>
    <row r="2825" spans="1:31" x14ac:dyDescent="0.3">
      <c r="A2825">
        <v>-73.975061800809996</v>
      </c>
      <c r="B2825">
        <v>40.77375211671</v>
      </c>
      <c r="C2825" t="s">
        <v>6943</v>
      </c>
      <c r="D2825" t="s">
        <v>790</v>
      </c>
      <c r="E2825" t="s">
        <v>38</v>
      </c>
      <c r="F2825">
        <v>10102018</v>
      </c>
      <c r="G2825">
        <v>5</v>
      </c>
      <c r="H2825" t="s">
        <v>48</v>
      </c>
      <c r="I2825" t="s">
        <v>42</v>
      </c>
      <c r="J2825" t="s">
        <v>59</v>
      </c>
      <c r="K2825" t="s">
        <v>79</v>
      </c>
      <c r="M2825" t="s">
        <v>65</v>
      </c>
      <c r="N2825" t="b">
        <v>0</v>
      </c>
      <c r="P2825" t="b">
        <v>0</v>
      </c>
      <c r="Q2825" t="b">
        <v>0</v>
      </c>
      <c r="R2825" t="b">
        <v>0</v>
      </c>
      <c r="S2825" t="b">
        <v>0</v>
      </c>
      <c r="T2825" t="b">
        <v>1</v>
      </c>
      <c r="V2825" t="b">
        <v>0</v>
      </c>
      <c r="W2825" t="b">
        <v>0</v>
      </c>
      <c r="X2825" t="b">
        <v>0</v>
      </c>
      <c r="Y2825" t="b">
        <v>0</v>
      </c>
      <c r="Z2825" t="b">
        <v>1</v>
      </c>
      <c r="AA2825" t="b">
        <v>0</v>
      </c>
      <c r="AB2825" t="b">
        <v>1</v>
      </c>
      <c r="AC2825" t="b">
        <v>0</v>
      </c>
      <c r="AE2825" t="s">
        <v>6944</v>
      </c>
    </row>
    <row r="2826" spans="1:31" x14ac:dyDescent="0.3">
      <c r="A2826">
        <v>-73.964350758799995</v>
      </c>
      <c r="B2826">
        <v>40.79043246933</v>
      </c>
      <c r="C2826" t="s">
        <v>6945</v>
      </c>
      <c r="D2826" t="s">
        <v>908</v>
      </c>
      <c r="E2826" t="s">
        <v>33</v>
      </c>
      <c r="F2826">
        <v>10192018</v>
      </c>
      <c r="G2826">
        <v>7</v>
      </c>
      <c r="H2826" t="s">
        <v>48</v>
      </c>
      <c r="I2826" t="s">
        <v>42</v>
      </c>
      <c r="J2826" t="s">
        <v>148</v>
      </c>
      <c r="K2826" t="s">
        <v>149</v>
      </c>
      <c r="M2826" t="s">
        <v>65</v>
      </c>
      <c r="N2826" t="b">
        <v>0</v>
      </c>
      <c r="P2826" t="b">
        <v>0</v>
      </c>
      <c r="Q2826" t="b">
        <v>0</v>
      </c>
      <c r="R2826" t="b">
        <v>0</v>
      </c>
      <c r="S2826" t="b">
        <v>1</v>
      </c>
      <c r="T2826" t="b">
        <v>1</v>
      </c>
      <c r="V2826" t="b">
        <v>0</v>
      </c>
      <c r="W2826" t="b">
        <v>0</v>
      </c>
      <c r="X2826" t="b">
        <v>0</v>
      </c>
      <c r="Y2826" t="b">
        <v>0</v>
      </c>
      <c r="Z2826" t="b">
        <v>0</v>
      </c>
      <c r="AA2826" t="b">
        <v>0</v>
      </c>
      <c r="AB2826" t="b">
        <v>0</v>
      </c>
      <c r="AC2826" t="b">
        <v>1</v>
      </c>
      <c r="AE2826" t="s">
        <v>6946</v>
      </c>
    </row>
    <row r="2827" spans="1:31" x14ac:dyDescent="0.3">
      <c r="A2827">
        <v>-73.960035701839999</v>
      </c>
      <c r="B2827">
        <v>40.790653976690002</v>
      </c>
      <c r="C2827" t="s">
        <v>6947</v>
      </c>
      <c r="D2827" t="s">
        <v>47</v>
      </c>
      <c r="E2827" t="s">
        <v>38</v>
      </c>
      <c r="F2827">
        <v>10072018</v>
      </c>
      <c r="G2827">
        <v>8</v>
      </c>
      <c r="H2827" t="s">
        <v>48</v>
      </c>
      <c r="I2827" t="s">
        <v>42</v>
      </c>
      <c r="K2827" t="s">
        <v>43</v>
      </c>
      <c r="M2827" t="s">
        <v>44</v>
      </c>
      <c r="N2827">
        <v>65</v>
      </c>
      <c r="O2827" t="s">
        <v>6948</v>
      </c>
      <c r="P2827" t="b">
        <v>0</v>
      </c>
      <c r="Q2827" t="b">
        <v>0</v>
      </c>
      <c r="R2827" t="b">
        <v>1</v>
      </c>
      <c r="S2827" t="b">
        <v>0</v>
      </c>
      <c r="T2827" t="b">
        <v>0</v>
      </c>
      <c r="V2827" t="b">
        <v>0</v>
      </c>
      <c r="W2827" t="b">
        <v>0</v>
      </c>
      <c r="X2827" t="b">
        <v>0</v>
      </c>
      <c r="Y2827" t="b">
        <v>0</v>
      </c>
      <c r="Z2827" t="b">
        <v>0</v>
      </c>
      <c r="AA2827" t="b">
        <v>0</v>
      </c>
      <c r="AB2827" t="b">
        <v>0</v>
      </c>
      <c r="AC2827" t="b">
        <v>0</v>
      </c>
      <c r="AE2827" t="s">
        <v>6949</v>
      </c>
    </row>
    <row r="2828" spans="1:31" x14ac:dyDescent="0.3">
      <c r="A2828">
        <v>-73.977857882229998</v>
      </c>
      <c r="B2828">
        <v>40.770543270529998</v>
      </c>
      <c r="C2828" t="s">
        <v>6950</v>
      </c>
      <c r="D2828" t="s">
        <v>2861</v>
      </c>
      <c r="E2828" t="s">
        <v>33</v>
      </c>
      <c r="F2828">
        <v>10132018</v>
      </c>
      <c r="G2828">
        <v>3</v>
      </c>
      <c r="H2828" t="s">
        <v>48</v>
      </c>
      <c r="I2828" t="s">
        <v>42</v>
      </c>
      <c r="K2828" t="s">
        <v>43</v>
      </c>
      <c r="M2828" t="s">
        <v>65</v>
      </c>
      <c r="N2828" t="b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1</v>
      </c>
      <c r="U2828" t="s">
        <v>75</v>
      </c>
      <c r="V2828" t="b">
        <v>0</v>
      </c>
      <c r="W2828" t="b">
        <v>0</v>
      </c>
      <c r="X2828" t="b">
        <v>0</v>
      </c>
      <c r="Y2828" t="b">
        <v>0</v>
      </c>
      <c r="Z2828" t="b">
        <v>0</v>
      </c>
      <c r="AA2828" t="b">
        <v>0</v>
      </c>
      <c r="AB2828" t="b">
        <v>0</v>
      </c>
      <c r="AC2828" t="b">
        <v>0</v>
      </c>
      <c r="AE2828" t="s">
        <v>6951</v>
      </c>
    </row>
    <row r="2829" spans="1:31" x14ac:dyDescent="0.3">
      <c r="A2829">
        <v>-73.958743975649995</v>
      </c>
      <c r="B2829">
        <v>40.784900610740003</v>
      </c>
      <c r="C2829" t="s">
        <v>6952</v>
      </c>
      <c r="D2829" t="s">
        <v>1083</v>
      </c>
      <c r="E2829" t="s">
        <v>38</v>
      </c>
      <c r="F2829">
        <v>10072018</v>
      </c>
      <c r="G2829">
        <v>4</v>
      </c>
      <c r="H2829" t="s">
        <v>48</v>
      </c>
      <c r="I2829" t="s">
        <v>42</v>
      </c>
      <c r="J2829" t="s">
        <v>53</v>
      </c>
      <c r="K2829" t="s">
        <v>54</v>
      </c>
      <c r="M2829" t="s">
        <v>65</v>
      </c>
      <c r="N2829" t="b">
        <v>0</v>
      </c>
      <c r="P2829" t="b">
        <v>0</v>
      </c>
      <c r="Q2829" t="b">
        <v>0</v>
      </c>
      <c r="R2829" t="b">
        <v>0</v>
      </c>
      <c r="S2829" t="b">
        <v>0</v>
      </c>
      <c r="T2829" t="b">
        <v>1</v>
      </c>
      <c r="V2829" t="b">
        <v>0</v>
      </c>
      <c r="W2829" t="b">
        <v>0</v>
      </c>
      <c r="X2829" t="b">
        <v>0</v>
      </c>
      <c r="Y2829" t="b">
        <v>0</v>
      </c>
      <c r="Z2829" t="b">
        <v>0</v>
      </c>
      <c r="AA2829" t="b">
        <v>0</v>
      </c>
      <c r="AB2829" t="b">
        <v>1</v>
      </c>
      <c r="AC2829" t="b">
        <v>1</v>
      </c>
      <c r="AE2829" t="s">
        <v>6953</v>
      </c>
    </row>
    <row r="2830" spans="1:31" x14ac:dyDescent="0.3">
      <c r="A2830">
        <v>-73.956523096360002</v>
      </c>
      <c r="B2830">
        <v>40.798556387710001</v>
      </c>
      <c r="C2830" t="s">
        <v>6954</v>
      </c>
      <c r="D2830" t="s">
        <v>1130</v>
      </c>
      <c r="E2830" t="s">
        <v>33</v>
      </c>
      <c r="F2830">
        <v>10072018</v>
      </c>
      <c r="G2830">
        <v>2</v>
      </c>
      <c r="H2830" t="s">
        <v>48</v>
      </c>
      <c r="I2830" t="s">
        <v>42</v>
      </c>
      <c r="J2830" t="s">
        <v>96</v>
      </c>
      <c r="K2830" t="s">
        <v>97</v>
      </c>
      <c r="M2830" t="s">
        <v>65</v>
      </c>
      <c r="N2830" t="b">
        <v>0</v>
      </c>
      <c r="P2830" t="b">
        <v>1</v>
      </c>
      <c r="Q2830" t="b">
        <v>0</v>
      </c>
      <c r="R2830" t="b">
        <v>1</v>
      </c>
      <c r="S2830" t="b">
        <v>0</v>
      </c>
      <c r="T2830" t="b">
        <v>0</v>
      </c>
      <c r="V2830" t="b">
        <v>0</v>
      </c>
      <c r="W2830" t="b">
        <v>0</v>
      </c>
      <c r="X2830" t="b">
        <v>0</v>
      </c>
      <c r="Y2830" t="b">
        <v>0</v>
      </c>
      <c r="Z2830" t="b">
        <v>0</v>
      </c>
      <c r="AA2830" t="b">
        <v>0</v>
      </c>
      <c r="AB2830" t="b">
        <v>0</v>
      </c>
      <c r="AC2830" t="b">
        <v>0</v>
      </c>
      <c r="AE2830" t="s">
        <v>6955</v>
      </c>
    </row>
    <row r="2831" spans="1:31" x14ac:dyDescent="0.3">
      <c r="A2831">
        <v>-73.955608369570001</v>
      </c>
      <c r="B2831">
        <v>40.796522370950001</v>
      </c>
      <c r="C2831" t="s">
        <v>6956</v>
      </c>
      <c r="D2831" t="s">
        <v>3964</v>
      </c>
      <c r="E2831" t="s">
        <v>38</v>
      </c>
      <c r="F2831">
        <v>10182018</v>
      </c>
      <c r="G2831">
        <v>2</v>
      </c>
      <c r="H2831" t="s">
        <v>48</v>
      </c>
      <c r="I2831" t="s">
        <v>42</v>
      </c>
      <c r="K2831" t="s">
        <v>43</v>
      </c>
      <c r="M2831" t="s">
        <v>65</v>
      </c>
      <c r="N2831" t="b">
        <v>0</v>
      </c>
      <c r="P2831" t="b">
        <v>0</v>
      </c>
      <c r="Q2831" t="b">
        <v>0</v>
      </c>
      <c r="R2831" t="b">
        <v>0</v>
      </c>
      <c r="S2831" t="b">
        <v>0</v>
      </c>
      <c r="T2831" t="b">
        <v>1</v>
      </c>
      <c r="V2831" t="b">
        <v>0</v>
      </c>
      <c r="W2831" t="b">
        <v>0</v>
      </c>
      <c r="X2831" t="b">
        <v>0</v>
      </c>
      <c r="Y2831" t="b">
        <v>0</v>
      </c>
      <c r="Z2831" t="b">
        <v>0</v>
      </c>
      <c r="AA2831" t="b">
        <v>0</v>
      </c>
      <c r="AB2831" t="b">
        <v>1</v>
      </c>
      <c r="AC2831" t="b">
        <v>0</v>
      </c>
      <c r="AE2831" t="s">
        <v>6957</v>
      </c>
    </row>
    <row r="2832" spans="1:31" x14ac:dyDescent="0.3">
      <c r="A2832">
        <v>-73.975358515760007</v>
      </c>
      <c r="B2832">
        <v>40.76983986079</v>
      </c>
      <c r="C2832" t="s">
        <v>6958</v>
      </c>
      <c r="D2832" t="s">
        <v>245</v>
      </c>
      <c r="E2832" t="s">
        <v>38</v>
      </c>
      <c r="F2832">
        <v>10082018</v>
      </c>
      <c r="G2832">
        <v>7</v>
      </c>
      <c r="H2832" t="s">
        <v>48</v>
      </c>
      <c r="I2832" t="s">
        <v>42</v>
      </c>
      <c r="J2832" t="s">
        <v>53</v>
      </c>
      <c r="K2832" t="s">
        <v>54</v>
      </c>
      <c r="M2832" t="s">
        <v>44</v>
      </c>
      <c r="N2832">
        <v>1</v>
      </c>
      <c r="O2832" t="s">
        <v>748</v>
      </c>
      <c r="P2832" t="b">
        <v>0</v>
      </c>
      <c r="Q2832" t="b">
        <v>0</v>
      </c>
      <c r="R2832" t="b">
        <v>0</v>
      </c>
      <c r="S2832" t="b">
        <v>0</v>
      </c>
      <c r="T2832" t="b">
        <v>1</v>
      </c>
      <c r="V2832" t="b">
        <v>0</v>
      </c>
      <c r="W2832" t="b">
        <v>0</v>
      </c>
      <c r="X2832" t="b">
        <v>0</v>
      </c>
      <c r="Y2832" t="b">
        <v>0</v>
      </c>
      <c r="Z2832" t="b">
        <v>0</v>
      </c>
      <c r="AA2832" t="b">
        <v>0</v>
      </c>
      <c r="AB2832" t="b">
        <v>1</v>
      </c>
      <c r="AC2832" t="b">
        <v>0</v>
      </c>
      <c r="AE2832" t="s">
        <v>6959</v>
      </c>
    </row>
    <row r="2833" spans="1:31" x14ac:dyDescent="0.3">
      <c r="A2833">
        <v>-73.958607566970002</v>
      </c>
      <c r="B2833">
        <v>40.798369550559997</v>
      </c>
      <c r="C2833" t="s">
        <v>6960</v>
      </c>
      <c r="D2833" t="s">
        <v>212</v>
      </c>
      <c r="E2833" t="s">
        <v>33</v>
      </c>
      <c r="F2833">
        <v>10142018</v>
      </c>
      <c r="G2833">
        <v>4</v>
      </c>
      <c r="H2833" t="s">
        <v>48</v>
      </c>
      <c r="I2833" t="s">
        <v>42</v>
      </c>
      <c r="J2833" t="s">
        <v>53</v>
      </c>
      <c r="K2833" t="s">
        <v>54</v>
      </c>
      <c r="M2833" t="s">
        <v>65</v>
      </c>
      <c r="N2833" t="b">
        <v>0</v>
      </c>
      <c r="P2833" t="b">
        <v>0</v>
      </c>
      <c r="Q2833" t="b">
        <v>0</v>
      </c>
      <c r="R2833" t="b">
        <v>0</v>
      </c>
      <c r="S2833" t="b">
        <v>0</v>
      </c>
      <c r="T2833" t="b">
        <v>1</v>
      </c>
      <c r="V2833" t="b">
        <v>0</v>
      </c>
      <c r="W2833" t="b">
        <v>0</v>
      </c>
      <c r="X2833" t="b">
        <v>0</v>
      </c>
      <c r="Y2833" t="b">
        <v>0</v>
      </c>
      <c r="Z2833" t="b">
        <v>0</v>
      </c>
      <c r="AA2833" t="b">
        <v>0</v>
      </c>
      <c r="AB2833" t="b">
        <v>1</v>
      </c>
      <c r="AC2833" t="b">
        <v>0</v>
      </c>
      <c r="AE2833" t="s">
        <v>6961</v>
      </c>
    </row>
    <row r="2834" spans="1:31" x14ac:dyDescent="0.3">
      <c r="A2834">
        <v>-73.955259556480001</v>
      </c>
      <c r="B2834">
        <v>40.788953302949999</v>
      </c>
      <c r="C2834" t="s">
        <v>6962</v>
      </c>
      <c r="D2834" t="s">
        <v>873</v>
      </c>
      <c r="E2834" t="s">
        <v>33</v>
      </c>
      <c r="F2834">
        <v>10072018</v>
      </c>
      <c r="G2834">
        <v>1</v>
      </c>
      <c r="H2834" t="s">
        <v>48</v>
      </c>
      <c r="I2834" t="s">
        <v>42</v>
      </c>
      <c r="J2834" t="s">
        <v>53</v>
      </c>
      <c r="K2834" t="s">
        <v>54</v>
      </c>
      <c r="M2834" t="s">
        <v>65</v>
      </c>
      <c r="N2834" t="b">
        <v>0</v>
      </c>
      <c r="P2834" t="b">
        <v>0</v>
      </c>
      <c r="Q2834" t="b">
        <v>0</v>
      </c>
      <c r="R2834" t="b">
        <v>1</v>
      </c>
      <c r="S2834" t="b">
        <v>1</v>
      </c>
      <c r="T2834" t="b">
        <v>1</v>
      </c>
      <c r="U2834" t="s">
        <v>6963</v>
      </c>
      <c r="V2834" t="b">
        <v>0</v>
      </c>
      <c r="W2834" t="b">
        <v>0</v>
      </c>
      <c r="X2834" t="b">
        <v>0</v>
      </c>
      <c r="Y2834" t="b">
        <v>0</v>
      </c>
      <c r="Z2834" t="b">
        <v>1</v>
      </c>
      <c r="AA2834" t="b">
        <v>0</v>
      </c>
      <c r="AB2834" t="b">
        <v>1</v>
      </c>
      <c r="AC2834" t="b">
        <v>0</v>
      </c>
      <c r="AE2834" t="s">
        <v>6964</v>
      </c>
    </row>
    <row r="2835" spans="1:31" x14ac:dyDescent="0.3">
      <c r="A2835">
        <v>-73.965113290410002</v>
      </c>
      <c r="B2835">
        <v>40.790538412410001</v>
      </c>
      <c r="C2835" t="s">
        <v>6965</v>
      </c>
      <c r="D2835" t="s">
        <v>3395</v>
      </c>
      <c r="E2835" t="s">
        <v>33</v>
      </c>
      <c r="F2835">
        <v>10192018</v>
      </c>
      <c r="G2835">
        <v>2</v>
      </c>
      <c r="H2835" t="s">
        <v>48</v>
      </c>
      <c r="I2835" t="s">
        <v>42</v>
      </c>
      <c r="J2835" t="s">
        <v>53</v>
      </c>
      <c r="K2835" t="s">
        <v>54</v>
      </c>
      <c r="M2835" t="s">
        <v>65</v>
      </c>
      <c r="N2835" t="b">
        <v>0</v>
      </c>
      <c r="P2835" t="b">
        <v>0</v>
      </c>
      <c r="Q2835" t="b">
        <v>0</v>
      </c>
      <c r="R2835" t="b">
        <v>0</v>
      </c>
      <c r="S2835" t="b">
        <v>0</v>
      </c>
      <c r="T2835" t="b">
        <v>1</v>
      </c>
      <c r="V2835" t="b">
        <v>0</v>
      </c>
      <c r="W2835" t="b">
        <v>0</v>
      </c>
      <c r="X2835" t="b">
        <v>0</v>
      </c>
      <c r="Y2835" t="b">
        <v>0</v>
      </c>
      <c r="Z2835" t="b">
        <v>0</v>
      </c>
      <c r="AA2835" t="b">
        <v>0</v>
      </c>
      <c r="AB2835" t="b">
        <v>1</v>
      </c>
      <c r="AC2835" t="b">
        <v>0</v>
      </c>
      <c r="AE2835" t="s">
        <v>6966</v>
      </c>
    </row>
    <row r="2836" spans="1:31" x14ac:dyDescent="0.3">
      <c r="A2836">
        <v>-73.953195359489996</v>
      </c>
      <c r="B2836">
        <v>40.79604135201</v>
      </c>
      <c r="C2836" t="s">
        <v>6967</v>
      </c>
      <c r="D2836" t="s">
        <v>1292</v>
      </c>
      <c r="E2836" t="s">
        <v>33</v>
      </c>
      <c r="F2836">
        <v>10132018</v>
      </c>
      <c r="G2836">
        <v>1</v>
      </c>
      <c r="H2836" t="s">
        <v>48</v>
      </c>
      <c r="I2836" t="s">
        <v>42</v>
      </c>
      <c r="K2836" t="s">
        <v>43</v>
      </c>
      <c r="M2836" t="s">
        <v>65</v>
      </c>
      <c r="N2836" t="b">
        <v>0</v>
      </c>
      <c r="P2836" t="b">
        <v>1</v>
      </c>
      <c r="Q2836" t="b">
        <v>0</v>
      </c>
      <c r="R2836" t="b">
        <v>0</v>
      </c>
      <c r="S2836" t="b">
        <v>1</v>
      </c>
      <c r="T2836" t="b">
        <v>0</v>
      </c>
      <c r="V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b">
        <v>1</v>
      </c>
      <c r="AB2836" t="b">
        <v>0</v>
      </c>
      <c r="AC2836" t="b">
        <v>0</v>
      </c>
      <c r="AE2836" t="s">
        <v>6968</v>
      </c>
    </row>
    <row r="2837" spans="1:31" x14ac:dyDescent="0.3">
      <c r="A2837">
        <v>-73.953092053259994</v>
      </c>
      <c r="B2837">
        <v>40.798225693020001</v>
      </c>
      <c r="C2837" t="s">
        <v>6969</v>
      </c>
      <c r="D2837" t="s">
        <v>1366</v>
      </c>
      <c r="E2837" t="s">
        <v>33</v>
      </c>
      <c r="F2837">
        <v>10172018</v>
      </c>
      <c r="G2837">
        <v>3</v>
      </c>
      <c r="I2837" t="s">
        <v>42</v>
      </c>
      <c r="J2837" t="s">
        <v>53</v>
      </c>
      <c r="K2837" t="s">
        <v>54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V2837" t="b">
        <v>0</v>
      </c>
      <c r="W2837" t="b">
        <v>0</v>
      </c>
      <c r="X2837" t="b">
        <v>0</v>
      </c>
      <c r="Y2837" t="b">
        <v>0</v>
      </c>
      <c r="Z2837" t="b">
        <v>0</v>
      </c>
      <c r="AA2837" t="b">
        <v>0</v>
      </c>
      <c r="AB2837" t="b">
        <v>1</v>
      </c>
      <c r="AC2837" t="b">
        <v>0</v>
      </c>
      <c r="AE2837" t="s">
        <v>6970</v>
      </c>
    </row>
    <row r="2838" spans="1:31" x14ac:dyDescent="0.3">
      <c r="A2838">
        <v>-73.977269121020001</v>
      </c>
      <c r="B2838">
        <v>40.769096071299998</v>
      </c>
      <c r="C2838" t="s">
        <v>6971</v>
      </c>
      <c r="D2838" t="s">
        <v>534</v>
      </c>
      <c r="E2838" t="s">
        <v>33</v>
      </c>
      <c r="F2838">
        <v>10082018</v>
      </c>
      <c r="G2838">
        <v>13</v>
      </c>
      <c r="H2838" t="s">
        <v>48</v>
      </c>
      <c r="I2838" t="s">
        <v>53</v>
      </c>
      <c r="J2838" t="s">
        <v>115</v>
      </c>
      <c r="K2838" t="s">
        <v>116</v>
      </c>
      <c r="M2838" t="s">
        <v>65</v>
      </c>
      <c r="N2838" t="b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1</v>
      </c>
      <c r="V2838" t="b">
        <v>0</v>
      </c>
      <c r="W2838" t="b">
        <v>0</v>
      </c>
      <c r="X2838" t="b">
        <v>0</v>
      </c>
      <c r="Y2838" t="b">
        <v>0</v>
      </c>
      <c r="Z2838" t="b">
        <v>0</v>
      </c>
      <c r="AA2838" t="b">
        <v>0</v>
      </c>
      <c r="AB2838" t="b">
        <v>1</v>
      </c>
      <c r="AC2838" t="b">
        <v>0</v>
      </c>
      <c r="AE2838" t="s">
        <v>6972</v>
      </c>
    </row>
    <row r="2839" spans="1:31" x14ac:dyDescent="0.3">
      <c r="A2839">
        <v>-73.950769966709998</v>
      </c>
      <c r="B2839">
        <v>40.795516603960003</v>
      </c>
      <c r="C2839" t="s">
        <v>6973</v>
      </c>
      <c r="D2839" t="s">
        <v>435</v>
      </c>
      <c r="E2839" t="s">
        <v>38</v>
      </c>
      <c r="F2839">
        <v>10182018</v>
      </c>
      <c r="G2839">
        <v>2</v>
      </c>
      <c r="H2839" t="s">
        <v>48</v>
      </c>
      <c r="I2839" t="s">
        <v>53</v>
      </c>
      <c r="K2839" t="s">
        <v>155</v>
      </c>
      <c r="M2839" t="s">
        <v>65</v>
      </c>
      <c r="N2839" t="b">
        <v>0</v>
      </c>
      <c r="P2839" t="b">
        <v>1</v>
      </c>
      <c r="Q2839" t="b">
        <v>0</v>
      </c>
      <c r="R2839" t="b">
        <v>0</v>
      </c>
      <c r="S2839" t="b">
        <v>0</v>
      </c>
      <c r="T2839" t="b">
        <v>1</v>
      </c>
      <c r="V2839" t="b">
        <v>0</v>
      </c>
      <c r="W2839" t="b">
        <v>0</v>
      </c>
      <c r="X2839" t="b">
        <v>0</v>
      </c>
      <c r="Y2839" t="b">
        <v>0</v>
      </c>
      <c r="Z2839" t="b">
        <v>0</v>
      </c>
      <c r="AA2839" t="b">
        <v>0</v>
      </c>
      <c r="AB2839" t="b">
        <v>1</v>
      </c>
      <c r="AC2839" t="b">
        <v>0</v>
      </c>
      <c r="AE2839" t="s">
        <v>6974</v>
      </c>
    </row>
    <row r="2840" spans="1:31" x14ac:dyDescent="0.3">
      <c r="A2840">
        <v>-73.967225213679995</v>
      </c>
      <c r="B2840">
        <v>40.787650474320003</v>
      </c>
      <c r="C2840" t="s">
        <v>6975</v>
      </c>
      <c r="D2840" t="s">
        <v>478</v>
      </c>
      <c r="E2840" t="s">
        <v>33</v>
      </c>
      <c r="F2840">
        <v>10062018</v>
      </c>
      <c r="G2840">
        <v>4</v>
      </c>
      <c r="H2840" t="s">
        <v>48</v>
      </c>
      <c r="I2840" t="s">
        <v>42</v>
      </c>
      <c r="K2840" t="s">
        <v>43</v>
      </c>
      <c r="M2840" t="s">
        <v>44</v>
      </c>
      <c r="N2840">
        <v>40</v>
      </c>
      <c r="P2840" t="b">
        <v>0</v>
      </c>
      <c r="Q2840" t="b">
        <v>1</v>
      </c>
      <c r="R2840" t="b">
        <v>0</v>
      </c>
      <c r="S2840" t="b">
        <v>0</v>
      </c>
      <c r="T2840" t="b">
        <v>0</v>
      </c>
      <c r="V2840" t="b">
        <v>0</v>
      </c>
      <c r="W2840" t="b">
        <v>0</v>
      </c>
      <c r="X2840" t="b">
        <v>0</v>
      </c>
      <c r="Y2840" t="b">
        <v>0</v>
      </c>
      <c r="Z2840" t="b">
        <v>1</v>
      </c>
      <c r="AA2840" t="b">
        <v>0</v>
      </c>
      <c r="AB2840" t="b">
        <v>0</v>
      </c>
      <c r="AC2840" t="b">
        <v>0</v>
      </c>
      <c r="AE2840" t="s">
        <v>6976</v>
      </c>
    </row>
    <row r="2841" spans="1:31" x14ac:dyDescent="0.3">
      <c r="A2841">
        <v>-73.953216353520006</v>
      </c>
      <c r="B2841">
        <v>40.79829703131</v>
      </c>
      <c r="C2841" t="s">
        <v>6977</v>
      </c>
      <c r="D2841" t="s">
        <v>1366</v>
      </c>
      <c r="E2841" t="s">
        <v>33</v>
      </c>
      <c r="F2841">
        <v>10172018</v>
      </c>
      <c r="G2841">
        <v>4</v>
      </c>
      <c r="I2841" t="s">
        <v>42</v>
      </c>
      <c r="K2841" t="s">
        <v>43</v>
      </c>
      <c r="P2841" t="b">
        <v>1</v>
      </c>
      <c r="Q2841" t="b">
        <v>0</v>
      </c>
      <c r="R2841" t="b">
        <v>0</v>
      </c>
      <c r="S2841" t="b">
        <v>0</v>
      </c>
      <c r="T2841" t="b">
        <v>0</v>
      </c>
      <c r="V2841" t="b">
        <v>0</v>
      </c>
      <c r="W2841" t="b">
        <v>0</v>
      </c>
      <c r="X2841" t="b">
        <v>0</v>
      </c>
      <c r="Y2841" t="b">
        <v>0</v>
      </c>
      <c r="Z2841" t="b">
        <v>0</v>
      </c>
      <c r="AA2841" t="b">
        <v>0</v>
      </c>
      <c r="AB2841" t="b">
        <v>1</v>
      </c>
      <c r="AC2841" t="b">
        <v>0</v>
      </c>
      <c r="AE2841" t="s">
        <v>6978</v>
      </c>
    </row>
    <row r="2842" spans="1:31" x14ac:dyDescent="0.3">
      <c r="A2842">
        <v>-73.96932629522</v>
      </c>
      <c r="B2842">
        <v>40.783260411080001</v>
      </c>
      <c r="C2842" t="s">
        <v>6979</v>
      </c>
      <c r="D2842" t="s">
        <v>37</v>
      </c>
      <c r="E2842" t="s">
        <v>38</v>
      </c>
      <c r="F2842">
        <v>10192018</v>
      </c>
      <c r="G2842">
        <v>1</v>
      </c>
      <c r="H2842" t="s">
        <v>105</v>
      </c>
      <c r="I2842" t="s">
        <v>42</v>
      </c>
      <c r="K2842" t="s">
        <v>43</v>
      </c>
      <c r="M2842" t="s">
        <v>65</v>
      </c>
      <c r="N2842" t="b">
        <v>0</v>
      </c>
      <c r="P2842" t="b">
        <v>0</v>
      </c>
      <c r="Q2842" t="b">
        <v>0</v>
      </c>
      <c r="R2842" t="b">
        <v>0</v>
      </c>
      <c r="S2842" t="b">
        <v>0</v>
      </c>
      <c r="T2842" t="b">
        <v>1</v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  <c r="AA2842" t="b">
        <v>0</v>
      </c>
      <c r="AB2842" t="b">
        <v>1</v>
      </c>
      <c r="AC2842" t="b">
        <v>0</v>
      </c>
      <c r="AE2842" t="s">
        <v>6980</v>
      </c>
    </row>
    <row r="2843" spans="1:31" x14ac:dyDescent="0.3">
      <c r="A2843">
        <v>-73.957929234009995</v>
      </c>
      <c r="B2843">
        <v>40.797628783500002</v>
      </c>
      <c r="C2843" t="s">
        <v>6981</v>
      </c>
      <c r="D2843" t="s">
        <v>218</v>
      </c>
      <c r="E2843" t="s">
        <v>33</v>
      </c>
      <c r="F2843">
        <v>10062018</v>
      </c>
      <c r="G2843">
        <v>4</v>
      </c>
      <c r="H2843" t="s">
        <v>48</v>
      </c>
      <c r="I2843" t="s">
        <v>42</v>
      </c>
      <c r="J2843" t="s">
        <v>59</v>
      </c>
      <c r="K2843" t="s">
        <v>79</v>
      </c>
      <c r="M2843" t="s">
        <v>65</v>
      </c>
      <c r="N2843" t="b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1</v>
      </c>
      <c r="V2843" t="b">
        <v>0</v>
      </c>
      <c r="W2843" t="b">
        <v>0</v>
      </c>
      <c r="X2843" t="b">
        <v>0</v>
      </c>
      <c r="Y2843" t="b">
        <v>0</v>
      </c>
      <c r="Z2843" t="b">
        <v>0</v>
      </c>
      <c r="AA2843" t="b">
        <v>0</v>
      </c>
      <c r="AB2843" t="b">
        <v>1</v>
      </c>
      <c r="AC2843" t="b">
        <v>0</v>
      </c>
      <c r="AE2843" t="s">
        <v>6982</v>
      </c>
    </row>
    <row r="2844" spans="1:31" x14ac:dyDescent="0.3">
      <c r="A2844">
        <v>-73.971478717820005</v>
      </c>
      <c r="B2844">
        <v>40.779804947069998</v>
      </c>
      <c r="C2844" t="s">
        <v>6983</v>
      </c>
      <c r="D2844" t="s">
        <v>1632</v>
      </c>
      <c r="E2844" t="s">
        <v>33</v>
      </c>
      <c r="F2844">
        <v>10172018</v>
      </c>
      <c r="G2844">
        <v>1</v>
      </c>
      <c r="H2844" t="s">
        <v>48</v>
      </c>
      <c r="I2844" t="s">
        <v>42</v>
      </c>
      <c r="J2844" t="s">
        <v>59</v>
      </c>
      <c r="K2844" t="s">
        <v>79</v>
      </c>
      <c r="M2844" t="s">
        <v>65</v>
      </c>
      <c r="N2844" t="b">
        <v>0</v>
      </c>
      <c r="P2844" t="b">
        <v>0</v>
      </c>
      <c r="Q2844" t="b">
        <v>0</v>
      </c>
      <c r="R2844" t="b">
        <v>0</v>
      </c>
      <c r="S2844" t="b">
        <v>1</v>
      </c>
      <c r="T2844" t="b">
        <v>1</v>
      </c>
      <c r="V2844" t="b">
        <v>0</v>
      </c>
      <c r="W2844" t="b">
        <v>0</v>
      </c>
      <c r="X2844" t="b">
        <v>0</v>
      </c>
      <c r="Y2844" t="b">
        <v>0</v>
      </c>
      <c r="Z2844" t="b">
        <v>0</v>
      </c>
      <c r="AA2844" t="b">
        <v>0</v>
      </c>
      <c r="AB2844" t="b">
        <v>1</v>
      </c>
      <c r="AC2844" t="b">
        <v>0</v>
      </c>
      <c r="AE2844" t="s">
        <v>6984</v>
      </c>
    </row>
    <row r="2845" spans="1:31" x14ac:dyDescent="0.3">
      <c r="A2845">
        <v>-73.957884094120004</v>
      </c>
      <c r="B2845">
        <v>40.795558623239998</v>
      </c>
      <c r="C2845" t="s">
        <v>6985</v>
      </c>
      <c r="D2845" t="s">
        <v>390</v>
      </c>
      <c r="E2845" t="s">
        <v>33</v>
      </c>
      <c r="F2845">
        <v>10142018</v>
      </c>
      <c r="G2845">
        <v>6</v>
      </c>
      <c r="H2845" t="s">
        <v>48</v>
      </c>
      <c r="I2845" t="s">
        <v>42</v>
      </c>
      <c r="K2845" t="s">
        <v>43</v>
      </c>
      <c r="M2845" t="s">
        <v>44</v>
      </c>
      <c r="N2845">
        <v>25</v>
      </c>
      <c r="P2845" t="b">
        <v>0</v>
      </c>
      <c r="Q2845" t="b">
        <v>0</v>
      </c>
      <c r="R2845" t="b">
        <v>1</v>
      </c>
      <c r="S2845" t="b">
        <v>0</v>
      </c>
      <c r="T2845" t="b">
        <v>1</v>
      </c>
      <c r="V2845" t="b">
        <v>0</v>
      </c>
      <c r="W2845" t="b">
        <v>0</v>
      </c>
      <c r="X2845" t="b">
        <v>0</v>
      </c>
      <c r="Y2845" t="b">
        <v>0</v>
      </c>
      <c r="Z2845" t="b">
        <v>0</v>
      </c>
      <c r="AA2845" t="b">
        <v>0</v>
      </c>
      <c r="AB2845" t="b">
        <v>0</v>
      </c>
      <c r="AC2845" t="b">
        <v>0</v>
      </c>
      <c r="AE2845" t="s">
        <v>6986</v>
      </c>
    </row>
    <row r="2846" spans="1:31" x14ac:dyDescent="0.3">
      <c r="A2846">
        <v>-73.976501641370007</v>
      </c>
      <c r="B2846">
        <v>40.774067286300003</v>
      </c>
      <c r="C2846" t="s">
        <v>6987</v>
      </c>
      <c r="D2846" t="s">
        <v>855</v>
      </c>
      <c r="E2846" t="s">
        <v>38</v>
      </c>
      <c r="F2846">
        <v>10132018</v>
      </c>
      <c r="G2846">
        <v>6</v>
      </c>
      <c r="H2846" t="s">
        <v>105</v>
      </c>
      <c r="I2846" t="s">
        <v>42</v>
      </c>
      <c r="J2846" t="s">
        <v>53</v>
      </c>
      <c r="K2846" t="s">
        <v>54</v>
      </c>
      <c r="M2846" t="s">
        <v>65</v>
      </c>
      <c r="N2846" t="b">
        <v>0</v>
      </c>
      <c r="P2846" t="b">
        <v>0</v>
      </c>
      <c r="Q2846" t="b">
        <v>1</v>
      </c>
      <c r="R2846" t="b">
        <v>0</v>
      </c>
      <c r="S2846" t="b">
        <v>1</v>
      </c>
      <c r="T2846" t="b">
        <v>0</v>
      </c>
      <c r="V2846" t="b">
        <v>0</v>
      </c>
      <c r="W2846" t="b">
        <v>0</v>
      </c>
      <c r="X2846" t="b">
        <v>0</v>
      </c>
      <c r="Y2846" t="b">
        <v>0</v>
      </c>
      <c r="Z2846" t="b">
        <v>0</v>
      </c>
      <c r="AA2846" t="b">
        <v>0</v>
      </c>
      <c r="AB2846" t="b">
        <v>1</v>
      </c>
      <c r="AC2846" t="b">
        <v>0</v>
      </c>
      <c r="AE2846" t="s">
        <v>6988</v>
      </c>
    </row>
    <row r="2847" spans="1:31" x14ac:dyDescent="0.3">
      <c r="A2847">
        <v>-73.966157047799996</v>
      </c>
      <c r="B2847">
        <v>40.780727151880001</v>
      </c>
      <c r="C2847" t="s">
        <v>6989</v>
      </c>
      <c r="D2847" t="s">
        <v>6554</v>
      </c>
      <c r="E2847" t="s">
        <v>38</v>
      </c>
      <c r="F2847">
        <v>10142018</v>
      </c>
      <c r="G2847">
        <v>2</v>
      </c>
      <c r="H2847" t="s">
        <v>48</v>
      </c>
      <c r="I2847" t="s">
        <v>42</v>
      </c>
      <c r="J2847" t="s">
        <v>53</v>
      </c>
      <c r="K2847" t="s">
        <v>54</v>
      </c>
      <c r="M2847" t="s">
        <v>65</v>
      </c>
      <c r="N2847" t="b">
        <v>0</v>
      </c>
      <c r="P2847" t="b">
        <v>0</v>
      </c>
      <c r="Q2847" t="b">
        <v>0</v>
      </c>
      <c r="R2847" t="b">
        <v>0</v>
      </c>
      <c r="S2847" t="b">
        <v>1</v>
      </c>
      <c r="T2847" t="b">
        <v>1</v>
      </c>
      <c r="V2847" t="b">
        <v>0</v>
      </c>
      <c r="W2847" t="b">
        <v>0</v>
      </c>
      <c r="X2847" t="b">
        <v>0</v>
      </c>
      <c r="Y2847" t="b">
        <v>0</v>
      </c>
      <c r="Z2847" t="b">
        <v>0</v>
      </c>
      <c r="AA2847" t="b">
        <v>0</v>
      </c>
      <c r="AB2847" t="b">
        <v>1</v>
      </c>
      <c r="AC2847" t="b">
        <v>0</v>
      </c>
      <c r="AE2847" t="s">
        <v>6990</v>
      </c>
    </row>
    <row r="2848" spans="1:31" x14ac:dyDescent="0.3">
      <c r="A2848">
        <v>-73.956837833029994</v>
      </c>
      <c r="B2848">
        <v>40.788031780280001</v>
      </c>
      <c r="C2848" t="s">
        <v>6991</v>
      </c>
      <c r="D2848" t="s">
        <v>1912</v>
      </c>
      <c r="E2848" t="s">
        <v>33</v>
      </c>
      <c r="F2848">
        <v>10062018</v>
      </c>
      <c r="G2848">
        <v>4</v>
      </c>
      <c r="H2848" t="s">
        <v>48</v>
      </c>
      <c r="I2848" t="s">
        <v>42</v>
      </c>
      <c r="J2848" t="s">
        <v>53</v>
      </c>
      <c r="K2848" t="s">
        <v>54</v>
      </c>
      <c r="M2848" t="s">
        <v>65</v>
      </c>
      <c r="N2848" t="b">
        <v>0</v>
      </c>
      <c r="P2848" t="b">
        <v>0</v>
      </c>
      <c r="Q2848" t="b">
        <v>0</v>
      </c>
      <c r="R2848" t="b">
        <v>1</v>
      </c>
      <c r="S2848" t="b">
        <v>0</v>
      </c>
      <c r="T2848" t="b">
        <v>0</v>
      </c>
      <c r="V2848" t="b">
        <v>0</v>
      </c>
      <c r="W2848" t="b">
        <v>0</v>
      </c>
      <c r="X2848" t="b">
        <v>0</v>
      </c>
      <c r="Y2848" t="b">
        <v>0</v>
      </c>
      <c r="Z2848" t="b">
        <v>0</v>
      </c>
      <c r="AA2848" t="b">
        <v>0</v>
      </c>
      <c r="AB2848" t="b">
        <v>0</v>
      </c>
      <c r="AC2848" t="b">
        <v>1</v>
      </c>
      <c r="AE2848" t="s">
        <v>6992</v>
      </c>
    </row>
    <row r="2849" spans="1:31" x14ac:dyDescent="0.3">
      <c r="A2849">
        <v>-73.971597717050003</v>
      </c>
      <c r="B2849">
        <v>40.774217265060003</v>
      </c>
      <c r="C2849" t="s">
        <v>6993</v>
      </c>
      <c r="D2849" t="s">
        <v>1112</v>
      </c>
      <c r="E2849" t="s">
        <v>38</v>
      </c>
      <c r="F2849">
        <v>10132018</v>
      </c>
      <c r="G2849">
        <v>3</v>
      </c>
      <c r="H2849" t="s">
        <v>48</v>
      </c>
      <c r="I2849" t="s">
        <v>42</v>
      </c>
      <c r="K2849" t="s">
        <v>43</v>
      </c>
      <c r="M2849" t="s">
        <v>65</v>
      </c>
      <c r="N2849" t="b">
        <v>0</v>
      </c>
      <c r="P2849" t="b">
        <v>0</v>
      </c>
      <c r="Q2849" t="b">
        <v>0</v>
      </c>
      <c r="R2849" t="b">
        <v>0</v>
      </c>
      <c r="S2849" t="b">
        <v>0</v>
      </c>
      <c r="T2849" t="b">
        <v>1</v>
      </c>
      <c r="U2849" t="s">
        <v>511</v>
      </c>
      <c r="V2849" t="b">
        <v>0</v>
      </c>
      <c r="W2849" t="b">
        <v>0</v>
      </c>
      <c r="X2849" t="b">
        <v>0</v>
      </c>
      <c r="Y2849" t="b">
        <v>0</v>
      </c>
      <c r="Z2849" t="b">
        <v>0</v>
      </c>
      <c r="AA2849" t="b">
        <v>0</v>
      </c>
      <c r="AB2849" t="b">
        <v>1</v>
      </c>
      <c r="AC2849" t="b">
        <v>0</v>
      </c>
      <c r="AE2849" t="s">
        <v>6994</v>
      </c>
    </row>
    <row r="2850" spans="1:31" x14ac:dyDescent="0.3">
      <c r="A2850">
        <v>-73.970991256100007</v>
      </c>
      <c r="B2850">
        <v>40.77589655952</v>
      </c>
      <c r="C2850" t="s">
        <v>6995</v>
      </c>
      <c r="D2850" t="s">
        <v>415</v>
      </c>
      <c r="E2850" t="s">
        <v>38</v>
      </c>
      <c r="F2850">
        <v>10142018</v>
      </c>
      <c r="G2850">
        <v>1</v>
      </c>
      <c r="H2850" t="s">
        <v>48</v>
      </c>
      <c r="I2850" t="s">
        <v>42</v>
      </c>
      <c r="J2850" t="s">
        <v>96</v>
      </c>
      <c r="K2850" t="s">
        <v>97</v>
      </c>
      <c r="M2850" t="s">
        <v>65</v>
      </c>
      <c r="N2850" t="b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1</v>
      </c>
      <c r="V2850" t="b">
        <v>0</v>
      </c>
      <c r="W2850" t="b">
        <v>0</v>
      </c>
      <c r="X2850" t="b">
        <v>0</v>
      </c>
      <c r="Y2850" t="b">
        <v>0</v>
      </c>
      <c r="Z2850" t="b">
        <v>1</v>
      </c>
      <c r="AA2850" t="b">
        <v>0</v>
      </c>
      <c r="AB2850" t="b">
        <v>0</v>
      </c>
      <c r="AC2850" t="b">
        <v>1</v>
      </c>
      <c r="AE2850" t="s">
        <v>6996</v>
      </c>
    </row>
    <row r="2851" spans="1:31" x14ac:dyDescent="0.3">
      <c r="A2851">
        <v>-73.974484744690002</v>
      </c>
      <c r="B2851">
        <v>40.769242274440003</v>
      </c>
      <c r="C2851" t="s">
        <v>6997</v>
      </c>
      <c r="D2851" t="s">
        <v>245</v>
      </c>
      <c r="E2851" t="s">
        <v>38</v>
      </c>
      <c r="F2851">
        <v>10082018</v>
      </c>
      <c r="G2851">
        <v>4</v>
      </c>
      <c r="H2851" t="s">
        <v>48</v>
      </c>
      <c r="I2851" t="s">
        <v>42</v>
      </c>
      <c r="K2851" t="s">
        <v>43</v>
      </c>
      <c r="M2851" t="s">
        <v>65</v>
      </c>
      <c r="N2851" t="b">
        <v>0</v>
      </c>
      <c r="P2851" t="b">
        <v>0</v>
      </c>
      <c r="Q2851" t="b">
        <v>0</v>
      </c>
      <c r="R2851" t="b">
        <v>0</v>
      </c>
      <c r="S2851" t="b">
        <v>0</v>
      </c>
      <c r="T2851" t="b">
        <v>1</v>
      </c>
      <c r="V2851" t="b">
        <v>0</v>
      </c>
      <c r="W2851" t="b">
        <v>0</v>
      </c>
      <c r="X2851" t="b">
        <v>0</v>
      </c>
      <c r="Y2851" t="b">
        <v>0</v>
      </c>
      <c r="Z2851" t="b">
        <v>0</v>
      </c>
      <c r="AA2851" t="b">
        <v>0</v>
      </c>
      <c r="AB2851" t="b">
        <v>1</v>
      </c>
      <c r="AC2851" t="b">
        <v>0</v>
      </c>
      <c r="AE2851" t="s">
        <v>6998</v>
      </c>
    </row>
    <row r="2852" spans="1:31" x14ac:dyDescent="0.3">
      <c r="A2852">
        <v>-73.955208233229996</v>
      </c>
      <c r="B2852">
        <v>40.789057433110003</v>
      </c>
      <c r="C2852" t="s">
        <v>6999</v>
      </c>
      <c r="D2852" t="s">
        <v>873</v>
      </c>
      <c r="E2852" t="s">
        <v>33</v>
      </c>
      <c r="F2852">
        <v>10072018</v>
      </c>
      <c r="G2852">
        <v>2</v>
      </c>
      <c r="H2852" t="s">
        <v>48</v>
      </c>
      <c r="K2852" t="s">
        <v>34</v>
      </c>
      <c r="M2852" t="s">
        <v>44</v>
      </c>
      <c r="N2852">
        <v>30</v>
      </c>
      <c r="P2852" t="b">
        <v>0</v>
      </c>
      <c r="Q2852" t="b">
        <v>0</v>
      </c>
      <c r="R2852" t="b">
        <v>1</v>
      </c>
      <c r="S2852" t="b">
        <v>0</v>
      </c>
      <c r="T2852" t="b">
        <v>0</v>
      </c>
      <c r="U2852" t="s">
        <v>7000</v>
      </c>
      <c r="V2852" t="b">
        <v>0</v>
      </c>
      <c r="W2852" t="b">
        <v>0</v>
      </c>
      <c r="X2852" t="b">
        <v>0</v>
      </c>
      <c r="Y2852" t="b">
        <v>0</v>
      </c>
      <c r="Z2852" t="b">
        <v>1</v>
      </c>
      <c r="AA2852" t="b">
        <v>0</v>
      </c>
      <c r="AB2852" t="b">
        <v>1</v>
      </c>
      <c r="AC2852" t="b">
        <v>0</v>
      </c>
      <c r="AE2852" t="s">
        <v>7001</v>
      </c>
    </row>
    <row r="2853" spans="1:31" x14ac:dyDescent="0.3">
      <c r="A2853">
        <v>-73.972814648240004</v>
      </c>
      <c r="B2853">
        <v>40.765295171470001</v>
      </c>
      <c r="C2853" t="s">
        <v>7002</v>
      </c>
      <c r="D2853" t="s">
        <v>4236</v>
      </c>
      <c r="E2853" t="s">
        <v>33</v>
      </c>
      <c r="F2853">
        <v>10122018</v>
      </c>
      <c r="G2853">
        <v>3</v>
      </c>
      <c r="H2853" t="s">
        <v>48</v>
      </c>
      <c r="I2853" t="s">
        <v>42</v>
      </c>
      <c r="J2853" t="s">
        <v>148</v>
      </c>
      <c r="K2853" t="s">
        <v>149</v>
      </c>
      <c r="L2853" t="s">
        <v>7003</v>
      </c>
      <c r="M2853" t="s">
        <v>65</v>
      </c>
      <c r="N2853" t="b">
        <v>0</v>
      </c>
      <c r="P2853" t="b">
        <v>0</v>
      </c>
      <c r="Q2853" t="b">
        <v>0</v>
      </c>
      <c r="R2853" t="b">
        <v>0</v>
      </c>
      <c r="S2853" t="b">
        <v>1</v>
      </c>
      <c r="T2853" t="b">
        <v>0</v>
      </c>
      <c r="V2853" t="b">
        <v>0</v>
      </c>
      <c r="W2853" t="b">
        <v>0</v>
      </c>
      <c r="X2853" t="b">
        <v>0</v>
      </c>
      <c r="Y2853" t="b">
        <v>1</v>
      </c>
      <c r="Z2853" t="b">
        <v>0</v>
      </c>
      <c r="AA2853" t="b">
        <v>0</v>
      </c>
      <c r="AB2853" t="b">
        <v>0</v>
      </c>
      <c r="AC2853" t="b">
        <v>1</v>
      </c>
      <c r="AE2853" t="s">
        <v>7004</v>
      </c>
    </row>
    <row r="2854" spans="1:31" x14ac:dyDescent="0.3">
      <c r="A2854">
        <v>-73.967861318510003</v>
      </c>
      <c r="B2854">
        <v>40.782217088750002</v>
      </c>
      <c r="C2854" t="s">
        <v>7005</v>
      </c>
      <c r="D2854" t="s">
        <v>1035</v>
      </c>
      <c r="E2854" t="s">
        <v>33</v>
      </c>
      <c r="F2854">
        <v>10182018</v>
      </c>
      <c r="G2854">
        <v>3</v>
      </c>
      <c r="H2854" t="s">
        <v>48</v>
      </c>
      <c r="I2854" t="s">
        <v>42</v>
      </c>
      <c r="K2854" t="s">
        <v>43</v>
      </c>
      <c r="M2854" t="s">
        <v>65</v>
      </c>
      <c r="N2854" t="b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1</v>
      </c>
      <c r="V2854" t="b">
        <v>0</v>
      </c>
      <c r="W2854" t="b">
        <v>0</v>
      </c>
      <c r="X2854" t="b">
        <v>0</v>
      </c>
      <c r="Y2854" t="b">
        <v>0</v>
      </c>
      <c r="Z2854" t="b">
        <v>0</v>
      </c>
      <c r="AA2854" t="b">
        <v>0</v>
      </c>
      <c r="AB2854" t="b">
        <v>0</v>
      </c>
      <c r="AC2854" t="b">
        <v>0</v>
      </c>
      <c r="AE2854" t="s">
        <v>7006</v>
      </c>
    </row>
    <row r="2855" spans="1:31" x14ac:dyDescent="0.3">
      <c r="A2855">
        <v>-73.977290866730002</v>
      </c>
      <c r="B2855">
        <v>40.769720740469999</v>
      </c>
      <c r="C2855" t="s">
        <v>7007</v>
      </c>
      <c r="D2855" t="s">
        <v>1581</v>
      </c>
      <c r="E2855" t="s">
        <v>38</v>
      </c>
      <c r="F2855">
        <v>10062018</v>
      </c>
      <c r="G2855">
        <v>5</v>
      </c>
      <c r="H2855" t="s">
        <v>105</v>
      </c>
      <c r="I2855" t="s">
        <v>42</v>
      </c>
      <c r="J2855" t="s">
        <v>59</v>
      </c>
      <c r="K2855" t="s">
        <v>79</v>
      </c>
      <c r="M2855" t="s">
        <v>44</v>
      </c>
      <c r="N2855">
        <v>20</v>
      </c>
      <c r="P2855" t="b">
        <v>0</v>
      </c>
      <c r="Q2855" t="b">
        <v>0</v>
      </c>
      <c r="R2855" t="b">
        <v>1</v>
      </c>
      <c r="S2855" t="b">
        <v>1</v>
      </c>
      <c r="T2855" t="b">
        <v>1</v>
      </c>
      <c r="V2855" t="b">
        <v>0</v>
      </c>
      <c r="W2855" t="b">
        <v>0</v>
      </c>
      <c r="X2855" t="b">
        <v>0</v>
      </c>
      <c r="Y2855" t="b">
        <v>0</v>
      </c>
      <c r="Z2855" t="b">
        <v>0</v>
      </c>
      <c r="AA2855" t="b">
        <v>0</v>
      </c>
      <c r="AB2855" t="b">
        <v>1</v>
      </c>
      <c r="AC2855" t="b">
        <v>0</v>
      </c>
      <c r="AE2855" t="s">
        <v>7008</v>
      </c>
    </row>
    <row r="2856" spans="1:31" x14ac:dyDescent="0.3">
      <c r="A2856">
        <v>-73.969083221930006</v>
      </c>
      <c r="B2856">
        <v>40.782343340990003</v>
      </c>
      <c r="C2856" t="s">
        <v>7009</v>
      </c>
      <c r="D2856" t="s">
        <v>78</v>
      </c>
      <c r="E2856" t="s">
        <v>33</v>
      </c>
      <c r="F2856">
        <v>10132018</v>
      </c>
      <c r="G2856">
        <v>6</v>
      </c>
      <c r="H2856" t="s">
        <v>48</v>
      </c>
      <c r="I2856" t="s">
        <v>42</v>
      </c>
      <c r="J2856" t="s">
        <v>59</v>
      </c>
      <c r="K2856" t="s">
        <v>79</v>
      </c>
      <c r="M2856" t="s">
        <v>65</v>
      </c>
      <c r="N2856" t="b">
        <v>0</v>
      </c>
      <c r="P2856" t="b">
        <v>0</v>
      </c>
      <c r="Q2856" t="b">
        <v>1</v>
      </c>
      <c r="R2856" t="b">
        <v>0</v>
      </c>
      <c r="S2856" t="b">
        <v>0</v>
      </c>
      <c r="T2856" t="b">
        <v>0</v>
      </c>
      <c r="V2856" t="b">
        <v>0</v>
      </c>
      <c r="W2856" t="b">
        <v>0</v>
      </c>
      <c r="X2856" t="b">
        <v>0</v>
      </c>
      <c r="Y2856" t="b">
        <v>0</v>
      </c>
      <c r="Z2856" t="b">
        <v>1</v>
      </c>
      <c r="AA2856" t="b">
        <v>0</v>
      </c>
      <c r="AB2856" t="b">
        <v>1</v>
      </c>
      <c r="AC2856" t="b">
        <v>0</v>
      </c>
      <c r="AE2856" t="s">
        <v>7010</v>
      </c>
    </row>
    <row r="2857" spans="1:31" x14ac:dyDescent="0.3">
      <c r="A2857">
        <v>-73.975161552779994</v>
      </c>
      <c r="B2857">
        <v>40.767013871510002</v>
      </c>
      <c r="C2857" t="s">
        <v>7011</v>
      </c>
      <c r="D2857" t="s">
        <v>1701</v>
      </c>
      <c r="E2857" t="s">
        <v>38</v>
      </c>
      <c r="F2857">
        <v>10062018</v>
      </c>
      <c r="G2857">
        <v>3</v>
      </c>
      <c r="H2857" t="s">
        <v>48</v>
      </c>
      <c r="I2857" t="s">
        <v>42</v>
      </c>
      <c r="J2857" t="s">
        <v>96</v>
      </c>
      <c r="K2857" t="s">
        <v>97</v>
      </c>
      <c r="L2857" t="s">
        <v>5957</v>
      </c>
      <c r="M2857" t="s">
        <v>65</v>
      </c>
      <c r="N2857" t="b">
        <v>0</v>
      </c>
      <c r="O2857" t="s">
        <v>7012</v>
      </c>
      <c r="P2857" t="b">
        <v>0</v>
      </c>
      <c r="Q2857" t="b">
        <v>0</v>
      </c>
      <c r="R2857" t="b">
        <v>0</v>
      </c>
      <c r="S2857" t="b">
        <v>0</v>
      </c>
      <c r="T2857" t="b">
        <v>1</v>
      </c>
      <c r="V2857" t="b">
        <v>0</v>
      </c>
      <c r="W2857" t="b">
        <v>0</v>
      </c>
      <c r="X2857" t="b">
        <v>0</v>
      </c>
      <c r="Y2857" t="b">
        <v>0</v>
      </c>
      <c r="Z2857" t="b">
        <v>0</v>
      </c>
      <c r="AA2857" t="b">
        <v>1</v>
      </c>
      <c r="AB2857" t="b">
        <v>0</v>
      </c>
      <c r="AC2857" t="b">
        <v>0</v>
      </c>
      <c r="AE2857" t="s">
        <v>7013</v>
      </c>
    </row>
    <row r="2858" spans="1:31" x14ac:dyDescent="0.3">
      <c r="A2858">
        <v>-73.964923027119994</v>
      </c>
      <c r="B2858">
        <v>40.782176621570002</v>
      </c>
      <c r="C2858" t="s">
        <v>7014</v>
      </c>
      <c r="D2858" t="s">
        <v>82</v>
      </c>
      <c r="E2858" t="s">
        <v>33</v>
      </c>
      <c r="F2858">
        <v>10142018</v>
      </c>
      <c r="G2858">
        <v>2</v>
      </c>
      <c r="H2858" t="s">
        <v>48</v>
      </c>
      <c r="I2858" t="s">
        <v>42</v>
      </c>
      <c r="J2858" t="s">
        <v>53</v>
      </c>
      <c r="K2858" t="s">
        <v>54</v>
      </c>
      <c r="M2858" t="s">
        <v>65</v>
      </c>
      <c r="N2858" t="b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1</v>
      </c>
      <c r="V2858" t="b">
        <v>0</v>
      </c>
      <c r="W2858" t="b">
        <v>0</v>
      </c>
      <c r="X2858" t="b">
        <v>0</v>
      </c>
      <c r="Y2858" t="b">
        <v>1</v>
      </c>
      <c r="Z2858" t="b">
        <v>0</v>
      </c>
      <c r="AA2858" t="b">
        <v>0</v>
      </c>
      <c r="AB2858" t="b">
        <v>1</v>
      </c>
      <c r="AC2858" t="b">
        <v>0</v>
      </c>
      <c r="AE2858" t="s">
        <v>7015</v>
      </c>
    </row>
    <row r="2859" spans="1:31" x14ac:dyDescent="0.3">
      <c r="A2859">
        <v>-73.972872385399995</v>
      </c>
      <c r="B2859">
        <v>40.767081616500001</v>
      </c>
      <c r="C2859" t="s">
        <v>7016</v>
      </c>
      <c r="D2859" t="s">
        <v>2122</v>
      </c>
      <c r="E2859" t="s">
        <v>33</v>
      </c>
      <c r="F2859">
        <v>10062018</v>
      </c>
      <c r="G2859">
        <v>1</v>
      </c>
      <c r="H2859" t="s">
        <v>48</v>
      </c>
      <c r="I2859" t="s">
        <v>42</v>
      </c>
      <c r="J2859" t="s">
        <v>96</v>
      </c>
      <c r="K2859" t="s">
        <v>97</v>
      </c>
      <c r="M2859" t="s">
        <v>65</v>
      </c>
      <c r="N2859" t="b">
        <v>0</v>
      </c>
      <c r="P2859" t="b">
        <v>0</v>
      </c>
      <c r="Q2859" t="b">
        <v>0</v>
      </c>
      <c r="R2859" t="b">
        <v>0</v>
      </c>
      <c r="S2859" t="b">
        <v>1</v>
      </c>
      <c r="T2859" t="b">
        <v>1</v>
      </c>
      <c r="V2859" t="b">
        <v>0</v>
      </c>
      <c r="W2859" t="b">
        <v>0</v>
      </c>
      <c r="X2859" t="b">
        <v>0</v>
      </c>
      <c r="Y2859" t="b">
        <v>0</v>
      </c>
      <c r="Z2859" t="b">
        <v>0</v>
      </c>
      <c r="AA2859" t="b">
        <v>0</v>
      </c>
      <c r="AB2859" t="b">
        <v>0</v>
      </c>
      <c r="AC2859" t="b">
        <v>0</v>
      </c>
      <c r="AE2859" t="s">
        <v>7017</v>
      </c>
    </row>
    <row r="2860" spans="1:31" x14ac:dyDescent="0.3">
      <c r="A2860">
        <v>-73.978694094589997</v>
      </c>
      <c r="B2860">
        <v>40.769082027689997</v>
      </c>
      <c r="C2860" t="s">
        <v>7018</v>
      </c>
      <c r="D2860" t="s">
        <v>455</v>
      </c>
      <c r="E2860" t="s">
        <v>33</v>
      </c>
      <c r="F2860">
        <v>10072018</v>
      </c>
      <c r="G2860">
        <v>5</v>
      </c>
      <c r="H2860" t="s">
        <v>105</v>
      </c>
      <c r="I2860" t="s">
        <v>42</v>
      </c>
      <c r="K2860" t="s">
        <v>43</v>
      </c>
      <c r="M2860" t="s">
        <v>44</v>
      </c>
      <c r="N2860">
        <v>6</v>
      </c>
      <c r="O2860" t="s">
        <v>3132</v>
      </c>
      <c r="P2860" t="b">
        <v>0</v>
      </c>
      <c r="Q2860" t="b">
        <v>0</v>
      </c>
      <c r="R2860" t="b">
        <v>1</v>
      </c>
      <c r="S2860" t="b">
        <v>1</v>
      </c>
      <c r="T2860" t="b">
        <v>0</v>
      </c>
      <c r="V2860" t="b">
        <v>0</v>
      </c>
      <c r="W2860" t="b">
        <v>0</v>
      </c>
      <c r="X2860" t="b">
        <v>0</v>
      </c>
      <c r="Y2860" t="b">
        <v>0</v>
      </c>
      <c r="Z2860" t="b">
        <v>0</v>
      </c>
      <c r="AA2860" t="b">
        <v>0</v>
      </c>
      <c r="AB2860" t="b">
        <v>1</v>
      </c>
      <c r="AC2860" t="b">
        <v>0</v>
      </c>
      <c r="AE2860" t="s">
        <v>7019</v>
      </c>
    </row>
    <row r="2861" spans="1:31" x14ac:dyDescent="0.3">
      <c r="A2861">
        <v>-73.956517967129997</v>
      </c>
      <c r="B2861">
        <v>40.793666394040002</v>
      </c>
      <c r="C2861" t="s">
        <v>7020</v>
      </c>
      <c r="D2861" t="s">
        <v>693</v>
      </c>
      <c r="E2861" t="s">
        <v>33</v>
      </c>
      <c r="F2861">
        <v>10122018</v>
      </c>
      <c r="G2861">
        <v>3</v>
      </c>
      <c r="I2861" t="s">
        <v>42</v>
      </c>
      <c r="J2861" t="s">
        <v>59</v>
      </c>
      <c r="K2861" t="s">
        <v>79</v>
      </c>
      <c r="M2861" t="s">
        <v>65</v>
      </c>
      <c r="N2861" t="b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1</v>
      </c>
      <c r="V2861" t="b">
        <v>0</v>
      </c>
      <c r="W2861" t="b">
        <v>0</v>
      </c>
      <c r="X2861" t="b">
        <v>0</v>
      </c>
      <c r="Y2861" t="b">
        <v>0</v>
      </c>
      <c r="Z2861" t="b">
        <v>0</v>
      </c>
      <c r="AA2861" t="b">
        <v>0</v>
      </c>
      <c r="AB2861" t="b">
        <v>1</v>
      </c>
      <c r="AC2861" t="b">
        <v>0</v>
      </c>
      <c r="AE2861" t="s">
        <v>7021</v>
      </c>
    </row>
    <row r="2862" spans="1:31" x14ac:dyDescent="0.3">
      <c r="A2862">
        <v>-73.972010236109995</v>
      </c>
      <c r="B2862">
        <v>40.769214393029998</v>
      </c>
      <c r="C2862" t="s">
        <v>7022</v>
      </c>
      <c r="D2862" t="s">
        <v>221</v>
      </c>
      <c r="E2862" t="s">
        <v>33</v>
      </c>
      <c r="F2862">
        <v>10202018</v>
      </c>
      <c r="G2862">
        <v>1</v>
      </c>
      <c r="H2862" t="s">
        <v>48</v>
      </c>
      <c r="I2862" t="s">
        <v>42</v>
      </c>
      <c r="K2862" t="s">
        <v>43</v>
      </c>
      <c r="M2862" t="s">
        <v>65</v>
      </c>
      <c r="N2862" t="b">
        <v>0</v>
      </c>
      <c r="P2862" t="b">
        <v>1</v>
      </c>
      <c r="Q2862" t="b">
        <v>1</v>
      </c>
      <c r="R2862" t="b">
        <v>0</v>
      </c>
      <c r="S2862" t="b">
        <v>0</v>
      </c>
      <c r="T2862" t="b">
        <v>0</v>
      </c>
      <c r="V2862" t="b">
        <v>0</v>
      </c>
      <c r="W2862" t="b">
        <v>0</v>
      </c>
      <c r="X2862" t="b">
        <v>0</v>
      </c>
      <c r="Y2862" t="b">
        <v>0</v>
      </c>
      <c r="Z2862" t="b">
        <v>0</v>
      </c>
      <c r="AA2862" t="b">
        <v>0</v>
      </c>
      <c r="AB2862" t="b">
        <v>1</v>
      </c>
      <c r="AC2862" t="b">
        <v>0</v>
      </c>
      <c r="AE2862" t="s">
        <v>7023</v>
      </c>
    </row>
    <row r="2863" spans="1:31" x14ac:dyDescent="0.3">
      <c r="A2863">
        <v>-73.96746671615</v>
      </c>
      <c r="B2863">
        <v>40.782434654829999</v>
      </c>
      <c r="C2863" t="s">
        <v>7024</v>
      </c>
      <c r="D2863" t="s">
        <v>459</v>
      </c>
      <c r="E2863" t="s">
        <v>33</v>
      </c>
      <c r="F2863">
        <v>10082018</v>
      </c>
      <c r="G2863">
        <v>4</v>
      </c>
      <c r="H2863" t="s">
        <v>105</v>
      </c>
      <c r="I2863" t="s">
        <v>42</v>
      </c>
      <c r="J2863" t="s">
        <v>96</v>
      </c>
      <c r="K2863" t="s">
        <v>97</v>
      </c>
      <c r="M2863" t="s">
        <v>44</v>
      </c>
      <c r="N2863">
        <v>4</v>
      </c>
      <c r="P2863" t="b">
        <v>0</v>
      </c>
      <c r="Q2863" t="b">
        <v>0</v>
      </c>
      <c r="R2863" t="b">
        <v>0</v>
      </c>
      <c r="S2863" t="b">
        <v>1</v>
      </c>
      <c r="T2863" t="b">
        <v>0</v>
      </c>
      <c r="V2863" t="b">
        <v>0</v>
      </c>
      <c r="W2863" t="b">
        <v>0</v>
      </c>
      <c r="X2863" t="b">
        <v>0</v>
      </c>
      <c r="Y2863" t="b">
        <v>0</v>
      </c>
      <c r="Z2863" t="b">
        <v>0</v>
      </c>
      <c r="AA2863" t="b">
        <v>0</v>
      </c>
      <c r="AB2863" t="b">
        <v>0</v>
      </c>
      <c r="AC2863" t="b">
        <v>1</v>
      </c>
      <c r="AD2863" t="s">
        <v>7025</v>
      </c>
      <c r="AE2863" t="s">
        <v>7026</v>
      </c>
    </row>
    <row r="2864" spans="1:31" x14ac:dyDescent="0.3">
      <c r="A2864">
        <v>-73.969824636989998</v>
      </c>
      <c r="B2864">
        <v>40.771147279449998</v>
      </c>
      <c r="C2864" t="s">
        <v>7027</v>
      </c>
      <c r="D2864" t="s">
        <v>2056</v>
      </c>
      <c r="E2864" t="s">
        <v>38</v>
      </c>
      <c r="F2864">
        <v>10062018</v>
      </c>
      <c r="G2864">
        <v>4</v>
      </c>
      <c r="H2864" t="s">
        <v>48</v>
      </c>
      <c r="I2864" t="s">
        <v>42</v>
      </c>
      <c r="J2864" t="s">
        <v>96</v>
      </c>
      <c r="K2864" t="s">
        <v>97</v>
      </c>
      <c r="M2864" t="s">
        <v>65</v>
      </c>
      <c r="N2864" t="b">
        <v>0</v>
      </c>
      <c r="P2864" t="b">
        <v>0</v>
      </c>
      <c r="Q2864" t="b">
        <v>0</v>
      </c>
      <c r="R2864" t="b">
        <v>0</v>
      </c>
      <c r="S2864" t="b">
        <v>1</v>
      </c>
      <c r="T2864" t="b">
        <v>0</v>
      </c>
      <c r="V2864" t="b">
        <v>0</v>
      </c>
      <c r="W2864" t="b">
        <v>0</v>
      </c>
      <c r="X2864" t="b">
        <v>0</v>
      </c>
      <c r="Y2864" t="b">
        <v>0</v>
      </c>
      <c r="Z2864" t="b">
        <v>0</v>
      </c>
      <c r="AA2864" t="b">
        <v>0</v>
      </c>
      <c r="AB2864" t="b">
        <v>1</v>
      </c>
      <c r="AC2864" t="b">
        <v>0</v>
      </c>
      <c r="AE2864" t="s">
        <v>7028</v>
      </c>
    </row>
    <row r="2865" spans="1:31" x14ac:dyDescent="0.3">
      <c r="A2865">
        <v>-73.976187929999995</v>
      </c>
      <c r="B2865">
        <v>40.76839189703</v>
      </c>
      <c r="C2865" t="s">
        <v>7029</v>
      </c>
      <c r="D2865" t="s">
        <v>215</v>
      </c>
      <c r="E2865" t="s">
        <v>33</v>
      </c>
      <c r="F2865">
        <v>10082018</v>
      </c>
      <c r="G2865">
        <v>1</v>
      </c>
      <c r="H2865" t="s">
        <v>48</v>
      </c>
      <c r="I2865" t="s">
        <v>42</v>
      </c>
      <c r="K2865" t="s">
        <v>43</v>
      </c>
      <c r="M2865" t="s">
        <v>44</v>
      </c>
      <c r="N2865">
        <v>3</v>
      </c>
      <c r="P2865" t="b">
        <v>0</v>
      </c>
      <c r="Q2865" t="b">
        <v>0</v>
      </c>
      <c r="R2865" t="b">
        <v>1</v>
      </c>
      <c r="S2865" t="b">
        <v>0</v>
      </c>
      <c r="T2865" t="b">
        <v>1</v>
      </c>
      <c r="V2865" t="b">
        <v>0</v>
      </c>
      <c r="W2865" t="b">
        <v>0</v>
      </c>
      <c r="X2865" t="b">
        <v>0</v>
      </c>
      <c r="Y2865" t="b">
        <v>0</v>
      </c>
      <c r="Z2865" t="b">
        <v>0</v>
      </c>
      <c r="AA2865" t="b">
        <v>0</v>
      </c>
      <c r="AB2865" t="b">
        <v>1</v>
      </c>
      <c r="AC2865" t="b">
        <v>0</v>
      </c>
      <c r="AE2865" t="s">
        <v>7030</v>
      </c>
    </row>
    <row r="2866" spans="1:31" x14ac:dyDescent="0.3">
      <c r="A2866">
        <v>-73.980284240399996</v>
      </c>
      <c r="B2866">
        <v>40.767825738500001</v>
      </c>
      <c r="C2866" t="s">
        <v>7031</v>
      </c>
      <c r="D2866" t="s">
        <v>851</v>
      </c>
      <c r="E2866" t="s">
        <v>33</v>
      </c>
      <c r="F2866">
        <v>10192018</v>
      </c>
      <c r="G2866">
        <v>3</v>
      </c>
      <c r="H2866" t="s">
        <v>105</v>
      </c>
      <c r="I2866" t="s">
        <v>42</v>
      </c>
      <c r="J2866" t="s">
        <v>59</v>
      </c>
      <c r="K2866" t="s">
        <v>79</v>
      </c>
      <c r="M2866" t="s">
        <v>44</v>
      </c>
      <c r="N2866">
        <v>25</v>
      </c>
      <c r="O2866" t="s">
        <v>456</v>
      </c>
      <c r="P2866" t="b">
        <v>0</v>
      </c>
      <c r="Q2866" t="b">
        <v>1</v>
      </c>
      <c r="R2866" t="b">
        <v>0</v>
      </c>
      <c r="S2866" t="b">
        <v>0</v>
      </c>
      <c r="T2866" t="b">
        <v>0</v>
      </c>
      <c r="V2866" t="b">
        <v>0</v>
      </c>
      <c r="W2866" t="b">
        <v>0</v>
      </c>
      <c r="X2866" t="b">
        <v>0</v>
      </c>
      <c r="Y2866" t="b">
        <v>0</v>
      </c>
      <c r="Z2866" t="b">
        <v>0</v>
      </c>
      <c r="AA2866" t="b">
        <v>0</v>
      </c>
      <c r="AB2866" t="b">
        <v>0</v>
      </c>
      <c r="AC2866" t="b">
        <v>0</v>
      </c>
      <c r="AE2866" t="s">
        <v>7032</v>
      </c>
    </row>
    <row r="2867" spans="1:31" x14ac:dyDescent="0.3">
      <c r="A2867">
        <v>-73.974402538340001</v>
      </c>
      <c r="B2867">
        <v>40.77772966058</v>
      </c>
      <c r="C2867" t="s">
        <v>7033</v>
      </c>
      <c r="D2867" t="s">
        <v>585</v>
      </c>
      <c r="E2867" t="s">
        <v>38</v>
      </c>
      <c r="F2867">
        <v>10172018</v>
      </c>
      <c r="G2867">
        <v>4</v>
      </c>
      <c r="H2867" t="s">
        <v>48</v>
      </c>
      <c r="I2867" t="s">
        <v>42</v>
      </c>
      <c r="K2867" t="s">
        <v>43</v>
      </c>
      <c r="P2867" t="b">
        <v>1</v>
      </c>
      <c r="Q2867" t="b">
        <v>0</v>
      </c>
      <c r="R2867" t="b">
        <v>0</v>
      </c>
      <c r="S2867" t="b">
        <v>0</v>
      </c>
      <c r="T2867" t="b">
        <v>0</v>
      </c>
      <c r="V2867" t="b">
        <v>0</v>
      </c>
      <c r="W2867" t="b">
        <v>0</v>
      </c>
      <c r="X2867" t="b">
        <v>0</v>
      </c>
      <c r="Y2867" t="b">
        <v>0</v>
      </c>
      <c r="Z2867" t="b">
        <v>0</v>
      </c>
      <c r="AA2867" t="b">
        <v>0</v>
      </c>
      <c r="AB2867" t="b">
        <v>1</v>
      </c>
      <c r="AC2867" t="b">
        <v>0</v>
      </c>
      <c r="AE2867" t="s">
        <v>7034</v>
      </c>
    </row>
    <row r="2868" spans="1:31" x14ac:dyDescent="0.3">
      <c r="A2868">
        <v>-73.969370141810003</v>
      </c>
      <c r="B2868">
        <v>40.784072119199998</v>
      </c>
      <c r="C2868" t="s">
        <v>7035</v>
      </c>
      <c r="D2868" t="s">
        <v>298</v>
      </c>
      <c r="E2868" t="s">
        <v>33</v>
      </c>
      <c r="F2868">
        <v>10172018</v>
      </c>
      <c r="G2868">
        <v>3</v>
      </c>
      <c r="H2868" t="s">
        <v>105</v>
      </c>
      <c r="I2868" t="s">
        <v>42</v>
      </c>
      <c r="J2868" t="s">
        <v>53</v>
      </c>
      <c r="K2868" t="s">
        <v>54</v>
      </c>
      <c r="M2868" t="s">
        <v>65</v>
      </c>
      <c r="N2868" t="b">
        <v>0</v>
      </c>
      <c r="P2868" t="b">
        <v>0</v>
      </c>
      <c r="Q2868" t="b">
        <v>0</v>
      </c>
      <c r="R2868" t="b">
        <v>0</v>
      </c>
      <c r="S2868" t="b">
        <v>1</v>
      </c>
      <c r="T2868" t="b">
        <v>0</v>
      </c>
      <c r="V2868" t="b">
        <v>0</v>
      </c>
      <c r="W2868" t="b">
        <v>0</v>
      </c>
      <c r="X2868" t="b">
        <v>0</v>
      </c>
      <c r="Y2868" t="b">
        <v>0</v>
      </c>
      <c r="Z2868" t="b">
        <v>0</v>
      </c>
      <c r="AA2868" t="b">
        <v>0</v>
      </c>
      <c r="AB2868" t="b">
        <v>0</v>
      </c>
      <c r="AC2868" t="b">
        <v>0</v>
      </c>
      <c r="AE2868" t="s">
        <v>7036</v>
      </c>
    </row>
    <row r="2869" spans="1:31" x14ac:dyDescent="0.3">
      <c r="A2869">
        <v>-73.965387328450007</v>
      </c>
      <c r="B2869">
        <v>40.780469988260002</v>
      </c>
      <c r="C2869" t="s">
        <v>7037</v>
      </c>
      <c r="D2869" t="s">
        <v>564</v>
      </c>
      <c r="E2869" t="s">
        <v>33</v>
      </c>
      <c r="F2869">
        <v>10072018</v>
      </c>
      <c r="G2869">
        <v>11</v>
      </c>
      <c r="H2869" t="s">
        <v>48</v>
      </c>
      <c r="I2869" t="s">
        <v>42</v>
      </c>
      <c r="J2869" t="s">
        <v>59</v>
      </c>
      <c r="K2869" t="s">
        <v>79</v>
      </c>
      <c r="M2869" t="s">
        <v>44</v>
      </c>
      <c r="N2869">
        <v>10</v>
      </c>
      <c r="O2869" t="s">
        <v>456</v>
      </c>
      <c r="P2869" t="b">
        <v>0</v>
      </c>
      <c r="Q2869" t="b">
        <v>0</v>
      </c>
      <c r="R2869" t="b">
        <v>1</v>
      </c>
      <c r="S2869" t="b">
        <v>0</v>
      </c>
      <c r="T2869" t="b">
        <v>0</v>
      </c>
      <c r="V2869" t="b">
        <v>0</v>
      </c>
      <c r="W2869" t="b">
        <v>0</v>
      </c>
      <c r="X2869" t="b">
        <v>0</v>
      </c>
      <c r="Y2869" t="b">
        <v>0</v>
      </c>
      <c r="Z2869" t="b">
        <v>0</v>
      </c>
      <c r="AA2869" t="b">
        <v>0</v>
      </c>
      <c r="AB2869" t="b">
        <v>0</v>
      </c>
      <c r="AC2869" t="b">
        <v>0</v>
      </c>
      <c r="AE2869" t="s">
        <v>7038</v>
      </c>
    </row>
    <row r="2870" spans="1:31" x14ac:dyDescent="0.3">
      <c r="A2870">
        <v>-73.963082238539997</v>
      </c>
      <c r="B2870">
        <v>40.791484498990002</v>
      </c>
      <c r="C2870" t="s">
        <v>7039</v>
      </c>
      <c r="D2870" t="s">
        <v>2511</v>
      </c>
      <c r="E2870" t="s">
        <v>33</v>
      </c>
      <c r="F2870">
        <v>10072018</v>
      </c>
      <c r="G2870">
        <v>4</v>
      </c>
      <c r="H2870" t="s">
        <v>105</v>
      </c>
      <c r="I2870" t="s">
        <v>42</v>
      </c>
      <c r="K2870" t="s">
        <v>43</v>
      </c>
      <c r="P2870" t="b">
        <v>0</v>
      </c>
      <c r="Q2870" t="b">
        <v>0</v>
      </c>
      <c r="R2870" t="b">
        <v>0</v>
      </c>
      <c r="S2870" t="b">
        <v>1</v>
      </c>
      <c r="T2870" t="b">
        <v>0</v>
      </c>
      <c r="V2870" t="b">
        <v>0</v>
      </c>
      <c r="W2870" t="b">
        <v>0</v>
      </c>
      <c r="X2870" t="b">
        <v>0</v>
      </c>
      <c r="Y2870" t="b">
        <v>0</v>
      </c>
      <c r="Z2870" t="b">
        <v>0</v>
      </c>
      <c r="AA2870" t="b">
        <v>0</v>
      </c>
      <c r="AB2870" t="b">
        <v>0</v>
      </c>
      <c r="AC2870" t="b">
        <v>0</v>
      </c>
      <c r="AE2870" t="s">
        <v>7040</v>
      </c>
    </row>
    <row r="2871" spans="1:31" x14ac:dyDescent="0.3">
      <c r="A2871">
        <v>-73.953847574120005</v>
      </c>
      <c r="B2871">
        <v>40.796479421960001</v>
      </c>
      <c r="C2871" t="s">
        <v>7041</v>
      </c>
      <c r="D2871" t="s">
        <v>5232</v>
      </c>
      <c r="E2871" t="s">
        <v>33</v>
      </c>
      <c r="F2871">
        <v>10062018</v>
      </c>
      <c r="G2871">
        <v>2</v>
      </c>
      <c r="H2871" t="s">
        <v>48</v>
      </c>
      <c r="I2871" t="s">
        <v>42</v>
      </c>
      <c r="J2871" t="s">
        <v>53</v>
      </c>
      <c r="K2871" t="s">
        <v>54</v>
      </c>
      <c r="M2871" t="s">
        <v>44</v>
      </c>
      <c r="N2871">
        <v>6</v>
      </c>
      <c r="P2871" t="b">
        <v>0</v>
      </c>
      <c r="Q2871" t="b">
        <v>0</v>
      </c>
      <c r="R2871" t="b">
        <v>0</v>
      </c>
      <c r="S2871" t="b">
        <v>0</v>
      </c>
      <c r="T2871" t="b">
        <v>1</v>
      </c>
      <c r="V2871" t="b">
        <v>0</v>
      </c>
      <c r="W2871" t="b">
        <v>0</v>
      </c>
      <c r="X2871" t="b">
        <v>0</v>
      </c>
      <c r="Y2871" t="b">
        <v>0</v>
      </c>
      <c r="Z2871" t="b">
        <v>0</v>
      </c>
      <c r="AA2871" t="b">
        <v>0</v>
      </c>
      <c r="AB2871" t="b">
        <v>1</v>
      </c>
      <c r="AC2871" t="b">
        <v>0</v>
      </c>
      <c r="AE2871" t="s">
        <v>7042</v>
      </c>
    </row>
    <row r="2872" spans="1:31" x14ac:dyDescent="0.3">
      <c r="A2872">
        <v>-73.977712433199997</v>
      </c>
      <c r="B2872">
        <v>40.770405105670001</v>
      </c>
      <c r="C2872" t="s">
        <v>7043</v>
      </c>
      <c r="D2872" t="s">
        <v>2861</v>
      </c>
      <c r="E2872" t="s">
        <v>38</v>
      </c>
      <c r="F2872">
        <v>10082018</v>
      </c>
      <c r="G2872">
        <v>3</v>
      </c>
      <c r="H2872" t="s">
        <v>48</v>
      </c>
      <c r="I2872" t="s">
        <v>42</v>
      </c>
      <c r="J2872" t="s">
        <v>53</v>
      </c>
      <c r="K2872" t="s">
        <v>54</v>
      </c>
      <c r="M2872" t="s">
        <v>65</v>
      </c>
      <c r="N2872" t="b">
        <v>0</v>
      </c>
      <c r="P2872" t="b">
        <v>1</v>
      </c>
      <c r="Q2872" t="b">
        <v>0</v>
      </c>
      <c r="R2872" t="b">
        <v>0</v>
      </c>
      <c r="S2872" t="b">
        <v>1</v>
      </c>
      <c r="T2872" t="b">
        <v>1</v>
      </c>
      <c r="V2872" t="b">
        <v>0</v>
      </c>
      <c r="W2872" t="b">
        <v>0</v>
      </c>
      <c r="X2872" t="b">
        <v>0</v>
      </c>
      <c r="Y2872" t="b">
        <v>0</v>
      </c>
      <c r="Z2872" t="b">
        <v>0</v>
      </c>
      <c r="AA2872" t="b">
        <v>0</v>
      </c>
      <c r="AB2872" t="b">
        <v>1</v>
      </c>
      <c r="AC2872" t="b">
        <v>0</v>
      </c>
      <c r="AE2872" t="s">
        <v>7044</v>
      </c>
    </row>
    <row r="2873" spans="1:31" x14ac:dyDescent="0.3">
      <c r="A2873">
        <v>-73.961539645800002</v>
      </c>
      <c r="B2873">
        <v>40.792359436680002</v>
      </c>
      <c r="C2873" t="s">
        <v>7045</v>
      </c>
      <c r="D2873" t="s">
        <v>275</v>
      </c>
      <c r="E2873" t="s">
        <v>38</v>
      </c>
      <c r="F2873">
        <v>10122018</v>
      </c>
      <c r="G2873">
        <v>1</v>
      </c>
      <c r="H2873" t="s">
        <v>48</v>
      </c>
      <c r="I2873" t="s">
        <v>42</v>
      </c>
      <c r="J2873" t="s">
        <v>53</v>
      </c>
      <c r="K2873" t="s">
        <v>54</v>
      </c>
      <c r="L2873" t="s">
        <v>7046</v>
      </c>
      <c r="M2873" t="s">
        <v>44</v>
      </c>
      <c r="N2873">
        <v>20</v>
      </c>
      <c r="O2873" t="s">
        <v>1689</v>
      </c>
      <c r="P2873" t="b">
        <v>0</v>
      </c>
      <c r="Q2873" t="b">
        <v>1</v>
      </c>
      <c r="R2873" t="b">
        <v>1</v>
      </c>
      <c r="S2873" t="b">
        <v>0</v>
      </c>
      <c r="T2873" t="b">
        <v>0</v>
      </c>
      <c r="V2873" t="b">
        <v>0</v>
      </c>
      <c r="W2873" t="b">
        <v>0</v>
      </c>
      <c r="X2873" t="b">
        <v>0</v>
      </c>
      <c r="Y2873" t="b">
        <v>0</v>
      </c>
      <c r="Z2873" t="b">
        <v>0</v>
      </c>
      <c r="AA2873" t="b">
        <v>0</v>
      </c>
      <c r="AB2873" t="b">
        <v>1</v>
      </c>
      <c r="AC2873" t="b">
        <v>0</v>
      </c>
      <c r="AE2873" t="s">
        <v>7047</v>
      </c>
    </row>
    <row r="2874" spans="1:31" x14ac:dyDescent="0.3">
      <c r="A2874">
        <v>-73.955068474110007</v>
      </c>
      <c r="B2874">
        <v>40.791178815290003</v>
      </c>
      <c r="C2874" t="s">
        <v>7048</v>
      </c>
      <c r="D2874" t="s">
        <v>1352</v>
      </c>
      <c r="E2874" t="s">
        <v>33</v>
      </c>
      <c r="F2874">
        <v>10062018</v>
      </c>
      <c r="G2874">
        <v>5</v>
      </c>
      <c r="H2874" t="s">
        <v>48</v>
      </c>
      <c r="I2874" t="s">
        <v>42</v>
      </c>
      <c r="J2874" t="s">
        <v>96</v>
      </c>
      <c r="K2874" t="s">
        <v>97</v>
      </c>
      <c r="L2874" t="s">
        <v>7049</v>
      </c>
      <c r="M2874" t="s">
        <v>65</v>
      </c>
      <c r="N2874" t="b">
        <v>0</v>
      </c>
      <c r="O2874" t="s">
        <v>2996</v>
      </c>
      <c r="P2874" t="b">
        <v>1</v>
      </c>
      <c r="Q2874" t="b">
        <v>0</v>
      </c>
      <c r="R2874" t="b">
        <v>0</v>
      </c>
      <c r="S2874" t="b">
        <v>0</v>
      </c>
      <c r="T2874" t="b">
        <v>1</v>
      </c>
      <c r="V2874" t="b">
        <v>0</v>
      </c>
      <c r="W2874" t="b">
        <v>0</v>
      </c>
      <c r="X2874" t="b">
        <v>0</v>
      </c>
      <c r="Y2874" t="b">
        <v>0</v>
      </c>
      <c r="Z2874" t="b">
        <v>0</v>
      </c>
      <c r="AA2874" t="b">
        <v>0</v>
      </c>
      <c r="AB2874" t="b">
        <v>0</v>
      </c>
      <c r="AC2874" t="b">
        <v>0</v>
      </c>
      <c r="AE2874" t="s">
        <v>7050</v>
      </c>
    </row>
    <row r="2875" spans="1:31" x14ac:dyDescent="0.3">
      <c r="A2875">
        <v>-73.959745366429999</v>
      </c>
      <c r="B2875">
        <v>40.789138215370002</v>
      </c>
      <c r="C2875" t="s">
        <v>7051</v>
      </c>
      <c r="D2875" t="s">
        <v>7052</v>
      </c>
      <c r="E2875" t="s">
        <v>33</v>
      </c>
      <c r="F2875">
        <v>10072018</v>
      </c>
      <c r="G2875">
        <v>1</v>
      </c>
      <c r="H2875" t="s">
        <v>48</v>
      </c>
      <c r="I2875" t="s">
        <v>42</v>
      </c>
      <c r="J2875" t="s">
        <v>148</v>
      </c>
      <c r="K2875" t="s">
        <v>149</v>
      </c>
      <c r="M2875" t="s">
        <v>44</v>
      </c>
      <c r="N2875">
        <v>1</v>
      </c>
      <c r="O2875" t="s">
        <v>190</v>
      </c>
      <c r="P2875" t="b">
        <v>0</v>
      </c>
      <c r="Q2875" t="b">
        <v>0</v>
      </c>
      <c r="R2875" t="b">
        <v>1</v>
      </c>
      <c r="S2875" t="b">
        <v>0</v>
      </c>
      <c r="T2875" t="b">
        <v>0</v>
      </c>
      <c r="V2875" t="b">
        <v>0</v>
      </c>
      <c r="W2875" t="b">
        <v>0</v>
      </c>
      <c r="X2875" t="b">
        <v>0</v>
      </c>
      <c r="Y2875" t="b">
        <v>0</v>
      </c>
      <c r="Z2875" t="b">
        <v>1</v>
      </c>
      <c r="AA2875" t="b">
        <v>0</v>
      </c>
      <c r="AB2875" t="b">
        <v>0</v>
      </c>
      <c r="AC2875" t="b">
        <v>1</v>
      </c>
      <c r="AE2875" t="s">
        <v>7053</v>
      </c>
    </row>
    <row r="2876" spans="1:31" x14ac:dyDescent="0.3">
      <c r="A2876">
        <v>-73.954661678289995</v>
      </c>
      <c r="B2876">
        <v>40.790974533739998</v>
      </c>
      <c r="C2876" t="s">
        <v>7054</v>
      </c>
      <c r="D2876" t="s">
        <v>1025</v>
      </c>
      <c r="E2876" t="s">
        <v>33</v>
      </c>
      <c r="F2876">
        <v>10102018</v>
      </c>
      <c r="G2876">
        <v>5</v>
      </c>
      <c r="H2876" t="s">
        <v>48</v>
      </c>
      <c r="I2876" t="s">
        <v>42</v>
      </c>
      <c r="K2876" t="s">
        <v>43</v>
      </c>
      <c r="P2876" t="b">
        <v>0</v>
      </c>
      <c r="Q2876" t="b">
        <v>0</v>
      </c>
      <c r="R2876" t="b">
        <v>0</v>
      </c>
      <c r="S2876" t="b">
        <v>0</v>
      </c>
      <c r="T2876" t="b">
        <v>1</v>
      </c>
      <c r="V2876" t="b">
        <v>0</v>
      </c>
      <c r="W2876" t="b">
        <v>0</v>
      </c>
      <c r="X2876" t="b">
        <v>0</v>
      </c>
      <c r="Y2876" t="b">
        <v>0</v>
      </c>
      <c r="Z2876" t="b">
        <v>1</v>
      </c>
      <c r="AA2876" t="b">
        <v>0</v>
      </c>
      <c r="AB2876" t="b">
        <v>0</v>
      </c>
      <c r="AC2876" t="b">
        <v>0</v>
      </c>
      <c r="AE2876" t="s">
        <v>7055</v>
      </c>
    </row>
    <row r="2877" spans="1:31" x14ac:dyDescent="0.3">
      <c r="A2877">
        <v>-73.955899573769997</v>
      </c>
      <c r="B2877">
        <v>40.79600977346</v>
      </c>
      <c r="C2877" t="s">
        <v>7056</v>
      </c>
      <c r="D2877" t="s">
        <v>3964</v>
      </c>
      <c r="E2877" t="s">
        <v>38</v>
      </c>
      <c r="F2877">
        <v>10182018</v>
      </c>
      <c r="G2877">
        <v>5</v>
      </c>
      <c r="H2877" t="s">
        <v>48</v>
      </c>
      <c r="I2877" t="s">
        <v>42</v>
      </c>
      <c r="J2877" t="s">
        <v>53</v>
      </c>
      <c r="K2877" t="s">
        <v>54</v>
      </c>
      <c r="M2877" t="s">
        <v>65</v>
      </c>
      <c r="N2877" t="b">
        <v>0</v>
      </c>
      <c r="P2877" t="b">
        <v>0</v>
      </c>
      <c r="Q2877" t="b">
        <v>0</v>
      </c>
      <c r="R2877" t="b">
        <v>0</v>
      </c>
      <c r="S2877" t="b">
        <v>0</v>
      </c>
      <c r="T2877" t="b">
        <v>1</v>
      </c>
      <c r="V2877" t="b">
        <v>0</v>
      </c>
      <c r="W2877" t="b">
        <v>0</v>
      </c>
      <c r="X2877" t="b">
        <v>0</v>
      </c>
      <c r="Y2877" t="b">
        <v>1</v>
      </c>
      <c r="Z2877" t="b">
        <v>0</v>
      </c>
      <c r="AA2877" t="b">
        <v>0</v>
      </c>
      <c r="AB2877" t="b">
        <v>1</v>
      </c>
      <c r="AC2877" t="b">
        <v>0</v>
      </c>
      <c r="AE2877" t="s">
        <v>7057</v>
      </c>
    </row>
    <row r="2878" spans="1:31" x14ac:dyDescent="0.3">
      <c r="A2878">
        <v>-73.973002719999997</v>
      </c>
      <c r="B2878">
        <v>40.779800086880002</v>
      </c>
      <c r="C2878" t="s">
        <v>7058</v>
      </c>
      <c r="D2878" t="s">
        <v>1103</v>
      </c>
      <c r="E2878" t="s">
        <v>33</v>
      </c>
      <c r="F2878">
        <v>10192018</v>
      </c>
      <c r="G2878">
        <v>5</v>
      </c>
      <c r="H2878" t="s">
        <v>48</v>
      </c>
      <c r="I2878" t="s">
        <v>42</v>
      </c>
      <c r="J2878" t="s">
        <v>53</v>
      </c>
      <c r="K2878" t="s">
        <v>54</v>
      </c>
      <c r="M2878" t="s">
        <v>44</v>
      </c>
      <c r="N2878">
        <v>20</v>
      </c>
      <c r="P2878" t="b">
        <v>0</v>
      </c>
      <c r="Q2878" t="b">
        <v>0</v>
      </c>
      <c r="R2878" t="b">
        <v>1</v>
      </c>
      <c r="S2878" t="b">
        <v>0</v>
      </c>
      <c r="T2878" t="b">
        <v>0</v>
      </c>
      <c r="V2878" t="b">
        <v>0</v>
      </c>
      <c r="W2878" t="b">
        <v>0</v>
      </c>
      <c r="X2878" t="b">
        <v>0</v>
      </c>
      <c r="Y2878" t="b">
        <v>0</v>
      </c>
      <c r="Z2878" t="b">
        <v>0</v>
      </c>
      <c r="AA2878" t="b">
        <v>0</v>
      </c>
      <c r="AB2878" t="b">
        <v>0</v>
      </c>
      <c r="AC2878" t="b">
        <v>0</v>
      </c>
      <c r="AE2878" t="s">
        <v>7059</v>
      </c>
    </row>
    <row r="2879" spans="1:31" x14ac:dyDescent="0.3">
      <c r="A2879">
        <v>-73.969720780559996</v>
      </c>
      <c r="B2879">
        <v>40.774110568879998</v>
      </c>
      <c r="C2879" t="s">
        <v>7060</v>
      </c>
      <c r="D2879" t="s">
        <v>646</v>
      </c>
      <c r="E2879" t="s">
        <v>38</v>
      </c>
      <c r="F2879">
        <v>10202018</v>
      </c>
      <c r="G2879">
        <v>4</v>
      </c>
      <c r="H2879" t="s">
        <v>48</v>
      </c>
      <c r="I2879" t="s">
        <v>53</v>
      </c>
      <c r="J2879" t="s">
        <v>42</v>
      </c>
      <c r="K2879" t="s">
        <v>89</v>
      </c>
      <c r="M2879" t="s">
        <v>65</v>
      </c>
      <c r="N2879" t="b">
        <v>0</v>
      </c>
      <c r="P2879" t="b">
        <v>1</v>
      </c>
      <c r="Q2879" t="b">
        <v>0</v>
      </c>
      <c r="R2879" t="b">
        <v>0</v>
      </c>
      <c r="S2879" t="b">
        <v>1</v>
      </c>
      <c r="T2879" t="b">
        <v>0</v>
      </c>
      <c r="V2879" t="b">
        <v>0</v>
      </c>
      <c r="W2879" t="b">
        <v>0</v>
      </c>
      <c r="X2879" t="b">
        <v>0</v>
      </c>
      <c r="Y2879" t="b">
        <v>0</v>
      </c>
      <c r="Z2879" t="b">
        <v>1</v>
      </c>
      <c r="AA2879" t="b">
        <v>0</v>
      </c>
      <c r="AB2879" t="b">
        <v>0</v>
      </c>
      <c r="AC2879" t="b">
        <v>0</v>
      </c>
      <c r="AE2879" t="s">
        <v>7061</v>
      </c>
    </row>
    <row r="2880" spans="1:31" x14ac:dyDescent="0.3">
      <c r="A2880">
        <v>-73.97440807001</v>
      </c>
      <c r="B2880">
        <v>40.773151572179998</v>
      </c>
      <c r="C2880" t="s">
        <v>7062</v>
      </c>
      <c r="D2880" t="s">
        <v>1401</v>
      </c>
      <c r="E2880" t="s">
        <v>33</v>
      </c>
      <c r="F2880">
        <v>10062018</v>
      </c>
      <c r="G2880">
        <v>7</v>
      </c>
      <c r="H2880" t="s">
        <v>48</v>
      </c>
      <c r="I2880" t="s">
        <v>176</v>
      </c>
      <c r="J2880" t="s">
        <v>96</v>
      </c>
      <c r="K2880" t="s">
        <v>2942</v>
      </c>
      <c r="M2880" t="s">
        <v>65</v>
      </c>
      <c r="N2880" t="b">
        <v>0</v>
      </c>
      <c r="O2880" t="s">
        <v>7063</v>
      </c>
      <c r="P2880" t="b">
        <v>0</v>
      </c>
      <c r="Q2880" t="b">
        <v>0</v>
      </c>
      <c r="R2880" t="b">
        <v>0</v>
      </c>
      <c r="S2880" t="b">
        <v>1</v>
      </c>
      <c r="T2880" t="b">
        <v>0</v>
      </c>
      <c r="V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b">
        <v>0</v>
      </c>
      <c r="AB2880" t="b">
        <v>0</v>
      </c>
      <c r="AC2880" t="b">
        <v>1</v>
      </c>
      <c r="AD2880" t="s">
        <v>7064</v>
      </c>
      <c r="AE2880" t="s">
        <v>7065</v>
      </c>
    </row>
    <row r="2881" spans="1:31" x14ac:dyDescent="0.3">
      <c r="A2881">
        <v>-73.972659825690002</v>
      </c>
      <c r="B2881">
        <v>40.770786244619998</v>
      </c>
      <c r="C2881" t="s">
        <v>7066</v>
      </c>
      <c r="D2881" t="s">
        <v>353</v>
      </c>
      <c r="E2881" t="s">
        <v>33</v>
      </c>
      <c r="F2881">
        <v>10122018</v>
      </c>
      <c r="G2881">
        <v>3</v>
      </c>
      <c r="H2881" t="s">
        <v>48</v>
      </c>
      <c r="I2881" t="s">
        <v>42</v>
      </c>
      <c r="J2881" t="s">
        <v>53</v>
      </c>
      <c r="K2881" t="s">
        <v>54</v>
      </c>
      <c r="M2881" t="s">
        <v>65</v>
      </c>
      <c r="N2881" t="b">
        <v>0</v>
      </c>
      <c r="P2881" t="b">
        <v>0</v>
      </c>
      <c r="Q2881" t="b">
        <v>0</v>
      </c>
      <c r="R2881" t="b">
        <v>0</v>
      </c>
      <c r="S2881" t="b">
        <v>0</v>
      </c>
      <c r="T2881" t="b">
        <v>1</v>
      </c>
      <c r="U2881" t="s">
        <v>340</v>
      </c>
      <c r="V2881" t="b">
        <v>0</v>
      </c>
      <c r="W2881" t="b">
        <v>0</v>
      </c>
      <c r="X2881" t="b">
        <v>0</v>
      </c>
      <c r="Y2881" t="b">
        <v>0</v>
      </c>
      <c r="Z2881" t="b">
        <v>0</v>
      </c>
      <c r="AA2881" t="b">
        <v>0</v>
      </c>
      <c r="AB2881" t="b">
        <v>0</v>
      </c>
      <c r="AC2881" t="b">
        <v>1</v>
      </c>
      <c r="AE2881" t="s">
        <v>7067</v>
      </c>
    </row>
    <row r="2882" spans="1:31" x14ac:dyDescent="0.3">
      <c r="A2882">
        <v>-73.954162906329998</v>
      </c>
      <c r="B2882">
        <v>40.793425930159998</v>
      </c>
      <c r="C2882" t="s">
        <v>7068</v>
      </c>
      <c r="D2882" t="s">
        <v>936</v>
      </c>
      <c r="E2882" t="s">
        <v>38</v>
      </c>
      <c r="F2882">
        <v>10142018</v>
      </c>
      <c r="G2882">
        <v>2</v>
      </c>
      <c r="H2882" t="s">
        <v>48</v>
      </c>
      <c r="I2882" t="s">
        <v>42</v>
      </c>
      <c r="K2882" t="s">
        <v>43</v>
      </c>
      <c r="M2882" t="s">
        <v>65</v>
      </c>
      <c r="N2882" t="b">
        <v>0</v>
      </c>
      <c r="P2882" t="b">
        <v>1</v>
      </c>
      <c r="Q2882" t="b">
        <v>0</v>
      </c>
      <c r="R2882" t="b">
        <v>0</v>
      </c>
      <c r="S2882" t="b">
        <v>0</v>
      </c>
      <c r="T2882" t="b">
        <v>0</v>
      </c>
      <c r="U2882" t="s">
        <v>7069</v>
      </c>
      <c r="V2882" t="b">
        <v>0</v>
      </c>
      <c r="W2882" t="b">
        <v>0</v>
      </c>
      <c r="X2882" t="b">
        <v>0</v>
      </c>
      <c r="Y2882" t="b">
        <v>0</v>
      </c>
      <c r="Z2882" t="b">
        <v>0</v>
      </c>
      <c r="AA2882" t="b">
        <v>0</v>
      </c>
      <c r="AB2882" t="b">
        <v>0</v>
      </c>
      <c r="AC2882" t="b">
        <v>0</v>
      </c>
      <c r="AE2882" t="s">
        <v>7070</v>
      </c>
    </row>
    <row r="2883" spans="1:31" x14ac:dyDescent="0.3">
      <c r="A2883">
        <v>-73.956581233790004</v>
      </c>
      <c r="B2883">
        <v>40.79021276908</v>
      </c>
      <c r="C2883" t="s">
        <v>7071</v>
      </c>
      <c r="D2883" t="s">
        <v>166</v>
      </c>
      <c r="E2883" t="s">
        <v>38</v>
      </c>
      <c r="F2883">
        <v>10192018</v>
      </c>
      <c r="G2883">
        <v>1</v>
      </c>
      <c r="H2883" t="s">
        <v>48</v>
      </c>
      <c r="I2883" t="s">
        <v>53</v>
      </c>
      <c r="J2883" t="s">
        <v>42</v>
      </c>
      <c r="K2883" t="s">
        <v>89</v>
      </c>
      <c r="L2883" t="s">
        <v>7072</v>
      </c>
      <c r="M2883" t="s">
        <v>65</v>
      </c>
      <c r="N2883" t="b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s">
        <v>7073</v>
      </c>
      <c r="V2883" t="b">
        <v>0</v>
      </c>
      <c r="W2883" t="b">
        <v>0</v>
      </c>
      <c r="X2883" t="b">
        <v>0</v>
      </c>
      <c r="Y2883" t="b">
        <v>0</v>
      </c>
      <c r="Z2883" t="b">
        <v>0</v>
      </c>
      <c r="AA2883" t="b">
        <v>0</v>
      </c>
      <c r="AB2883" t="b">
        <v>0</v>
      </c>
      <c r="AC2883" t="b">
        <v>0</v>
      </c>
      <c r="AE2883" t="s">
        <v>7074</v>
      </c>
    </row>
    <row r="2884" spans="1:31" x14ac:dyDescent="0.3">
      <c r="A2884">
        <v>-73.969859283879998</v>
      </c>
      <c r="B2884">
        <v>40.774307144399998</v>
      </c>
      <c r="C2884" t="s">
        <v>7075</v>
      </c>
      <c r="D2884" t="s">
        <v>646</v>
      </c>
      <c r="E2884" t="s">
        <v>38</v>
      </c>
      <c r="F2884">
        <v>10202018</v>
      </c>
      <c r="G2884">
        <v>3</v>
      </c>
      <c r="H2884" t="s">
        <v>48</v>
      </c>
      <c r="I2884" t="s">
        <v>42</v>
      </c>
      <c r="J2884" t="s">
        <v>176</v>
      </c>
      <c r="K2884" t="s">
        <v>339</v>
      </c>
      <c r="M2884" t="s">
        <v>65</v>
      </c>
      <c r="N2884" t="b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s">
        <v>1367</v>
      </c>
      <c r="V2884" t="b">
        <v>0</v>
      </c>
      <c r="W2884" t="b">
        <v>0</v>
      </c>
      <c r="X2884" t="b">
        <v>0</v>
      </c>
      <c r="Y2884" t="b">
        <v>0</v>
      </c>
      <c r="Z2884" t="b">
        <v>1</v>
      </c>
      <c r="AA2884" t="b">
        <v>0</v>
      </c>
      <c r="AB2884" t="b">
        <v>0</v>
      </c>
      <c r="AC2884" t="b">
        <v>0</v>
      </c>
      <c r="AE2884" t="s">
        <v>7076</v>
      </c>
    </row>
    <row r="2885" spans="1:31" x14ac:dyDescent="0.3">
      <c r="A2885">
        <v>-73.959837849579998</v>
      </c>
      <c r="B2885">
        <v>40.795684302170002</v>
      </c>
      <c r="C2885" t="s">
        <v>7077</v>
      </c>
      <c r="D2885" t="s">
        <v>969</v>
      </c>
      <c r="E2885" t="s">
        <v>38</v>
      </c>
      <c r="F2885">
        <v>10182018</v>
      </c>
      <c r="G2885">
        <v>4</v>
      </c>
      <c r="H2885" t="s">
        <v>48</v>
      </c>
      <c r="I2885" t="s">
        <v>42</v>
      </c>
      <c r="K2885" t="s">
        <v>43</v>
      </c>
      <c r="M2885" t="s">
        <v>65</v>
      </c>
      <c r="N2885" t="b">
        <v>0</v>
      </c>
      <c r="P2885" t="b">
        <v>0</v>
      </c>
      <c r="Q2885" t="b">
        <v>0</v>
      </c>
      <c r="R2885" t="b">
        <v>0</v>
      </c>
      <c r="S2885" t="b">
        <v>0</v>
      </c>
      <c r="T2885" t="b">
        <v>1</v>
      </c>
      <c r="V2885" t="b">
        <v>0</v>
      </c>
      <c r="W2885" t="b">
        <v>0</v>
      </c>
      <c r="X2885" t="b">
        <v>0</v>
      </c>
      <c r="Y2885" t="b">
        <v>0</v>
      </c>
      <c r="Z2885" t="b">
        <v>1</v>
      </c>
      <c r="AA2885" t="b">
        <v>0</v>
      </c>
      <c r="AB2885" t="b">
        <v>0</v>
      </c>
      <c r="AC2885" t="b">
        <v>0</v>
      </c>
      <c r="AE2885" t="s">
        <v>7078</v>
      </c>
    </row>
    <row r="2886" spans="1:31" x14ac:dyDescent="0.3">
      <c r="A2886">
        <v>-73.953081125569994</v>
      </c>
      <c r="B2886">
        <v>40.798306911860003</v>
      </c>
      <c r="C2886" t="s">
        <v>7079</v>
      </c>
      <c r="D2886" t="s">
        <v>1366</v>
      </c>
      <c r="E2886" t="s">
        <v>38</v>
      </c>
      <c r="F2886">
        <v>10192018</v>
      </c>
      <c r="G2886">
        <v>2</v>
      </c>
      <c r="H2886" t="s">
        <v>48</v>
      </c>
      <c r="I2886" t="s">
        <v>42</v>
      </c>
      <c r="J2886" t="s">
        <v>59</v>
      </c>
      <c r="K2886" t="s">
        <v>79</v>
      </c>
      <c r="M2886" t="s">
        <v>65</v>
      </c>
      <c r="N2886" t="b">
        <v>0</v>
      </c>
      <c r="P2886" t="b">
        <v>0</v>
      </c>
      <c r="Q2886" t="b">
        <v>0</v>
      </c>
      <c r="R2886" t="b">
        <v>0</v>
      </c>
      <c r="S2886" t="b">
        <v>1</v>
      </c>
      <c r="T2886" t="b">
        <v>1</v>
      </c>
      <c r="V2886" t="b">
        <v>0</v>
      </c>
      <c r="W2886" t="b">
        <v>0</v>
      </c>
      <c r="X2886" t="b">
        <v>0</v>
      </c>
      <c r="Y2886" t="b">
        <v>0</v>
      </c>
      <c r="Z2886" t="b">
        <v>0</v>
      </c>
      <c r="AA2886" t="b">
        <v>0</v>
      </c>
      <c r="AB2886" t="b">
        <v>1</v>
      </c>
      <c r="AC2886" t="b">
        <v>0</v>
      </c>
      <c r="AE2886" t="s">
        <v>7080</v>
      </c>
    </row>
    <row r="2887" spans="1:31" x14ac:dyDescent="0.3">
      <c r="A2887">
        <v>-73.972926530050003</v>
      </c>
      <c r="B2887">
        <v>40.774176829159998</v>
      </c>
      <c r="C2887" t="s">
        <v>7081</v>
      </c>
      <c r="D2887" t="s">
        <v>2255</v>
      </c>
      <c r="E2887" t="s">
        <v>38</v>
      </c>
      <c r="F2887">
        <v>10082018</v>
      </c>
      <c r="G2887">
        <v>2</v>
      </c>
      <c r="H2887" t="s">
        <v>48</v>
      </c>
      <c r="I2887" t="s">
        <v>53</v>
      </c>
      <c r="J2887" t="s">
        <v>59</v>
      </c>
      <c r="K2887" t="s">
        <v>60</v>
      </c>
      <c r="M2887" t="s">
        <v>65</v>
      </c>
      <c r="N2887" t="b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V2887" t="b">
        <v>0</v>
      </c>
      <c r="W2887" t="b">
        <v>0</v>
      </c>
      <c r="X2887" t="b">
        <v>0</v>
      </c>
      <c r="Y2887" t="b">
        <v>0</v>
      </c>
      <c r="Z2887" t="b">
        <v>0</v>
      </c>
      <c r="AA2887" t="b">
        <v>0</v>
      </c>
      <c r="AB2887" t="b">
        <v>0</v>
      </c>
      <c r="AC2887" t="b">
        <v>1</v>
      </c>
      <c r="AE2887" t="s">
        <v>7082</v>
      </c>
    </row>
    <row r="2888" spans="1:31" x14ac:dyDescent="0.3">
      <c r="A2888">
        <v>-73.964593167559997</v>
      </c>
      <c r="B2888">
        <v>40.778037489010003</v>
      </c>
      <c r="C2888" t="s">
        <v>7083</v>
      </c>
      <c r="D2888" t="s">
        <v>1810</v>
      </c>
      <c r="E2888" t="s">
        <v>33</v>
      </c>
      <c r="F2888">
        <v>10142018</v>
      </c>
      <c r="G2888">
        <v>2</v>
      </c>
      <c r="H2888" t="s">
        <v>48</v>
      </c>
      <c r="I2888" t="s">
        <v>42</v>
      </c>
      <c r="J2888" t="s">
        <v>59</v>
      </c>
      <c r="K2888" t="s">
        <v>79</v>
      </c>
      <c r="M2888" t="s">
        <v>65</v>
      </c>
      <c r="N2888" t="b">
        <v>0</v>
      </c>
      <c r="P2888" t="b">
        <v>0</v>
      </c>
      <c r="Q2888" t="b">
        <v>0</v>
      </c>
      <c r="R2888" t="b">
        <v>0</v>
      </c>
      <c r="S2888" t="b">
        <v>0</v>
      </c>
      <c r="T2888" t="b">
        <v>1</v>
      </c>
      <c r="V2888" t="b">
        <v>0</v>
      </c>
      <c r="W2888" t="b">
        <v>0</v>
      </c>
      <c r="X2888" t="b">
        <v>0</v>
      </c>
      <c r="Y2888" t="b">
        <v>0</v>
      </c>
      <c r="Z2888" t="b">
        <v>0</v>
      </c>
      <c r="AA2888" t="b">
        <v>0</v>
      </c>
      <c r="AB2888" t="b">
        <v>1</v>
      </c>
      <c r="AC2888" t="b">
        <v>0</v>
      </c>
      <c r="AE2888" t="s">
        <v>7084</v>
      </c>
    </row>
    <row r="2889" spans="1:31" x14ac:dyDescent="0.3">
      <c r="A2889">
        <v>-73.955258162769994</v>
      </c>
      <c r="B2889">
        <v>40.79581476736</v>
      </c>
      <c r="C2889" t="s">
        <v>7085</v>
      </c>
      <c r="D2889" t="s">
        <v>3964</v>
      </c>
      <c r="E2889" t="s">
        <v>38</v>
      </c>
      <c r="F2889">
        <v>10182018</v>
      </c>
      <c r="G2889">
        <v>1</v>
      </c>
      <c r="H2889" t="s">
        <v>48</v>
      </c>
      <c r="I2889" t="s">
        <v>42</v>
      </c>
      <c r="J2889" t="s">
        <v>53</v>
      </c>
      <c r="K2889" t="s">
        <v>54</v>
      </c>
      <c r="M2889" t="s">
        <v>65</v>
      </c>
      <c r="N2889" t="b">
        <v>0</v>
      </c>
      <c r="P2889" t="b">
        <v>0</v>
      </c>
      <c r="Q2889" t="b">
        <v>0</v>
      </c>
      <c r="R2889" t="b">
        <v>0</v>
      </c>
      <c r="S2889" t="b">
        <v>0</v>
      </c>
      <c r="T2889" t="b">
        <v>0</v>
      </c>
      <c r="U2889" t="s">
        <v>7086</v>
      </c>
      <c r="V2889" t="b">
        <v>0</v>
      </c>
      <c r="W2889" t="b">
        <v>0</v>
      </c>
      <c r="X2889" t="b">
        <v>0</v>
      </c>
      <c r="Y2889" t="b">
        <v>0</v>
      </c>
      <c r="Z2889" t="b">
        <v>0</v>
      </c>
      <c r="AA2889" t="b">
        <v>0</v>
      </c>
      <c r="AB2889" t="b">
        <v>0</v>
      </c>
      <c r="AC2889" t="b">
        <v>1</v>
      </c>
      <c r="AE2889" t="s">
        <v>7087</v>
      </c>
    </row>
    <row r="2890" spans="1:31" x14ac:dyDescent="0.3">
      <c r="A2890">
        <v>-73.977164683530006</v>
      </c>
      <c r="B2890">
        <v>40.769304916510002</v>
      </c>
      <c r="C2890" t="s">
        <v>5335</v>
      </c>
      <c r="D2890" t="s">
        <v>1581</v>
      </c>
      <c r="E2890" t="s">
        <v>33</v>
      </c>
      <c r="F2890">
        <v>10102018</v>
      </c>
      <c r="G2890">
        <v>5</v>
      </c>
      <c r="H2890" t="s">
        <v>48</v>
      </c>
      <c r="I2890" t="s">
        <v>42</v>
      </c>
      <c r="J2890" t="s">
        <v>53</v>
      </c>
      <c r="K2890" t="s">
        <v>54</v>
      </c>
      <c r="M2890" t="s">
        <v>65</v>
      </c>
      <c r="N2890" t="b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V2890" t="b">
        <v>0</v>
      </c>
      <c r="W2890" t="b">
        <v>0</v>
      </c>
      <c r="X2890" t="b">
        <v>0</v>
      </c>
      <c r="Y2890" t="b">
        <v>0</v>
      </c>
      <c r="Z2890" t="b">
        <v>0</v>
      </c>
      <c r="AA2890" t="b">
        <v>0</v>
      </c>
      <c r="AB2890" t="b">
        <v>0</v>
      </c>
      <c r="AC2890" t="b">
        <v>0</v>
      </c>
      <c r="AE2890" t="s">
        <v>7088</v>
      </c>
    </row>
    <row r="2891" spans="1:31" x14ac:dyDescent="0.3">
      <c r="A2891">
        <v>-73.972623608340001</v>
      </c>
      <c r="B2891">
        <v>40.77882177715</v>
      </c>
      <c r="C2891" t="s">
        <v>7089</v>
      </c>
      <c r="D2891" t="s">
        <v>1138</v>
      </c>
      <c r="E2891" t="s">
        <v>33</v>
      </c>
      <c r="F2891">
        <v>10172018</v>
      </c>
      <c r="G2891">
        <v>3</v>
      </c>
      <c r="H2891" t="s">
        <v>48</v>
      </c>
      <c r="I2891" t="s">
        <v>42</v>
      </c>
      <c r="J2891" t="s">
        <v>59</v>
      </c>
      <c r="K2891" t="s">
        <v>79</v>
      </c>
      <c r="M2891" t="s">
        <v>65</v>
      </c>
      <c r="N2891" t="b">
        <v>0</v>
      </c>
      <c r="O2891" t="s">
        <v>7090</v>
      </c>
      <c r="P2891" t="b">
        <v>1</v>
      </c>
      <c r="Q2891" t="b">
        <v>0</v>
      </c>
      <c r="R2891" t="b">
        <v>0</v>
      </c>
      <c r="S2891" t="b">
        <v>0</v>
      </c>
      <c r="T2891" t="b">
        <v>1</v>
      </c>
      <c r="V2891" t="b">
        <v>0</v>
      </c>
      <c r="W2891" t="b">
        <v>0</v>
      </c>
      <c r="X2891" t="b">
        <v>0</v>
      </c>
      <c r="Y2891" t="b">
        <v>0</v>
      </c>
      <c r="Z2891" t="b">
        <v>0</v>
      </c>
      <c r="AA2891" t="b">
        <v>0</v>
      </c>
      <c r="AB2891" t="b">
        <v>1</v>
      </c>
      <c r="AC2891" t="b">
        <v>0</v>
      </c>
      <c r="AE2891" t="s">
        <v>7091</v>
      </c>
    </row>
    <row r="2892" spans="1:31" x14ac:dyDescent="0.3">
      <c r="A2892">
        <v>-73.963648255690003</v>
      </c>
      <c r="B2892">
        <v>40.777583157019997</v>
      </c>
      <c r="C2892" t="s">
        <v>7092</v>
      </c>
      <c r="D2892" t="s">
        <v>1141</v>
      </c>
      <c r="E2892" t="s">
        <v>33</v>
      </c>
      <c r="F2892">
        <v>10072018</v>
      </c>
      <c r="G2892">
        <v>5</v>
      </c>
      <c r="H2892" t="s">
        <v>105</v>
      </c>
      <c r="I2892" t="s">
        <v>53</v>
      </c>
      <c r="J2892" t="s">
        <v>5105</v>
      </c>
      <c r="K2892" t="s">
        <v>5106</v>
      </c>
      <c r="M2892" t="s">
        <v>65</v>
      </c>
      <c r="N2892" t="b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1</v>
      </c>
      <c r="U2892" t="s">
        <v>7093</v>
      </c>
      <c r="V2892" t="b">
        <v>0</v>
      </c>
      <c r="W2892" t="b">
        <v>0</v>
      </c>
      <c r="X2892" t="b">
        <v>0</v>
      </c>
      <c r="Y2892" t="b">
        <v>0</v>
      </c>
      <c r="Z2892" t="b">
        <v>0</v>
      </c>
      <c r="AA2892" t="b">
        <v>0</v>
      </c>
      <c r="AB2892" t="b">
        <v>1</v>
      </c>
      <c r="AC2892" t="b">
        <v>0</v>
      </c>
      <c r="AE2892" t="s">
        <v>7094</v>
      </c>
    </row>
    <row r="2893" spans="1:31" x14ac:dyDescent="0.3">
      <c r="A2893">
        <v>-73.968807076079997</v>
      </c>
      <c r="B2893">
        <v>40.777968829419997</v>
      </c>
      <c r="C2893" t="s">
        <v>7095</v>
      </c>
      <c r="D2893" t="s">
        <v>256</v>
      </c>
      <c r="E2893" t="s">
        <v>38</v>
      </c>
      <c r="F2893">
        <v>10142018</v>
      </c>
      <c r="G2893">
        <v>6</v>
      </c>
      <c r="H2893" t="s">
        <v>48</v>
      </c>
      <c r="I2893" t="s">
        <v>42</v>
      </c>
      <c r="J2893" t="s">
        <v>53</v>
      </c>
      <c r="K2893" t="s">
        <v>54</v>
      </c>
      <c r="M2893" t="s">
        <v>65</v>
      </c>
      <c r="N2893" t="b">
        <v>0</v>
      </c>
      <c r="P2893" t="b">
        <v>0</v>
      </c>
      <c r="Q2893" t="b">
        <v>0</v>
      </c>
      <c r="R2893" t="b">
        <v>1</v>
      </c>
      <c r="S2893" t="b">
        <v>0</v>
      </c>
      <c r="T2893" t="b">
        <v>1</v>
      </c>
      <c r="V2893" t="b">
        <v>0</v>
      </c>
      <c r="W2893" t="b">
        <v>0</v>
      </c>
      <c r="X2893" t="b">
        <v>0</v>
      </c>
      <c r="Y2893" t="b">
        <v>0</v>
      </c>
      <c r="Z2893" t="b">
        <v>0</v>
      </c>
      <c r="AA2893" t="b">
        <v>0</v>
      </c>
      <c r="AB2893" t="b">
        <v>0</v>
      </c>
      <c r="AC2893" t="b">
        <v>1</v>
      </c>
      <c r="AE2893" t="s">
        <v>7096</v>
      </c>
    </row>
    <row r="2894" spans="1:31" x14ac:dyDescent="0.3">
      <c r="A2894">
        <v>-73.979310148270002</v>
      </c>
      <c r="B2894">
        <v>40.769260023850002</v>
      </c>
      <c r="C2894" t="s">
        <v>7097</v>
      </c>
      <c r="D2894" t="s">
        <v>455</v>
      </c>
      <c r="E2894" t="s">
        <v>33</v>
      </c>
      <c r="F2894">
        <v>10072018</v>
      </c>
      <c r="G2894">
        <v>2</v>
      </c>
      <c r="H2894" t="s">
        <v>48</v>
      </c>
      <c r="I2894" t="s">
        <v>42</v>
      </c>
      <c r="K2894" t="s">
        <v>43</v>
      </c>
      <c r="M2894" t="s">
        <v>44</v>
      </c>
      <c r="N2894">
        <v>10</v>
      </c>
      <c r="O2894" t="s">
        <v>456</v>
      </c>
      <c r="P2894" t="b">
        <v>0</v>
      </c>
      <c r="Q2894" t="b">
        <v>0</v>
      </c>
      <c r="R2894" t="b">
        <v>0</v>
      </c>
      <c r="S2894" t="b">
        <v>0</v>
      </c>
      <c r="T2894" t="b">
        <v>0</v>
      </c>
      <c r="U2894" t="s">
        <v>1216</v>
      </c>
      <c r="V2894" t="b">
        <v>0</v>
      </c>
      <c r="W2894" t="b">
        <v>0</v>
      </c>
      <c r="X2894" t="b">
        <v>0</v>
      </c>
      <c r="Y2894" t="b">
        <v>0</v>
      </c>
      <c r="Z2894" t="b">
        <v>0</v>
      </c>
      <c r="AA2894" t="b">
        <v>0</v>
      </c>
      <c r="AB2894" t="b">
        <v>0</v>
      </c>
      <c r="AC2894" t="b">
        <v>0</v>
      </c>
      <c r="AE2894" t="s">
        <v>7098</v>
      </c>
    </row>
    <row r="2895" spans="1:31" x14ac:dyDescent="0.3">
      <c r="A2895">
        <v>-73.979734151559995</v>
      </c>
      <c r="B2895">
        <v>40.768215021469999</v>
      </c>
      <c r="C2895" t="s">
        <v>7099</v>
      </c>
      <c r="D2895" t="s">
        <v>204</v>
      </c>
      <c r="E2895" t="s">
        <v>38</v>
      </c>
      <c r="F2895">
        <v>10102018</v>
      </c>
      <c r="G2895">
        <v>6</v>
      </c>
      <c r="H2895" t="s">
        <v>48</v>
      </c>
      <c r="I2895" t="s">
        <v>42</v>
      </c>
      <c r="K2895" t="s">
        <v>43</v>
      </c>
      <c r="M2895" t="s">
        <v>65</v>
      </c>
      <c r="N2895" t="b">
        <v>0</v>
      </c>
      <c r="P2895" t="b">
        <v>0</v>
      </c>
      <c r="Q2895" t="b">
        <v>0</v>
      </c>
      <c r="R2895" t="b">
        <v>0</v>
      </c>
      <c r="S2895" t="b">
        <v>0</v>
      </c>
      <c r="T2895" t="b">
        <v>1</v>
      </c>
      <c r="V2895" t="b">
        <v>0</v>
      </c>
      <c r="W2895" t="b">
        <v>0</v>
      </c>
      <c r="X2895" t="b">
        <v>0</v>
      </c>
      <c r="Y2895" t="b">
        <v>0</v>
      </c>
      <c r="Z2895" t="b">
        <v>0</v>
      </c>
      <c r="AA2895" t="b">
        <v>0</v>
      </c>
      <c r="AB2895" t="b">
        <v>1</v>
      </c>
      <c r="AC2895" t="b">
        <v>0</v>
      </c>
      <c r="AE2895" t="s">
        <v>7100</v>
      </c>
    </row>
    <row r="2896" spans="1:31" x14ac:dyDescent="0.3">
      <c r="A2896">
        <v>-73.974787389970004</v>
      </c>
      <c r="B2896">
        <v>40.77319452583</v>
      </c>
      <c r="C2896" t="s">
        <v>7101</v>
      </c>
      <c r="D2896" t="s">
        <v>1401</v>
      </c>
      <c r="E2896" t="s">
        <v>33</v>
      </c>
      <c r="F2896">
        <v>10062018</v>
      </c>
      <c r="G2896">
        <v>4</v>
      </c>
      <c r="H2896" t="s">
        <v>48</v>
      </c>
      <c r="I2896" t="s">
        <v>53</v>
      </c>
      <c r="J2896" t="s">
        <v>115</v>
      </c>
      <c r="K2896" t="s">
        <v>116</v>
      </c>
      <c r="M2896" t="s">
        <v>65</v>
      </c>
      <c r="N2896" t="b">
        <v>0</v>
      </c>
      <c r="P2896" t="b">
        <v>0</v>
      </c>
      <c r="Q2896" t="b">
        <v>0</v>
      </c>
      <c r="R2896" t="b">
        <v>1</v>
      </c>
      <c r="S2896" t="b">
        <v>0</v>
      </c>
      <c r="T2896" t="b">
        <v>0</v>
      </c>
      <c r="V2896" t="b">
        <v>0</v>
      </c>
      <c r="W2896" t="b">
        <v>0</v>
      </c>
      <c r="X2896" t="b">
        <v>0</v>
      </c>
      <c r="Y2896" t="b">
        <v>0</v>
      </c>
      <c r="Z2896" t="b">
        <v>0</v>
      </c>
      <c r="AA2896" t="b">
        <v>0</v>
      </c>
      <c r="AB2896" t="b">
        <v>0</v>
      </c>
      <c r="AC2896" t="b">
        <v>0</v>
      </c>
      <c r="AE2896" t="s">
        <v>7102</v>
      </c>
    </row>
    <row r="2897" spans="1:31" x14ac:dyDescent="0.3">
      <c r="A2897">
        <v>-73.97059586025</v>
      </c>
      <c r="B2897">
        <v>40.783206075130003</v>
      </c>
      <c r="C2897" t="s">
        <v>7103</v>
      </c>
      <c r="D2897" t="s">
        <v>943</v>
      </c>
      <c r="E2897" t="s">
        <v>38</v>
      </c>
      <c r="F2897">
        <v>10102018</v>
      </c>
      <c r="G2897">
        <v>1</v>
      </c>
      <c r="H2897" t="s">
        <v>48</v>
      </c>
      <c r="I2897" t="s">
        <v>42</v>
      </c>
      <c r="J2897" t="s">
        <v>53</v>
      </c>
      <c r="K2897" t="s">
        <v>54</v>
      </c>
      <c r="M2897" t="s">
        <v>44</v>
      </c>
      <c r="N2897">
        <v>10</v>
      </c>
      <c r="P2897" t="b">
        <v>0</v>
      </c>
      <c r="Q2897" t="b">
        <v>0</v>
      </c>
      <c r="R2897" t="b">
        <v>1</v>
      </c>
      <c r="S2897" t="b">
        <v>0</v>
      </c>
      <c r="T2897" t="b">
        <v>0</v>
      </c>
      <c r="V2897" t="b">
        <v>0</v>
      </c>
      <c r="W2897" t="b">
        <v>0</v>
      </c>
      <c r="X2897" t="b">
        <v>0</v>
      </c>
      <c r="Y2897" t="b">
        <v>0</v>
      </c>
      <c r="Z2897" t="b">
        <v>1</v>
      </c>
      <c r="AA2897" t="b">
        <v>0</v>
      </c>
      <c r="AB2897" t="b">
        <v>1</v>
      </c>
      <c r="AC2897" t="b">
        <v>0</v>
      </c>
      <c r="AE2897" t="s">
        <v>7104</v>
      </c>
    </row>
    <row r="2898" spans="1:31" x14ac:dyDescent="0.3">
      <c r="A2898">
        <v>-73.968955445860004</v>
      </c>
      <c r="B2898">
        <v>40.777859339400003</v>
      </c>
      <c r="C2898" t="s">
        <v>7105</v>
      </c>
      <c r="D2898" t="s">
        <v>256</v>
      </c>
      <c r="E2898" t="s">
        <v>33</v>
      </c>
      <c r="F2898">
        <v>10182018</v>
      </c>
      <c r="G2898">
        <v>10</v>
      </c>
      <c r="H2898" t="s">
        <v>48</v>
      </c>
      <c r="I2898" t="s">
        <v>53</v>
      </c>
      <c r="J2898" t="s">
        <v>59</v>
      </c>
      <c r="K2898" t="s">
        <v>60</v>
      </c>
      <c r="M2898" t="s">
        <v>65</v>
      </c>
      <c r="N2898" t="b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V2898" t="b">
        <v>0</v>
      </c>
      <c r="W2898" t="b">
        <v>0</v>
      </c>
      <c r="X2898" t="b">
        <v>0</v>
      </c>
      <c r="Y2898" t="b">
        <v>0</v>
      </c>
      <c r="Z2898" t="b">
        <v>0</v>
      </c>
      <c r="AA2898" t="b">
        <v>0</v>
      </c>
      <c r="AB2898" t="b">
        <v>1</v>
      </c>
      <c r="AC2898" t="b">
        <v>0</v>
      </c>
      <c r="AE2898" t="s">
        <v>7106</v>
      </c>
    </row>
    <row r="2899" spans="1:31" x14ac:dyDescent="0.3">
      <c r="A2899">
        <v>-73.979411823470002</v>
      </c>
      <c r="B2899">
        <v>40.767449554060001</v>
      </c>
      <c r="C2899" t="s">
        <v>7107</v>
      </c>
      <c r="D2899" t="s">
        <v>1301</v>
      </c>
      <c r="E2899" t="s">
        <v>38</v>
      </c>
      <c r="F2899">
        <v>10122018</v>
      </c>
      <c r="G2899">
        <v>2</v>
      </c>
      <c r="H2899" t="s">
        <v>48</v>
      </c>
      <c r="I2899" t="s">
        <v>42</v>
      </c>
      <c r="J2899" t="s">
        <v>96</v>
      </c>
      <c r="K2899" t="s">
        <v>97</v>
      </c>
      <c r="L2899" t="s">
        <v>5957</v>
      </c>
      <c r="M2899" t="s">
        <v>65</v>
      </c>
      <c r="N2899" t="b">
        <v>0</v>
      </c>
      <c r="P2899" t="b">
        <v>0</v>
      </c>
      <c r="Q2899" t="b">
        <v>0</v>
      </c>
      <c r="R2899" t="b">
        <v>1</v>
      </c>
      <c r="S2899" t="b">
        <v>0</v>
      </c>
      <c r="T2899" t="b">
        <v>0</v>
      </c>
      <c r="V2899" t="b">
        <v>0</v>
      </c>
      <c r="W2899" t="b">
        <v>0</v>
      </c>
      <c r="X2899" t="b">
        <v>0</v>
      </c>
      <c r="Y2899" t="b">
        <v>0</v>
      </c>
      <c r="Z2899" t="b">
        <v>1</v>
      </c>
      <c r="AA2899" t="b">
        <v>0</v>
      </c>
      <c r="AB2899" t="b">
        <v>0</v>
      </c>
      <c r="AC2899" t="b">
        <v>1</v>
      </c>
      <c r="AE2899" t="s">
        <v>7108</v>
      </c>
    </row>
    <row r="2900" spans="1:31" x14ac:dyDescent="0.3">
      <c r="A2900">
        <v>-73.968635812949998</v>
      </c>
      <c r="B2900">
        <v>40.777803551650003</v>
      </c>
      <c r="C2900" t="s">
        <v>7109</v>
      </c>
      <c r="D2900" t="s">
        <v>256</v>
      </c>
      <c r="E2900" t="s">
        <v>38</v>
      </c>
      <c r="F2900">
        <v>10142018</v>
      </c>
      <c r="G2900">
        <v>5</v>
      </c>
      <c r="H2900" t="s">
        <v>48</v>
      </c>
      <c r="I2900" t="s">
        <v>42</v>
      </c>
      <c r="J2900" t="s">
        <v>53</v>
      </c>
      <c r="K2900" t="s">
        <v>54</v>
      </c>
      <c r="M2900" t="s">
        <v>65</v>
      </c>
      <c r="N2900" t="b">
        <v>0</v>
      </c>
      <c r="P2900" t="b">
        <v>1</v>
      </c>
      <c r="Q2900" t="b">
        <v>1</v>
      </c>
      <c r="R2900" t="b">
        <v>0</v>
      </c>
      <c r="S2900" t="b">
        <v>0</v>
      </c>
      <c r="T2900" t="b">
        <v>0</v>
      </c>
      <c r="V2900" t="b">
        <v>0</v>
      </c>
      <c r="W2900" t="b">
        <v>0</v>
      </c>
      <c r="X2900" t="b">
        <v>0</v>
      </c>
      <c r="Y2900" t="b">
        <v>0</v>
      </c>
      <c r="Z2900" t="b">
        <v>0</v>
      </c>
      <c r="AA2900" t="b">
        <v>0</v>
      </c>
      <c r="AB2900" t="b">
        <v>0</v>
      </c>
      <c r="AC2900" t="b">
        <v>0</v>
      </c>
      <c r="AE2900" t="s">
        <v>7110</v>
      </c>
    </row>
    <row r="2901" spans="1:31" x14ac:dyDescent="0.3">
      <c r="A2901">
        <v>-73.96310054704</v>
      </c>
      <c r="B2901">
        <v>40.788549405719998</v>
      </c>
      <c r="C2901" t="s">
        <v>7111</v>
      </c>
      <c r="D2901" t="s">
        <v>1049</v>
      </c>
      <c r="E2901" t="s">
        <v>38</v>
      </c>
      <c r="F2901">
        <v>10122018</v>
      </c>
      <c r="G2901">
        <v>1</v>
      </c>
      <c r="H2901" t="s">
        <v>48</v>
      </c>
      <c r="I2901" t="s">
        <v>53</v>
      </c>
      <c r="J2901" t="s">
        <v>59</v>
      </c>
      <c r="K2901" t="s">
        <v>60</v>
      </c>
      <c r="M2901" t="s">
        <v>65</v>
      </c>
      <c r="N2901" t="b">
        <v>0</v>
      </c>
      <c r="P2901" t="b">
        <v>1</v>
      </c>
      <c r="Q2901" t="b">
        <v>0</v>
      </c>
      <c r="R2901" t="b">
        <v>0</v>
      </c>
      <c r="S2901" t="b">
        <v>0</v>
      </c>
      <c r="T2901" t="b">
        <v>1</v>
      </c>
      <c r="V2901" t="b">
        <v>0</v>
      </c>
      <c r="W2901" t="b">
        <v>0</v>
      </c>
      <c r="X2901" t="b">
        <v>0</v>
      </c>
      <c r="Y2901" t="b">
        <v>0</v>
      </c>
      <c r="Z2901" t="b">
        <v>1</v>
      </c>
      <c r="AA2901" t="b">
        <v>0</v>
      </c>
      <c r="AB2901" t="b">
        <v>0</v>
      </c>
      <c r="AC2901" t="b">
        <v>0</v>
      </c>
      <c r="AE2901" t="s">
        <v>7112</v>
      </c>
    </row>
    <row r="2902" spans="1:31" x14ac:dyDescent="0.3">
      <c r="A2902">
        <v>-73.973583310419997</v>
      </c>
      <c r="B2902">
        <v>40.77863180416</v>
      </c>
      <c r="C2902" t="s">
        <v>7113</v>
      </c>
      <c r="D2902" t="s">
        <v>785</v>
      </c>
      <c r="E2902" t="s">
        <v>33</v>
      </c>
      <c r="F2902">
        <v>10142018</v>
      </c>
      <c r="G2902">
        <v>8</v>
      </c>
      <c r="H2902" t="s">
        <v>48</v>
      </c>
      <c r="I2902" t="s">
        <v>42</v>
      </c>
      <c r="J2902" t="s">
        <v>96</v>
      </c>
      <c r="K2902" t="s">
        <v>97</v>
      </c>
      <c r="M2902" t="s">
        <v>65</v>
      </c>
      <c r="N2902" t="b">
        <v>0</v>
      </c>
      <c r="P2902" t="b">
        <v>0</v>
      </c>
      <c r="Q2902" t="b">
        <v>0</v>
      </c>
      <c r="R2902" t="b">
        <v>0</v>
      </c>
      <c r="S2902" t="b">
        <v>0</v>
      </c>
      <c r="T2902" t="b">
        <v>1</v>
      </c>
      <c r="U2902" t="s">
        <v>7114</v>
      </c>
      <c r="V2902" t="b">
        <v>0</v>
      </c>
      <c r="W2902" t="b">
        <v>0</v>
      </c>
      <c r="X2902" t="b">
        <v>0</v>
      </c>
      <c r="Y2902" t="b">
        <v>0</v>
      </c>
      <c r="Z2902" t="b">
        <v>0</v>
      </c>
      <c r="AA2902" t="b">
        <v>0</v>
      </c>
      <c r="AB2902" t="b">
        <v>0</v>
      </c>
      <c r="AC2902" t="b">
        <v>1</v>
      </c>
      <c r="AE2902" t="s">
        <v>7115</v>
      </c>
    </row>
    <row r="2903" spans="1:31" x14ac:dyDescent="0.3">
      <c r="A2903">
        <v>-73.967322050440004</v>
      </c>
      <c r="B2903">
        <v>40.777029634599998</v>
      </c>
      <c r="C2903" t="s">
        <v>7116</v>
      </c>
      <c r="D2903" t="s">
        <v>311</v>
      </c>
      <c r="E2903" t="s">
        <v>33</v>
      </c>
      <c r="F2903">
        <v>10192018</v>
      </c>
      <c r="G2903">
        <v>4</v>
      </c>
      <c r="H2903" t="s">
        <v>48</v>
      </c>
      <c r="I2903" t="s">
        <v>42</v>
      </c>
      <c r="K2903" t="s">
        <v>43</v>
      </c>
      <c r="M2903" t="s">
        <v>65</v>
      </c>
      <c r="N2903" t="b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1</v>
      </c>
      <c r="V2903" t="b">
        <v>0</v>
      </c>
      <c r="W2903" t="b">
        <v>0</v>
      </c>
      <c r="X2903" t="b">
        <v>0</v>
      </c>
      <c r="Y2903" t="b">
        <v>0</v>
      </c>
      <c r="Z2903" t="b">
        <v>0</v>
      </c>
      <c r="AA2903" t="b">
        <v>0</v>
      </c>
      <c r="AB2903" t="b">
        <v>0</v>
      </c>
      <c r="AC2903" t="b">
        <v>0</v>
      </c>
      <c r="AE2903" t="s">
        <v>7117</v>
      </c>
    </row>
    <row r="2904" spans="1:31" x14ac:dyDescent="0.3">
      <c r="A2904">
        <v>-73.967043210599996</v>
      </c>
      <c r="B2904">
        <v>40.775346201349997</v>
      </c>
      <c r="C2904" t="s">
        <v>7118</v>
      </c>
      <c r="D2904" t="s">
        <v>1320</v>
      </c>
      <c r="E2904" t="s">
        <v>33</v>
      </c>
      <c r="F2904">
        <v>10122018</v>
      </c>
      <c r="G2904">
        <v>3</v>
      </c>
      <c r="H2904" t="s">
        <v>48</v>
      </c>
      <c r="I2904" t="s">
        <v>42</v>
      </c>
      <c r="J2904" t="s">
        <v>96</v>
      </c>
      <c r="K2904" t="s">
        <v>97</v>
      </c>
      <c r="M2904" t="s">
        <v>44</v>
      </c>
      <c r="N2904">
        <v>20</v>
      </c>
      <c r="P2904" t="b">
        <v>1</v>
      </c>
      <c r="Q2904" t="b">
        <v>0</v>
      </c>
      <c r="R2904" t="b">
        <v>0</v>
      </c>
      <c r="S2904" t="b">
        <v>1</v>
      </c>
      <c r="T2904" t="b">
        <v>1</v>
      </c>
      <c r="V2904" t="b">
        <v>0</v>
      </c>
      <c r="W2904" t="b">
        <v>0</v>
      </c>
      <c r="X2904" t="b">
        <v>0</v>
      </c>
      <c r="Y2904" t="b">
        <v>0</v>
      </c>
      <c r="Z2904" t="b">
        <v>0</v>
      </c>
      <c r="AA2904" t="b">
        <v>0</v>
      </c>
      <c r="AB2904" t="b">
        <v>1</v>
      </c>
      <c r="AC2904" t="b">
        <v>0</v>
      </c>
      <c r="AE2904" t="s">
        <v>7119</v>
      </c>
    </row>
    <row r="2905" spans="1:31" x14ac:dyDescent="0.3">
      <c r="A2905">
        <v>-73.972038975670003</v>
      </c>
      <c r="B2905">
        <v>40.776352409200001</v>
      </c>
      <c r="C2905" t="s">
        <v>7120</v>
      </c>
      <c r="D2905" t="s">
        <v>604</v>
      </c>
      <c r="E2905" t="s">
        <v>33</v>
      </c>
      <c r="F2905">
        <v>10192018</v>
      </c>
      <c r="G2905">
        <v>2</v>
      </c>
      <c r="H2905" t="s">
        <v>48</v>
      </c>
      <c r="I2905" t="s">
        <v>42</v>
      </c>
      <c r="K2905" t="s">
        <v>43</v>
      </c>
      <c r="M2905" t="s">
        <v>65</v>
      </c>
      <c r="N2905" t="b">
        <v>0</v>
      </c>
      <c r="P2905" t="b">
        <v>1</v>
      </c>
      <c r="Q2905" t="b">
        <v>0</v>
      </c>
      <c r="R2905" t="b">
        <v>0</v>
      </c>
      <c r="S2905" t="b">
        <v>0</v>
      </c>
      <c r="T2905" t="b">
        <v>0</v>
      </c>
      <c r="V2905" t="b">
        <v>0</v>
      </c>
      <c r="W2905" t="b">
        <v>0</v>
      </c>
      <c r="X2905" t="b">
        <v>0</v>
      </c>
      <c r="Y2905" t="b">
        <v>0</v>
      </c>
      <c r="Z2905" t="b">
        <v>1</v>
      </c>
      <c r="AA2905" t="b">
        <v>0</v>
      </c>
      <c r="AB2905" t="b">
        <v>1</v>
      </c>
      <c r="AC2905" t="b">
        <v>0</v>
      </c>
      <c r="AE2905" t="s">
        <v>7121</v>
      </c>
    </row>
    <row r="2906" spans="1:31" x14ac:dyDescent="0.3">
      <c r="A2906">
        <v>-73.978487272820004</v>
      </c>
      <c r="B2906">
        <v>40.76881226039</v>
      </c>
      <c r="C2906" t="s">
        <v>7122</v>
      </c>
      <c r="D2906" t="s">
        <v>827</v>
      </c>
      <c r="E2906" t="s">
        <v>38</v>
      </c>
      <c r="F2906">
        <v>10072018</v>
      </c>
      <c r="G2906">
        <v>1</v>
      </c>
      <c r="H2906" t="s">
        <v>48</v>
      </c>
      <c r="I2906" t="s">
        <v>42</v>
      </c>
      <c r="J2906" t="s">
        <v>96</v>
      </c>
      <c r="K2906" t="s">
        <v>97</v>
      </c>
      <c r="M2906" t="s">
        <v>65</v>
      </c>
      <c r="N2906" t="b">
        <v>0</v>
      </c>
      <c r="P2906" t="b">
        <v>1</v>
      </c>
      <c r="Q2906" t="b">
        <v>0</v>
      </c>
      <c r="R2906" t="b">
        <v>0</v>
      </c>
      <c r="S2906" t="b">
        <v>0</v>
      </c>
      <c r="T2906" t="b">
        <v>0</v>
      </c>
      <c r="V2906" t="b">
        <v>0</v>
      </c>
      <c r="W2906" t="b">
        <v>0</v>
      </c>
      <c r="X2906" t="b">
        <v>0</v>
      </c>
      <c r="Y2906" t="b">
        <v>0</v>
      </c>
      <c r="Z2906" t="b">
        <v>0</v>
      </c>
      <c r="AA2906" t="b">
        <v>0</v>
      </c>
      <c r="AB2906" t="b">
        <v>1</v>
      </c>
      <c r="AC2906" t="b">
        <v>0</v>
      </c>
      <c r="AE2906" t="s">
        <v>7123</v>
      </c>
    </row>
    <row r="2907" spans="1:31" x14ac:dyDescent="0.3">
      <c r="A2907">
        <v>-73.959726001440004</v>
      </c>
      <c r="B2907">
        <v>40.79070742303</v>
      </c>
      <c r="C2907" t="s">
        <v>7124</v>
      </c>
      <c r="D2907" t="s">
        <v>47</v>
      </c>
      <c r="E2907" t="s">
        <v>38</v>
      </c>
      <c r="F2907">
        <v>10072018</v>
      </c>
      <c r="G2907">
        <v>4</v>
      </c>
      <c r="H2907" t="s">
        <v>48</v>
      </c>
      <c r="I2907" t="s">
        <v>42</v>
      </c>
      <c r="J2907" t="s">
        <v>59</v>
      </c>
      <c r="K2907" t="s">
        <v>79</v>
      </c>
      <c r="M2907" t="s">
        <v>65</v>
      </c>
      <c r="N2907" t="b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1</v>
      </c>
      <c r="V2907" t="b">
        <v>0</v>
      </c>
      <c r="W2907" t="b">
        <v>0</v>
      </c>
      <c r="X2907" t="b">
        <v>0</v>
      </c>
      <c r="Y2907" t="b">
        <v>0</v>
      </c>
      <c r="Z2907" t="b">
        <v>0</v>
      </c>
      <c r="AA2907" t="b">
        <v>0</v>
      </c>
      <c r="AB2907" t="b">
        <v>1</v>
      </c>
      <c r="AC2907" t="b">
        <v>0</v>
      </c>
      <c r="AE2907" t="s">
        <v>7125</v>
      </c>
    </row>
    <row r="2908" spans="1:31" x14ac:dyDescent="0.3">
      <c r="A2908">
        <v>-73.968520162689998</v>
      </c>
      <c r="B2908">
        <v>40.783329261230001</v>
      </c>
      <c r="C2908" t="s">
        <v>7126</v>
      </c>
      <c r="D2908" t="s">
        <v>37</v>
      </c>
      <c r="E2908" t="s">
        <v>38</v>
      </c>
      <c r="F2908">
        <v>10192018</v>
      </c>
      <c r="G2908">
        <v>5</v>
      </c>
      <c r="H2908" t="s">
        <v>48</v>
      </c>
      <c r="I2908" t="s">
        <v>42</v>
      </c>
      <c r="K2908" t="s">
        <v>43</v>
      </c>
      <c r="M2908" t="s">
        <v>65</v>
      </c>
      <c r="N2908" t="b">
        <v>0</v>
      </c>
      <c r="P2908" t="b">
        <v>1</v>
      </c>
      <c r="Q2908" t="b">
        <v>0</v>
      </c>
      <c r="R2908" t="b">
        <v>0</v>
      </c>
      <c r="S2908" t="b">
        <v>0</v>
      </c>
      <c r="T2908" t="b">
        <v>1</v>
      </c>
      <c r="V2908" t="b">
        <v>0</v>
      </c>
      <c r="W2908" t="b">
        <v>0</v>
      </c>
      <c r="X2908" t="b">
        <v>0</v>
      </c>
      <c r="Y2908" t="b">
        <v>0</v>
      </c>
      <c r="Z2908" t="b">
        <v>0</v>
      </c>
      <c r="AA2908" t="b">
        <v>0</v>
      </c>
      <c r="AB2908" t="b">
        <v>1</v>
      </c>
      <c r="AC2908" t="b">
        <v>0</v>
      </c>
      <c r="AE2908" t="s">
        <v>7127</v>
      </c>
    </row>
    <row r="2909" spans="1:31" x14ac:dyDescent="0.3">
      <c r="A2909">
        <v>-73.965428815129997</v>
      </c>
      <c r="B2909">
        <v>40.781595397019998</v>
      </c>
      <c r="C2909" t="s">
        <v>7128</v>
      </c>
      <c r="D2909" t="s">
        <v>1056</v>
      </c>
      <c r="E2909" t="s">
        <v>38</v>
      </c>
      <c r="F2909">
        <v>10172018</v>
      </c>
      <c r="G2909">
        <v>2</v>
      </c>
      <c r="H2909" t="s">
        <v>48</v>
      </c>
      <c r="I2909" t="s">
        <v>42</v>
      </c>
      <c r="K2909" t="s">
        <v>43</v>
      </c>
      <c r="M2909" t="s">
        <v>44</v>
      </c>
      <c r="N2909">
        <v>7</v>
      </c>
      <c r="P2909" t="b">
        <v>0</v>
      </c>
      <c r="Q2909" t="b">
        <v>1</v>
      </c>
      <c r="R2909" t="b">
        <v>0</v>
      </c>
      <c r="S2909" t="b">
        <v>0</v>
      </c>
      <c r="T2909" t="b">
        <v>0</v>
      </c>
      <c r="V2909" t="b">
        <v>0</v>
      </c>
      <c r="W2909" t="b">
        <v>0</v>
      </c>
      <c r="X2909" t="b">
        <v>0</v>
      </c>
      <c r="Y2909" t="b">
        <v>0</v>
      </c>
      <c r="Z2909" t="b">
        <v>0</v>
      </c>
      <c r="AA2909" t="b">
        <v>0</v>
      </c>
      <c r="AB2909" t="b">
        <v>1</v>
      </c>
      <c r="AC2909" t="b">
        <v>0</v>
      </c>
      <c r="AE2909" t="s">
        <v>7129</v>
      </c>
    </row>
    <row r="2910" spans="1:31" x14ac:dyDescent="0.3">
      <c r="A2910">
        <v>-73.956447890939998</v>
      </c>
      <c r="B2910">
        <v>40.797692877540001</v>
      </c>
      <c r="C2910" t="s">
        <v>7130</v>
      </c>
      <c r="D2910" t="s">
        <v>1245</v>
      </c>
      <c r="E2910" t="s">
        <v>33</v>
      </c>
      <c r="F2910">
        <v>10062018</v>
      </c>
      <c r="G2910">
        <v>4</v>
      </c>
      <c r="H2910" t="s">
        <v>48</v>
      </c>
      <c r="I2910" t="s">
        <v>176</v>
      </c>
      <c r="K2910" t="s">
        <v>177</v>
      </c>
      <c r="M2910" t="s">
        <v>65</v>
      </c>
      <c r="N2910" t="b">
        <v>0</v>
      </c>
      <c r="P2910" t="b">
        <v>1</v>
      </c>
      <c r="Q2910" t="b">
        <v>0</v>
      </c>
      <c r="R2910" t="b">
        <v>0</v>
      </c>
      <c r="S2910" t="b">
        <v>0</v>
      </c>
      <c r="T2910" t="b">
        <v>0</v>
      </c>
      <c r="V2910" t="b">
        <v>0</v>
      </c>
      <c r="W2910" t="b">
        <v>0</v>
      </c>
      <c r="X2910" t="b">
        <v>0</v>
      </c>
      <c r="Y2910" t="b">
        <v>0</v>
      </c>
      <c r="Z2910" t="b">
        <v>0</v>
      </c>
      <c r="AA2910" t="b">
        <v>0</v>
      </c>
      <c r="AB2910" t="b">
        <v>0</v>
      </c>
      <c r="AC2910" t="b">
        <v>1</v>
      </c>
      <c r="AE2910" t="s">
        <v>7131</v>
      </c>
    </row>
    <row r="2911" spans="1:31" x14ac:dyDescent="0.3">
      <c r="A2911">
        <v>-73.950606299750007</v>
      </c>
      <c r="B2911">
        <v>40.797618949670003</v>
      </c>
      <c r="C2911" t="s">
        <v>7132</v>
      </c>
      <c r="D2911" t="s">
        <v>677</v>
      </c>
      <c r="E2911" t="s">
        <v>33</v>
      </c>
      <c r="F2911">
        <v>10142018</v>
      </c>
      <c r="G2911">
        <v>3</v>
      </c>
      <c r="H2911" t="s">
        <v>48</v>
      </c>
      <c r="K2911" t="s">
        <v>34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V2911" t="b">
        <v>0</v>
      </c>
      <c r="W2911" t="b">
        <v>0</v>
      </c>
      <c r="X2911" t="b">
        <v>0</v>
      </c>
      <c r="Y2911" t="b">
        <v>0</v>
      </c>
      <c r="Z2911" t="b">
        <v>0</v>
      </c>
      <c r="AA2911" t="b">
        <v>0</v>
      </c>
      <c r="AB2911" t="b">
        <v>0</v>
      </c>
      <c r="AC2911" t="b">
        <v>1</v>
      </c>
      <c r="AE2911" t="s">
        <v>7133</v>
      </c>
    </row>
    <row r="2912" spans="1:31" x14ac:dyDescent="0.3">
      <c r="A2912">
        <v>-73.979392398490006</v>
      </c>
      <c r="B2912">
        <v>40.770847547460001</v>
      </c>
      <c r="C2912" t="s">
        <v>7134</v>
      </c>
      <c r="D2912" t="s">
        <v>327</v>
      </c>
      <c r="E2912" t="s">
        <v>38</v>
      </c>
      <c r="F2912">
        <v>10062018</v>
      </c>
      <c r="G2912">
        <v>1</v>
      </c>
      <c r="H2912" t="s">
        <v>48</v>
      </c>
      <c r="I2912" t="s">
        <v>42</v>
      </c>
      <c r="K2912" t="s">
        <v>43</v>
      </c>
      <c r="M2912" t="s">
        <v>44</v>
      </c>
      <c r="N2912">
        <v>10</v>
      </c>
      <c r="O2912" t="s">
        <v>7135</v>
      </c>
      <c r="P2912" t="b">
        <v>0</v>
      </c>
      <c r="Q2912" t="b">
        <v>0</v>
      </c>
      <c r="R2912" t="b">
        <v>1</v>
      </c>
      <c r="S2912" t="b">
        <v>0</v>
      </c>
      <c r="T2912" t="b">
        <v>0</v>
      </c>
      <c r="V2912" t="b">
        <v>0</v>
      </c>
      <c r="W2912" t="b">
        <v>0</v>
      </c>
      <c r="X2912" t="b">
        <v>0</v>
      </c>
      <c r="Y2912" t="b">
        <v>0</v>
      </c>
      <c r="Z2912" t="b">
        <v>0</v>
      </c>
      <c r="AA2912" t="b">
        <v>0</v>
      </c>
      <c r="AB2912" t="b">
        <v>1</v>
      </c>
      <c r="AC2912" t="b">
        <v>0</v>
      </c>
      <c r="AE2912" t="s">
        <v>7136</v>
      </c>
    </row>
    <row r="2913" spans="1:31" x14ac:dyDescent="0.3">
      <c r="A2913">
        <v>-73.963216473830002</v>
      </c>
      <c r="B2913">
        <v>40.792127012130003</v>
      </c>
      <c r="C2913" t="s">
        <v>7137</v>
      </c>
      <c r="D2913" t="s">
        <v>773</v>
      </c>
      <c r="E2913" t="s">
        <v>33</v>
      </c>
      <c r="F2913">
        <v>10102018</v>
      </c>
      <c r="G2913">
        <v>3</v>
      </c>
      <c r="H2913" t="s">
        <v>48</v>
      </c>
      <c r="I2913" t="s">
        <v>53</v>
      </c>
      <c r="J2913" t="s">
        <v>42</v>
      </c>
      <c r="K2913" t="s">
        <v>89</v>
      </c>
      <c r="M2913" t="s">
        <v>44</v>
      </c>
      <c r="N2913">
        <v>15</v>
      </c>
      <c r="P2913" t="b">
        <v>0</v>
      </c>
      <c r="Q2913" t="b">
        <v>0</v>
      </c>
      <c r="R2913" t="b">
        <v>0</v>
      </c>
      <c r="S2913" t="b">
        <v>1</v>
      </c>
      <c r="T2913" t="b">
        <v>0</v>
      </c>
      <c r="V2913" t="b">
        <v>0</v>
      </c>
      <c r="W2913" t="b">
        <v>0</v>
      </c>
      <c r="X2913" t="b">
        <v>0</v>
      </c>
      <c r="Y2913" t="b">
        <v>0</v>
      </c>
      <c r="Z2913" t="b">
        <v>0</v>
      </c>
      <c r="AA2913" t="b">
        <v>0</v>
      </c>
      <c r="AB2913" t="b">
        <v>0</v>
      </c>
      <c r="AC2913" t="b">
        <v>0</v>
      </c>
      <c r="AE2913" t="s">
        <v>7138</v>
      </c>
    </row>
    <row r="2914" spans="1:31" x14ac:dyDescent="0.3">
      <c r="A2914">
        <v>-73.962129794609993</v>
      </c>
      <c r="B2914">
        <v>40.794405822279998</v>
      </c>
      <c r="C2914" t="s">
        <v>7139</v>
      </c>
      <c r="D2914" t="s">
        <v>2662</v>
      </c>
      <c r="E2914" t="s">
        <v>33</v>
      </c>
      <c r="F2914">
        <v>10132018</v>
      </c>
      <c r="G2914">
        <v>5</v>
      </c>
      <c r="H2914" t="s">
        <v>48</v>
      </c>
      <c r="I2914" t="s">
        <v>53</v>
      </c>
      <c r="J2914" t="s">
        <v>42</v>
      </c>
      <c r="K2914" t="s">
        <v>89</v>
      </c>
      <c r="M2914" t="s">
        <v>44</v>
      </c>
      <c r="N2914">
        <v>4</v>
      </c>
      <c r="P2914" t="b">
        <v>1</v>
      </c>
      <c r="Q2914" t="b">
        <v>0</v>
      </c>
      <c r="R2914" t="b">
        <v>0</v>
      </c>
      <c r="S2914" t="b">
        <v>0</v>
      </c>
      <c r="T2914" t="b">
        <v>0</v>
      </c>
      <c r="V2914" t="b">
        <v>0</v>
      </c>
      <c r="W2914" t="b">
        <v>0</v>
      </c>
      <c r="X2914" t="b">
        <v>0</v>
      </c>
      <c r="Y2914" t="b">
        <v>0</v>
      </c>
      <c r="Z2914" t="b">
        <v>0</v>
      </c>
      <c r="AA2914" t="b">
        <v>0</v>
      </c>
      <c r="AB2914" t="b">
        <v>0</v>
      </c>
      <c r="AC2914" t="b">
        <v>0</v>
      </c>
      <c r="AE2914" t="s">
        <v>7140</v>
      </c>
    </row>
    <row r="2915" spans="1:31" x14ac:dyDescent="0.3">
      <c r="A2915">
        <v>-73.972205335550001</v>
      </c>
      <c r="B2915">
        <v>40.766209499360002</v>
      </c>
      <c r="C2915" t="s">
        <v>7141</v>
      </c>
      <c r="D2915" t="s">
        <v>985</v>
      </c>
      <c r="E2915" t="s">
        <v>38</v>
      </c>
      <c r="F2915">
        <v>10102018</v>
      </c>
      <c r="G2915">
        <v>3</v>
      </c>
      <c r="H2915" t="s">
        <v>48</v>
      </c>
      <c r="I2915" t="s">
        <v>42</v>
      </c>
      <c r="K2915" t="s">
        <v>43</v>
      </c>
      <c r="M2915" t="s">
        <v>44</v>
      </c>
      <c r="N2915">
        <v>50</v>
      </c>
      <c r="P2915" t="b">
        <v>1</v>
      </c>
      <c r="Q2915" t="b">
        <v>0</v>
      </c>
      <c r="R2915" t="b">
        <v>0</v>
      </c>
      <c r="S2915" t="b">
        <v>0</v>
      </c>
      <c r="T2915" t="b">
        <v>0</v>
      </c>
      <c r="V2915" t="b">
        <v>0</v>
      </c>
      <c r="W2915" t="b">
        <v>0</v>
      </c>
      <c r="X2915" t="b">
        <v>0</v>
      </c>
      <c r="Y2915" t="b">
        <v>0</v>
      </c>
      <c r="Z2915" t="b">
        <v>0</v>
      </c>
      <c r="AA2915" t="b">
        <v>0</v>
      </c>
      <c r="AB2915" t="b">
        <v>1</v>
      </c>
      <c r="AC2915" t="b">
        <v>0</v>
      </c>
      <c r="AE2915" t="s">
        <v>7142</v>
      </c>
    </row>
    <row r="2916" spans="1:31" x14ac:dyDescent="0.3">
      <c r="A2916">
        <v>-73.973463041260004</v>
      </c>
      <c r="B2916">
        <v>40.765309713939999</v>
      </c>
      <c r="C2916" t="s">
        <v>7143</v>
      </c>
      <c r="D2916" t="s">
        <v>1093</v>
      </c>
      <c r="E2916" t="s">
        <v>33</v>
      </c>
      <c r="F2916">
        <v>10132018</v>
      </c>
      <c r="G2916">
        <v>2</v>
      </c>
      <c r="H2916" t="s">
        <v>48</v>
      </c>
      <c r="I2916" t="s">
        <v>53</v>
      </c>
      <c r="J2916" t="s">
        <v>42</v>
      </c>
      <c r="K2916" t="s">
        <v>89</v>
      </c>
      <c r="M2916" t="s">
        <v>65</v>
      </c>
      <c r="N2916" t="b">
        <v>0</v>
      </c>
      <c r="P2916" t="b">
        <v>0</v>
      </c>
      <c r="Q2916" t="b">
        <v>0</v>
      </c>
      <c r="R2916" t="b">
        <v>0</v>
      </c>
      <c r="S2916" t="b">
        <v>1</v>
      </c>
      <c r="T2916" t="b">
        <v>1</v>
      </c>
      <c r="V2916" t="b">
        <v>0</v>
      </c>
      <c r="W2916" t="b">
        <v>0</v>
      </c>
      <c r="X2916" t="b">
        <v>0</v>
      </c>
      <c r="Y2916" t="b">
        <v>0</v>
      </c>
      <c r="Z2916" t="b">
        <v>0</v>
      </c>
      <c r="AA2916" t="b">
        <v>0</v>
      </c>
      <c r="AB2916" t="b">
        <v>1</v>
      </c>
      <c r="AC2916" t="b">
        <v>0</v>
      </c>
      <c r="AE2916" t="s">
        <v>7144</v>
      </c>
    </row>
    <row r="2917" spans="1:31" x14ac:dyDescent="0.3">
      <c r="A2917">
        <v>-73.95175251117</v>
      </c>
      <c r="B2917">
        <v>40.79744076411</v>
      </c>
      <c r="C2917" t="s">
        <v>7145</v>
      </c>
      <c r="D2917" t="s">
        <v>386</v>
      </c>
      <c r="E2917" t="s">
        <v>33</v>
      </c>
      <c r="F2917">
        <v>10142018</v>
      </c>
      <c r="G2917">
        <v>2</v>
      </c>
      <c r="H2917" t="s">
        <v>48</v>
      </c>
      <c r="I2917" t="s">
        <v>42</v>
      </c>
      <c r="J2917" t="s">
        <v>96</v>
      </c>
      <c r="K2917" t="s">
        <v>97</v>
      </c>
      <c r="M2917" t="s">
        <v>44</v>
      </c>
      <c r="N2917">
        <v>14</v>
      </c>
      <c r="P2917" t="b">
        <v>0</v>
      </c>
      <c r="Q2917" t="b">
        <v>0</v>
      </c>
      <c r="R2917" t="b">
        <v>1</v>
      </c>
      <c r="S2917" t="b">
        <v>1</v>
      </c>
      <c r="T2917" t="b">
        <v>0</v>
      </c>
      <c r="V2917" t="b">
        <v>0</v>
      </c>
      <c r="W2917" t="b">
        <v>0</v>
      </c>
      <c r="X2917" t="b">
        <v>0</v>
      </c>
      <c r="Y2917" t="b">
        <v>0</v>
      </c>
      <c r="Z2917" t="b">
        <v>0</v>
      </c>
      <c r="AA2917" t="b">
        <v>0</v>
      </c>
      <c r="AB2917" t="b">
        <v>1</v>
      </c>
      <c r="AC2917" t="b">
        <v>0</v>
      </c>
      <c r="AE2917" t="s">
        <v>7146</v>
      </c>
    </row>
    <row r="2918" spans="1:31" x14ac:dyDescent="0.3">
      <c r="A2918">
        <v>-73.977031388770001</v>
      </c>
      <c r="B2918">
        <v>40.772486925210004</v>
      </c>
      <c r="C2918" t="s">
        <v>7147</v>
      </c>
      <c r="D2918" t="s">
        <v>439</v>
      </c>
      <c r="E2918" t="s">
        <v>38</v>
      </c>
      <c r="F2918">
        <v>10082018</v>
      </c>
      <c r="G2918">
        <v>5</v>
      </c>
      <c r="H2918" t="s">
        <v>48</v>
      </c>
      <c r="I2918" t="s">
        <v>42</v>
      </c>
      <c r="K2918" t="s">
        <v>43</v>
      </c>
      <c r="M2918" t="s">
        <v>44</v>
      </c>
      <c r="P2918" t="b">
        <v>0</v>
      </c>
      <c r="Q2918" t="b">
        <v>1</v>
      </c>
      <c r="R2918" t="b">
        <v>0</v>
      </c>
      <c r="S2918" t="b">
        <v>0</v>
      </c>
      <c r="T2918" t="b">
        <v>0</v>
      </c>
      <c r="V2918" t="b">
        <v>0</v>
      </c>
      <c r="W2918" t="b">
        <v>0</v>
      </c>
      <c r="X2918" t="b">
        <v>0</v>
      </c>
      <c r="Y2918" t="b">
        <v>0</v>
      </c>
      <c r="Z2918" t="b">
        <v>0</v>
      </c>
      <c r="AA2918" t="b">
        <v>0</v>
      </c>
      <c r="AB2918" t="b">
        <v>1</v>
      </c>
      <c r="AC2918" t="b">
        <v>0</v>
      </c>
      <c r="AE2918" t="s">
        <v>7148</v>
      </c>
    </row>
    <row r="2919" spans="1:31" x14ac:dyDescent="0.3">
      <c r="A2919">
        <v>-73.974515246259998</v>
      </c>
      <c r="B2919">
        <v>40.765541551589997</v>
      </c>
      <c r="C2919" t="s">
        <v>7149</v>
      </c>
      <c r="D2919" t="s">
        <v>963</v>
      </c>
      <c r="E2919" t="s">
        <v>38</v>
      </c>
      <c r="F2919">
        <v>10062018</v>
      </c>
      <c r="G2919">
        <v>4</v>
      </c>
      <c r="H2919" t="s">
        <v>48</v>
      </c>
      <c r="I2919" t="s">
        <v>42</v>
      </c>
      <c r="J2919" t="s">
        <v>59</v>
      </c>
      <c r="K2919" t="s">
        <v>79</v>
      </c>
      <c r="P2919" t="b">
        <v>0</v>
      </c>
      <c r="Q2919" t="b">
        <v>1</v>
      </c>
      <c r="R2919" t="b">
        <v>0</v>
      </c>
      <c r="S2919" t="b">
        <v>0</v>
      </c>
      <c r="T2919" t="b">
        <v>1</v>
      </c>
      <c r="U2919" t="s">
        <v>7150</v>
      </c>
      <c r="V2919" t="b">
        <v>0</v>
      </c>
      <c r="W2919" t="b">
        <v>0</v>
      </c>
      <c r="X2919" t="b">
        <v>0</v>
      </c>
      <c r="Y2919" t="b">
        <v>0</v>
      </c>
      <c r="Z2919" t="b">
        <v>1</v>
      </c>
      <c r="AA2919" t="b">
        <v>0</v>
      </c>
      <c r="AB2919" t="b">
        <v>1</v>
      </c>
      <c r="AC2919" t="b">
        <v>0</v>
      </c>
      <c r="AE2919" t="s">
        <v>7151</v>
      </c>
    </row>
    <row r="2920" spans="1:31" x14ac:dyDescent="0.3">
      <c r="A2920">
        <v>-73.97685634023</v>
      </c>
      <c r="B2920">
        <v>40.77444873108</v>
      </c>
      <c r="C2920" t="s">
        <v>7152</v>
      </c>
      <c r="D2920" t="s">
        <v>855</v>
      </c>
      <c r="E2920" t="s">
        <v>38</v>
      </c>
      <c r="F2920">
        <v>10132018</v>
      </c>
      <c r="G2920">
        <v>12</v>
      </c>
      <c r="H2920" t="s">
        <v>105</v>
      </c>
      <c r="I2920" t="s">
        <v>53</v>
      </c>
      <c r="J2920" t="s">
        <v>42</v>
      </c>
      <c r="K2920" t="s">
        <v>89</v>
      </c>
      <c r="M2920" t="s">
        <v>65</v>
      </c>
      <c r="N2920" t="b">
        <v>0</v>
      </c>
      <c r="O2920" t="s">
        <v>1766</v>
      </c>
      <c r="P2920" t="b">
        <v>1</v>
      </c>
      <c r="Q2920" t="b">
        <v>1</v>
      </c>
      <c r="R2920" t="b">
        <v>0</v>
      </c>
      <c r="S2920" t="b">
        <v>0</v>
      </c>
      <c r="T2920" t="b">
        <v>0</v>
      </c>
      <c r="V2920" t="b">
        <v>0</v>
      </c>
      <c r="W2920" t="b">
        <v>0</v>
      </c>
      <c r="X2920" t="b">
        <v>0</v>
      </c>
      <c r="Y2920" t="b">
        <v>0</v>
      </c>
      <c r="Z2920" t="b">
        <v>0</v>
      </c>
      <c r="AA2920" t="b">
        <v>0</v>
      </c>
      <c r="AB2920" t="b">
        <v>1</v>
      </c>
      <c r="AC2920" t="b">
        <v>0</v>
      </c>
      <c r="AE2920" t="s">
        <v>7153</v>
      </c>
    </row>
    <row r="2921" spans="1:31" x14ac:dyDescent="0.3">
      <c r="A2921">
        <v>-73.965739191820006</v>
      </c>
      <c r="B2921">
        <v>40.776502470350003</v>
      </c>
      <c r="C2921" t="s">
        <v>7154</v>
      </c>
      <c r="D2921" t="s">
        <v>1525</v>
      </c>
      <c r="E2921" t="s">
        <v>33</v>
      </c>
      <c r="F2921">
        <v>10142018</v>
      </c>
      <c r="G2921">
        <v>1</v>
      </c>
      <c r="H2921" t="s">
        <v>105</v>
      </c>
      <c r="I2921" t="s">
        <v>42</v>
      </c>
      <c r="J2921" t="s">
        <v>59</v>
      </c>
      <c r="K2921" t="s">
        <v>79</v>
      </c>
      <c r="M2921" t="s">
        <v>65</v>
      </c>
      <c r="N2921" t="b">
        <v>0</v>
      </c>
      <c r="P2921" t="b">
        <v>1</v>
      </c>
      <c r="Q2921" t="b">
        <v>0</v>
      </c>
      <c r="R2921" t="b">
        <v>0</v>
      </c>
      <c r="S2921" t="b">
        <v>0</v>
      </c>
      <c r="T2921" t="b">
        <v>0</v>
      </c>
      <c r="V2921" t="b">
        <v>0</v>
      </c>
      <c r="W2921" t="b">
        <v>0</v>
      </c>
      <c r="X2921" t="b">
        <v>0</v>
      </c>
      <c r="Y2921" t="b">
        <v>0</v>
      </c>
      <c r="Z2921" t="b">
        <v>0</v>
      </c>
      <c r="AA2921" t="b">
        <v>0</v>
      </c>
      <c r="AB2921" t="b">
        <v>1</v>
      </c>
      <c r="AC2921" t="b">
        <v>0</v>
      </c>
      <c r="AE2921" t="s">
        <v>7155</v>
      </c>
    </row>
    <row r="2922" spans="1:31" x14ac:dyDescent="0.3">
      <c r="A2922">
        <v>-73.969957348519998</v>
      </c>
      <c r="B2922">
        <v>40.776585783800002</v>
      </c>
      <c r="C2922" t="s">
        <v>7156</v>
      </c>
      <c r="D2922" t="s">
        <v>100</v>
      </c>
      <c r="E2922" t="s">
        <v>38</v>
      </c>
      <c r="F2922">
        <v>10082018</v>
      </c>
      <c r="G2922">
        <v>10</v>
      </c>
      <c r="H2922" t="s">
        <v>48</v>
      </c>
      <c r="I2922" t="s">
        <v>42</v>
      </c>
      <c r="K2922" t="s">
        <v>43</v>
      </c>
      <c r="M2922" t="s">
        <v>65</v>
      </c>
      <c r="N2922" t="b">
        <v>0</v>
      </c>
      <c r="P2922" t="b">
        <v>0</v>
      </c>
      <c r="Q2922" t="b">
        <v>0</v>
      </c>
      <c r="R2922" t="b">
        <v>0</v>
      </c>
      <c r="S2922" t="b">
        <v>1</v>
      </c>
      <c r="T2922" t="b">
        <v>1</v>
      </c>
      <c r="V2922" t="b">
        <v>0</v>
      </c>
      <c r="W2922" t="b">
        <v>0</v>
      </c>
      <c r="X2922" t="b">
        <v>0</v>
      </c>
      <c r="Y2922" t="b">
        <v>0</v>
      </c>
      <c r="Z2922" t="b">
        <v>0</v>
      </c>
      <c r="AA2922" t="b">
        <v>0</v>
      </c>
      <c r="AB2922" t="b">
        <v>1</v>
      </c>
      <c r="AC2922" t="b">
        <v>0</v>
      </c>
      <c r="AE2922" t="s">
        <v>7157</v>
      </c>
    </row>
    <row r="2923" spans="1:31" x14ac:dyDescent="0.3">
      <c r="A2923">
        <v>-73.970342139140001</v>
      </c>
      <c r="B2923">
        <v>40.777370657539997</v>
      </c>
      <c r="C2923" t="s">
        <v>7158</v>
      </c>
      <c r="D2923" t="s">
        <v>729</v>
      </c>
      <c r="E2923" t="s">
        <v>38</v>
      </c>
      <c r="F2923">
        <v>10142018</v>
      </c>
      <c r="G2923">
        <v>1</v>
      </c>
      <c r="H2923" t="s">
        <v>48</v>
      </c>
      <c r="I2923" t="s">
        <v>42</v>
      </c>
      <c r="J2923" t="s">
        <v>96</v>
      </c>
      <c r="K2923" t="s">
        <v>97</v>
      </c>
      <c r="M2923" t="s">
        <v>65</v>
      </c>
      <c r="N2923" t="b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1</v>
      </c>
      <c r="V2923" t="b">
        <v>0</v>
      </c>
      <c r="W2923" t="b">
        <v>0</v>
      </c>
      <c r="X2923" t="b">
        <v>0</v>
      </c>
      <c r="Y2923" t="b">
        <v>0</v>
      </c>
      <c r="Z2923" t="b">
        <v>0</v>
      </c>
      <c r="AA2923" t="b">
        <v>1</v>
      </c>
      <c r="AB2923" t="b">
        <v>0</v>
      </c>
      <c r="AC2923" t="b">
        <v>0</v>
      </c>
      <c r="AE2923" t="s">
        <v>7159</v>
      </c>
    </row>
    <row r="2924" spans="1:31" x14ac:dyDescent="0.3">
      <c r="A2924">
        <v>-73.96721605338</v>
      </c>
      <c r="B2924">
        <v>40.783026390869999</v>
      </c>
      <c r="C2924" t="s">
        <v>7160</v>
      </c>
      <c r="D2924" t="s">
        <v>71</v>
      </c>
      <c r="E2924" t="s">
        <v>38</v>
      </c>
      <c r="F2924">
        <v>10142018</v>
      </c>
      <c r="G2924">
        <v>5</v>
      </c>
      <c r="H2924" t="s">
        <v>48</v>
      </c>
      <c r="I2924" t="s">
        <v>42</v>
      </c>
      <c r="J2924" t="s">
        <v>53</v>
      </c>
      <c r="K2924" t="s">
        <v>54</v>
      </c>
      <c r="M2924" t="s">
        <v>65</v>
      </c>
      <c r="N2924" t="b">
        <v>0</v>
      </c>
      <c r="P2924" t="b">
        <v>1</v>
      </c>
      <c r="Q2924" t="b">
        <v>0</v>
      </c>
      <c r="R2924" t="b">
        <v>0</v>
      </c>
      <c r="S2924" t="b">
        <v>0</v>
      </c>
      <c r="T2924" t="b">
        <v>0</v>
      </c>
      <c r="V2924" t="b">
        <v>0</v>
      </c>
      <c r="W2924" t="b">
        <v>0</v>
      </c>
      <c r="X2924" t="b">
        <v>0</v>
      </c>
      <c r="Y2924" t="b">
        <v>1</v>
      </c>
      <c r="Z2924" t="b">
        <v>0</v>
      </c>
      <c r="AA2924" t="b">
        <v>0</v>
      </c>
      <c r="AB2924" t="b">
        <v>1</v>
      </c>
      <c r="AC2924" t="b">
        <v>0</v>
      </c>
      <c r="AE2924" t="s">
        <v>7161</v>
      </c>
    </row>
    <row r="2925" spans="1:31" x14ac:dyDescent="0.3">
      <c r="A2925">
        <v>-73.972723060980002</v>
      </c>
      <c r="B2925">
        <v>40.779534164090002</v>
      </c>
      <c r="C2925" t="s">
        <v>7162</v>
      </c>
      <c r="D2925" t="s">
        <v>1103</v>
      </c>
      <c r="E2925" t="s">
        <v>33</v>
      </c>
      <c r="F2925">
        <v>10192018</v>
      </c>
      <c r="G2925">
        <v>1</v>
      </c>
      <c r="H2925" t="s">
        <v>48</v>
      </c>
      <c r="I2925" t="s">
        <v>42</v>
      </c>
      <c r="K2925" t="s">
        <v>43</v>
      </c>
      <c r="M2925" t="s">
        <v>65</v>
      </c>
      <c r="N2925" t="b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1</v>
      </c>
      <c r="V2925" t="b">
        <v>0</v>
      </c>
      <c r="W2925" t="b">
        <v>0</v>
      </c>
      <c r="X2925" t="b">
        <v>0</v>
      </c>
      <c r="Y2925" t="b">
        <v>0</v>
      </c>
      <c r="Z2925" t="b">
        <v>1</v>
      </c>
      <c r="AA2925" t="b">
        <v>0</v>
      </c>
      <c r="AB2925" t="b">
        <v>0</v>
      </c>
      <c r="AC2925" t="b">
        <v>1</v>
      </c>
      <c r="AE2925" t="s">
        <v>7163</v>
      </c>
    </row>
    <row r="2926" spans="1:31" x14ac:dyDescent="0.3">
      <c r="A2926">
        <v>-73.967215269679997</v>
      </c>
      <c r="B2926">
        <v>40.782387458179997</v>
      </c>
      <c r="C2926" t="s">
        <v>7164</v>
      </c>
      <c r="D2926" t="s">
        <v>459</v>
      </c>
      <c r="E2926" t="s">
        <v>38</v>
      </c>
      <c r="F2926">
        <v>10082018</v>
      </c>
      <c r="G2926">
        <v>5</v>
      </c>
      <c r="H2926" t="s">
        <v>48</v>
      </c>
      <c r="I2926" t="s">
        <v>42</v>
      </c>
      <c r="J2926" t="s">
        <v>53</v>
      </c>
      <c r="K2926" t="s">
        <v>54</v>
      </c>
      <c r="M2926" t="s">
        <v>65</v>
      </c>
      <c r="N2926" t="b">
        <v>0</v>
      </c>
      <c r="P2926" t="b">
        <v>0</v>
      </c>
      <c r="Q2926" t="b">
        <v>0</v>
      </c>
      <c r="R2926" t="b">
        <v>0</v>
      </c>
      <c r="S2926" t="b">
        <v>1</v>
      </c>
      <c r="T2926" t="b">
        <v>0</v>
      </c>
      <c r="V2926" t="b">
        <v>0</v>
      </c>
      <c r="W2926" t="b">
        <v>0</v>
      </c>
      <c r="X2926" t="b">
        <v>0</v>
      </c>
      <c r="Y2926" t="b">
        <v>0</v>
      </c>
      <c r="Z2926" t="b">
        <v>0</v>
      </c>
      <c r="AA2926" t="b">
        <v>0</v>
      </c>
      <c r="AB2926" t="b">
        <v>0</v>
      </c>
      <c r="AC2926" t="b">
        <v>1</v>
      </c>
      <c r="AE2926" t="s">
        <v>7165</v>
      </c>
    </row>
    <row r="2927" spans="1:31" x14ac:dyDescent="0.3">
      <c r="A2927">
        <v>-73.971465357599996</v>
      </c>
      <c r="B2927">
        <v>40.771740013950001</v>
      </c>
      <c r="C2927" t="s">
        <v>7166</v>
      </c>
      <c r="D2927" t="s">
        <v>517</v>
      </c>
      <c r="E2927" t="s">
        <v>38</v>
      </c>
      <c r="F2927">
        <v>10132018</v>
      </c>
      <c r="G2927">
        <v>3</v>
      </c>
      <c r="H2927" t="s">
        <v>48</v>
      </c>
      <c r="I2927" t="s">
        <v>42</v>
      </c>
      <c r="J2927" t="s">
        <v>59</v>
      </c>
      <c r="K2927" t="s">
        <v>79</v>
      </c>
      <c r="M2927" t="s">
        <v>65</v>
      </c>
      <c r="N2927" t="b">
        <v>0</v>
      </c>
      <c r="P2927" t="b">
        <v>0</v>
      </c>
      <c r="Q2927" t="b">
        <v>0</v>
      </c>
      <c r="R2927" t="b">
        <v>0</v>
      </c>
      <c r="S2927" t="b">
        <v>1</v>
      </c>
      <c r="T2927" t="b">
        <v>0</v>
      </c>
      <c r="V2927" t="b">
        <v>0</v>
      </c>
      <c r="W2927" t="b">
        <v>0</v>
      </c>
      <c r="X2927" t="b">
        <v>0</v>
      </c>
      <c r="Y2927" t="b">
        <v>0</v>
      </c>
      <c r="Z2927" t="b">
        <v>0</v>
      </c>
      <c r="AA2927" t="b">
        <v>0</v>
      </c>
      <c r="AB2927" t="b">
        <v>0</v>
      </c>
      <c r="AC2927" t="b">
        <v>0</v>
      </c>
      <c r="AE2927" t="s">
        <v>7167</v>
      </c>
    </row>
    <row r="2928" spans="1:31" x14ac:dyDescent="0.3">
      <c r="A2928">
        <v>-73.965012006609996</v>
      </c>
      <c r="B2928">
        <v>40.780593288239999</v>
      </c>
      <c r="C2928" t="s">
        <v>7168</v>
      </c>
      <c r="D2928" t="s">
        <v>564</v>
      </c>
      <c r="E2928" t="s">
        <v>33</v>
      </c>
      <c r="F2928">
        <v>10072018</v>
      </c>
      <c r="G2928">
        <v>13</v>
      </c>
      <c r="H2928" t="s">
        <v>105</v>
      </c>
      <c r="I2928" t="s">
        <v>53</v>
      </c>
      <c r="J2928" t="s">
        <v>42</v>
      </c>
      <c r="K2928" t="s">
        <v>89</v>
      </c>
      <c r="M2928" t="s">
        <v>44</v>
      </c>
      <c r="N2928">
        <v>10</v>
      </c>
      <c r="P2928" t="b">
        <v>0</v>
      </c>
      <c r="Q2928" t="b">
        <v>0</v>
      </c>
      <c r="R2928" t="b">
        <v>1</v>
      </c>
      <c r="S2928" t="b">
        <v>0</v>
      </c>
      <c r="T2928" t="b">
        <v>0</v>
      </c>
      <c r="V2928" t="b">
        <v>0</v>
      </c>
      <c r="W2928" t="b">
        <v>0</v>
      </c>
      <c r="X2928" t="b">
        <v>0</v>
      </c>
      <c r="Y2928" t="b">
        <v>0</v>
      </c>
      <c r="Z2928" t="b">
        <v>0</v>
      </c>
      <c r="AA2928" t="b">
        <v>0</v>
      </c>
      <c r="AB2928" t="b">
        <v>0</v>
      </c>
      <c r="AC2928" t="b">
        <v>1</v>
      </c>
      <c r="AE2928" t="s">
        <v>7169</v>
      </c>
    </row>
    <row r="2929" spans="1:31" x14ac:dyDescent="0.3">
      <c r="A2929">
        <v>-73.97679534689</v>
      </c>
      <c r="B2929">
        <v>40.767637697769999</v>
      </c>
      <c r="C2929" t="s">
        <v>7170</v>
      </c>
      <c r="D2929" t="s">
        <v>215</v>
      </c>
      <c r="E2929" t="s">
        <v>38</v>
      </c>
      <c r="F2929">
        <v>10062018</v>
      </c>
      <c r="G2929">
        <v>3</v>
      </c>
      <c r="H2929" t="s">
        <v>48</v>
      </c>
      <c r="I2929" t="s">
        <v>42</v>
      </c>
      <c r="J2929" t="s">
        <v>53</v>
      </c>
      <c r="K2929" t="s">
        <v>54</v>
      </c>
      <c r="M2929" t="s">
        <v>65</v>
      </c>
      <c r="N2929" t="b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1</v>
      </c>
      <c r="U2929" t="s">
        <v>7171</v>
      </c>
      <c r="V2929" t="b">
        <v>0</v>
      </c>
      <c r="W2929" t="b">
        <v>0</v>
      </c>
      <c r="X2929" t="b">
        <v>0</v>
      </c>
      <c r="Y2929" t="b">
        <v>1</v>
      </c>
      <c r="Z2929" t="b">
        <v>0</v>
      </c>
      <c r="AA2929" t="b">
        <v>1</v>
      </c>
      <c r="AB2929" t="b">
        <v>0</v>
      </c>
      <c r="AC2929" t="b">
        <v>1</v>
      </c>
      <c r="AE2929" t="s">
        <v>7172</v>
      </c>
    </row>
    <row r="2930" spans="1:31" x14ac:dyDescent="0.3">
      <c r="A2930">
        <v>-73.953123365419998</v>
      </c>
      <c r="B2930">
        <v>40.794111377749999</v>
      </c>
      <c r="C2930" t="s">
        <v>7173</v>
      </c>
      <c r="D2930" t="s">
        <v>6895</v>
      </c>
      <c r="E2930" t="s">
        <v>33</v>
      </c>
      <c r="F2930">
        <v>10122018</v>
      </c>
      <c r="G2930">
        <v>1</v>
      </c>
      <c r="H2930" t="s">
        <v>48</v>
      </c>
      <c r="I2930" t="s">
        <v>42</v>
      </c>
      <c r="K2930" t="s">
        <v>43</v>
      </c>
      <c r="M2930" t="s">
        <v>65</v>
      </c>
      <c r="N2930" t="b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1</v>
      </c>
      <c r="V2930" t="b">
        <v>0</v>
      </c>
      <c r="W2930" t="b">
        <v>0</v>
      </c>
      <c r="X2930" t="b">
        <v>0</v>
      </c>
      <c r="Y2930" t="b">
        <v>0</v>
      </c>
      <c r="Z2930" t="b">
        <v>0</v>
      </c>
      <c r="AA2930" t="b">
        <v>0</v>
      </c>
      <c r="AB2930" t="b">
        <v>0</v>
      </c>
      <c r="AC2930" t="b">
        <v>1</v>
      </c>
      <c r="AE2930" t="s">
        <v>7174</v>
      </c>
    </row>
    <row r="2931" spans="1:31" x14ac:dyDescent="0.3">
      <c r="A2931">
        <v>-73.969256359780005</v>
      </c>
      <c r="B2931">
        <v>40.770904999949998</v>
      </c>
      <c r="C2931" t="s">
        <v>7175</v>
      </c>
      <c r="D2931" t="s">
        <v>2056</v>
      </c>
      <c r="E2931" t="s">
        <v>33</v>
      </c>
      <c r="F2931">
        <v>10182018</v>
      </c>
      <c r="G2931">
        <v>5</v>
      </c>
      <c r="H2931" t="s">
        <v>48</v>
      </c>
      <c r="I2931" t="s">
        <v>42</v>
      </c>
      <c r="K2931" t="s">
        <v>43</v>
      </c>
      <c r="M2931" t="s">
        <v>65</v>
      </c>
      <c r="N2931" t="b">
        <v>0</v>
      </c>
      <c r="P2931" t="b">
        <v>1</v>
      </c>
      <c r="Q2931" t="b">
        <v>1</v>
      </c>
      <c r="R2931" t="b">
        <v>0</v>
      </c>
      <c r="S2931" t="b">
        <v>0</v>
      </c>
      <c r="T2931" t="b">
        <v>0</v>
      </c>
      <c r="V2931" t="b">
        <v>0</v>
      </c>
      <c r="W2931" t="b">
        <v>0</v>
      </c>
      <c r="X2931" t="b">
        <v>0</v>
      </c>
      <c r="Y2931" t="b">
        <v>0</v>
      </c>
      <c r="Z2931" t="b">
        <v>0</v>
      </c>
      <c r="AA2931" t="b">
        <v>0</v>
      </c>
      <c r="AB2931" t="b">
        <v>0</v>
      </c>
      <c r="AC2931" t="b">
        <v>0</v>
      </c>
      <c r="AE2931" t="s">
        <v>7176</v>
      </c>
    </row>
    <row r="2932" spans="1:31" x14ac:dyDescent="0.3">
      <c r="A2932">
        <v>-73.973092623319999</v>
      </c>
      <c r="B2932">
        <v>40.778133075169997</v>
      </c>
      <c r="C2932" t="s">
        <v>7177</v>
      </c>
      <c r="D2932" t="s">
        <v>1759</v>
      </c>
      <c r="E2932" t="s">
        <v>33</v>
      </c>
      <c r="F2932">
        <v>10142018</v>
      </c>
      <c r="G2932">
        <v>8</v>
      </c>
      <c r="I2932" t="s">
        <v>42</v>
      </c>
      <c r="J2932" t="s">
        <v>96</v>
      </c>
      <c r="K2932" t="s">
        <v>97</v>
      </c>
      <c r="L2932" t="s">
        <v>7178</v>
      </c>
      <c r="M2932" t="s">
        <v>65</v>
      </c>
      <c r="N2932" t="b">
        <v>0</v>
      </c>
      <c r="P2932" t="b">
        <v>0</v>
      </c>
      <c r="Q2932" t="b">
        <v>0</v>
      </c>
      <c r="R2932" t="b">
        <v>0</v>
      </c>
      <c r="S2932" t="b">
        <v>1</v>
      </c>
      <c r="T2932" t="b">
        <v>1</v>
      </c>
      <c r="V2932" t="b">
        <v>0</v>
      </c>
      <c r="W2932" t="b">
        <v>0</v>
      </c>
      <c r="X2932" t="b">
        <v>0</v>
      </c>
      <c r="Y2932" t="b">
        <v>0</v>
      </c>
      <c r="Z2932" t="b">
        <v>0</v>
      </c>
      <c r="AA2932" t="b">
        <v>1</v>
      </c>
      <c r="AB2932" t="b">
        <v>0</v>
      </c>
      <c r="AC2932" t="b">
        <v>0</v>
      </c>
      <c r="AE2932" t="s">
        <v>7179</v>
      </c>
    </row>
    <row r="2933" spans="1:31" x14ac:dyDescent="0.3">
      <c r="A2933">
        <v>-73.97058379744</v>
      </c>
      <c r="B2933">
        <v>40.775849484970003</v>
      </c>
      <c r="C2933" t="s">
        <v>7180</v>
      </c>
      <c r="D2933" t="s">
        <v>52</v>
      </c>
      <c r="E2933" t="s">
        <v>38</v>
      </c>
      <c r="F2933">
        <v>10172018</v>
      </c>
      <c r="G2933">
        <v>13</v>
      </c>
      <c r="H2933" t="s">
        <v>48</v>
      </c>
      <c r="I2933" t="s">
        <v>42</v>
      </c>
      <c r="J2933" t="s">
        <v>53</v>
      </c>
      <c r="K2933" t="s">
        <v>54</v>
      </c>
      <c r="M2933" t="s">
        <v>65</v>
      </c>
      <c r="N2933" t="b">
        <v>0</v>
      </c>
      <c r="O2933" t="s">
        <v>3132</v>
      </c>
      <c r="P2933" t="b">
        <v>0</v>
      </c>
      <c r="Q2933" t="b">
        <v>0</v>
      </c>
      <c r="R2933" t="b">
        <v>0</v>
      </c>
      <c r="S2933" t="b">
        <v>0</v>
      </c>
      <c r="T2933" t="b">
        <v>1</v>
      </c>
      <c r="V2933" t="b">
        <v>0</v>
      </c>
      <c r="W2933" t="b">
        <v>0</v>
      </c>
      <c r="X2933" t="b">
        <v>0</v>
      </c>
      <c r="Y2933" t="b">
        <v>0</v>
      </c>
      <c r="Z2933" t="b">
        <v>0</v>
      </c>
      <c r="AA2933" t="b">
        <v>1</v>
      </c>
      <c r="AB2933" t="b">
        <v>0</v>
      </c>
      <c r="AC2933" t="b">
        <v>0</v>
      </c>
      <c r="AE2933" t="s">
        <v>7181</v>
      </c>
    </row>
    <row r="2934" spans="1:31" x14ac:dyDescent="0.3">
      <c r="A2934">
        <v>-73.967790319740004</v>
      </c>
      <c r="B2934">
        <v>40.782656191779999</v>
      </c>
      <c r="C2934" t="s">
        <v>7182</v>
      </c>
      <c r="D2934" t="s">
        <v>71</v>
      </c>
      <c r="E2934" t="s">
        <v>38</v>
      </c>
      <c r="F2934">
        <v>10142018</v>
      </c>
      <c r="G2934">
        <v>3</v>
      </c>
      <c r="H2934" t="s">
        <v>48</v>
      </c>
      <c r="I2934" t="s">
        <v>42</v>
      </c>
      <c r="K2934" t="s">
        <v>43</v>
      </c>
      <c r="M2934" t="s">
        <v>44</v>
      </c>
      <c r="N2934">
        <v>30</v>
      </c>
      <c r="P2934" t="b">
        <v>0</v>
      </c>
      <c r="Q2934" t="b">
        <v>1</v>
      </c>
      <c r="R2934" t="b">
        <v>1</v>
      </c>
      <c r="S2934" t="b">
        <v>0</v>
      </c>
      <c r="T2934" t="b">
        <v>0</v>
      </c>
      <c r="V2934" t="b">
        <v>0</v>
      </c>
      <c r="W2934" t="b">
        <v>1</v>
      </c>
      <c r="X2934" t="b">
        <v>0</v>
      </c>
      <c r="Y2934" t="b">
        <v>0</v>
      </c>
      <c r="Z2934" t="b">
        <v>0</v>
      </c>
      <c r="AA2934" t="b">
        <v>0</v>
      </c>
      <c r="AB2934" t="b">
        <v>0</v>
      </c>
      <c r="AC2934" t="b">
        <v>0</v>
      </c>
      <c r="AD2934" t="s">
        <v>3135</v>
      </c>
      <c r="AE2934" t="s">
        <v>7183</v>
      </c>
    </row>
    <row r="2935" spans="1:31" x14ac:dyDescent="0.3">
      <c r="A2935">
        <v>-73.956166923620003</v>
      </c>
      <c r="B2935">
        <v>40.799473743130001</v>
      </c>
      <c r="C2935" t="s">
        <v>7184</v>
      </c>
      <c r="D2935" t="s">
        <v>335</v>
      </c>
      <c r="E2935" t="s">
        <v>33</v>
      </c>
      <c r="F2935">
        <v>10132018</v>
      </c>
      <c r="G2935">
        <v>4</v>
      </c>
      <c r="H2935" t="s">
        <v>48</v>
      </c>
      <c r="I2935" t="s">
        <v>42</v>
      </c>
      <c r="K2935" t="s">
        <v>43</v>
      </c>
      <c r="M2935" t="s">
        <v>65</v>
      </c>
      <c r="N2935" t="b">
        <v>0</v>
      </c>
      <c r="P2935" t="b">
        <v>0</v>
      </c>
      <c r="Q2935" t="b">
        <v>0</v>
      </c>
      <c r="R2935" t="b">
        <v>1</v>
      </c>
      <c r="S2935" t="b">
        <v>0</v>
      </c>
      <c r="T2935" t="b">
        <v>1</v>
      </c>
      <c r="V2935" t="b">
        <v>0</v>
      </c>
      <c r="W2935" t="b">
        <v>0</v>
      </c>
      <c r="X2935" t="b">
        <v>0</v>
      </c>
      <c r="Y2935" t="b">
        <v>0</v>
      </c>
      <c r="Z2935" t="b">
        <v>0</v>
      </c>
      <c r="AA2935" t="b">
        <v>0</v>
      </c>
      <c r="AB2935" t="b">
        <v>0</v>
      </c>
      <c r="AC2935" t="b">
        <v>1</v>
      </c>
      <c r="AE2935" t="s">
        <v>7185</v>
      </c>
    </row>
    <row r="2936" spans="1:31" x14ac:dyDescent="0.3">
      <c r="A2936">
        <v>-73.960459947730001</v>
      </c>
      <c r="B2936">
        <v>40.791503501020003</v>
      </c>
      <c r="C2936" t="s">
        <v>7186</v>
      </c>
      <c r="D2936" t="s">
        <v>294</v>
      </c>
      <c r="E2936" t="s">
        <v>33</v>
      </c>
      <c r="F2936">
        <v>10062018</v>
      </c>
      <c r="G2936">
        <v>6</v>
      </c>
      <c r="H2936" t="s">
        <v>105</v>
      </c>
      <c r="I2936" t="s">
        <v>42</v>
      </c>
      <c r="J2936" t="s">
        <v>148</v>
      </c>
      <c r="K2936" t="s">
        <v>149</v>
      </c>
      <c r="M2936" t="s">
        <v>65</v>
      </c>
      <c r="N2936" t="b">
        <v>0</v>
      </c>
      <c r="P2936" t="b">
        <v>1</v>
      </c>
      <c r="Q2936" t="b">
        <v>0</v>
      </c>
      <c r="R2936" t="b">
        <v>0</v>
      </c>
      <c r="S2936" t="b">
        <v>0</v>
      </c>
      <c r="T2936" t="b">
        <v>0</v>
      </c>
      <c r="V2936" t="b">
        <v>0</v>
      </c>
      <c r="W2936" t="b">
        <v>0</v>
      </c>
      <c r="X2936" t="b">
        <v>0</v>
      </c>
      <c r="Y2936" t="b">
        <v>0</v>
      </c>
      <c r="Z2936" t="b">
        <v>1</v>
      </c>
      <c r="AA2936" t="b">
        <v>0</v>
      </c>
      <c r="AB2936" t="b">
        <v>1</v>
      </c>
      <c r="AC2936" t="b">
        <v>0</v>
      </c>
      <c r="AE2936" t="s">
        <v>7187</v>
      </c>
    </row>
    <row r="2937" spans="1:31" x14ac:dyDescent="0.3">
      <c r="A2937">
        <v>-73.980987653849994</v>
      </c>
      <c r="B2937">
        <v>40.768322324209997</v>
      </c>
      <c r="C2937" t="s">
        <v>7188</v>
      </c>
      <c r="D2937" t="s">
        <v>1775</v>
      </c>
      <c r="E2937" t="s">
        <v>33</v>
      </c>
      <c r="F2937">
        <v>10142018</v>
      </c>
      <c r="G2937">
        <v>5</v>
      </c>
      <c r="H2937" t="s">
        <v>48</v>
      </c>
      <c r="I2937" t="s">
        <v>42</v>
      </c>
      <c r="J2937" t="s">
        <v>53</v>
      </c>
      <c r="K2937" t="s">
        <v>54</v>
      </c>
      <c r="M2937" t="s">
        <v>65</v>
      </c>
      <c r="N2937" t="b">
        <v>0</v>
      </c>
      <c r="P2937" t="b">
        <v>0</v>
      </c>
      <c r="Q2937" t="b">
        <v>0</v>
      </c>
      <c r="R2937" t="b">
        <v>0</v>
      </c>
      <c r="S2937" t="b">
        <v>1</v>
      </c>
      <c r="T2937" t="b">
        <v>0</v>
      </c>
      <c r="V2937" t="b">
        <v>0</v>
      </c>
      <c r="W2937" t="b">
        <v>0</v>
      </c>
      <c r="X2937" t="b">
        <v>0</v>
      </c>
      <c r="Y2937" t="b">
        <v>0</v>
      </c>
      <c r="Z2937" t="b">
        <v>0</v>
      </c>
      <c r="AA2937" t="b">
        <v>0</v>
      </c>
      <c r="AB2937" t="b">
        <v>0</v>
      </c>
      <c r="AC2937" t="b">
        <v>1</v>
      </c>
      <c r="AE2937" t="s">
        <v>7189</v>
      </c>
    </row>
    <row r="2938" spans="1:31" x14ac:dyDescent="0.3">
      <c r="A2938">
        <v>-73.9683460607</v>
      </c>
      <c r="B2938">
        <v>40.780540844790004</v>
      </c>
      <c r="C2938" t="s">
        <v>7190</v>
      </c>
      <c r="D2938" t="s">
        <v>1076</v>
      </c>
      <c r="E2938" t="s">
        <v>38</v>
      </c>
      <c r="F2938">
        <v>10182018</v>
      </c>
      <c r="G2938">
        <v>3</v>
      </c>
      <c r="H2938" t="s">
        <v>48</v>
      </c>
      <c r="I2938" t="s">
        <v>42</v>
      </c>
      <c r="K2938" t="s">
        <v>43</v>
      </c>
      <c r="M2938" t="s">
        <v>65</v>
      </c>
      <c r="N2938" t="b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1</v>
      </c>
      <c r="V2938" t="b">
        <v>0</v>
      </c>
      <c r="W2938" t="b">
        <v>0</v>
      </c>
      <c r="X2938" t="b">
        <v>0</v>
      </c>
      <c r="Y2938" t="b">
        <v>0</v>
      </c>
      <c r="Z2938" t="b">
        <v>0</v>
      </c>
      <c r="AA2938" t="b">
        <v>0</v>
      </c>
      <c r="AB2938" t="b">
        <v>0</v>
      </c>
      <c r="AC2938" t="b">
        <v>0</v>
      </c>
      <c r="AE2938" t="s">
        <v>7191</v>
      </c>
    </row>
    <row r="2939" spans="1:31" x14ac:dyDescent="0.3">
      <c r="A2939">
        <v>-73.970332895620004</v>
      </c>
      <c r="B2939">
        <v>40.77010796978</v>
      </c>
      <c r="C2939" t="s">
        <v>7192</v>
      </c>
      <c r="D2939" t="s">
        <v>92</v>
      </c>
      <c r="E2939" t="s">
        <v>38</v>
      </c>
      <c r="F2939">
        <v>10062018</v>
      </c>
      <c r="G2939">
        <v>14</v>
      </c>
      <c r="H2939" t="s">
        <v>48</v>
      </c>
      <c r="I2939" t="s">
        <v>53</v>
      </c>
      <c r="J2939" t="s">
        <v>42</v>
      </c>
      <c r="K2939" t="s">
        <v>89</v>
      </c>
      <c r="M2939" t="s">
        <v>65</v>
      </c>
      <c r="N2939" t="b">
        <v>0</v>
      </c>
      <c r="P2939" t="b">
        <v>0</v>
      </c>
      <c r="Q2939" t="b">
        <v>0</v>
      </c>
      <c r="R2939" t="b">
        <v>0</v>
      </c>
      <c r="S2939" t="b">
        <v>0</v>
      </c>
      <c r="T2939" t="b">
        <v>1</v>
      </c>
      <c r="V2939" t="b">
        <v>0</v>
      </c>
      <c r="W2939" t="b">
        <v>0</v>
      </c>
      <c r="X2939" t="b">
        <v>0</v>
      </c>
      <c r="Y2939" t="b">
        <v>0</v>
      </c>
      <c r="Z2939" t="b">
        <v>1</v>
      </c>
      <c r="AA2939" t="b">
        <v>0</v>
      </c>
      <c r="AB2939" t="b">
        <v>1</v>
      </c>
      <c r="AC2939" t="b">
        <v>0</v>
      </c>
      <c r="AE2939" t="s">
        <v>7193</v>
      </c>
    </row>
    <row r="2940" spans="1:31" x14ac:dyDescent="0.3">
      <c r="A2940">
        <v>-73.968020443819995</v>
      </c>
      <c r="B2940">
        <v>40.774388232269999</v>
      </c>
      <c r="C2940" t="s">
        <v>7194</v>
      </c>
      <c r="D2940" t="s">
        <v>189</v>
      </c>
      <c r="E2940" t="s">
        <v>33</v>
      </c>
      <c r="F2940">
        <v>10102018</v>
      </c>
      <c r="G2940">
        <v>8</v>
      </c>
      <c r="H2940" t="s">
        <v>48</v>
      </c>
      <c r="I2940" t="s">
        <v>42</v>
      </c>
      <c r="K2940" t="s">
        <v>43</v>
      </c>
      <c r="M2940" t="s">
        <v>65</v>
      </c>
      <c r="N2940" t="b">
        <v>0</v>
      </c>
      <c r="P2940" t="b">
        <v>1</v>
      </c>
      <c r="Q2940" t="b">
        <v>0</v>
      </c>
      <c r="R2940" t="b">
        <v>0</v>
      </c>
      <c r="S2940" t="b">
        <v>0</v>
      </c>
      <c r="T2940" t="b">
        <v>0</v>
      </c>
      <c r="V2940" t="b">
        <v>0</v>
      </c>
      <c r="W2940" t="b">
        <v>0</v>
      </c>
      <c r="X2940" t="b">
        <v>0</v>
      </c>
      <c r="Y2940" t="b">
        <v>0</v>
      </c>
      <c r="Z2940" t="b">
        <v>0</v>
      </c>
      <c r="AA2940" t="b">
        <v>0</v>
      </c>
      <c r="AB2940" t="b">
        <v>1</v>
      </c>
      <c r="AC2940" t="b">
        <v>0</v>
      </c>
      <c r="AE2940" t="s">
        <v>7195</v>
      </c>
    </row>
    <row r="2941" spans="1:31" x14ac:dyDescent="0.3">
      <c r="A2941">
        <v>-73.963911430310006</v>
      </c>
      <c r="B2941">
        <v>40.780912722879997</v>
      </c>
      <c r="C2941" t="s">
        <v>7196</v>
      </c>
      <c r="D2941" t="s">
        <v>343</v>
      </c>
      <c r="E2941" t="s">
        <v>38</v>
      </c>
      <c r="F2941">
        <v>10142018</v>
      </c>
      <c r="G2941">
        <v>5</v>
      </c>
      <c r="H2941" t="s">
        <v>48</v>
      </c>
      <c r="I2941" t="s">
        <v>42</v>
      </c>
      <c r="J2941" t="s">
        <v>53</v>
      </c>
      <c r="K2941" t="s">
        <v>54</v>
      </c>
      <c r="M2941" t="s">
        <v>44</v>
      </c>
      <c r="N2941">
        <v>4</v>
      </c>
      <c r="P2941" t="b">
        <v>0</v>
      </c>
      <c r="Q2941" t="b">
        <v>1</v>
      </c>
      <c r="R2941" t="b">
        <v>1</v>
      </c>
      <c r="S2941" t="b">
        <v>0</v>
      </c>
      <c r="T2941" t="b">
        <v>0</v>
      </c>
      <c r="V2941" t="b">
        <v>0</v>
      </c>
      <c r="W2941" t="b">
        <v>0</v>
      </c>
      <c r="X2941" t="b">
        <v>0</v>
      </c>
      <c r="Y2941" t="b">
        <v>0</v>
      </c>
      <c r="Z2941" t="b">
        <v>0</v>
      </c>
      <c r="AA2941" t="b">
        <v>0</v>
      </c>
      <c r="AB2941" t="b">
        <v>0</v>
      </c>
      <c r="AC2941" t="b">
        <v>0</v>
      </c>
      <c r="AE2941" t="s">
        <v>7197</v>
      </c>
    </row>
    <row r="2942" spans="1:31" x14ac:dyDescent="0.3">
      <c r="A2942">
        <v>-73.969026666030004</v>
      </c>
      <c r="B2942">
        <v>40.785313475149998</v>
      </c>
      <c r="C2942" t="s">
        <v>7198</v>
      </c>
      <c r="D2942" t="s">
        <v>2864</v>
      </c>
      <c r="E2942" t="s">
        <v>38</v>
      </c>
      <c r="F2942">
        <v>10182018</v>
      </c>
      <c r="G2942">
        <v>1</v>
      </c>
      <c r="H2942" t="s">
        <v>105</v>
      </c>
      <c r="I2942" t="s">
        <v>53</v>
      </c>
      <c r="K2942" t="s">
        <v>155</v>
      </c>
      <c r="M2942" t="s">
        <v>65</v>
      </c>
      <c r="N2942" t="b">
        <v>0</v>
      </c>
      <c r="P2942" t="b">
        <v>0</v>
      </c>
      <c r="Q2942" t="b">
        <v>0</v>
      </c>
      <c r="R2942" t="b">
        <v>0</v>
      </c>
      <c r="S2942" t="b">
        <v>1</v>
      </c>
      <c r="T2942" t="b">
        <v>0</v>
      </c>
      <c r="V2942" t="b">
        <v>0</v>
      </c>
      <c r="W2942" t="b">
        <v>0</v>
      </c>
      <c r="X2942" t="b">
        <v>0</v>
      </c>
      <c r="Y2942" t="b">
        <v>0</v>
      </c>
      <c r="Z2942" t="b">
        <v>0</v>
      </c>
      <c r="AA2942" t="b">
        <v>0</v>
      </c>
      <c r="AB2942" t="b">
        <v>1</v>
      </c>
      <c r="AC2942" t="b">
        <v>0</v>
      </c>
      <c r="AE2942" t="s">
        <v>7199</v>
      </c>
    </row>
    <row r="2943" spans="1:31" x14ac:dyDescent="0.3">
      <c r="A2943">
        <v>-73.96720637848</v>
      </c>
      <c r="B2943">
        <v>40.782607039570003</v>
      </c>
      <c r="C2943" t="s">
        <v>7200</v>
      </c>
      <c r="D2943" t="s">
        <v>459</v>
      </c>
      <c r="E2943" t="s">
        <v>33</v>
      </c>
      <c r="F2943">
        <v>10082018</v>
      </c>
      <c r="G2943">
        <v>1</v>
      </c>
      <c r="I2943" t="s">
        <v>42</v>
      </c>
      <c r="K2943" t="s">
        <v>43</v>
      </c>
      <c r="M2943" t="s">
        <v>44</v>
      </c>
      <c r="N2943">
        <v>8</v>
      </c>
      <c r="P2943" t="b">
        <v>0</v>
      </c>
      <c r="Q2943" t="b">
        <v>0</v>
      </c>
      <c r="R2943" t="b">
        <v>1</v>
      </c>
      <c r="S2943" t="b">
        <v>0</v>
      </c>
      <c r="T2943" t="b">
        <v>0</v>
      </c>
      <c r="V2943" t="b">
        <v>0</v>
      </c>
      <c r="W2943" t="b">
        <v>0</v>
      </c>
      <c r="X2943" t="b">
        <v>0</v>
      </c>
      <c r="Y2943" t="b">
        <v>0</v>
      </c>
      <c r="Z2943" t="b">
        <v>0</v>
      </c>
      <c r="AA2943" t="b">
        <v>1</v>
      </c>
      <c r="AB2943" t="b">
        <v>0</v>
      </c>
      <c r="AC2943" t="b">
        <v>0</v>
      </c>
      <c r="AE2943" t="s">
        <v>7201</v>
      </c>
    </row>
    <row r="2944" spans="1:31" x14ac:dyDescent="0.3">
      <c r="A2944">
        <v>-73.962534856260007</v>
      </c>
      <c r="B2944">
        <v>40.781213451740001</v>
      </c>
      <c r="C2944" t="s">
        <v>7202</v>
      </c>
      <c r="D2944" t="s">
        <v>2654</v>
      </c>
      <c r="E2944" t="s">
        <v>33</v>
      </c>
      <c r="F2944">
        <v>10072018</v>
      </c>
      <c r="G2944">
        <v>1</v>
      </c>
      <c r="H2944" t="s">
        <v>48</v>
      </c>
      <c r="I2944" t="s">
        <v>53</v>
      </c>
      <c r="J2944" t="s">
        <v>42</v>
      </c>
      <c r="K2944" t="s">
        <v>89</v>
      </c>
      <c r="M2944" t="s">
        <v>65</v>
      </c>
      <c r="N2944" t="b">
        <v>0</v>
      </c>
      <c r="P2944" t="b">
        <v>0</v>
      </c>
      <c r="Q2944" t="b">
        <v>0</v>
      </c>
      <c r="R2944" t="b">
        <v>0</v>
      </c>
      <c r="S2944" t="b">
        <v>0</v>
      </c>
      <c r="T2944" t="b">
        <v>1</v>
      </c>
      <c r="V2944" t="b">
        <v>0</v>
      </c>
      <c r="W2944" t="b">
        <v>0</v>
      </c>
      <c r="X2944" t="b">
        <v>0</v>
      </c>
      <c r="Y2944" t="b">
        <v>0</v>
      </c>
      <c r="Z2944" t="b">
        <v>0</v>
      </c>
      <c r="AA2944" t="b">
        <v>0</v>
      </c>
      <c r="AB2944" t="b">
        <v>1</v>
      </c>
      <c r="AC2944" t="b">
        <v>0</v>
      </c>
      <c r="AE2944" t="s">
        <v>7203</v>
      </c>
    </row>
    <row r="2945" spans="1:31" x14ac:dyDescent="0.3">
      <c r="A2945">
        <v>-73.973940385060004</v>
      </c>
      <c r="B2945">
        <v>40.76931622875</v>
      </c>
      <c r="C2945" t="s">
        <v>7204</v>
      </c>
      <c r="D2945" t="s">
        <v>250</v>
      </c>
      <c r="E2945" t="s">
        <v>38</v>
      </c>
      <c r="F2945">
        <v>10072018</v>
      </c>
      <c r="G2945">
        <v>5</v>
      </c>
      <c r="H2945" t="s">
        <v>48</v>
      </c>
      <c r="I2945" t="s">
        <v>42</v>
      </c>
      <c r="J2945" t="s">
        <v>59</v>
      </c>
      <c r="K2945" t="s">
        <v>79</v>
      </c>
      <c r="M2945" t="s">
        <v>44</v>
      </c>
      <c r="N2945">
        <v>2</v>
      </c>
      <c r="O2945" t="s">
        <v>190</v>
      </c>
      <c r="P2945" t="b">
        <v>1</v>
      </c>
      <c r="Q2945" t="b">
        <v>0</v>
      </c>
      <c r="R2945" t="b">
        <v>0</v>
      </c>
      <c r="S2945" t="b">
        <v>0</v>
      </c>
      <c r="T2945" t="b">
        <v>1</v>
      </c>
      <c r="V2945" t="b">
        <v>0</v>
      </c>
      <c r="W2945" t="b">
        <v>0</v>
      </c>
      <c r="X2945" t="b">
        <v>0</v>
      </c>
      <c r="Y2945" t="b">
        <v>0</v>
      </c>
      <c r="Z2945" t="b">
        <v>0</v>
      </c>
      <c r="AA2945" t="b">
        <v>0</v>
      </c>
      <c r="AB2945" t="b">
        <v>0</v>
      </c>
      <c r="AC2945" t="b">
        <v>0</v>
      </c>
      <c r="AE2945" t="s">
        <v>7205</v>
      </c>
    </row>
    <row r="2946" spans="1:31" x14ac:dyDescent="0.3">
      <c r="A2946">
        <v>-73.964910333039995</v>
      </c>
      <c r="B2946">
        <v>40.782391386039997</v>
      </c>
      <c r="C2946" t="s">
        <v>7206</v>
      </c>
      <c r="D2946" t="s">
        <v>82</v>
      </c>
      <c r="E2946" t="s">
        <v>33</v>
      </c>
      <c r="F2946">
        <v>10142018</v>
      </c>
      <c r="G2946">
        <v>8</v>
      </c>
      <c r="H2946" t="s">
        <v>48</v>
      </c>
      <c r="I2946" t="s">
        <v>42</v>
      </c>
      <c r="K2946" t="s">
        <v>43</v>
      </c>
      <c r="M2946" t="s">
        <v>44</v>
      </c>
      <c r="N2946">
        <v>10</v>
      </c>
      <c r="O2946" t="s">
        <v>7207</v>
      </c>
      <c r="P2946" t="b">
        <v>0</v>
      </c>
      <c r="Q2946" t="b">
        <v>0</v>
      </c>
      <c r="R2946" t="b">
        <v>1</v>
      </c>
      <c r="S2946" t="b">
        <v>0</v>
      </c>
      <c r="T2946" t="b">
        <v>0</v>
      </c>
      <c r="V2946" t="b">
        <v>0</v>
      </c>
      <c r="W2946" t="b">
        <v>0</v>
      </c>
      <c r="X2946" t="b">
        <v>0</v>
      </c>
      <c r="Y2946" t="b">
        <v>0</v>
      </c>
      <c r="Z2946" t="b">
        <v>0</v>
      </c>
      <c r="AA2946" t="b">
        <v>0</v>
      </c>
      <c r="AB2946" t="b">
        <v>1</v>
      </c>
      <c r="AC2946" t="b">
        <v>0</v>
      </c>
      <c r="AE2946" t="s">
        <v>7208</v>
      </c>
    </row>
    <row r="2947" spans="1:31" x14ac:dyDescent="0.3">
      <c r="A2947">
        <v>-73.974515099170006</v>
      </c>
      <c r="B2947">
        <v>40.770065079989998</v>
      </c>
      <c r="C2947" t="s">
        <v>7209</v>
      </c>
      <c r="D2947" t="s">
        <v>3049</v>
      </c>
      <c r="E2947" t="s">
        <v>33</v>
      </c>
      <c r="F2947">
        <v>10102018</v>
      </c>
      <c r="G2947">
        <v>3</v>
      </c>
      <c r="H2947" t="s">
        <v>48</v>
      </c>
      <c r="I2947" t="s">
        <v>53</v>
      </c>
      <c r="J2947" t="s">
        <v>59</v>
      </c>
      <c r="K2947" t="s">
        <v>60</v>
      </c>
      <c r="L2947" t="s">
        <v>3050</v>
      </c>
      <c r="M2947" t="s">
        <v>65</v>
      </c>
      <c r="N2947" t="b">
        <v>0</v>
      </c>
      <c r="O2947" t="s">
        <v>3424</v>
      </c>
      <c r="P2947" t="b">
        <v>0</v>
      </c>
      <c r="Q2947" t="b">
        <v>1</v>
      </c>
      <c r="R2947" t="b">
        <v>0</v>
      </c>
      <c r="S2947" t="b">
        <v>1</v>
      </c>
      <c r="T2947" t="b">
        <v>0</v>
      </c>
      <c r="U2947" t="s">
        <v>1893</v>
      </c>
      <c r="V2947" t="b">
        <v>0</v>
      </c>
      <c r="W2947" t="b">
        <v>0</v>
      </c>
      <c r="X2947" t="b">
        <v>0</v>
      </c>
      <c r="Y2947" t="b">
        <v>0</v>
      </c>
      <c r="Z2947" t="b">
        <v>0</v>
      </c>
      <c r="AA2947" t="b">
        <v>0</v>
      </c>
      <c r="AB2947" t="b">
        <v>1</v>
      </c>
      <c r="AC2947" t="b">
        <v>0</v>
      </c>
      <c r="AE2947" t="s">
        <v>7210</v>
      </c>
    </row>
    <row r="2948" spans="1:31" x14ac:dyDescent="0.3">
      <c r="A2948">
        <v>-73.960121519810002</v>
      </c>
      <c r="B2948">
        <v>40.79097698012</v>
      </c>
      <c r="C2948" t="s">
        <v>7211</v>
      </c>
      <c r="D2948" t="s">
        <v>294</v>
      </c>
      <c r="E2948" t="s">
        <v>33</v>
      </c>
      <c r="F2948">
        <v>10062018</v>
      </c>
      <c r="G2948">
        <v>2</v>
      </c>
      <c r="H2948" t="s">
        <v>48</v>
      </c>
      <c r="I2948" t="s">
        <v>42</v>
      </c>
      <c r="J2948" t="s">
        <v>148</v>
      </c>
      <c r="K2948" t="s">
        <v>149</v>
      </c>
      <c r="M2948" t="s">
        <v>65</v>
      </c>
      <c r="N2948" t="b">
        <v>0</v>
      </c>
      <c r="P2948" t="b">
        <v>1</v>
      </c>
      <c r="Q2948" t="b">
        <v>0</v>
      </c>
      <c r="R2948" t="b">
        <v>0</v>
      </c>
      <c r="S2948" t="b">
        <v>1</v>
      </c>
      <c r="T2948" t="b">
        <v>0</v>
      </c>
      <c r="V2948" t="b">
        <v>0</v>
      </c>
      <c r="W2948" t="b">
        <v>0</v>
      </c>
      <c r="X2948" t="b">
        <v>0</v>
      </c>
      <c r="Y2948" t="b">
        <v>0</v>
      </c>
      <c r="Z2948" t="b">
        <v>1</v>
      </c>
      <c r="AA2948" t="b">
        <v>0</v>
      </c>
      <c r="AB2948" t="b">
        <v>0</v>
      </c>
      <c r="AC2948" t="b">
        <v>1</v>
      </c>
      <c r="AE2948" t="s">
        <v>7212</v>
      </c>
    </row>
    <row r="2949" spans="1:31" x14ac:dyDescent="0.3">
      <c r="A2949">
        <v>-73.954522558700006</v>
      </c>
      <c r="B2949">
        <v>40.795607466310003</v>
      </c>
      <c r="C2949" t="s">
        <v>7213</v>
      </c>
      <c r="D2949" t="s">
        <v>1063</v>
      </c>
      <c r="E2949" t="s">
        <v>38</v>
      </c>
      <c r="F2949">
        <v>10142018</v>
      </c>
      <c r="G2949">
        <v>3</v>
      </c>
      <c r="H2949" t="s">
        <v>48</v>
      </c>
      <c r="I2949" t="s">
        <v>42</v>
      </c>
      <c r="J2949" t="s">
        <v>53</v>
      </c>
      <c r="K2949" t="s">
        <v>54</v>
      </c>
      <c r="M2949" t="s">
        <v>65</v>
      </c>
      <c r="N2949" t="b">
        <v>0</v>
      </c>
      <c r="P2949" t="b">
        <v>1</v>
      </c>
      <c r="Q2949" t="b">
        <v>0</v>
      </c>
      <c r="R2949" t="b">
        <v>0</v>
      </c>
      <c r="S2949" t="b">
        <v>0</v>
      </c>
      <c r="T2949" t="b">
        <v>0</v>
      </c>
      <c r="V2949" t="b">
        <v>0</v>
      </c>
      <c r="W2949" t="b">
        <v>0</v>
      </c>
      <c r="X2949" t="b">
        <v>0</v>
      </c>
      <c r="Y2949" t="b">
        <v>0</v>
      </c>
      <c r="Z2949" t="b">
        <v>0</v>
      </c>
      <c r="AA2949" t="b">
        <v>0</v>
      </c>
      <c r="AB2949" t="b">
        <v>0</v>
      </c>
      <c r="AC2949" t="b">
        <v>1</v>
      </c>
      <c r="AE2949" t="s">
        <v>7214</v>
      </c>
    </row>
    <row r="2950" spans="1:31" x14ac:dyDescent="0.3">
      <c r="A2950">
        <v>-73.965120620129994</v>
      </c>
      <c r="B2950">
        <v>40.778527906480001</v>
      </c>
      <c r="C2950" t="s">
        <v>7215</v>
      </c>
      <c r="D2950" t="s">
        <v>510</v>
      </c>
      <c r="E2950" t="s">
        <v>38</v>
      </c>
      <c r="F2950">
        <v>10142018</v>
      </c>
      <c r="G2950">
        <v>2</v>
      </c>
      <c r="H2950" t="s">
        <v>48</v>
      </c>
      <c r="I2950" t="s">
        <v>42</v>
      </c>
      <c r="J2950" t="s">
        <v>59</v>
      </c>
      <c r="K2950" t="s">
        <v>79</v>
      </c>
      <c r="M2950" t="s">
        <v>65</v>
      </c>
      <c r="N2950" t="b">
        <v>0</v>
      </c>
      <c r="P2950" t="b">
        <v>1</v>
      </c>
      <c r="Q2950" t="b">
        <v>0</v>
      </c>
      <c r="R2950" t="b">
        <v>0</v>
      </c>
      <c r="S2950" t="b">
        <v>0</v>
      </c>
      <c r="T2950" t="b">
        <v>0</v>
      </c>
      <c r="V2950" t="b">
        <v>0</v>
      </c>
      <c r="W2950" t="b">
        <v>0</v>
      </c>
      <c r="X2950" t="b">
        <v>0</v>
      </c>
      <c r="Y2950" t="b">
        <v>0</v>
      </c>
      <c r="Z2950" t="b">
        <v>0</v>
      </c>
      <c r="AA2950" t="b">
        <v>0</v>
      </c>
      <c r="AB2950" t="b">
        <v>1</v>
      </c>
      <c r="AC2950" t="b">
        <v>0</v>
      </c>
      <c r="AE2950" t="s">
        <v>7216</v>
      </c>
    </row>
    <row r="2951" spans="1:31" x14ac:dyDescent="0.3">
      <c r="A2951">
        <v>-73.979098012449995</v>
      </c>
      <c r="B2951">
        <v>40.76859340939</v>
      </c>
      <c r="C2951" t="s">
        <v>7217</v>
      </c>
      <c r="D2951" t="s">
        <v>204</v>
      </c>
      <c r="E2951" t="s">
        <v>33</v>
      </c>
      <c r="F2951">
        <v>10132018</v>
      </c>
      <c r="G2951">
        <v>8</v>
      </c>
      <c r="H2951" t="s">
        <v>48</v>
      </c>
      <c r="I2951" t="s">
        <v>42</v>
      </c>
      <c r="J2951" t="s">
        <v>59</v>
      </c>
      <c r="K2951" t="s">
        <v>79</v>
      </c>
      <c r="M2951" t="s">
        <v>44</v>
      </c>
      <c r="N2951">
        <v>15</v>
      </c>
      <c r="P2951" t="b">
        <v>0</v>
      </c>
      <c r="Q2951" t="b">
        <v>0</v>
      </c>
      <c r="R2951" t="b">
        <v>0</v>
      </c>
      <c r="S2951" t="b">
        <v>1</v>
      </c>
      <c r="T2951" t="b">
        <v>0</v>
      </c>
      <c r="V2951" t="b">
        <v>0</v>
      </c>
      <c r="W2951" t="b">
        <v>0</v>
      </c>
      <c r="X2951" t="b">
        <v>0</v>
      </c>
      <c r="Y2951" t="b">
        <v>0</v>
      </c>
      <c r="Z2951" t="b">
        <v>0</v>
      </c>
      <c r="AA2951" t="b">
        <v>0</v>
      </c>
      <c r="AB2951" t="b">
        <v>0</v>
      </c>
      <c r="AC2951" t="b">
        <v>0</v>
      </c>
      <c r="AE2951" t="s">
        <v>7218</v>
      </c>
    </row>
    <row r="2952" spans="1:31" x14ac:dyDescent="0.3">
      <c r="A2952">
        <v>-73.974298603289995</v>
      </c>
      <c r="B2952">
        <v>40.77704543182</v>
      </c>
      <c r="C2952" t="s">
        <v>7219</v>
      </c>
      <c r="D2952" t="s">
        <v>585</v>
      </c>
      <c r="E2952" t="s">
        <v>33</v>
      </c>
      <c r="F2952">
        <v>10142018</v>
      </c>
      <c r="G2952">
        <v>4</v>
      </c>
      <c r="I2952" t="s">
        <v>42</v>
      </c>
      <c r="K2952" t="s">
        <v>43</v>
      </c>
      <c r="M2952" t="s">
        <v>65</v>
      </c>
      <c r="N2952" t="b">
        <v>0</v>
      </c>
      <c r="P2952" t="b">
        <v>0</v>
      </c>
      <c r="Q2952" t="b">
        <v>0</v>
      </c>
      <c r="R2952" t="b">
        <v>0</v>
      </c>
      <c r="S2952" t="b">
        <v>1</v>
      </c>
      <c r="T2952" t="b">
        <v>0</v>
      </c>
      <c r="V2952" t="b">
        <v>0</v>
      </c>
      <c r="W2952" t="b">
        <v>0</v>
      </c>
      <c r="X2952" t="b">
        <v>0</v>
      </c>
      <c r="Y2952" t="b">
        <v>0</v>
      </c>
      <c r="Z2952" t="b">
        <v>0</v>
      </c>
      <c r="AA2952" t="b">
        <v>0</v>
      </c>
      <c r="AB2952" t="b">
        <v>0</v>
      </c>
      <c r="AC2952" t="b">
        <v>0</v>
      </c>
      <c r="AE2952" t="s">
        <v>7220</v>
      </c>
    </row>
    <row r="2953" spans="1:31" x14ac:dyDescent="0.3">
      <c r="A2953">
        <v>-73.976371944579995</v>
      </c>
      <c r="B2953">
        <v>40.768955141329997</v>
      </c>
      <c r="C2953" t="s">
        <v>7221</v>
      </c>
      <c r="D2953" t="s">
        <v>534</v>
      </c>
      <c r="E2953" t="s">
        <v>33</v>
      </c>
      <c r="F2953">
        <v>10082018</v>
      </c>
      <c r="G2953">
        <v>4</v>
      </c>
      <c r="H2953" t="s">
        <v>48</v>
      </c>
      <c r="I2953" t="s">
        <v>53</v>
      </c>
      <c r="J2953" t="s">
        <v>115</v>
      </c>
      <c r="K2953" t="s">
        <v>116</v>
      </c>
      <c r="M2953" t="s">
        <v>65</v>
      </c>
      <c r="N2953" t="b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1</v>
      </c>
      <c r="V2953" t="b">
        <v>0</v>
      </c>
      <c r="W2953" t="b">
        <v>0</v>
      </c>
      <c r="X2953" t="b">
        <v>0</v>
      </c>
      <c r="Y2953" t="b">
        <v>0</v>
      </c>
      <c r="Z2953" t="b">
        <v>0</v>
      </c>
      <c r="AA2953" t="b">
        <v>0</v>
      </c>
      <c r="AB2953" t="b">
        <v>1</v>
      </c>
      <c r="AC2953" t="b">
        <v>0</v>
      </c>
      <c r="AE2953" t="s">
        <v>7222</v>
      </c>
    </row>
    <row r="2954" spans="1:31" x14ac:dyDescent="0.3">
      <c r="A2954">
        <v>-73.958586211729994</v>
      </c>
      <c r="B2954">
        <v>40.79865492511</v>
      </c>
      <c r="C2954" t="s">
        <v>7223</v>
      </c>
      <c r="D2954" t="s">
        <v>448</v>
      </c>
      <c r="E2954" t="s">
        <v>33</v>
      </c>
      <c r="F2954">
        <v>10142018</v>
      </c>
      <c r="G2954">
        <v>5</v>
      </c>
      <c r="H2954" t="s">
        <v>48</v>
      </c>
      <c r="I2954" t="s">
        <v>42</v>
      </c>
      <c r="J2954" t="s">
        <v>59</v>
      </c>
      <c r="K2954" t="s">
        <v>79</v>
      </c>
      <c r="M2954" t="s">
        <v>65</v>
      </c>
      <c r="N2954" t="b">
        <v>0</v>
      </c>
      <c r="P2954" t="b">
        <v>0</v>
      </c>
      <c r="Q2954" t="b">
        <v>0</v>
      </c>
      <c r="R2954" t="b">
        <v>0</v>
      </c>
      <c r="S2954" t="b">
        <v>1</v>
      </c>
      <c r="T2954" t="b">
        <v>1</v>
      </c>
      <c r="U2954" t="s">
        <v>7224</v>
      </c>
      <c r="V2954" t="b">
        <v>0</v>
      </c>
      <c r="W2954" t="b">
        <v>0</v>
      </c>
      <c r="X2954" t="b">
        <v>0</v>
      </c>
      <c r="Y2954" t="b">
        <v>0</v>
      </c>
      <c r="Z2954" t="b">
        <v>0</v>
      </c>
      <c r="AA2954" t="b">
        <v>0</v>
      </c>
      <c r="AB2954" t="b">
        <v>1</v>
      </c>
      <c r="AC2954" t="b">
        <v>0</v>
      </c>
      <c r="AE2954" t="s">
        <v>7225</v>
      </c>
    </row>
    <row r="2955" spans="1:31" x14ac:dyDescent="0.3">
      <c r="A2955">
        <v>-73.967747431340001</v>
      </c>
      <c r="B2955">
        <v>40.774211924079999</v>
      </c>
      <c r="C2955" t="s">
        <v>7226</v>
      </c>
      <c r="D2955" t="s">
        <v>1389</v>
      </c>
      <c r="E2955" t="s">
        <v>33</v>
      </c>
      <c r="F2955">
        <v>10072018</v>
      </c>
      <c r="G2955">
        <v>3</v>
      </c>
      <c r="I2955" t="s">
        <v>42</v>
      </c>
      <c r="J2955" t="s">
        <v>53</v>
      </c>
      <c r="K2955" t="s">
        <v>54</v>
      </c>
      <c r="M2955" t="s">
        <v>65</v>
      </c>
      <c r="N2955" t="b">
        <v>0</v>
      </c>
      <c r="P2955" t="b">
        <v>0</v>
      </c>
      <c r="Q2955" t="b">
        <v>0</v>
      </c>
      <c r="R2955" t="b">
        <v>0</v>
      </c>
      <c r="S2955" t="b">
        <v>1</v>
      </c>
      <c r="T2955" t="b">
        <v>0</v>
      </c>
      <c r="U2955" t="s">
        <v>1539</v>
      </c>
      <c r="V2955" t="b">
        <v>0</v>
      </c>
      <c r="W2955" t="b">
        <v>0</v>
      </c>
      <c r="X2955" t="b">
        <v>0</v>
      </c>
      <c r="Y2955" t="b">
        <v>0</v>
      </c>
      <c r="Z2955" t="b">
        <v>0</v>
      </c>
      <c r="AA2955" t="b">
        <v>0</v>
      </c>
      <c r="AB2955" t="b">
        <v>1</v>
      </c>
      <c r="AC2955" t="b">
        <v>0</v>
      </c>
      <c r="AE2955" t="s">
        <v>7227</v>
      </c>
    </row>
    <row r="2956" spans="1:31" x14ac:dyDescent="0.3">
      <c r="A2956">
        <v>-73.971166652340003</v>
      </c>
      <c r="B2956">
        <v>40.776151305699997</v>
      </c>
      <c r="C2956" t="s">
        <v>7228</v>
      </c>
      <c r="D2956" t="s">
        <v>415</v>
      </c>
      <c r="E2956" t="s">
        <v>38</v>
      </c>
      <c r="F2956">
        <v>10142018</v>
      </c>
      <c r="G2956">
        <v>2</v>
      </c>
      <c r="H2956" t="s">
        <v>48</v>
      </c>
      <c r="I2956" t="s">
        <v>53</v>
      </c>
      <c r="K2956" t="s">
        <v>155</v>
      </c>
      <c r="M2956" t="s">
        <v>65</v>
      </c>
      <c r="N2956" t="b">
        <v>0</v>
      </c>
      <c r="P2956" t="b">
        <v>0</v>
      </c>
      <c r="Q2956" t="b">
        <v>1</v>
      </c>
      <c r="R2956" t="b">
        <v>0</v>
      </c>
      <c r="S2956" t="b">
        <v>0</v>
      </c>
      <c r="T2956" t="b">
        <v>1</v>
      </c>
      <c r="V2956" t="b">
        <v>0</v>
      </c>
      <c r="W2956" t="b">
        <v>0</v>
      </c>
      <c r="X2956" t="b">
        <v>0</v>
      </c>
      <c r="Y2956" t="b">
        <v>0</v>
      </c>
      <c r="Z2956" t="b">
        <v>0</v>
      </c>
      <c r="AA2956" t="b">
        <v>0</v>
      </c>
      <c r="AB2956" t="b">
        <v>1</v>
      </c>
      <c r="AC2956" t="b">
        <v>0</v>
      </c>
      <c r="AE2956" t="s">
        <v>7229</v>
      </c>
    </row>
    <row r="2957" spans="1:31" x14ac:dyDescent="0.3">
      <c r="A2957">
        <v>-73.965474169559997</v>
      </c>
      <c r="B2957">
        <v>40.789042785109999</v>
      </c>
      <c r="C2957" t="s">
        <v>7230</v>
      </c>
      <c r="D2957" t="s">
        <v>3642</v>
      </c>
      <c r="E2957" t="s">
        <v>33</v>
      </c>
      <c r="F2957">
        <v>10102018</v>
      </c>
      <c r="G2957">
        <v>1</v>
      </c>
      <c r="H2957" t="s">
        <v>48</v>
      </c>
      <c r="I2957" t="s">
        <v>42</v>
      </c>
      <c r="J2957" t="s">
        <v>59</v>
      </c>
      <c r="K2957" t="s">
        <v>79</v>
      </c>
      <c r="M2957" t="s">
        <v>44</v>
      </c>
      <c r="N2957">
        <v>10</v>
      </c>
      <c r="O2957" t="s">
        <v>3098</v>
      </c>
      <c r="P2957" t="b">
        <v>0</v>
      </c>
      <c r="Q2957" t="b">
        <v>0</v>
      </c>
      <c r="R2957" t="b">
        <v>1</v>
      </c>
      <c r="S2957" t="b">
        <v>0</v>
      </c>
      <c r="T2957" t="b">
        <v>0</v>
      </c>
      <c r="V2957" t="b">
        <v>0</v>
      </c>
      <c r="W2957" t="b">
        <v>0</v>
      </c>
      <c r="X2957" t="b">
        <v>0</v>
      </c>
      <c r="Y2957" t="b">
        <v>0</v>
      </c>
      <c r="Z2957" t="b">
        <v>0</v>
      </c>
      <c r="AA2957" t="b">
        <v>0</v>
      </c>
      <c r="AB2957" t="b">
        <v>0</v>
      </c>
      <c r="AC2957" t="b">
        <v>0</v>
      </c>
      <c r="AE2957" t="s">
        <v>7231</v>
      </c>
    </row>
    <row r="2958" spans="1:31" x14ac:dyDescent="0.3">
      <c r="A2958">
        <v>-73.974731315219998</v>
      </c>
      <c r="B2958">
        <v>40.765388835179998</v>
      </c>
      <c r="C2958" t="s">
        <v>7232</v>
      </c>
      <c r="D2958" t="s">
        <v>963</v>
      </c>
      <c r="E2958" t="s">
        <v>33</v>
      </c>
      <c r="F2958">
        <v>10102018</v>
      </c>
      <c r="G2958">
        <v>3</v>
      </c>
      <c r="H2958" t="s">
        <v>48</v>
      </c>
      <c r="I2958" t="s">
        <v>42</v>
      </c>
      <c r="J2958" t="s">
        <v>53</v>
      </c>
      <c r="K2958" t="s">
        <v>54</v>
      </c>
      <c r="M2958" t="s">
        <v>65</v>
      </c>
      <c r="N2958" t="b">
        <v>0</v>
      </c>
      <c r="P2958" t="b">
        <v>0</v>
      </c>
      <c r="Q2958" t="b">
        <v>0</v>
      </c>
      <c r="R2958" t="b">
        <v>0</v>
      </c>
      <c r="S2958" t="b">
        <v>1</v>
      </c>
      <c r="T2958" t="b">
        <v>1</v>
      </c>
      <c r="V2958" t="b">
        <v>0</v>
      </c>
      <c r="W2958" t="b">
        <v>0</v>
      </c>
      <c r="X2958" t="b">
        <v>0</v>
      </c>
      <c r="Y2958" t="b">
        <v>0</v>
      </c>
      <c r="Z2958" t="b">
        <v>0</v>
      </c>
      <c r="AA2958" t="b">
        <v>1</v>
      </c>
      <c r="AB2958" t="b">
        <v>0</v>
      </c>
      <c r="AC2958" t="b">
        <v>0</v>
      </c>
      <c r="AE2958" t="s">
        <v>7233</v>
      </c>
    </row>
    <row r="2959" spans="1:31" x14ac:dyDescent="0.3">
      <c r="A2959">
        <v>-73.954174808320005</v>
      </c>
      <c r="B2959">
        <v>40.795275844290003</v>
      </c>
      <c r="C2959" t="s">
        <v>7234</v>
      </c>
      <c r="D2959" t="s">
        <v>1063</v>
      </c>
      <c r="E2959" t="s">
        <v>33</v>
      </c>
      <c r="F2959">
        <v>10062018</v>
      </c>
      <c r="G2959">
        <v>1</v>
      </c>
      <c r="H2959" t="s">
        <v>48</v>
      </c>
      <c r="I2959" t="s">
        <v>42</v>
      </c>
      <c r="K2959" t="s">
        <v>43</v>
      </c>
      <c r="M2959" t="s">
        <v>65</v>
      </c>
      <c r="N2959" t="b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1</v>
      </c>
      <c r="U2959" t="s">
        <v>7235</v>
      </c>
      <c r="V2959" t="b">
        <v>0</v>
      </c>
      <c r="W2959" t="b">
        <v>0</v>
      </c>
      <c r="X2959" t="b">
        <v>0</v>
      </c>
      <c r="Y2959" t="b">
        <v>0</v>
      </c>
      <c r="Z2959" t="b">
        <v>0</v>
      </c>
      <c r="AA2959" t="b">
        <v>0</v>
      </c>
      <c r="AB2959" t="b">
        <v>1</v>
      </c>
      <c r="AC2959" t="b">
        <v>0</v>
      </c>
      <c r="AE2959" t="s">
        <v>7236</v>
      </c>
    </row>
    <row r="2960" spans="1:31" x14ac:dyDescent="0.3">
      <c r="A2960">
        <v>-73.974796316219994</v>
      </c>
      <c r="B2960">
        <v>40.774502335580003</v>
      </c>
      <c r="C2960" t="s">
        <v>7237</v>
      </c>
      <c r="D2960" t="s">
        <v>462</v>
      </c>
      <c r="E2960" t="s">
        <v>33</v>
      </c>
      <c r="F2960">
        <v>10142018</v>
      </c>
      <c r="G2960">
        <v>4</v>
      </c>
      <c r="H2960" t="s">
        <v>48</v>
      </c>
      <c r="I2960" t="s">
        <v>42</v>
      </c>
      <c r="J2960" t="s">
        <v>59</v>
      </c>
      <c r="K2960" t="s">
        <v>79</v>
      </c>
      <c r="M2960" t="s">
        <v>65</v>
      </c>
      <c r="N2960" t="b">
        <v>0</v>
      </c>
      <c r="P2960" t="b">
        <v>0</v>
      </c>
      <c r="Q2960" t="b">
        <v>0</v>
      </c>
      <c r="R2960" t="b">
        <v>0</v>
      </c>
      <c r="S2960" t="b">
        <v>1</v>
      </c>
      <c r="T2960" t="b">
        <v>1</v>
      </c>
      <c r="V2960" t="b">
        <v>0</v>
      </c>
      <c r="W2960" t="b">
        <v>0</v>
      </c>
      <c r="X2960" t="b">
        <v>0</v>
      </c>
      <c r="Y2960" t="b">
        <v>0</v>
      </c>
      <c r="Z2960" t="b">
        <v>0</v>
      </c>
      <c r="AA2960" t="b">
        <v>0</v>
      </c>
      <c r="AB2960" t="b">
        <v>0</v>
      </c>
      <c r="AC2960" t="b">
        <v>0</v>
      </c>
      <c r="AD2960" t="s">
        <v>463</v>
      </c>
      <c r="AE2960" t="s">
        <v>7238</v>
      </c>
    </row>
    <row r="2961" spans="1:31" x14ac:dyDescent="0.3">
      <c r="A2961">
        <v>-73.962524814519995</v>
      </c>
      <c r="B2961">
        <v>40.78100229236</v>
      </c>
      <c r="C2961" t="s">
        <v>7239</v>
      </c>
      <c r="D2961" t="s">
        <v>1657</v>
      </c>
      <c r="E2961" t="s">
        <v>33</v>
      </c>
      <c r="F2961">
        <v>10182018</v>
      </c>
      <c r="G2961">
        <v>3</v>
      </c>
      <c r="H2961" t="s">
        <v>48</v>
      </c>
      <c r="I2961" t="s">
        <v>42</v>
      </c>
      <c r="K2961" t="s">
        <v>43</v>
      </c>
      <c r="M2961" t="s">
        <v>44</v>
      </c>
      <c r="N2961">
        <v>25</v>
      </c>
      <c r="P2961" t="b">
        <v>0</v>
      </c>
      <c r="Q2961" t="b">
        <v>0</v>
      </c>
      <c r="R2961" t="b">
        <v>1</v>
      </c>
      <c r="S2961" t="b">
        <v>0</v>
      </c>
      <c r="T2961" t="b">
        <v>0</v>
      </c>
      <c r="V2961" t="b">
        <v>1</v>
      </c>
      <c r="W2961" t="b">
        <v>0</v>
      </c>
      <c r="X2961" t="b">
        <v>0</v>
      </c>
      <c r="Y2961" t="b">
        <v>0</v>
      </c>
      <c r="Z2961" t="b">
        <v>0</v>
      </c>
      <c r="AA2961" t="b">
        <v>0</v>
      </c>
      <c r="AB2961" t="b">
        <v>1</v>
      </c>
      <c r="AC2961" t="b">
        <v>0</v>
      </c>
      <c r="AE2961" t="s">
        <v>7240</v>
      </c>
    </row>
    <row r="2962" spans="1:31" x14ac:dyDescent="0.3">
      <c r="A2962">
        <v>-73.973623825860003</v>
      </c>
      <c r="B2962">
        <v>40.768871277119999</v>
      </c>
      <c r="C2962" t="s">
        <v>7241</v>
      </c>
      <c r="D2962" t="s">
        <v>250</v>
      </c>
      <c r="E2962" t="s">
        <v>33</v>
      </c>
      <c r="F2962">
        <v>10072018</v>
      </c>
      <c r="G2962">
        <v>4</v>
      </c>
      <c r="H2962" t="s">
        <v>48</v>
      </c>
      <c r="I2962" t="s">
        <v>42</v>
      </c>
      <c r="J2962" t="s">
        <v>53</v>
      </c>
      <c r="K2962" t="s">
        <v>54</v>
      </c>
      <c r="M2962" t="s">
        <v>65</v>
      </c>
      <c r="N2962" t="b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1</v>
      </c>
      <c r="V2962" t="b">
        <v>0</v>
      </c>
      <c r="W2962" t="b">
        <v>0</v>
      </c>
      <c r="X2962" t="b">
        <v>0</v>
      </c>
      <c r="Y2962" t="b">
        <v>0</v>
      </c>
      <c r="Z2962" t="b">
        <v>1</v>
      </c>
      <c r="AA2962" t="b">
        <v>0</v>
      </c>
      <c r="AB2962" t="b">
        <v>1</v>
      </c>
      <c r="AC2962" t="b">
        <v>0</v>
      </c>
      <c r="AE2962" t="s">
        <v>7242</v>
      </c>
    </row>
    <row r="2963" spans="1:31" x14ac:dyDescent="0.3">
      <c r="A2963">
        <v>-73.972253082630004</v>
      </c>
      <c r="B2963">
        <v>40.766713802840002</v>
      </c>
      <c r="C2963" t="s">
        <v>7243</v>
      </c>
      <c r="D2963" t="s">
        <v>985</v>
      </c>
      <c r="E2963" t="s">
        <v>38</v>
      </c>
      <c r="F2963">
        <v>10102018</v>
      </c>
      <c r="G2963">
        <v>5</v>
      </c>
      <c r="H2963" t="s">
        <v>48</v>
      </c>
      <c r="I2963" t="s">
        <v>42</v>
      </c>
      <c r="K2963" t="s">
        <v>43</v>
      </c>
      <c r="M2963" t="s">
        <v>65</v>
      </c>
      <c r="N2963" t="b">
        <v>0</v>
      </c>
      <c r="P2963" t="b">
        <v>0</v>
      </c>
      <c r="Q2963" t="b">
        <v>0</v>
      </c>
      <c r="R2963" t="b">
        <v>0</v>
      </c>
      <c r="S2963" t="b">
        <v>0</v>
      </c>
      <c r="T2963" t="b">
        <v>1</v>
      </c>
      <c r="V2963" t="b">
        <v>0</v>
      </c>
      <c r="W2963" t="b">
        <v>0</v>
      </c>
      <c r="X2963" t="b">
        <v>0</v>
      </c>
      <c r="Y2963" t="b">
        <v>0</v>
      </c>
      <c r="Z2963" t="b">
        <v>0</v>
      </c>
      <c r="AA2963" t="b">
        <v>0</v>
      </c>
      <c r="AB2963" t="b">
        <v>1</v>
      </c>
      <c r="AC2963" t="b">
        <v>0</v>
      </c>
      <c r="AE2963" t="s">
        <v>7244</v>
      </c>
    </row>
    <row r="2964" spans="1:31" x14ac:dyDescent="0.3">
      <c r="A2964">
        <v>-73.968702080080007</v>
      </c>
      <c r="B2964">
        <v>40.773590342449999</v>
      </c>
      <c r="C2964" t="s">
        <v>7245</v>
      </c>
      <c r="D2964" t="s">
        <v>58</v>
      </c>
      <c r="E2964" t="s">
        <v>38</v>
      </c>
      <c r="F2964">
        <v>10102018</v>
      </c>
      <c r="G2964">
        <v>8</v>
      </c>
      <c r="H2964" t="s">
        <v>48</v>
      </c>
      <c r="I2964" t="s">
        <v>42</v>
      </c>
      <c r="J2964" t="s">
        <v>53</v>
      </c>
      <c r="K2964" t="s">
        <v>54</v>
      </c>
      <c r="M2964" t="s">
        <v>65</v>
      </c>
      <c r="N2964" t="b">
        <v>0</v>
      </c>
      <c r="P2964" t="b">
        <v>0</v>
      </c>
      <c r="Q2964" t="b">
        <v>0</v>
      </c>
      <c r="R2964" t="b">
        <v>0</v>
      </c>
      <c r="S2964" t="b">
        <v>0</v>
      </c>
      <c r="T2964" t="b">
        <v>1</v>
      </c>
      <c r="V2964" t="b">
        <v>0</v>
      </c>
      <c r="W2964" t="b">
        <v>0</v>
      </c>
      <c r="X2964" t="b">
        <v>0</v>
      </c>
      <c r="Y2964" t="b">
        <v>0</v>
      </c>
      <c r="Z2964" t="b">
        <v>1</v>
      </c>
      <c r="AA2964" t="b">
        <v>0</v>
      </c>
      <c r="AB2964" t="b">
        <v>0</v>
      </c>
      <c r="AC2964" t="b">
        <v>1</v>
      </c>
      <c r="AE2964" t="s">
        <v>7246</v>
      </c>
    </row>
    <row r="2965" spans="1:31" x14ac:dyDescent="0.3">
      <c r="A2965">
        <v>-73.970360454290002</v>
      </c>
      <c r="B2965">
        <v>40.776269022329998</v>
      </c>
      <c r="C2965" t="s">
        <v>7247</v>
      </c>
      <c r="D2965" t="s">
        <v>52</v>
      </c>
      <c r="E2965" t="s">
        <v>38</v>
      </c>
      <c r="F2965">
        <v>10172018</v>
      </c>
      <c r="G2965">
        <v>4</v>
      </c>
      <c r="H2965" t="s">
        <v>48</v>
      </c>
      <c r="I2965" t="s">
        <v>42</v>
      </c>
      <c r="K2965" t="s">
        <v>43</v>
      </c>
      <c r="M2965" t="s">
        <v>65</v>
      </c>
      <c r="N2965" t="b">
        <v>0</v>
      </c>
      <c r="P2965" t="b">
        <v>0</v>
      </c>
      <c r="Q2965" t="b">
        <v>0</v>
      </c>
      <c r="R2965" t="b">
        <v>0</v>
      </c>
      <c r="S2965" t="b">
        <v>0</v>
      </c>
      <c r="T2965" t="b">
        <v>1</v>
      </c>
      <c r="V2965" t="b">
        <v>0</v>
      </c>
      <c r="W2965" t="b">
        <v>0</v>
      </c>
      <c r="X2965" t="b">
        <v>0</v>
      </c>
      <c r="Y2965" t="b">
        <v>0</v>
      </c>
      <c r="Z2965" t="b">
        <v>0</v>
      </c>
      <c r="AA2965" t="b">
        <v>0</v>
      </c>
      <c r="AB2965" t="b">
        <v>0</v>
      </c>
      <c r="AC2965" t="b">
        <v>0</v>
      </c>
      <c r="AE2965" t="s">
        <v>7248</v>
      </c>
    </row>
    <row r="2966" spans="1:31" x14ac:dyDescent="0.3">
      <c r="A2966">
        <v>-73.976738913299997</v>
      </c>
      <c r="B2966">
        <v>40.768932369140003</v>
      </c>
      <c r="C2966" t="s">
        <v>7249</v>
      </c>
      <c r="D2966" t="s">
        <v>534</v>
      </c>
      <c r="E2966" t="s">
        <v>33</v>
      </c>
      <c r="F2966">
        <v>10082018</v>
      </c>
      <c r="G2966">
        <v>10</v>
      </c>
      <c r="H2966" t="s">
        <v>48</v>
      </c>
      <c r="I2966" t="s">
        <v>53</v>
      </c>
      <c r="J2966" t="s">
        <v>115</v>
      </c>
      <c r="K2966" t="s">
        <v>116</v>
      </c>
      <c r="M2966" t="s">
        <v>44</v>
      </c>
      <c r="N2966">
        <v>6</v>
      </c>
      <c r="O2966" t="s">
        <v>7250</v>
      </c>
      <c r="P2966" t="b">
        <v>0</v>
      </c>
      <c r="Q2966" t="b">
        <v>0</v>
      </c>
      <c r="R2966" t="b">
        <v>1</v>
      </c>
      <c r="S2966" t="b">
        <v>0</v>
      </c>
      <c r="T2966" t="b">
        <v>1</v>
      </c>
      <c r="V2966" t="b">
        <v>0</v>
      </c>
      <c r="W2966" t="b">
        <v>0</v>
      </c>
      <c r="X2966" t="b">
        <v>0</v>
      </c>
      <c r="Y2966" t="b">
        <v>0</v>
      </c>
      <c r="Z2966" t="b">
        <v>0</v>
      </c>
      <c r="AA2966" t="b">
        <v>1</v>
      </c>
      <c r="AB2966" t="b">
        <v>0</v>
      </c>
      <c r="AC2966" t="b">
        <v>0</v>
      </c>
      <c r="AE2966" t="s">
        <v>7251</v>
      </c>
    </row>
    <row r="2967" spans="1:31" x14ac:dyDescent="0.3">
      <c r="A2967">
        <v>-73.963059610339997</v>
      </c>
      <c r="B2967">
        <v>40.792572062060003</v>
      </c>
      <c r="C2967" t="s">
        <v>7252</v>
      </c>
      <c r="D2967" t="s">
        <v>104</v>
      </c>
      <c r="E2967" t="s">
        <v>38</v>
      </c>
      <c r="F2967">
        <v>10182018</v>
      </c>
      <c r="G2967">
        <v>4</v>
      </c>
      <c r="H2967" t="s">
        <v>48</v>
      </c>
      <c r="I2967" t="s">
        <v>42</v>
      </c>
      <c r="K2967" t="s">
        <v>43</v>
      </c>
      <c r="M2967" t="s">
        <v>65</v>
      </c>
      <c r="N2967" t="b">
        <v>0</v>
      </c>
      <c r="O2967" t="s">
        <v>7253</v>
      </c>
      <c r="P2967" t="b">
        <v>0</v>
      </c>
      <c r="Q2967" t="b">
        <v>0</v>
      </c>
      <c r="R2967" t="b">
        <v>0</v>
      </c>
      <c r="S2967" t="b">
        <v>0</v>
      </c>
      <c r="T2967" t="b">
        <v>1</v>
      </c>
      <c r="V2967" t="b">
        <v>0</v>
      </c>
      <c r="W2967" t="b">
        <v>0</v>
      </c>
      <c r="X2967" t="b">
        <v>0</v>
      </c>
      <c r="Y2967" t="b">
        <v>1</v>
      </c>
      <c r="Z2967" t="b">
        <v>0</v>
      </c>
      <c r="AA2967" t="b">
        <v>0</v>
      </c>
      <c r="AB2967" t="b">
        <v>1</v>
      </c>
      <c r="AC2967" t="b">
        <v>0</v>
      </c>
      <c r="AE2967" t="s">
        <v>7254</v>
      </c>
    </row>
    <row r="2968" spans="1:31" x14ac:dyDescent="0.3">
      <c r="A2968">
        <v>-73.971325758640006</v>
      </c>
      <c r="B2968">
        <v>40.776271961950002</v>
      </c>
      <c r="C2968" t="s">
        <v>7255</v>
      </c>
      <c r="D2968" t="s">
        <v>415</v>
      </c>
      <c r="E2968" t="s">
        <v>38</v>
      </c>
      <c r="F2968">
        <v>10142018</v>
      </c>
      <c r="G2968">
        <v>9</v>
      </c>
      <c r="H2968" t="s">
        <v>48</v>
      </c>
      <c r="I2968" t="s">
        <v>42</v>
      </c>
      <c r="J2968" t="s">
        <v>53</v>
      </c>
      <c r="K2968" t="s">
        <v>54</v>
      </c>
      <c r="M2968" t="s">
        <v>65</v>
      </c>
      <c r="N2968" t="b">
        <v>0</v>
      </c>
      <c r="P2968" t="b">
        <v>0</v>
      </c>
      <c r="Q2968" t="b">
        <v>0</v>
      </c>
      <c r="R2968" t="b">
        <v>0</v>
      </c>
      <c r="S2968" t="b">
        <v>1</v>
      </c>
      <c r="T2968" t="b">
        <v>1</v>
      </c>
      <c r="V2968" t="b">
        <v>0</v>
      </c>
      <c r="W2968" t="b">
        <v>0</v>
      </c>
      <c r="X2968" t="b">
        <v>0</v>
      </c>
      <c r="Y2968" t="b">
        <v>0</v>
      </c>
      <c r="Z2968" t="b">
        <v>0</v>
      </c>
      <c r="AA2968" t="b">
        <v>0</v>
      </c>
      <c r="AB2968" t="b">
        <v>1</v>
      </c>
      <c r="AC2968" t="b">
        <v>0</v>
      </c>
      <c r="AE2968" t="s">
        <v>7256</v>
      </c>
    </row>
    <row r="2969" spans="1:31" x14ac:dyDescent="0.3">
      <c r="A2969">
        <v>-73.958723661959993</v>
      </c>
      <c r="B2969">
        <v>40.799185018039999</v>
      </c>
      <c r="C2969" t="s">
        <v>7257</v>
      </c>
      <c r="D2969" t="s">
        <v>448</v>
      </c>
      <c r="E2969" t="s">
        <v>38</v>
      </c>
      <c r="F2969">
        <v>10102018</v>
      </c>
      <c r="G2969">
        <v>2</v>
      </c>
      <c r="H2969" t="s">
        <v>48</v>
      </c>
      <c r="I2969" t="s">
        <v>42</v>
      </c>
      <c r="J2969" t="s">
        <v>53</v>
      </c>
      <c r="K2969" t="s">
        <v>54</v>
      </c>
      <c r="M2969" t="s">
        <v>65</v>
      </c>
      <c r="N2969" t="b">
        <v>0</v>
      </c>
      <c r="O2969" t="s">
        <v>7258</v>
      </c>
      <c r="P2969" t="b">
        <v>1</v>
      </c>
      <c r="Q2969" t="b">
        <v>0</v>
      </c>
      <c r="R2969" t="b">
        <v>1</v>
      </c>
      <c r="S2969" t="b">
        <v>0</v>
      </c>
      <c r="T2969" t="b">
        <v>0</v>
      </c>
      <c r="V2969" t="b">
        <v>0</v>
      </c>
      <c r="W2969" t="b">
        <v>0</v>
      </c>
      <c r="X2969" t="b">
        <v>0</v>
      </c>
      <c r="Y2969" t="b">
        <v>1</v>
      </c>
      <c r="Z2969" t="b">
        <v>0</v>
      </c>
      <c r="AA2969" t="b">
        <v>0</v>
      </c>
      <c r="AB2969" t="b">
        <v>0</v>
      </c>
      <c r="AC2969" t="b">
        <v>1</v>
      </c>
      <c r="AE2969" t="s">
        <v>7259</v>
      </c>
    </row>
    <row r="2970" spans="1:31" x14ac:dyDescent="0.3">
      <c r="A2970">
        <v>-73.965440983860006</v>
      </c>
      <c r="B2970">
        <v>40.79013387485</v>
      </c>
      <c r="C2970" t="s">
        <v>7260</v>
      </c>
      <c r="D2970" t="s">
        <v>3395</v>
      </c>
      <c r="E2970" t="s">
        <v>38</v>
      </c>
      <c r="F2970">
        <v>10132018</v>
      </c>
      <c r="G2970">
        <v>1</v>
      </c>
      <c r="H2970" t="s">
        <v>48</v>
      </c>
      <c r="I2970" t="s">
        <v>42</v>
      </c>
      <c r="J2970" t="s">
        <v>53</v>
      </c>
      <c r="K2970" t="s">
        <v>54</v>
      </c>
      <c r="M2970" t="s">
        <v>65</v>
      </c>
      <c r="N2970" t="b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1</v>
      </c>
      <c r="U2970" t="s">
        <v>7261</v>
      </c>
      <c r="V2970" t="b">
        <v>0</v>
      </c>
      <c r="W2970" t="b">
        <v>0</v>
      </c>
      <c r="X2970" t="b">
        <v>0</v>
      </c>
      <c r="Y2970" t="b">
        <v>0</v>
      </c>
      <c r="Z2970" t="b">
        <v>1</v>
      </c>
      <c r="AA2970" t="b">
        <v>0</v>
      </c>
      <c r="AB2970" t="b">
        <v>0</v>
      </c>
      <c r="AC2970" t="b">
        <v>1</v>
      </c>
      <c r="AE2970" t="s">
        <v>7262</v>
      </c>
    </row>
    <row r="2971" spans="1:31" x14ac:dyDescent="0.3">
      <c r="A2971">
        <v>-73.961901929969997</v>
      </c>
      <c r="B2971">
        <v>40.79244764397</v>
      </c>
      <c r="C2971" t="s">
        <v>7263</v>
      </c>
      <c r="D2971" t="s">
        <v>928</v>
      </c>
      <c r="E2971" t="s">
        <v>33</v>
      </c>
      <c r="F2971">
        <v>10102018</v>
      </c>
      <c r="G2971">
        <v>5</v>
      </c>
      <c r="H2971" t="s">
        <v>48</v>
      </c>
      <c r="I2971" t="s">
        <v>42</v>
      </c>
      <c r="K2971" t="s">
        <v>43</v>
      </c>
      <c r="M2971" t="s">
        <v>65</v>
      </c>
      <c r="N2971" t="b">
        <v>0</v>
      </c>
      <c r="P2971" t="b">
        <v>0</v>
      </c>
      <c r="Q2971" t="b">
        <v>0</v>
      </c>
      <c r="R2971" t="b">
        <v>0</v>
      </c>
      <c r="S2971" t="b">
        <v>0</v>
      </c>
      <c r="T2971" t="b">
        <v>0</v>
      </c>
      <c r="V2971" t="b">
        <v>0</v>
      </c>
      <c r="W2971" t="b">
        <v>0</v>
      </c>
      <c r="X2971" t="b">
        <v>0</v>
      </c>
      <c r="Y2971" t="b">
        <v>0</v>
      </c>
      <c r="Z2971" t="b">
        <v>0</v>
      </c>
      <c r="AA2971" t="b">
        <v>0</v>
      </c>
      <c r="AB2971" t="b">
        <v>1</v>
      </c>
      <c r="AC2971" t="b">
        <v>0</v>
      </c>
      <c r="AE2971" t="s">
        <v>7264</v>
      </c>
    </row>
    <row r="2972" spans="1:31" x14ac:dyDescent="0.3">
      <c r="A2972">
        <v>-73.963980141169998</v>
      </c>
      <c r="B2972">
        <v>40.77789213026</v>
      </c>
      <c r="C2972" t="s">
        <v>7265</v>
      </c>
      <c r="D2972" t="s">
        <v>1141</v>
      </c>
      <c r="E2972" t="s">
        <v>33</v>
      </c>
      <c r="F2972">
        <v>10072018</v>
      </c>
      <c r="G2972">
        <v>4</v>
      </c>
      <c r="H2972" t="s">
        <v>48</v>
      </c>
      <c r="I2972" t="s">
        <v>53</v>
      </c>
      <c r="J2972" t="s">
        <v>42</v>
      </c>
      <c r="K2972" t="s">
        <v>89</v>
      </c>
      <c r="M2972" t="s">
        <v>65</v>
      </c>
      <c r="N2972" t="b">
        <v>0</v>
      </c>
      <c r="P2972" t="b">
        <v>0</v>
      </c>
      <c r="Q2972" t="b">
        <v>0</v>
      </c>
      <c r="R2972" t="b">
        <v>0</v>
      </c>
      <c r="S2972" t="b">
        <v>0</v>
      </c>
      <c r="T2972" t="b">
        <v>0</v>
      </c>
      <c r="U2972" t="s">
        <v>7266</v>
      </c>
      <c r="V2972" t="b">
        <v>0</v>
      </c>
      <c r="W2972" t="b">
        <v>0</v>
      </c>
      <c r="X2972" t="b">
        <v>0</v>
      </c>
      <c r="Y2972" t="b">
        <v>0</v>
      </c>
      <c r="Z2972" t="b">
        <v>0</v>
      </c>
      <c r="AA2972" t="b">
        <v>0</v>
      </c>
      <c r="AB2972" t="b">
        <v>0</v>
      </c>
      <c r="AC2972" t="b">
        <v>1</v>
      </c>
      <c r="AE2972" t="s">
        <v>7267</v>
      </c>
    </row>
    <row r="2973" spans="1:31" x14ac:dyDescent="0.3">
      <c r="A2973">
        <v>-73.963146845690005</v>
      </c>
      <c r="B2973">
        <v>40.792611039969998</v>
      </c>
      <c r="C2973" t="s">
        <v>7268</v>
      </c>
      <c r="D2973" t="s">
        <v>104</v>
      </c>
      <c r="E2973" t="s">
        <v>38</v>
      </c>
      <c r="F2973">
        <v>10182018</v>
      </c>
      <c r="G2973">
        <v>3</v>
      </c>
      <c r="H2973" t="s">
        <v>48</v>
      </c>
      <c r="I2973" t="s">
        <v>42</v>
      </c>
      <c r="K2973" t="s">
        <v>43</v>
      </c>
      <c r="M2973" t="s">
        <v>65</v>
      </c>
      <c r="N2973" t="b">
        <v>0</v>
      </c>
      <c r="P2973" t="b">
        <v>0</v>
      </c>
      <c r="Q2973" t="b">
        <v>0</v>
      </c>
      <c r="R2973" t="b">
        <v>0</v>
      </c>
      <c r="S2973" t="b">
        <v>0</v>
      </c>
      <c r="T2973" t="b">
        <v>1</v>
      </c>
      <c r="V2973" t="b">
        <v>0</v>
      </c>
      <c r="W2973" t="b">
        <v>0</v>
      </c>
      <c r="X2973" t="b">
        <v>0</v>
      </c>
      <c r="Y2973" t="b">
        <v>0</v>
      </c>
      <c r="Z2973" t="b">
        <v>0</v>
      </c>
      <c r="AA2973" t="b">
        <v>0</v>
      </c>
      <c r="AB2973" t="b">
        <v>1</v>
      </c>
      <c r="AC2973" t="b">
        <v>0</v>
      </c>
      <c r="AE2973" t="s">
        <v>7269</v>
      </c>
    </row>
    <row r="2974" spans="1:31" x14ac:dyDescent="0.3">
      <c r="A2974">
        <v>-73.976669318440003</v>
      </c>
      <c r="B2974">
        <v>40.770887921590003</v>
      </c>
      <c r="C2974" t="s">
        <v>7270</v>
      </c>
      <c r="D2974" t="s">
        <v>2798</v>
      </c>
      <c r="E2974" t="s">
        <v>33</v>
      </c>
      <c r="F2974">
        <v>10202018</v>
      </c>
      <c r="G2974">
        <v>1</v>
      </c>
      <c r="H2974" t="s">
        <v>48</v>
      </c>
      <c r="I2974" t="s">
        <v>42</v>
      </c>
      <c r="J2974" t="s">
        <v>59</v>
      </c>
      <c r="K2974" t="s">
        <v>79</v>
      </c>
      <c r="M2974" t="s">
        <v>44</v>
      </c>
      <c r="N2974">
        <v>25</v>
      </c>
      <c r="O2974" t="s">
        <v>7271</v>
      </c>
      <c r="P2974" t="b">
        <v>0</v>
      </c>
      <c r="Q2974" t="b">
        <v>0</v>
      </c>
      <c r="R2974" t="b">
        <v>1</v>
      </c>
      <c r="S2974" t="b">
        <v>0</v>
      </c>
      <c r="T2974" t="b">
        <v>0</v>
      </c>
      <c r="V2974" t="b">
        <v>0</v>
      </c>
      <c r="W2974" t="b">
        <v>0</v>
      </c>
      <c r="X2974" t="b">
        <v>0</v>
      </c>
      <c r="Y2974" t="b">
        <v>0</v>
      </c>
      <c r="Z2974" t="b">
        <v>0</v>
      </c>
      <c r="AA2974" t="b">
        <v>0</v>
      </c>
      <c r="AB2974" t="b">
        <v>1</v>
      </c>
      <c r="AC2974" t="b">
        <v>0</v>
      </c>
      <c r="AE2974" t="s">
        <v>7272</v>
      </c>
    </row>
    <row r="2975" spans="1:31" x14ac:dyDescent="0.3">
      <c r="A2975">
        <v>-73.95757914216</v>
      </c>
      <c r="B2975">
        <v>40.795993445939999</v>
      </c>
      <c r="C2975" t="s">
        <v>7273</v>
      </c>
      <c r="D2975" t="s">
        <v>835</v>
      </c>
      <c r="E2975" t="s">
        <v>38</v>
      </c>
      <c r="F2975">
        <v>10172018</v>
      </c>
      <c r="G2975">
        <v>6</v>
      </c>
      <c r="H2975" t="s">
        <v>48</v>
      </c>
      <c r="I2975" t="s">
        <v>176</v>
      </c>
      <c r="J2975" t="s">
        <v>53</v>
      </c>
      <c r="K2975" t="s">
        <v>705</v>
      </c>
      <c r="M2975" t="s">
        <v>65</v>
      </c>
      <c r="N2975" t="b">
        <v>0</v>
      </c>
      <c r="P2975" t="b">
        <v>1</v>
      </c>
      <c r="Q2975" t="b">
        <v>0</v>
      </c>
      <c r="R2975" t="b">
        <v>0</v>
      </c>
      <c r="S2975" t="b">
        <v>0</v>
      </c>
      <c r="T2975" t="b">
        <v>0</v>
      </c>
      <c r="V2975" t="b">
        <v>0</v>
      </c>
      <c r="W2975" t="b">
        <v>0</v>
      </c>
      <c r="X2975" t="b">
        <v>0</v>
      </c>
      <c r="Y2975" t="b">
        <v>0</v>
      </c>
      <c r="Z2975" t="b">
        <v>0</v>
      </c>
      <c r="AA2975" t="b">
        <v>0</v>
      </c>
      <c r="AB2975" t="b">
        <v>0</v>
      </c>
      <c r="AC2975" t="b">
        <v>1</v>
      </c>
      <c r="AE2975" t="s">
        <v>7274</v>
      </c>
    </row>
    <row r="2976" spans="1:31" x14ac:dyDescent="0.3">
      <c r="A2976">
        <v>-73.959412243510002</v>
      </c>
      <c r="B2976">
        <v>40.791787112350001</v>
      </c>
      <c r="C2976" t="s">
        <v>7275</v>
      </c>
      <c r="D2976" t="s">
        <v>1211</v>
      </c>
      <c r="E2976" t="s">
        <v>38</v>
      </c>
      <c r="F2976">
        <v>10142018</v>
      </c>
      <c r="G2976">
        <v>1</v>
      </c>
      <c r="H2976" t="s">
        <v>48</v>
      </c>
      <c r="I2976" t="s">
        <v>176</v>
      </c>
      <c r="J2976" t="s">
        <v>53</v>
      </c>
      <c r="K2976" t="s">
        <v>705</v>
      </c>
      <c r="M2976" t="s">
        <v>65</v>
      </c>
      <c r="N2976" t="b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s">
        <v>340</v>
      </c>
      <c r="V2976" t="b">
        <v>0</v>
      </c>
      <c r="W2976" t="b">
        <v>0</v>
      </c>
      <c r="X2976" t="b">
        <v>0</v>
      </c>
      <c r="Y2976" t="b">
        <v>0</v>
      </c>
      <c r="Z2976" t="b">
        <v>0</v>
      </c>
      <c r="AA2976" t="b">
        <v>0</v>
      </c>
      <c r="AB2976" t="b">
        <v>0</v>
      </c>
      <c r="AC2976" t="b">
        <v>1</v>
      </c>
      <c r="AE2976" t="s">
        <v>7276</v>
      </c>
    </row>
    <row r="2977" spans="1:31" x14ac:dyDescent="0.3">
      <c r="A2977">
        <v>-73.972408332049994</v>
      </c>
      <c r="B2977">
        <v>40.774416376810002</v>
      </c>
      <c r="C2977" t="s">
        <v>7277</v>
      </c>
      <c r="D2977" t="s">
        <v>74</v>
      </c>
      <c r="E2977" t="s">
        <v>38</v>
      </c>
      <c r="F2977">
        <v>10102018</v>
      </c>
      <c r="G2977">
        <v>8</v>
      </c>
      <c r="H2977" t="s">
        <v>48</v>
      </c>
      <c r="I2977" t="s">
        <v>53</v>
      </c>
      <c r="J2977" t="s">
        <v>115</v>
      </c>
      <c r="K2977" t="s">
        <v>116</v>
      </c>
      <c r="M2977" t="s">
        <v>65</v>
      </c>
      <c r="N2977" t="b">
        <v>0</v>
      </c>
      <c r="P2977" t="b">
        <v>0</v>
      </c>
      <c r="Q2977" t="b">
        <v>0</v>
      </c>
      <c r="R2977" t="b">
        <v>0</v>
      </c>
      <c r="S2977" t="b">
        <v>1</v>
      </c>
      <c r="T2977" t="b">
        <v>1</v>
      </c>
      <c r="U2977" t="s">
        <v>7278</v>
      </c>
      <c r="V2977" t="b">
        <v>0</v>
      </c>
      <c r="W2977" t="b">
        <v>0</v>
      </c>
      <c r="X2977" t="b">
        <v>0</v>
      </c>
      <c r="Y2977" t="b">
        <v>0</v>
      </c>
      <c r="Z2977" t="b">
        <v>0</v>
      </c>
      <c r="AA2977" t="b">
        <v>1</v>
      </c>
      <c r="AB2977" t="b">
        <v>0</v>
      </c>
      <c r="AC2977" t="b">
        <v>0</v>
      </c>
      <c r="AE2977" t="s">
        <v>7279</v>
      </c>
    </row>
    <row r="2978" spans="1:31" x14ac:dyDescent="0.3">
      <c r="A2978">
        <v>-73.958068164850005</v>
      </c>
      <c r="B2978">
        <v>40.799201001269999</v>
      </c>
      <c r="C2978" t="s">
        <v>7280</v>
      </c>
      <c r="D2978" t="s">
        <v>367</v>
      </c>
      <c r="E2978" t="s">
        <v>38</v>
      </c>
      <c r="F2978">
        <v>10102018</v>
      </c>
      <c r="G2978">
        <v>1</v>
      </c>
      <c r="H2978" t="s">
        <v>48</v>
      </c>
      <c r="I2978" t="s">
        <v>42</v>
      </c>
      <c r="J2978" t="s">
        <v>96</v>
      </c>
      <c r="K2978" t="s">
        <v>97</v>
      </c>
      <c r="M2978" t="s">
        <v>65</v>
      </c>
      <c r="N2978" t="b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1</v>
      </c>
      <c r="V2978" t="b">
        <v>0</v>
      </c>
      <c r="W2978" t="b">
        <v>0</v>
      </c>
      <c r="X2978" t="b">
        <v>0</v>
      </c>
      <c r="Y2978" t="b">
        <v>0</v>
      </c>
      <c r="Z2978" t="b">
        <v>0</v>
      </c>
      <c r="AA2978" t="b">
        <v>0</v>
      </c>
      <c r="AB2978" t="b">
        <v>0</v>
      </c>
      <c r="AC2978" t="b">
        <v>0</v>
      </c>
      <c r="AE2978" t="s">
        <v>7281</v>
      </c>
    </row>
    <row r="2979" spans="1:31" x14ac:dyDescent="0.3">
      <c r="A2979">
        <v>-73.968881700639997</v>
      </c>
      <c r="B2979">
        <v>40.782912032139997</v>
      </c>
      <c r="C2979" t="s">
        <v>7282</v>
      </c>
      <c r="D2979" t="s">
        <v>78</v>
      </c>
      <c r="E2979" t="s">
        <v>33</v>
      </c>
      <c r="F2979">
        <v>10132018</v>
      </c>
      <c r="G2979">
        <v>9</v>
      </c>
      <c r="H2979" t="s">
        <v>48</v>
      </c>
      <c r="I2979" t="s">
        <v>42</v>
      </c>
      <c r="J2979" t="s">
        <v>59</v>
      </c>
      <c r="K2979" t="s">
        <v>79</v>
      </c>
      <c r="M2979" t="s">
        <v>65</v>
      </c>
      <c r="N2979" t="b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1</v>
      </c>
      <c r="V2979" t="b">
        <v>0</v>
      </c>
      <c r="W2979" t="b">
        <v>0</v>
      </c>
      <c r="X2979" t="b">
        <v>0</v>
      </c>
      <c r="Y2979" t="b">
        <v>0</v>
      </c>
      <c r="Z2979" t="b">
        <v>0</v>
      </c>
      <c r="AA2979" t="b">
        <v>0</v>
      </c>
      <c r="AB2979" t="b">
        <v>1</v>
      </c>
      <c r="AC2979" t="b">
        <v>0</v>
      </c>
      <c r="AE2979" t="s">
        <v>7283</v>
      </c>
    </row>
    <row r="2980" spans="1:31" x14ac:dyDescent="0.3">
      <c r="A2980">
        <v>-73.957180877590005</v>
      </c>
      <c r="B2980">
        <v>40.793444386669997</v>
      </c>
      <c r="C2980" t="s">
        <v>7284</v>
      </c>
      <c r="D2980" t="s">
        <v>483</v>
      </c>
      <c r="E2980" t="s">
        <v>38</v>
      </c>
      <c r="F2980">
        <v>10202018</v>
      </c>
      <c r="G2980">
        <v>2</v>
      </c>
      <c r="H2980" t="s">
        <v>48</v>
      </c>
      <c r="I2980" t="s">
        <v>42</v>
      </c>
      <c r="J2980" t="s">
        <v>53</v>
      </c>
      <c r="K2980" t="s">
        <v>54</v>
      </c>
      <c r="M2980" t="s">
        <v>44</v>
      </c>
      <c r="N2980">
        <v>25</v>
      </c>
      <c r="P2980" t="b">
        <v>0</v>
      </c>
      <c r="Q2980" t="b">
        <v>0</v>
      </c>
      <c r="R2980" t="b">
        <v>0</v>
      </c>
      <c r="S2980" t="b">
        <v>0</v>
      </c>
      <c r="T2980" t="b">
        <v>0</v>
      </c>
      <c r="U2980" t="s">
        <v>7285</v>
      </c>
      <c r="V2980" t="b">
        <v>0</v>
      </c>
      <c r="W2980" t="b">
        <v>0</v>
      </c>
      <c r="X2980" t="b">
        <v>0</v>
      </c>
      <c r="Y2980" t="b">
        <v>0</v>
      </c>
      <c r="Z2980" t="b">
        <v>0</v>
      </c>
      <c r="AA2980" t="b">
        <v>0</v>
      </c>
      <c r="AB2980" t="b">
        <v>1</v>
      </c>
      <c r="AC2980" t="b">
        <v>0</v>
      </c>
      <c r="AE2980" t="s">
        <v>7286</v>
      </c>
    </row>
    <row r="2981" spans="1:31" x14ac:dyDescent="0.3">
      <c r="A2981">
        <v>-73.971641458639994</v>
      </c>
      <c r="B2981">
        <v>40.771760114720003</v>
      </c>
      <c r="C2981" t="s">
        <v>7287</v>
      </c>
      <c r="D2981" t="s">
        <v>517</v>
      </c>
      <c r="E2981" t="s">
        <v>33</v>
      </c>
      <c r="F2981">
        <v>10142018</v>
      </c>
      <c r="G2981">
        <v>6</v>
      </c>
      <c r="H2981" t="s">
        <v>48</v>
      </c>
      <c r="I2981" t="s">
        <v>42</v>
      </c>
      <c r="J2981" t="s">
        <v>53</v>
      </c>
      <c r="K2981" t="s">
        <v>54</v>
      </c>
      <c r="M2981" t="s">
        <v>65</v>
      </c>
      <c r="N2981" t="b">
        <v>0</v>
      </c>
      <c r="P2981" t="b">
        <v>1</v>
      </c>
      <c r="Q2981" t="b">
        <v>0</v>
      </c>
      <c r="R2981" t="b">
        <v>0</v>
      </c>
      <c r="S2981" t="b">
        <v>1</v>
      </c>
      <c r="T2981" t="b">
        <v>0</v>
      </c>
      <c r="U2981" t="s">
        <v>7288</v>
      </c>
      <c r="V2981" t="b">
        <v>0</v>
      </c>
      <c r="W2981" t="b">
        <v>0</v>
      </c>
      <c r="X2981" t="b">
        <v>0</v>
      </c>
      <c r="Y2981" t="b">
        <v>1</v>
      </c>
      <c r="Z2981" t="b">
        <v>0</v>
      </c>
      <c r="AA2981" t="b">
        <v>0</v>
      </c>
      <c r="AB2981" t="b">
        <v>1</v>
      </c>
      <c r="AC2981" t="b">
        <v>0</v>
      </c>
      <c r="AE2981" t="s">
        <v>7289</v>
      </c>
    </row>
    <row r="2982" spans="1:31" x14ac:dyDescent="0.3">
      <c r="A2982">
        <v>-73.980009482849994</v>
      </c>
      <c r="B2982">
        <v>40.76777825856</v>
      </c>
      <c r="C2982" t="s">
        <v>7290</v>
      </c>
      <c r="D2982" t="s">
        <v>851</v>
      </c>
      <c r="E2982" t="s">
        <v>38</v>
      </c>
      <c r="F2982">
        <v>10122018</v>
      </c>
      <c r="G2982">
        <v>4</v>
      </c>
      <c r="I2982" t="s">
        <v>42</v>
      </c>
      <c r="J2982" t="s">
        <v>53</v>
      </c>
      <c r="K2982" t="s">
        <v>54</v>
      </c>
      <c r="M2982" t="s">
        <v>65</v>
      </c>
      <c r="N2982" t="b">
        <v>0</v>
      </c>
      <c r="P2982" t="b">
        <v>1</v>
      </c>
      <c r="Q2982" t="b">
        <v>0</v>
      </c>
      <c r="R2982" t="b">
        <v>0</v>
      </c>
      <c r="S2982" t="b">
        <v>1</v>
      </c>
      <c r="T2982" t="b">
        <v>0</v>
      </c>
      <c r="V2982" t="b">
        <v>0</v>
      </c>
      <c r="W2982" t="b">
        <v>0</v>
      </c>
      <c r="X2982" t="b">
        <v>0</v>
      </c>
      <c r="Y2982" t="b">
        <v>0</v>
      </c>
      <c r="Z2982" t="b">
        <v>0</v>
      </c>
      <c r="AA2982" t="b">
        <v>0</v>
      </c>
      <c r="AB2982" t="b">
        <v>1</v>
      </c>
      <c r="AC2982" t="b">
        <v>0</v>
      </c>
      <c r="AE2982" t="s">
        <v>7291</v>
      </c>
    </row>
    <row r="2983" spans="1:31" x14ac:dyDescent="0.3">
      <c r="A2983">
        <v>-73.951347781519999</v>
      </c>
      <c r="B2983">
        <v>40.794525961410002</v>
      </c>
      <c r="C2983" t="s">
        <v>7292</v>
      </c>
      <c r="D2983" t="s">
        <v>3073</v>
      </c>
      <c r="E2983" t="s">
        <v>33</v>
      </c>
      <c r="F2983">
        <v>10132018</v>
      </c>
      <c r="G2983">
        <v>2</v>
      </c>
      <c r="H2983" t="s">
        <v>105</v>
      </c>
      <c r="I2983" t="s">
        <v>42</v>
      </c>
      <c r="K2983" t="s">
        <v>43</v>
      </c>
      <c r="M2983" t="s">
        <v>65</v>
      </c>
      <c r="N2983" t="b">
        <v>0</v>
      </c>
      <c r="O2983" t="s">
        <v>2032</v>
      </c>
      <c r="P2983" t="b">
        <v>0</v>
      </c>
      <c r="Q2983" t="b">
        <v>1</v>
      </c>
      <c r="R2983" t="b">
        <v>1</v>
      </c>
      <c r="S2983" t="b">
        <v>0</v>
      </c>
      <c r="T2983" t="b">
        <v>0</v>
      </c>
      <c r="U2983" t="s">
        <v>1367</v>
      </c>
      <c r="V2983" t="b">
        <v>0</v>
      </c>
      <c r="W2983" t="b">
        <v>0</v>
      </c>
      <c r="X2983" t="b">
        <v>0</v>
      </c>
      <c r="Y2983" t="b">
        <v>0</v>
      </c>
      <c r="Z2983" t="b">
        <v>0</v>
      </c>
      <c r="AA2983" t="b">
        <v>0</v>
      </c>
      <c r="AB2983" t="b">
        <v>0</v>
      </c>
      <c r="AC2983" t="b">
        <v>0</v>
      </c>
      <c r="AE2983" t="s">
        <v>7293</v>
      </c>
    </row>
    <row r="2984" spans="1:31" x14ac:dyDescent="0.3">
      <c r="A2984">
        <v>-73.968958668910005</v>
      </c>
      <c r="B2984">
        <v>40.783961390709997</v>
      </c>
      <c r="C2984" t="s">
        <v>7294</v>
      </c>
      <c r="D2984" t="s">
        <v>37</v>
      </c>
      <c r="E2984" t="s">
        <v>33</v>
      </c>
      <c r="F2984">
        <v>10172018</v>
      </c>
      <c r="G2984">
        <v>4</v>
      </c>
      <c r="H2984" t="s">
        <v>48</v>
      </c>
      <c r="I2984" t="s">
        <v>42</v>
      </c>
      <c r="J2984" t="s">
        <v>53</v>
      </c>
      <c r="K2984" t="s">
        <v>54</v>
      </c>
      <c r="M2984" t="s">
        <v>65</v>
      </c>
      <c r="N2984" t="b">
        <v>0</v>
      </c>
      <c r="P2984" t="b">
        <v>0</v>
      </c>
      <c r="Q2984" t="b">
        <v>0</v>
      </c>
      <c r="R2984" t="b">
        <v>0</v>
      </c>
      <c r="S2984" t="b">
        <v>1</v>
      </c>
      <c r="T2984" t="b">
        <v>1</v>
      </c>
      <c r="V2984" t="b">
        <v>0</v>
      </c>
      <c r="W2984" t="b">
        <v>0</v>
      </c>
      <c r="X2984" t="b">
        <v>0</v>
      </c>
      <c r="Y2984" t="b">
        <v>0</v>
      </c>
      <c r="Z2984" t="b">
        <v>0</v>
      </c>
      <c r="AA2984" t="b">
        <v>0</v>
      </c>
      <c r="AB2984" t="b">
        <v>0</v>
      </c>
      <c r="AC2984" t="b">
        <v>1</v>
      </c>
      <c r="AE2984" t="s">
        <v>7295</v>
      </c>
    </row>
    <row r="2985" spans="1:31" x14ac:dyDescent="0.3">
      <c r="A2985">
        <v>-73.970015892939998</v>
      </c>
      <c r="B2985">
        <v>40.776235906659998</v>
      </c>
      <c r="C2985" t="s">
        <v>7296</v>
      </c>
      <c r="D2985" t="s">
        <v>100</v>
      </c>
      <c r="E2985" t="s">
        <v>38</v>
      </c>
      <c r="F2985">
        <v>10082018</v>
      </c>
      <c r="G2985">
        <v>18</v>
      </c>
      <c r="H2985" t="s">
        <v>48</v>
      </c>
      <c r="I2985" t="s">
        <v>42</v>
      </c>
      <c r="K2985" t="s">
        <v>43</v>
      </c>
      <c r="M2985" t="s">
        <v>65</v>
      </c>
      <c r="N2985" t="b">
        <v>0</v>
      </c>
      <c r="P2985" t="b">
        <v>0</v>
      </c>
      <c r="Q2985" t="b">
        <v>0</v>
      </c>
      <c r="R2985" t="b">
        <v>0</v>
      </c>
      <c r="S2985" t="b">
        <v>1</v>
      </c>
      <c r="T2985" t="b">
        <v>1</v>
      </c>
      <c r="V2985" t="b">
        <v>0</v>
      </c>
      <c r="W2985" t="b">
        <v>0</v>
      </c>
      <c r="X2985" t="b">
        <v>0</v>
      </c>
      <c r="Y2985" t="b">
        <v>0</v>
      </c>
      <c r="Z2985" t="b">
        <v>0</v>
      </c>
      <c r="AA2985" t="b">
        <v>0</v>
      </c>
      <c r="AB2985" t="b">
        <v>1</v>
      </c>
      <c r="AC2985" t="b">
        <v>0</v>
      </c>
      <c r="AE2985" t="s">
        <v>7297</v>
      </c>
    </row>
    <row r="2986" spans="1:31" x14ac:dyDescent="0.3">
      <c r="A2986">
        <v>-73.972115938779993</v>
      </c>
      <c r="B2986">
        <v>40.766050318860003</v>
      </c>
      <c r="C2986" t="s">
        <v>7298</v>
      </c>
      <c r="D2986" t="s">
        <v>985</v>
      </c>
      <c r="E2986" t="s">
        <v>33</v>
      </c>
      <c r="F2986">
        <v>10132018</v>
      </c>
      <c r="G2986">
        <v>3</v>
      </c>
      <c r="H2986" t="s">
        <v>48</v>
      </c>
      <c r="I2986" t="s">
        <v>176</v>
      </c>
      <c r="J2986" t="s">
        <v>53</v>
      </c>
      <c r="K2986" t="s">
        <v>705</v>
      </c>
      <c r="M2986" t="s">
        <v>65</v>
      </c>
      <c r="N2986" t="b">
        <v>0</v>
      </c>
      <c r="P2986" t="b">
        <v>1</v>
      </c>
      <c r="Q2986" t="b">
        <v>0</v>
      </c>
      <c r="R2986" t="b">
        <v>1</v>
      </c>
      <c r="S2986" t="b">
        <v>0</v>
      </c>
      <c r="T2986" t="b">
        <v>0</v>
      </c>
      <c r="V2986" t="b">
        <v>0</v>
      </c>
      <c r="W2986" t="b">
        <v>0</v>
      </c>
      <c r="X2986" t="b">
        <v>0</v>
      </c>
      <c r="Y2986" t="b">
        <v>0</v>
      </c>
      <c r="Z2986" t="b">
        <v>0</v>
      </c>
      <c r="AA2986" t="b">
        <v>0</v>
      </c>
      <c r="AB2986" t="b">
        <v>0</v>
      </c>
      <c r="AC2986" t="b">
        <v>1</v>
      </c>
      <c r="AE2986" t="s">
        <v>7299</v>
      </c>
    </row>
    <row r="2987" spans="1:31" x14ac:dyDescent="0.3">
      <c r="A2987">
        <v>-73.975653376379995</v>
      </c>
      <c r="B2987">
        <v>40.77335378814</v>
      </c>
      <c r="C2987" t="s">
        <v>7300</v>
      </c>
      <c r="D2987" t="s">
        <v>235</v>
      </c>
      <c r="E2987" t="s">
        <v>33</v>
      </c>
      <c r="F2987">
        <v>10122018</v>
      </c>
      <c r="G2987">
        <v>7</v>
      </c>
      <c r="H2987" t="s">
        <v>48</v>
      </c>
      <c r="I2987" t="s">
        <v>53</v>
      </c>
      <c r="J2987" t="s">
        <v>115</v>
      </c>
      <c r="K2987" t="s">
        <v>116</v>
      </c>
      <c r="M2987" t="s">
        <v>65</v>
      </c>
      <c r="N2987" t="b">
        <v>0</v>
      </c>
      <c r="P2987" t="b">
        <v>0</v>
      </c>
      <c r="Q2987" t="b">
        <v>0</v>
      </c>
      <c r="R2987" t="b">
        <v>0</v>
      </c>
      <c r="S2987" t="b">
        <v>1</v>
      </c>
      <c r="T2987" t="b">
        <v>1</v>
      </c>
      <c r="V2987" t="b">
        <v>0</v>
      </c>
      <c r="W2987" t="b">
        <v>0</v>
      </c>
      <c r="X2987" t="b">
        <v>0</v>
      </c>
      <c r="Y2987" t="b">
        <v>0</v>
      </c>
      <c r="Z2987" t="b">
        <v>0</v>
      </c>
      <c r="AA2987" t="b">
        <v>0</v>
      </c>
      <c r="AB2987" t="b">
        <v>1</v>
      </c>
      <c r="AC2987" t="b">
        <v>0</v>
      </c>
      <c r="AE2987" t="s">
        <v>7301</v>
      </c>
    </row>
    <row r="2988" spans="1:31" x14ac:dyDescent="0.3">
      <c r="A2988">
        <v>-73.956372483829995</v>
      </c>
      <c r="B2988">
        <v>40.788250458100002</v>
      </c>
      <c r="C2988" t="s">
        <v>7302</v>
      </c>
      <c r="D2988" t="s">
        <v>1874</v>
      </c>
      <c r="E2988" t="s">
        <v>33</v>
      </c>
      <c r="F2988">
        <v>10192018</v>
      </c>
      <c r="G2988">
        <v>4</v>
      </c>
      <c r="H2988" t="s">
        <v>48</v>
      </c>
      <c r="I2988" t="s">
        <v>42</v>
      </c>
      <c r="K2988" t="s">
        <v>43</v>
      </c>
      <c r="M2988" t="s">
        <v>65</v>
      </c>
      <c r="N2988" t="b">
        <v>0</v>
      </c>
      <c r="P2988" t="b">
        <v>1</v>
      </c>
      <c r="Q2988" t="b">
        <v>0</v>
      </c>
      <c r="R2988" t="b">
        <v>0</v>
      </c>
      <c r="S2988" t="b">
        <v>0</v>
      </c>
      <c r="T2988" t="b">
        <v>0</v>
      </c>
      <c r="V2988" t="b">
        <v>0</v>
      </c>
      <c r="W2988" t="b">
        <v>0</v>
      </c>
      <c r="X2988" t="b">
        <v>0</v>
      </c>
      <c r="Y2988" t="b">
        <v>0</v>
      </c>
      <c r="Z2988" t="b">
        <v>0</v>
      </c>
      <c r="AA2988" t="b">
        <v>0</v>
      </c>
      <c r="AB2988" t="b">
        <v>1</v>
      </c>
      <c r="AC2988" t="b">
        <v>0</v>
      </c>
      <c r="AE2988" t="s">
        <v>7303</v>
      </c>
    </row>
    <row r="2989" spans="1:31" x14ac:dyDescent="0.3">
      <c r="A2989">
        <v>-73.976634275950005</v>
      </c>
      <c r="B2989">
        <v>40.768751838089997</v>
      </c>
      <c r="C2989" t="s">
        <v>7304</v>
      </c>
      <c r="D2989" t="s">
        <v>534</v>
      </c>
      <c r="E2989" t="s">
        <v>38</v>
      </c>
      <c r="F2989">
        <v>10122018</v>
      </c>
      <c r="G2989">
        <v>4</v>
      </c>
      <c r="H2989" t="s">
        <v>48</v>
      </c>
      <c r="I2989" t="s">
        <v>42</v>
      </c>
      <c r="K2989" t="s">
        <v>43</v>
      </c>
      <c r="M2989" t="s">
        <v>44</v>
      </c>
      <c r="N2989">
        <v>3</v>
      </c>
      <c r="O2989" t="s">
        <v>852</v>
      </c>
      <c r="P2989" t="b">
        <v>0</v>
      </c>
      <c r="Q2989" t="b">
        <v>1</v>
      </c>
      <c r="R2989" t="b">
        <v>1</v>
      </c>
      <c r="S2989" t="b">
        <v>0</v>
      </c>
      <c r="T2989" t="b">
        <v>0</v>
      </c>
      <c r="V2989" t="b">
        <v>0</v>
      </c>
      <c r="W2989" t="b">
        <v>0</v>
      </c>
      <c r="X2989" t="b">
        <v>0</v>
      </c>
      <c r="Y2989" t="b">
        <v>0</v>
      </c>
      <c r="Z2989" t="b">
        <v>1</v>
      </c>
      <c r="AA2989" t="b">
        <v>0</v>
      </c>
      <c r="AB2989" t="b">
        <v>1</v>
      </c>
      <c r="AC2989" t="b">
        <v>0</v>
      </c>
      <c r="AE2989" t="s">
        <v>7305</v>
      </c>
    </row>
    <row r="2990" spans="1:31" x14ac:dyDescent="0.3">
      <c r="A2990">
        <v>-73.964353822190006</v>
      </c>
      <c r="B2990">
        <v>40.791756560469999</v>
      </c>
      <c r="C2990" t="s">
        <v>7306</v>
      </c>
      <c r="D2990" t="s">
        <v>383</v>
      </c>
      <c r="E2990" t="s">
        <v>33</v>
      </c>
      <c r="F2990">
        <v>10172018</v>
      </c>
      <c r="G2990">
        <v>1</v>
      </c>
      <c r="H2990" t="s">
        <v>105</v>
      </c>
      <c r="I2990" t="s">
        <v>53</v>
      </c>
      <c r="J2990" t="s">
        <v>115</v>
      </c>
      <c r="K2990" t="s">
        <v>116</v>
      </c>
      <c r="L2990" t="s">
        <v>7307</v>
      </c>
      <c r="M2990" t="s">
        <v>65</v>
      </c>
      <c r="N2990" t="b">
        <v>0</v>
      </c>
      <c r="P2990" t="b">
        <v>0</v>
      </c>
      <c r="Q2990" t="b">
        <v>0</v>
      </c>
      <c r="R2990" t="b">
        <v>0</v>
      </c>
      <c r="S2990" t="b">
        <v>0</v>
      </c>
      <c r="T2990" t="b">
        <v>1</v>
      </c>
      <c r="V2990" t="b">
        <v>0</v>
      </c>
      <c r="W2990" t="b">
        <v>0</v>
      </c>
      <c r="X2990" t="b">
        <v>0</v>
      </c>
      <c r="Y2990" t="b">
        <v>0</v>
      </c>
      <c r="Z2990" t="b">
        <v>1</v>
      </c>
      <c r="AA2990" t="b">
        <v>0</v>
      </c>
      <c r="AB2990" t="b">
        <v>0</v>
      </c>
      <c r="AC2990" t="b">
        <v>0</v>
      </c>
      <c r="AE2990" t="s">
        <v>7308</v>
      </c>
    </row>
    <row r="2991" spans="1:31" x14ac:dyDescent="0.3">
      <c r="A2991">
        <v>-73.976601210829998</v>
      </c>
      <c r="B2991">
        <v>40.771231072539997</v>
      </c>
      <c r="C2991" t="s">
        <v>7309</v>
      </c>
      <c r="D2991" t="s">
        <v>2798</v>
      </c>
      <c r="E2991" t="s">
        <v>38</v>
      </c>
      <c r="F2991">
        <v>10072018</v>
      </c>
      <c r="G2991">
        <v>5</v>
      </c>
      <c r="H2991" t="s">
        <v>48</v>
      </c>
      <c r="I2991" t="s">
        <v>42</v>
      </c>
      <c r="K2991" t="s">
        <v>43</v>
      </c>
      <c r="M2991" t="s">
        <v>44</v>
      </c>
      <c r="N2991">
        <v>20</v>
      </c>
      <c r="P2991" t="b">
        <v>0</v>
      </c>
      <c r="Q2991" t="b">
        <v>1</v>
      </c>
      <c r="R2991" t="b">
        <v>1</v>
      </c>
      <c r="S2991" t="b">
        <v>0</v>
      </c>
      <c r="T2991" t="b">
        <v>0</v>
      </c>
      <c r="U2991" t="s">
        <v>1893</v>
      </c>
      <c r="V2991" t="b">
        <v>0</v>
      </c>
      <c r="W2991" t="b">
        <v>0</v>
      </c>
      <c r="X2991" t="b">
        <v>0</v>
      </c>
      <c r="Y2991" t="b">
        <v>0</v>
      </c>
      <c r="Z2991" t="b">
        <v>0</v>
      </c>
      <c r="AA2991" t="b">
        <v>0</v>
      </c>
      <c r="AB2991" t="b">
        <v>1</v>
      </c>
      <c r="AC2991" t="b">
        <v>0</v>
      </c>
      <c r="AE2991" t="s">
        <v>7310</v>
      </c>
    </row>
    <row r="2992" spans="1:31" x14ac:dyDescent="0.3">
      <c r="A2992">
        <v>-73.968463267359994</v>
      </c>
      <c r="B2992">
        <v>40.784890952520001</v>
      </c>
      <c r="C2992" t="s">
        <v>7311</v>
      </c>
      <c r="D2992" t="s">
        <v>2864</v>
      </c>
      <c r="E2992" t="s">
        <v>38</v>
      </c>
      <c r="F2992">
        <v>10182018</v>
      </c>
      <c r="G2992">
        <v>5</v>
      </c>
      <c r="H2992" t="s">
        <v>48</v>
      </c>
      <c r="I2992" t="s">
        <v>42</v>
      </c>
      <c r="K2992" t="s">
        <v>43</v>
      </c>
      <c r="M2992" t="s">
        <v>65</v>
      </c>
      <c r="N2992" t="b">
        <v>0</v>
      </c>
      <c r="P2992" t="b">
        <v>1</v>
      </c>
      <c r="Q2992" t="b">
        <v>0</v>
      </c>
      <c r="R2992" t="b">
        <v>0</v>
      </c>
      <c r="S2992" t="b">
        <v>0</v>
      </c>
      <c r="T2992" t="b">
        <v>0</v>
      </c>
      <c r="V2992" t="b">
        <v>0</v>
      </c>
      <c r="W2992" t="b">
        <v>0</v>
      </c>
      <c r="X2992" t="b">
        <v>0</v>
      </c>
      <c r="Y2992" t="b">
        <v>0</v>
      </c>
      <c r="Z2992" t="b">
        <v>0</v>
      </c>
      <c r="AA2992" t="b">
        <v>0</v>
      </c>
      <c r="AB2992" t="b">
        <v>0</v>
      </c>
      <c r="AC2992" t="b">
        <v>1</v>
      </c>
      <c r="AE2992" t="s">
        <v>7312</v>
      </c>
    </row>
    <row r="2993" spans="1:31" x14ac:dyDescent="0.3">
      <c r="A2993">
        <v>-73.97460632504</v>
      </c>
      <c r="B2993">
        <v>40.768765419680001</v>
      </c>
      <c r="C2993" t="s">
        <v>7313</v>
      </c>
      <c r="D2993" t="s">
        <v>911</v>
      </c>
      <c r="E2993" t="s">
        <v>33</v>
      </c>
      <c r="F2993">
        <v>10132018</v>
      </c>
      <c r="G2993">
        <v>3</v>
      </c>
      <c r="H2993" t="s">
        <v>105</v>
      </c>
      <c r="I2993" t="s">
        <v>53</v>
      </c>
      <c r="J2993" t="s">
        <v>42</v>
      </c>
      <c r="K2993" t="s">
        <v>89</v>
      </c>
      <c r="M2993" t="s">
        <v>65</v>
      </c>
      <c r="N2993" t="b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1</v>
      </c>
      <c r="V2993" t="b">
        <v>0</v>
      </c>
      <c r="W2993" t="b">
        <v>0</v>
      </c>
      <c r="X2993" t="b">
        <v>0</v>
      </c>
      <c r="Y2993" t="b">
        <v>1</v>
      </c>
      <c r="Z2993" t="b">
        <v>0</v>
      </c>
      <c r="AA2993" t="b">
        <v>0</v>
      </c>
      <c r="AB2993" t="b">
        <v>0</v>
      </c>
      <c r="AC2993" t="b">
        <v>1</v>
      </c>
      <c r="AE2993" t="s">
        <v>7314</v>
      </c>
    </row>
    <row r="2994" spans="1:31" x14ac:dyDescent="0.3">
      <c r="A2994">
        <v>-73.95707222627</v>
      </c>
      <c r="B2994">
        <v>40.798570614349998</v>
      </c>
      <c r="C2994" t="s">
        <v>7315</v>
      </c>
      <c r="D2994" t="s">
        <v>1245</v>
      </c>
      <c r="E2994" t="s">
        <v>38</v>
      </c>
      <c r="F2994">
        <v>10172018</v>
      </c>
      <c r="G2994">
        <v>4</v>
      </c>
      <c r="H2994" t="s">
        <v>48</v>
      </c>
      <c r="I2994" t="s">
        <v>42</v>
      </c>
      <c r="J2994" t="s">
        <v>53</v>
      </c>
      <c r="K2994" t="s">
        <v>54</v>
      </c>
      <c r="M2994" t="s">
        <v>65</v>
      </c>
      <c r="N2994" t="b">
        <v>0</v>
      </c>
      <c r="P2994" t="b">
        <v>0</v>
      </c>
      <c r="Q2994" t="b">
        <v>1</v>
      </c>
      <c r="R2994" t="b">
        <v>0</v>
      </c>
      <c r="S2994" t="b">
        <v>1</v>
      </c>
      <c r="T2994" t="b">
        <v>1</v>
      </c>
      <c r="U2994" t="s">
        <v>3474</v>
      </c>
      <c r="V2994" t="b">
        <v>0</v>
      </c>
      <c r="W2994" t="b">
        <v>0</v>
      </c>
      <c r="X2994" t="b">
        <v>0</v>
      </c>
      <c r="Y2994" t="b">
        <v>0</v>
      </c>
      <c r="Z2994" t="b">
        <v>0</v>
      </c>
      <c r="AA2994" t="b">
        <v>0</v>
      </c>
      <c r="AB2994" t="b">
        <v>1</v>
      </c>
      <c r="AC2994" t="b">
        <v>0</v>
      </c>
      <c r="AE2994" t="s">
        <v>7316</v>
      </c>
    </row>
    <row r="2995" spans="1:31" x14ac:dyDescent="0.3">
      <c r="A2995">
        <v>-73.961720709120002</v>
      </c>
      <c r="B2995">
        <v>40.79228390259</v>
      </c>
      <c r="C2995" t="s">
        <v>7317</v>
      </c>
      <c r="D2995" t="s">
        <v>928</v>
      </c>
      <c r="E2995" t="s">
        <v>38</v>
      </c>
      <c r="F2995">
        <v>10102018</v>
      </c>
      <c r="G2995">
        <v>1</v>
      </c>
      <c r="H2995" t="s">
        <v>48</v>
      </c>
      <c r="I2995" t="s">
        <v>42</v>
      </c>
      <c r="K2995" t="s">
        <v>43</v>
      </c>
      <c r="M2995" t="s">
        <v>65</v>
      </c>
      <c r="N2995" t="b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1</v>
      </c>
      <c r="U2995" t="s">
        <v>340</v>
      </c>
      <c r="V2995" t="b">
        <v>0</v>
      </c>
      <c r="W2995" t="b">
        <v>0</v>
      </c>
      <c r="X2995" t="b">
        <v>0</v>
      </c>
      <c r="Y2995" t="b">
        <v>0</v>
      </c>
      <c r="Z2995" t="b">
        <v>0</v>
      </c>
      <c r="AA2995" t="b">
        <v>0</v>
      </c>
      <c r="AB2995" t="b">
        <v>1</v>
      </c>
      <c r="AC2995" t="b">
        <v>0</v>
      </c>
      <c r="AE2995" t="s">
        <v>7318</v>
      </c>
    </row>
    <row r="2996" spans="1:31" x14ac:dyDescent="0.3">
      <c r="A2996">
        <v>-73.966844274289997</v>
      </c>
      <c r="B2996">
        <v>40.787078104259997</v>
      </c>
      <c r="C2996" t="s">
        <v>7319</v>
      </c>
      <c r="D2996" t="s">
        <v>6089</v>
      </c>
      <c r="E2996" t="s">
        <v>33</v>
      </c>
      <c r="F2996">
        <v>10072018</v>
      </c>
      <c r="G2996">
        <v>1</v>
      </c>
      <c r="I2996" t="s">
        <v>42</v>
      </c>
      <c r="J2996" t="s">
        <v>53</v>
      </c>
      <c r="K2996" t="s">
        <v>54</v>
      </c>
      <c r="M2996" t="s">
        <v>65</v>
      </c>
      <c r="N2996" t="b">
        <v>0</v>
      </c>
      <c r="P2996" t="b">
        <v>0</v>
      </c>
      <c r="Q2996" t="b">
        <v>0</v>
      </c>
      <c r="R2996" t="b">
        <v>0</v>
      </c>
      <c r="S2996" t="b">
        <v>1</v>
      </c>
      <c r="T2996" t="b">
        <v>1</v>
      </c>
      <c r="V2996" t="b">
        <v>0</v>
      </c>
      <c r="W2996" t="b">
        <v>0</v>
      </c>
      <c r="X2996" t="b">
        <v>0</v>
      </c>
      <c r="Y2996" t="b">
        <v>0</v>
      </c>
      <c r="Z2996" t="b">
        <v>0</v>
      </c>
      <c r="AA2996" t="b">
        <v>0</v>
      </c>
      <c r="AB2996" t="b">
        <v>1</v>
      </c>
      <c r="AC2996" t="b">
        <v>0</v>
      </c>
      <c r="AE2996" t="s">
        <v>7320</v>
      </c>
    </row>
    <row r="2997" spans="1:31" x14ac:dyDescent="0.3">
      <c r="A2997">
        <v>-73.970033345819999</v>
      </c>
      <c r="B2997">
        <v>40.77725939386</v>
      </c>
      <c r="C2997" t="s">
        <v>7321</v>
      </c>
      <c r="D2997" t="s">
        <v>130</v>
      </c>
      <c r="E2997" t="s">
        <v>33</v>
      </c>
      <c r="F2997">
        <v>10082018</v>
      </c>
      <c r="G2997">
        <v>8</v>
      </c>
      <c r="H2997" t="s">
        <v>48</v>
      </c>
      <c r="I2997" t="s">
        <v>42</v>
      </c>
      <c r="K2997" t="s">
        <v>43</v>
      </c>
      <c r="M2997" t="s">
        <v>65</v>
      </c>
      <c r="N2997" t="b">
        <v>0</v>
      </c>
      <c r="P2997" t="b">
        <v>0</v>
      </c>
      <c r="Q2997" t="b">
        <v>0</v>
      </c>
      <c r="R2997" t="b">
        <v>0</v>
      </c>
      <c r="S2997" t="b">
        <v>1</v>
      </c>
      <c r="T2997" t="b">
        <v>0</v>
      </c>
      <c r="V2997" t="b">
        <v>0</v>
      </c>
      <c r="W2997" t="b">
        <v>0</v>
      </c>
      <c r="X2997" t="b">
        <v>0</v>
      </c>
      <c r="Y2997" t="b">
        <v>0</v>
      </c>
      <c r="Z2997" t="b">
        <v>0</v>
      </c>
      <c r="AA2997" t="b">
        <v>0</v>
      </c>
      <c r="AB2997" t="b">
        <v>1</v>
      </c>
      <c r="AC2997" t="b">
        <v>0</v>
      </c>
      <c r="AE2997" t="s">
        <v>7322</v>
      </c>
    </row>
    <row r="2998" spans="1:31" x14ac:dyDescent="0.3">
      <c r="A2998">
        <v>-73.961973538549998</v>
      </c>
      <c r="B2998">
        <v>40.7944667975</v>
      </c>
      <c r="C2998" t="s">
        <v>7323</v>
      </c>
      <c r="D2998" t="s">
        <v>286</v>
      </c>
      <c r="E2998" t="s">
        <v>33</v>
      </c>
      <c r="F2998">
        <v>10132018</v>
      </c>
      <c r="G2998">
        <v>1</v>
      </c>
      <c r="H2998" t="s">
        <v>48</v>
      </c>
      <c r="I2998" t="s">
        <v>42</v>
      </c>
      <c r="J2998" t="s">
        <v>59</v>
      </c>
      <c r="K2998" t="s">
        <v>79</v>
      </c>
      <c r="M2998" t="s">
        <v>65</v>
      </c>
      <c r="N2998" t="b">
        <v>0</v>
      </c>
      <c r="P2998" t="b">
        <v>0</v>
      </c>
      <c r="Q2998" t="b">
        <v>0</v>
      </c>
      <c r="R2998" t="b">
        <v>0</v>
      </c>
      <c r="S2998" t="b">
        <v>0</v>
      </c>
      <c r="T2998" t="b">
        <v>1</v>
      </c>
      <c r="V2998" t="b">
        <v>0</v>
      </c>
      <c r="W2998" t="b">
        <v>0</v>
      </c>
      <c r="X2998" t="b">
        <v>0</v>
      </c>
      <c r="Y2998" t="b">
        <v>0</v>
      </c>
      <c r="Z2998" t="b">
        <v>0</v>
      </c>
      <c r="AA2998" t="b">
        <v>0</v>
      </c>
      <c r="AB2998" t="b">
        <v>0</v>
      </c>
      <c r="AC2998" t="b">
        <v>1</v>
      </c>
      <c r="AE2998" t="s">
        <v>7324</v>
      </c>
    </row>
    <row r="2999" spans="1:31" x14ac:dyDescent="0.3">
      <c r="A2999">
        <v>-73.975207924740005</v>
      </c>
      <c r="B2999">
        <v>40.775537697899999</v>
      </c>
      <c r="C2999" t="s">
        <v>7325</v>
      </c>
      <c r="D2999" t="s">
        <v>41</v>
      </c>
      <c r="E2999" t="s">
        <v>38</v>
      </c>
      <c r="F2999">
        <v>10072018</v>
      </c>
      <c r="G2999">
        <v>1</v>
      </c>
      <c r="H2999" t="s">
        <v>48</v>
      </c>
      <c r="I2999" t="s">
        <v>53</v>
      </c>
      <c r="J2999" t="s">
        <v>42</v>
      </c>
      <c r="K2999" t="s">
        <v>89</v>
      </c>
      <c r="M2999" t="s">
        <v>65</v>
      </c>
      <c r="N2999" t="b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V2999" t="b">
        <v>0</v>
      </c>
      <c r="W2999" t="b">
        <v>0</v>
      </c>
      <c r="X2999" t="b">
        <v>0</v>
      </c>
      <c r="Y2999" t="b">
        <v>0</v>
      </c>
      <c r="Z2999" t="b">
        <v>1</v>
      </c>
      <c r="AA2999" t="b">
        <v>1</v>
      </c>
      <c r="AB2999" t="b">
        <v>0</v>
      </c>
      <c r="AC2999" t="b">
        <v>0</v>
      </c>
      <c r="AE2999" t="s">
        <v>7326</v>
      </c>
    </row>
    <row r="3000" spans="1:31" x14ac:dyDescent="0.3">
      <c r="A3000">
        <v>-73.972415182839995</v>
      </c>
      <c r="B3000">
        <v>40.77308046345</v>
      </c>
      <c r="C3000" t="s">
        <v>7327</v>
      </c>
      <c r="D3000" t="s">
        <v>6019</v>
      </c>
      <c r="E3000" t="s">
        <v>38</v>
      </c>
      <c r="F3000">
        <v>10102018</v>
      </c>
      <c r="G3000">
        <v>2</v>
      </c>
      <c r="H3000" t="s">
        <v>48</v>
      </c>
      <c r="I3000" t="s">
        <v>176</v>
      </c>
      <c r="J3000" t="s">
        <v>42</v>
      </c>
      <c r="K3000" t="s">
        <v>1233</v>
      </c>
      <c r="M3000" t="s">
        <v>65</v>
      </c>
      <c r="N3000" t="b">
        <v>0</v>
      </c>
      <c r="P3000" t="b">
        <v>1</v>
      </c>
      <c r="Q3000" t="b">
        <v>0</v>
      </c>
      <c r="R3000" t="b">
        <v>0</v>
      </c>
      <c r="S3000" t="b">
        <v>0</v>
      </c>
      <c r="T3000" t="b">
        <v>1</v>
      </c>
      <c r="V3000" t="b">
        <v>0</v>
      </c>
      <c r="W3000" t="b">
        <v>0</v>
      </c>
      <c r="X3000" t="b">
        <v>0</v>
      </c>
      <c r="Y3000" t="b">
        <v>0</v>
      </c>
      <c r="Z3000" t="b">
        <v>1</v>
      </c>
      <c r="AA3000" t="b">
        <v>0</v>
      </c>
      <c r="AB3000" t="b">
        <v>1</v>
      </c>
      <c r="AC3000" t="b">
        <v>0</v>
      </c>
      <c r="AE3000" t="s">
        <v>7328</v>
      </c>
    </row>
    <row r="3001" spans="1:31" x14ac:dyDescent="0.3">
      <c r="A3001">
        <v>-73.968829338220004</v>
      </c>
      <c r="B3001">
        <v>40.773895802760002</v>
      </c>
      <c r="C3001" t="s">
        <v>7329</v>
      </c>
      <c r="D3001" t="s">
        <v>988</v>
      </c>
      <c r="E3001" t="s">
        <v>38</v>
      </c>
      <c r="F3001">
        <v>10122018</v>
      </c>
      <c r="G3001">
        <v>4</v>
      </c>
      <c r="H3001" t="s">
        <v>48</v>
      </c>
      <c r="I3001" t="s">
        <v>42</v>
      </c>
      <c r="J3001" t="s">
        <v>96</v>
      </c>
      <c r="K3001" t="s">
        <v>97</v>
      </c>
      <c r="M3001" t="s">
        <v>65</v>
      </c>
      <c r="N3001" t="b">
        <v>0</v>
      </c>
      <c r="P3001" t="b">
        <v>0</v>
      </c>
      <c r="Q3001" t="b">
        <v>0</v>
      </c>
      <c r="R3001" t="b">
        <v>0</v>
      </c>
      <c r="S3001" t="b">
        <v>0</v>
      </c>
      <c r="T3001" t="b">
        <v>1</v>
      </c>
      <c r="V3001" t="b">
        <v>0</v>
      </c>
      <c r="W3001" t="b">
        <v>0</v>
      </c>
      <c r="X3001" t="b">
        <v>0</v>
      </c>
      <c r="Y3001" t="b">
        <v>0</v>
      </c>
      <c r="Z3001" t="b">
        <v>1</v>
      </c>
      <c r="AA3001" t="b">
        <v>0</v>
      </c>
      <c r="AB3001" t="b">
        <v>1</v>
      </c>
      <c r="AC3001" t="b">
        <v>0</v>
      </c>
      <c r="AE3001" t="s">
        <v>7330</v>
      </c>
    </row>
    <row r="3002" spans="1:31" x14ac:dyDescent="0.3">
      <c r="A3002">
        <v>-73.97755922284</v>
      </c>
      <c r="B3002">
        <v>40.766848532929998</v>
      </c>
      <c r="C3002" t="s">
        <v>7331</v>
      </c>
      <c r="D3002" t="s">
        <v>1278</v>
      </c>
      <c r="E3002" t="s">
        <v>33</v>
      </c>
      <c r="F3002">
        <v>10072018</v>
      </c>
      <c r="G3002">
        <v>1</v>
      </c>
      <c r="H3002" t="s">
        <v>48</v>
      </c>
      <c r="I3002" t="s">
        <v>42</v>
      </c>
      <c r="J3002" t="s">
        <v>96</v>
      </c>
      <c r="K3002" t="s">
        <v>97</v>
      </c>
      <c r="M3002" t="s">
        <v>65</v>
      </c>
      <c r="N3002" t="b">
        <v>0</v>
      </c>
      <c r="P3002" t="b">
        <v>0</v>
      </c>
      <c r="Q3002" t="b">
        <v>0</v>
      </c>
      <c r="R3002" t="b">
        <v>0</v>
      </c>
      <c r="S3002" t="b">
        <v>0</v>
      </c>
      <c r="T3002" t="b">
        <v>1</v>
      </c>
      <c r="V3002" t="b">
        <v>0</v>
      </c>
      <c r="W3002" t="b">
        <v>0</v>
      </c>
      <c r="X3002" t="b">
        <v>0</v>
      </c>
      <c r="Y3002" t="b">
        <v>0</v>
      </c>
      <c r="Z3002" t="b">
        <v>0</v>
      </c>
      <c r="AA3002" t="b">
        <v>0</v>
      </c>
      <c r="AB3002" t="b">
        <v>1</v>
      </c>
      <c r="AC3002" t="b">
        <v>0</v>
      </c>
      <c r="AE3002" t="s">
        <v>7332</v>
      </c>
    </row>
    <row r="3003" spans="1:31" x14ac:dyDescent="0.3">
      <c r="A3003">
        <v>-73.971099184699995</v>
      </c>
      <c r="B3003">
        <v>40.768982782419997</v>
      </c>
      <c r="C3003" t="s">
        <v>7333</v>
      </c>
      <c r="D3003" t="s">
        <v>539</v>
      </c>
      <c r="E3003" t="s">
        <v>33</v>
      </c>
      <c r="F3003">
        <v>10202018</v>
      </c>
      <c r="G3003">
        <v>1</v>
      </c>
      <c r="H3003" t="s">
        <v>48</v>
      </c>
      <c r="I3003" t="s">
        <v>42</v>
      </c>
      <c r="J3003" t="s">
        <v>96</v>
      </c>
      <c r="K3003" t="s">
        <v>97</v>
      </c>
      <c r="M3003" t="s">
        <v>65</v>
      </c>
      <c r="N3003" t="b">
        <v>0</v>
      </c>
      <c r="P3003" t="b">
        <v>0</v>
      </c>
      <c r="Q3003" t="b">
        <v>0</v>
      </c>
      <c r="R3003" t="b">
        <v>0</v>
      </c>
      <c r="S3003" t="b">
        <v>0</v>
      </c>
      <c r="T3003" t="b">
        <v>1</v>
      </c>
      <c r="V3003" t="b">
        <v>0</v>
      </c>
      <c r="W3003" t="b">
        <v>0</v>
      </c>
      <c r="X3003" t="b">
        <v>0</v>
      </c>
      <c r="Y3003" t="b">
        <v>0</v>
      </c>
      <c r="Z3003" t="b">
        <v>0</v>
      </c>
      <c r="AA3003" t="b">
        <v>0</v>
      </c>
      <c r="AB3003" t="b">
        <v>1</v>
      </c>
      <c r="AC3003" t="b">
        <v>0</v>
      </c>
      <c r="AE3003" t="s">
        <v>7334</v>
      </c>
    </row>
    <row r="3004" spans="1:31" x14ac:dyDescent="0.3">
      <c r="A3004">
        <v>-73.969866392669999</v>
      </c>
      <c r="B3004">
        <v>40.773999710410003</v>
      </c>
      <c r="C3004" t="s">
        <v>7335</v>
      </c>
      <c r="D3004" t="s">
        <v>646</v>
      </c>
      <c r="E3004" t="s">
        <v>33</v>
      </c>
      <c r="F3004">
        <v>10072018</v>
      </c>
      <c r="G3004">
        <v>9</v>
      </c>
      <c r="H3004" t="s">
        <v>48</v>
      </c>
      <c r="I3004" t="s">
        <v>53</v>
      </c>
      <c r="J3004" t="s">
        <v>42</v>
      </c>
      <c r="K3004" t="s">
        <v>89</v>
      </c>
      <c r="M3004" t="s">
        <v>65</v>
      </c>
      <c r="N3004" t="b">
        <v>0</v>
      </c>
      <c r="P3004" t="b">
        <v>1</v>
      </c>
      <c r="Q3004" t="b">
        <v>0</v>
      </c>
      <c r="R3004" t="b">
        <v>0</v>
      </c>
      <c r="S3004" t="b">
        <v>0</v>
      </c>
      <c r="T3004" t="b">
        <v>1</v>
      </c>
      <c r="V3004" t="b">
        <v>0</v>
      </c>
      <c r="W3004" t="b">
        <v>0</v>
      </c>
      <c r="X3004" t="b">
        <v>0</v>
      </c>
      <c r="Y3004" t="b">
        <v>0</v>
      </c>
      <c r="Z3004" t="b">
        <v>0</v>
      </c>
      <c r="AA3004" t="b">
        <v>0</v>
      </c>
      <c r="AB3004" t="b">
        <v>1</v>
      </c>
      <c r="AC3004" t="b">
        <v>0</v>
      </c>
      <c r="AE3004" t="s">
        <v>7336</v>
      </c>
    </row>
    <row r="3005" spans="1:31" x14ac:dyDescent="0.3">
      <c r="A3005">
        <v>-73.952848285819996</v>
      </c>
      <c r="B3005">
        <v>40.79220562183</v>
      </c>
      <c r="C3005" t="s">
        <v>7337</v>
      </c>
      <c r="D3005" t="s">
        <v>85</v>
      </c>
      <c r="E3005" t="s">
        <v>33</v>
      </c>
      <c r="F3005">
        <v>10072018</v>
      </c>
      <c r="G3005">
        <v>8</v>
      </c>
      <c r="H3005" t="s">
        <v>105</v>
      </c>
      <c r="I3005" t="s">
        <v>53</v>
      </c>
      <c r="J3005" t="s">
        <v>42</v>
      </c>
      <c r="K3005" t="s">
        <v>89</v>
      </c>
      <c r="M3005" t="s">
        <v>65</v>
      </c>
      <c r="N3005" t="b">
        <v>0</v>
      </c>
      <c r="P3005" t="b">
        <v>0</v>
      </c>
      <c r="Q3005" t="b">
        <v>0</v>
      </c>
      <c r="R3005" t="b">
        <v>0</v>
      </c>
      <c r="S3005" t="b">
        <v>1</v>
      </c>
      <c r="T3005" t="b">
        <v>0</v>
      </c>
      <c r="V3005" t="b">
        <v>0</v>
      </c>
      <c r="W3005" t="b">
        <v>0</v>
      </c>
      <c r="X3005" t="b">
        <v>0</v>
      </c>
      <c r="Y3005" t="b">
        <v>0</v>
      </c>
      <c r="Z3005" t="b">
        <v>1</v>
      </c>
      <c r="AA3005" t="b">
        <v>0</v>
      </c>
      <c r="AB3005" t="b">
        <v>1</v>
      </c>
      <c r="AC3005" t="b">
        <v>0</v>
      </c>
      <c r="AE3005" t="s">
        <v>7338</v>
      </c>
    </row>
    <row r="3006" spans="1:31" x14ac:dyDescent="0.3">
      <c r="A3006">
        <v>-73.961614115250001</v>
      </c>
      <c r="B3006">
        <v>40.792180331330002</v>
      </c>
      <c r="C3006" t="s">
        <v>7339</v>
      </c>
      <c r="D3006" t="s">
        <v>275</v>
      </c>
      <c r="E3006" t="s">
        <v>33</v>
      </c>
      <c r="F3006">
        <v>10072018</v>
      </c>
      <c r="G3006">
        <v>4</v>
      </c>
      <c r="H3006" t="s">
        <v>48</v>
      </c>
      <c r="I3006" t="s">
        <v>42</v>
      </c>
      <c r="J3006" t="s">
        <v>59</v>
      </c>
      <c r="K3006" t="s">
        <v>79</v>
      </c>
      <c r="M3006" t="s">
        <v>65</v>
      </c>
      <c r="N3006" t="b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1</v>
      </c>
      <c r="V3006" t="b">
        <v>0</v>
      </c>
      <c r="W3006" t="b">
        <v>0</v>
      </c>
      <c r="X3006" t="b">
        <v>0</v>
      </c>
      <c r="Y3006" t="b">
        <v>0</v>
      </c>
      <c r="Z3006" t="b">
        <v>0</v>
      </c>
      <c r="AA3006" t="b">
        <v>0</v>
      </c>
      <c r="AB3006" t="b">
        <v>0</v>
      </c>
      <c r="AC3006" t="b">
        <v>1</v>
      </c>
      <c r="AE3006" t="s">
        <v>7340</v>
      </c>
    </row>
    <row r="3007" spans="1:31" x14ac:dyDescent="0.3">
      <c r="A3007">
        <v>-73.974439021739997</v>
      </c>
      <c r="B3007">
        <v>40.766316836260003</v>
      </c>
      <c r="C3007" t="s">
        <v>7341</v>
      </c>
      <c r="D3007" t="s">
        <v>2889</v>
      </c>
      <c r="E3007" t="s">
        <v>38</v>
      </c>
      <c r="F3007">
        <v>10102018</v>
      </c>
      <c r="G3007">
        <v>2</v>
      </c>
      <c r="H3007" t="s">
        <v>48</v>
      </c>
      <c r="I3007" t="s">
        <v>42</v>
      </c>
      <c r="K3007" t="s">
        <v>43</v>
      </c>
      <c r="M3007" t="s">
        <v>65</v>
      </c>
      <c r="N3007" t="b">
        <v>0</v>
      </c>
      <c r="P3007" t="b">
        <v>0</v>
      </c>
      <c r="Q3007" t="b">
        <v>0</v>
      </c>
      <c r="R3007" t="b">
        <v>0</v>
      </c>
      <c r="S3007" t="b">
        <v>1</v>
      </c>
      <c r="T3007" t="b">
        <v>0</v>
      </c>
      <c r="V3007" t="b">
        <v>0</v>
      </c>
      <c r="W3007" t="b">
        <v>0</v>
      </c>
      <c r="X3007" t="b">
        <v>0</v>
      </c>
      <c r="Y3007" t="b">
        <v>0</v>
      </c>
      <c r="Z3007" t="b">
        <v>0</v>
      </c>
      <c r="AA3007" t="b">
        <v>0</v>
      </c>
      <c r="AB3007" t="b">
        <v>1</v>
      </c>
      <c r="AC3007" t="b">
        <v>0</v>
      </c>
      <c r="AE3007" t="s">
        <v>7342</v>
      </c>
    </row>
    <row r="3008" spans="1:31" x14ac:dyDescent="0.3">
      <c r="A3008">
        <v>-73.963514043499998</v>
      </c>
      <c r="B3008">
        <v>40.791280796940001</v>
      </c>
      <c r="C3008" t="s">
        <v>7343</v>
      </c>
      <c r="D3008" t="s">
        <v>2511</v>
      </c>
      <c r="E3008" t="s">
        <v>38</v>
      </c>
      <c r="F3008">
        <v>10172018</v>
      </c>
      <c r="G3008">
        <v>1</v>
      </c>
      <c r="H3008" t="s">
        <v>48</v>
      </c>
      <c r="I3008" t="s">
        <v>42</v>
      </c>
      <c r="K3008" t="s">
        <v>43</v>
      </c>
      <c r="M3008" t="s">
        <v>65</v>
      </c>
      <c r="N3008" t="b">
        <v>0</v>
      </c>
      <c r="P3008" t="b">
        <v>0</v>
      </c>
      <c r="Q3008" t="b">
        <v>0</v>
      </c>
      <c r="R3008" t="b">
        <v>0</v>
      </c>
      <c r="S3008" t="b">
        <v>1</v>
      </c>
      <c r="T3008" t="b">
        <v>0</v>
      </c>
      <c r="V3008" t="b">
        <v>0</v>
      </c>
      <c r="W3008" t="b">
        <v>0</v>
      </c>
      <c r="X3008" t="b">
        <v>0</v>
      </c>
      <c r="Y3008" t="b">
        <v>0</v>
      </c>
      <c r="Z3008" t="b">
        <v>0</v>
      </c>
      <c r="AA3008" t="b">
        <v>0</v>
      </c>
      <c r="AB3008" t="b">
        <v>1</v>
      </c>
      <c r="AC3008" t="b">
        <v>0</v>
      </c>
      <c r="AE3008" t="s">
        <v>7344</v>
      </c>
    </row>
    <row r="3009" spans="1:31" x14ac:dyDescent="0.3">
      <c r="A3009">
        <v>-73.950353334370007</v>
      </c>
      <c r="B3009">
        <v>40.797654360400003</v>
      </c>
      <c r="C3009" t="s">
        <v>7345</v>
      </c>
      <c r="D3009" t="s">
        <v>677</v>
      </c>
      <c r="E3009" t="s">
        <v>33</v>
      </c>
      <c r="F3009">
        <v>10142018</v>
      </c>
      <c r="G3009">
        <v>4</v>
      </c>
      <c r="H3009" t="s">
        <v>48</v>
      </c>
      <c r="I3009" t="s">
        <v>42</v>
      </c>
      <c r="J3009" t="s">
        <v>53</v>
      </c>
      <c r="K3009" t="s">
        <v>54</v>
      </c>
      <c r="M3009" t="s">
        <v>44</v>
      </c>
      <c r="N3009">
        <v>15</v>
      </c>
      <c r="P3009" t="b">
        <v>1</v>
      </c>
      <c r="Q3009" t="b">
        <v>1</v>
      </c>
      <c r="R3009" t="b">
        <v>0</v>
      </c>
      <c r="S3009" t="b">
        <v>0</v>
      </c>
      <c r="T3009" t="b">
        <v>0</v>
      </c>
      <c r="V3009" t="b">
        <v>0</v>
      </c>
      <c r="W3009" t="b">
        <v>0</v>
      </c>
      <c r="X3009" t="b">
        <v>0</v>
      </c>
      <c r="Y3009" t="b">
        <v>0</v>
      </c>
      <c r="Z3009" t="b">
        <v>1</v>
      </c>
      <c r="AA3009" t="b">
        <v>0</v>
      </c>
      <c r="AB3009" t="b">
        <v>0</v>
      </c>
      <c r="AC3009" t="b">
        <v>1</v>
      </c>
      <c r="AE3009" t="s">
        <v>7346</v>
      </c>
    </row>
    <row r="3010" spans="1:31" x14ac:dyDescent="0.3">
      <c r="A3010">
        <v>-73.967563787100005</v>
      </c>
      <c r="B3010">
        <v>40.782388067169997</v>
      </c>
      <c r="C3010" t="s">
        <v>7347</v>
      </c>
      <c r="D3010" t="s">
        <v>459</v>
      </c>
      <c r="E3010" t="s">
        <v>33</v>
      </c>
      <c r="F3010">
        <v>10082018</v>
      </c>
      <c r="G3010">
        <v>2</v>
      </c>
      <c r="I3010" t="s">
        <v>42</v>
      </c>
      <c r="J3010" t="s">
        <v>59</v>
      </c>
      <c r="K3010" t="s">
        <v>79</v>
      </c>
      <c r="M3010" t="s">
        <v>65</v>
      </c>
      <c r="N3010" t="b">
        <v>0</v>
      </c>
      <c r="P3010" t="b">
        <v>0</v>
      </c>
      <c r="Q3010" t="b">
        <v>0</v>
      </c>
      <c r="R3010" t="b">
        <v>0</v>
      </c>
      <c r="S3010" t="b">
        <v>0</v>
      </c>
      <c r="T3010" t="b">
        <v>1</v>
      </c>
      <c r="V3010" t="b">
        <v>0</v>
      </c>
      <c r="W3010" t="b">
        <v>0</v>
      </c>
      <c r="X3010" t="b">
        <v>0</v>
      </c>
      <c r="Y3010" t="b">
        <v>0</v>
      </c>
      <c r="Z3010" t="b">
        <v>0</v>
      </c>
      <c r="AA3010" t="b">
        <v>0</v>
      </c>
      <c r="AB3010" t="b">
        <v>0</v>
      </c>
      <c r="AC3010" t="b">
        <v>0</v>
      </c>
      <c r="AE3010" t="s">
        <v>7348</v>
      </c>
    </row>
    <row r="3011" spans="1:31" x14ac:dyDescent="0.3">
      <c r="A3011">
        <v>-73.958090681409999</v>
      </c>
      <c r="B3011">
        <v>40.79484040605</v>
      </c>
      <c r="C3011" t="s">
        <v>7349</v>
      </c>
      <c r="D3011" t="s">
        <v>390</v>
      </c>
      <c r="E3011" t="s">
        <v>33</v>
      </c>
      <c r="F3011">
        <v>10142018</v>
      </c>
      <c r="G3011">
        <v>1</v>
      </c>
      <c r="H3011" t="s">
        <v>48</v>
      </c>
      <c r="I3011" t="s">
        <v>42</v>
      </c>
      <c r="J3011" t="s">
        <v>53</v>
      </c>
      <c r="K3011" t="s">
        <v>54</v>
      </c>
      <c r="M3011" t="s">
        <v>65</v>
      </c>
      <c r="N3011" t="b">
        <v>0</v>
      </c>
      <c r="P3011" t="b">
        <v>0</v>
      </c>
      <c r="Q3011" t="b">
        <v>0</v>
      </c>
      <c r="R3011" t="b">
        <v>0</v>
      </c>
      <c r="S3011" t="b">
        <v>0</v>
      </c>
      <c r="T3011" t="b">
        <v>1</v>
      </c>
      <c r="V3011" t="b">
        <v>0</v>
      </c>
      <c r="W3011" t="b">
        <v>0</v>
      </c>
      <c r="X3011" t="b">
        <v>0</v>
      </c>
      <c r="Y3011" t="b">
        <v>0</v>
      </c>
      <c r="Z3011" t="b">
        <v>0</v>
      </c>
      <c r="AA3011" t="b">
        <v>0</v>
      </c>
      <c r="AB3011" t="b">
        <v>0</v>
      </c>
      <c r="AC3011" t="b">
        <v>1</v>
      </c>
      <c r="AD3011" t="s">
        <v>7350</v>
      </c>
      <c r="AE3011" t="s">
        <v>7351</v>
      </c>
    </row>
    <row r="3012" spans="1:31" x14ac:dyDescent="0.3">
      <c r="A3012">
        <v>-73.967883131289994</v>
      </c>
      <c r="B3012">
        <v>40.784760597499996</v>
      </c>
      <c r="C3012" t="s">
        <v>7352</v>
      </c>
      <c r="D3012" t="s">
        <v>2181</v>
      </c>
      <c r="E3012" t="s">
        <v>33</v>
      </c>
      <c r="F3012">
        <v>10122018</v>
      </c>
      <c r="G3012">
        <v>6</v>
      </c>
      <c r="H3012" t="s">
        <v>48</v>
      </c>
      <c r="I3012" t="s">
        <v>42</v>
      </c>
      <c r="K3012" t="s">
        <v>43</v>
      </c>
      <c r="M3012" t="s">
        <v>44</v>
      </c>
      <c r="N3012">
        <v>30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V3012" t="b">
        <v>1</v>
      </c>
      <c r="W3012" t="b">
        <v>0</v>
      </c>
      <c r="X3012" t="b">
        <v>0</v>
      </c>
      <c r="Y3012" t="b">
        <v>0</v>
      </c>
      <c r="Z3012" t="b">
        <v>0</v>
      </c>
      <c r="AA3012" t="b">
        <v>0</v>
      </c>
      <c r="AB3012" t="b">
        <v>0</v>
      </c>
      <c r="AC3012" t="b">
        <v>0</v>
      </c>
      <c r="AD3012" t="s">
        <v>7353</v>
      </c>
      <c r="AE3012" t="s">
        <v>7354</v>
      </c>
    </row>
    <row r="3013" spans="1:31" x14ac:dyDescent="0.3">
      <c r="A3013">
        <v>-73.961370196090002</v>
      </c>
      <c r="B3013">
        <v>40.794336322779998</v>
      </c>
      <c r="C3013" t="s">
        <v>7355</v>
      </c>
      <c r="D3013" t="s">
        <v>423</v>
      </c>
      <c r="E3013" t="s">
        <v>33</v>
      </c>
      <c r="F3013">
        <v>10132018</v>
      </c>
      <c r="G3013">
        <v>4</v>
      </c>
      <c r="H3013" t="s">
        <v>48</v>
      </c>
      <c r="I3013" t="s">
        <v>42</v>
      </c>
      <c r="K3013" t="s">
        <v>43</v>
      </c>
      <c r="M3013" t="s">
        <v>65</v>
      </c>
      <c r="N3013" t="b">
        <v>0</v>
      </c>
      <c r="P3013" t="b">
        <v>1</v>
      </c>
      <c r="Q3013" t="b">
        <v>0</v>
      </c>
      <c r="R3013" t="b">
        <v>1</v>
      </c>
      <c r="S3013" t="b">
        <v>0</v>
      </c>
      <c r="T3013" t="b">
        <v>1</v>
      </c>
      <c r="U3013" t="s">
        <v>7356</v>
      </c>
      <c r="V3013" t="b">
        <v>0</v>
      </c>
      <c r="W3013" t="b">
        <v>0</v>
      </c>
      <c r="X3013" t="b">
        <v>0</v>
      </c>
      <c r="Y3013" t="b">
        <v>0</v>
      </c>
      <c r="Z3013" t="b">
        <v>0</v>
      </c>
      <c r="AA3013" t="b">
        <v>0</v>
      </c>
      <c r="AB3013" t="b">
        <v>0</v>
      </c>
      <c r="AC3013" t="b">
        <v>1</v>
      </c>
      <c r="AD3013" t="s">
        <v>1294</v>
      </c>
      <c r="AE3013" t="s">
        <v>7357</v>
      </c>
    </row>
    <row r="3014" spans="1:31" x14ac:dyDescent="0.3">
      <c r="A3014">
        <v>-73.964661337310005</v>
      </c>
      <c r="B3014">
        <v>40.776978549490003</v>
      </c>
      <c r="C3014" t="s">
        <v>7358</v>
      </c>
      <c r="D3014" t="s">
        <v>2372</v>
      </c>
      <c r="E3014" t="s">
        <v>38</v>
      </c>
      <c r="F3014">
        <v>10142018</v>
      </c>
      <c r="G3014">
        <v>3</v>
      </c>
      <c r="H3014" t="s">
        <v>48</v>
      </c>
      <c r="I3014" t="s">
        <v>42</v>
      </c>
      <c r="J3014" t="s">
        <v>96</v>
      </c>
      <c r="K3014" t="s">
        <v>97</v>
      </c>
      <c r="L3014" t="s">
        <v>7359</v>
      </c>
      <c r="M3014" t="s">
        <v>44</v>
      </c>
      <c r="N3014">
        <v>10</v>
      </c>
      <c r="P3014" t="b">
        <v>0</v>
      </c>
      <c r="Q3014" t="b">
        <v>0</v>
      </c>
      <c r="R3014" t="b">
        <v>1</v>
      </c>
      <c r="S3014" t="b">
        <v>0</v>
      </c>
      <c r="T3014" t="b">
        <v>0</v>
      </c>
      <c r="U3014" t="s">
        <v>7360</v>
      </c>
      <c r="V3014" t="b">
        <v>0</v>
      </c>
      <c r="W3014" t="b">
        <v>0</v>
      </c>
      <c r="X3014" t="b">
        <v>0</v>
      </c>
      <c r="Y3014" t="b">
        <v>0</v>
      </c>
      <c r="Z3014" t="b">
        <v>0</v>
      </c>
      <c r="AA3014" t="b">
        <v>0</v>
      </c>
      <c r="AB3014" t="b">
        <v>1</v>
      </c>
      <c r="AC3014" t="b">
        <v>0</v>
      </c>
      <c r="AE3014" t="s">
        <v>7361</v>
      </c>
    </row>
    <row r="3015" spans="1:31" x14ac:dyDescent="0.3">
      <c r="A3015">
        <v>-73.966557200430003</v>
      </c>
      <c r="B3015">
        <v>40.780434754829997</v>
      </c>
      <c r="C3015" t="s">
        <v>7362</v>
      </c>
      <c r="D3015" t="s">
        <v>2080</v>
      </c>
      <c r="E3015" t="s">
        <v>33</v>
      </c>
      <c r="F3015">
        <v>10182018</v>
      </c>
      <c r="G3015">
        <v>4</v>
      </c>
      <c r="I3015" t="s">
        <v>42</v>
      </c>
      <c r="K3015" t="s">
        <v>43</v>
      </c>
      <c r="M3015" t="s">
        <v>65</v>
      </c>
      <c r="N3015" t="b">
        <v>0</v>
      </c>
      <c r="P3015" t="b">
        <v>0</v>
      </c>
      <c r="Q3015" t="b">
        <v>0</v>
      </c>
      <c r="R3015" t="b">
        <v>0</v>
      </c>
      <c r="S3015" t="b">
        <v>1</v>
      </c>
      <c r="T3015" t="b">
        <v>0</v>
      </c>
      <c r="V3015" t="b">
        <v>0</v>
      </c>
      <c r="W3015" t="b">
        <v>0</v>
      </c>
      <c r="X3015" t="b">
        <v>0</v>
      </c>
      <c r="Y3015" t="b">
        <v>0</v>
      </c>
      <c r="Z3015" t="b">
        <v>0</v>
      </c>
      <c r="AA3015" t="b">
        <v>0</v>
      </c>
      <c r="AB3015" t="b">
        <v>1</v>
      </c>
      <c r="AC3015" t="b">
        <v>0</v>
      </c>
      <c r="AE3015" t="s">
        <v>7363</v>
      </c>
    </row>
    <row r="3016" spans="1:31" x14ac:dyDescent="0.3">
      <c r="A3016">
        <v>-73.975916330049998</v>
      </c>
      <c r="B3016">
        <v>40.773618079359998</v>
      </c>
      <c r="C3016" t="s">
        <v>7364</v>
      </c>
      <c r="D3016" t="s">
        <v>790</v>
      </c>
      <c r="E3016" t="s">
        <v>38</v>
      </c>
      <c r="F3016">
        <v>10102018</v>
      </c>
      <c r="G3016">
        <v>8</v>
      </c>
      <c r="H3016" t="s">
        <v>48</v>
      </c>
      <c r="I3016" t="s">
        <v>42</v>
      </c>
      <c r="J3016" t="s">
        <v>96</v>
      </c>
      <c r="K3016" t="s">
        <v>97</v>
      </c>
      <c r="L3016" t="s">
        <v>7365</v>
      </c>
      <c r="M3016" t="s">
        <v>65</v>
      </c>
      <c r="N3016" t="b">
        <v>0</v>
      </c>
      <c r="P3016" t="b">
        <v>0</v>
      </c>
      <c r="Q3016" t="b">
        <v>0</v>
      </c>
      <c r="R3016" t="b">
        <v>0</v>
      </c>
      <c r="S3016" t="b">
        <v>1</v>
      </c>
      <c r="T3016" t="b">
        <v>1</v>
      </c>
      <c r="V3016" t="b">
        <v>0</v>
      </c>
      <c r="W3016" t="b">
        <v>0</v>
      </c>
      <c r="X3016" t="b">
        <v>0</v>
      </c>
      <c r="Y3016" t="b">
        <v>0</v>
      </c>
      <c r="Z3016" t="b">
        <v>1</v>
      </c>
      <c r="AA3016" t="b">
        <v>0</v>
      </c>
      <c r="AB3016" t="b">
        <v>0</v>
      </c>
      <c r="AC3016" t="b">
        <v>0</v>
      </c>
      <c r="AE3016" t="s">
        <v>7366</v>
      </c>
    </row>
    <row r="3017" spans="1:31" x14ac:dyDescent="0.3">
      <c r="A3017">
        <v>-73.975645759789998</v>
      </c>
      <c r="B3017">
        <v>40.770355977560001</v>
      </c>
      <c r="C3017" t="s">
        <v>7367</v>
      </c>
      <c r="D3017" t="s">
        <v>722</v>
      </c>
      <c r="E3017" t="s">
        <v>33</v>
      </c>
      <c r="F3017">
        <v>10202018</v>
      </c>
      <c r="G3017">
        <v>2</v>
      </c>
      <c r="H3017" t="s">
        <v>105</v>
      </c>
      <c r="I3017" t="s">
        <v>42</v>
      </c>
      <c r="K3017" t="s">
        <v>43</v>
      </c>
      <c r="M3017" t="s">
        <v>65</v>
      </c>
      <c r="N3017" t="b">
        <v>0</v>
      </c>
      <c r="P3017" t="b">
        <v>0</v>
      </c>
      <c r="Q3017" t="b">
        <v>1</v>
      </c>
      <c r="R3017" t="b">
        <v>0</v>
      </c>
      <c r="S3017" t="b">
        <v>0</v>
      </c>
      <c r="T3017" t="b">
        <v>0</v>
      </c>
      <c r="V3017" t="b">
        <v>0</v>
      </c>
      <c r="W3017" t="b">
        <v>0</v>
      </c>
      <c r="X3017" t="b">
        <v>0</v>
      </c>
      <c r="Y3017" t="b">
        <v>0</v>
      </c>
      <c r="Z3017" t="b">
        <v>1</v>
      </c>
      <c r="AA3017" t="b">
        <v>0</v>
      </c>
      <c r="AB3017" t="b">
        <v>0</v>
      </c>
      <c r="AC3017" t="b">
        <v>1</v>
      </c>
      <c r="AE3017" t="s">
        <v>7368</v>
      </c>
    </row>
    <row r="3018" spans="1:31" x14ac:dyDescent="0.3">
      <c r="A3018">
        <v>-73.966289507970004</v>
      </c>
      <c r="B3018">
        <v>40.7843300758</v>
      </c>
      <c r="C3018" t="s">
        <v>7369</v>
      </c>
      <c r="D3018" t="s">
        <v>271</v>
      </c>
      <c r="E3018" t="s">
        <v>38</v>
      </c>
      <c r="F3018">
        <v>10192018</v>
      </c>
      <c r="G3018">
        <v>1</v>
      </c>
      <c r="H3018" t="s">
        <v>48</v>
      </c>
      <c r="I3018" t="s">
        <v>42</v>
      </c>
      <c r="J3018" t="s">
        <v>96</v>
      </c>
      <c r="K3018" t="s">
        <v>97</v>
      </c>
      <c r="L3018" t="s">
        <v>7370</v>
      </c>
      <c r="M3018" t="s">
        <v>44</v>
      </c>
      <c r="N3018">
        <v>7</v>
      </c>
      <c r="P3018" t="b">
        <v>0</v>
      </c>
      <c r="Q3018" t="b">
        <v>0</v>
      </c>
      <c r="R3018" t="b">
        <v>1</v>
      </c>
      <c r="S3018" t="b">
        <v>1</v>
      </c>
      <c r="T3018" t="b">
        <v>0</v>
      </c>
      <c r="U3018" t="s">
        <v>7371</v>
      </c>
      <c r="V3018" t="b">
        <v>1</v>
      </c>
      <c r="W3018" t="b">
        <v>0</v>
      </c>
      <c r="X3018" t="b">
        <v>0</v>
      </c>
      <c r="Y3018" t="b">
        <v>0</v>
      </c>
      <c r="Z3018" t="b">
        <v>0</v>
      </c>
      <c r="AA3018" t="b">
        <v>0</v>
      </c>
      <c r="AB3018" t="b">
        <v>1</v>
      </c>
      <c r="AC3018" t="b">
        <v>0</v>
      </c>
      <c r="AE3018" t="s">
        <v>7372</v>
      </c>
    </row>
    <row r="3019" spans="1:31" x14ac:dyDescent="0.3">
      <c r="A3019">
        <v>-73.964543740970001</v>
      </c>
      <c r="B3019">
        <v>40.78115999333</v>
      </c>
      <c r="C3019" t="s">
        <v>7373</v>
      </c>
      <c r="D3019" t="s">
        <v>1199</v>
      </c>
      <c r="E3019" t="s">
        <v>33</v>
      </c>
      <c r="F3019">
        <v>10182018</v>
      </c>
      <c r="G3019">
        <v>2</v>
      </c>
      <c r="H3019" t="s">
        <v>105</v>
      </c>
      <c r="I3019" t="s">
        <v>53</v>
      </c>
      <c r="J3019" t="s">
        <v>42</v>
      </c>
      <c r="K3019" t="s">
        <v>89</v>
      </c>
      <c r="M3019" t="s">
        <v>65</v>
      </c>
      <c r="N3019" t="b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1</v>
      </c>
      <c r="V3019" t="b">
        <v>0</v>
      </c>
      <c r="W3019" t="b">
        <v>0</v>
      </c>
      <c r="X3019" t="b">
        <v>0</v>
      </c>
      <c r="Y3019" t="b">
        <v>0</v>
      </c>
      <c r="Z3019" t="b">
        <v>0</v>
      </c>
      <c r="AA3019" t="b">
        <v>0</v>
      </c>
      <c r="AB3019" t="b">
        <v>0</v>
      </c>
      <c r="AC3019" t="b">
        <v>1</v>
      </c>
      <c r="AE3019" t="s">
        <v>7374</v>
      </c>
    </row>
    <row r="3020" spans="1:31" x14ac:dyDescent="0.3">
      <c r="A3020">
        <v>-73.963943136050005</v>
      </c>
      <c r="B3020">
        <v>40.790867744549999</v>
      </c>
      <c r="C3020" t="s">
        <v>7375</v>
      </c>
      <c r="D3020" t="s">
        <v>908</v>
      </c>
      <c r="E3020" t="s">
        <v>38</v>
      </c>
      <c r="F3020">
        <v>10072018</v>
      </c>
      <c r="G3020">
        <v>4</v>
      </c>
      <c r="H3020" t="s">
        <v>48</v>
      </c>
      <c r="I3020" t="s">
        <v>42</v>
      </c>
      <c r="K3020" t="s">
        <v>43</v>
      </c>
      <c r="M3020" t="s">
        <v>65</v>
      </c>
      <c r="N3020" t="b">
        <v>0</v>
      </c>
      <c r="P3020" t="b">
        <v>0</v>
      </c>
      <c r="Q3020" t="b">
        <v>0</v>
      </c>
      <c r="R3020" t="b">
        <v>0</v>
      </c>
      <c r="S3020" t="b">
        <v>1</v>
      </c>
      <c r="T3020" t="b">
        <v>1</v>
      </c>
      <c r="V3020" t="b">
        <v>0</v>
      </c>
      <c r="W3020" t="b">
        <v>0</v>
      </c>
      <c r="X3020" t="b">
        <v>0</v>
      </c>
      <c r="Y3020" t="b">
        <v>0</v>
      </c>
      <c r="Z3020" t="b">
        <v>0</v>
      </c>
      <c r="AA3020" t="b">
        <v>0</v>
      </c>
      <c r="AB3020" t="b">
        <v>0</v>
      </c>
      <c r="AC3020" t="b">
        <v>1</v>
      </c>
      <c r="AE3020" t="s">
        <v>7376</v>
      </c>
    </row>
    <row r="3021" spans="1:31" x14ac:dyDescent="0.3">
      <c r="A3021">
        <v>-73.970401585960005</v>
      </c>
      <c r="B3021">
        <v>40.782560007000001</v>
      </c>
      <c r="C3021" t="s">
        <v>7377</v>
      </c>
      <c r="D3021" t="s">
        <v>2667</v>
      </c>
      <c r="E3021" t="s">
        <v>33</v>
      </c>
      <c r="F3021">
        <v>10132018</v>
      </c>
      <c r="G3021">
        <v>5</v>
      </c>
      <c r="H3021" t="s">
        <v>48</v>
      </c>
      <c r="I3021" t="s">
        <v>42</v>
      </c>
      <c r="J3021" t="s">
        <v>59</v>
      </c>
      <c r="K3021" t="s">
        <v>79</v>
      </c>
      <c r="M3021" t="s">
        <v>65</v>
      </c>
      <c r="N3021" t="b">
        <v>0</v>
      </c>
      <c r="P3021" t="b">
        <v>0</v>
      </c>
      <c r="Q3021" t="b">
        <v>0</v>
      </c>
      <c r="R3021" t="b">
        <v>0</v>
      </c>
      <c r="S3021" t="b">
        <v>0</v>
      </c>
      <c r="T3021" t="b">
        <v>1</v>
      </c>
      <c r="V3021" t="b">
        <v>0</v>
      </c>
      <c r="W3021" t="b">
        <v>0</v>
      </c>
      <c r="X3021" t="b">
        <v>0</v>
      </c>
      <c r="Y3021" t="b">
        <v>0</v>
      </c>
      <c r="Z3021" t="b">
        <v>0</v>
      </c>
      <c r="AA3021" t="b">
        <v>0</v>
      </c>
      <c r="AB3021" t="b">
        <v>1</v>
      </c>
      <c r="AC3021" t="b">
        <v>0</v>
      </c>
      <c r="AE3021" t="s">
        <v>7378</v>
      </c>
    </row>
    <row r="3022" spans="1:31" x14ac:dyDescent="0.3">
      <c r="A3022">
        <v>-73.966587199350002</v>
      </c>
      <c r="B3022">
        <v>40.783677506490001</v>
      </c>
      <c r="C3022" t="s">
        <v>7379</v>
      </c>
      <c r="D3022" t="s">
        <v>736</v>
      </c>
      <c r="E3022" t="s">
        <v>33</v>
      </c>
      <c r="F3022">
        <v>10122018</v>
      </c>
      <c r="G3022">
        <v>7</v>
      </c>
      <c r="H3022" t="s">
        <v>48</v>
      </c>
      <c r="I3022" t="s">
        <v>42</v>
      </c>
      <c r="J3022" t="s">
        <v>148</v>
      </c>
      <c r="K3022" t="s">
        <v>149</v>
      </c>
      <c r="M3022" t="s">
        <v>65</v>
      </c>
      <c r="N3022" t="b">
        <v>0</v>
      </c>
      <c r="P3022" t="b">
        <v>0</v>
      </c>
      <c r="Q3022" t="b">
        <v>0</v>
      </c>
      <c r="R3022" t="b">
        <v>0</v>
      </c>
      <c r="S3022" t="b">
        <v>1</v>
      </c>
      <c r="T3022" t="b">
        <v>1</v>
      </c>
      <c r="V3022" t="b">
        <v>0</v>
      </c>
      <c r="W3022" t="b">
        <v>0</v>
      </c>
      <c r="X3022" t="b">
        <v>0</v>
      </c>
      <c r="Y3022" t="b">
        <v>0</v>
      </c>
      <c r="Z3022" t="b">
        <v>0</v>
      </c>
      <c r="AA3022" t="b">
        <v>0</v>
      </c>
      <c r="AB3022" t="b">
        <v>1</v>
      </c>
      <c r="AC3022" t="b">
        <v>0</v>
      </c>
      <c r="AE3022" t="s">
        <v>7380</v>
      </c>
    </row>
    <row r="3023" spans="1:31" x14ac:dyDescent="0.3">
      <c r="A3023">
        <v>-73.963994122789998</v>
      </c>
      <c r="B3023">
        <v>40.789915232790001</v>
      </c>
      <c r="C3023" t="s">
        <v>7381</v>
      </c>
      <c r="D3023" t="s">
        <v>1133</v>
      </c>
      <c r="E3023" t="s">
        <v>33</v>
      </c>
      <c r="F3023">
        <v>10102018</v>
      </c>
      <c r="G3023">
        <v>2</v>
      </c>
      <c r="I3023" t="s">
        <v>42</v>
      </c>
      <c r="J3023" t="s">
        <v>96</v>
      </c>
      <c r="K3023" t="s">
        <v>97</v>
      </c>
      <c r="M3023" t="s">
        <v>65</v>
      </c>
      <c r="N3023" t="b">
        <v>0</v>
      </c>
      <c r="P3023" t="b">
        <v>0</v>
      </c>
      <c r="Q3023" t="b">
        <v>0</v>
      </c>
      <c r="R3023" t="b">
        <v>0</v>
      </c>
      <c r="S3023" t="b">
        <v>1</v>
      </c>
      <c r="T3023" t="b">
        <v>0</v>
      </c>
      <c r="V3023" t="b">
        <v>0</v>
      </c>
      <c r="W3023" t="b">
        <v>0</v>
      </c>
      <c r="X3023" t="b">
        <v>0</v>
      </c>
      <c r="Y3023" t="b">
        <v>0</v>
      </c>
      <c r="Z3023" t="b">
        <v>0</v>
      </c>
      <c r="AA3023" t="b">
        <v>0</v>
      </c>
      <c r="AB3023" t="b">
        <v>1</v>
      </c>
      <c r="AC3023" t="b">
        <v>0</v>
      </c>
      <c r="AE3023" t="s">
        <v>7382</v>
      </c>
    </row>
    <row r="3024" spans="1:31" x14ac:dyDescent="0.3">
      <c r="A3024">
        <v>-73.975479419159996</v>
      </c>
      <c r="B3024">
        <v>40.769640448899999</v>
      </c>
      <c r="C3024" t="s">
        <v>7383</v>
      </c>
      <c r="D3024" t="s">
        <v>245</v>
      </c>
      <c r="E3024" t="s">
        <v>33</v>
      </c>
      <c r="F3024">
        <v>10122018</v>
      </c>
      <c r="G3024">
        <v>1</v>
      </c>
      <c r="H3024" t="s">
        <v>48</v>
      </c>
      <c r="I3024" t="s">
        <v>53</v>
      </c>
      <c r="J3024" t="s">
        <v>115</v>
      </c>
      <c r="K3024" t="s">
        <v>116</v>
      </c>
      <c r="M3024" t="s">
        <v>65</v>
      </c>
      <c r="N3024" t="b">
        <v>0</v>
      </c>
      <c r="P3024" t="b">
        <v>0</v>
      </c>
      <c r="Q3024" t="b">
        <v>0</v>
      </c>
      <c r="R3024" t="b">
        <v>0</v>
      </c>
      <c r="S3024" t="b">
        <v>1</v>
      </c>
      <c r="T3024" t="b">
        <v>1</v>
      </c>
      <c r="V3024" t="b">
        <v>0</v>
      </c>
      <c r="W3024" t="b">
        <v>0</v>
      </c>
      <c r="X3024" t="b">
        <v>0</v>
      </c>
      <c r="Y3024" t="b">
        <v>0</v>
      </c>
      <c r="Z3024" t="b">
        <v>0</v>
      </c>
      <c r="AA3024" t="b">
        <v>1</v>
      </c>
      <c r="AB3024" t="b">
        <v>0</v>
      </c>
      <c r="AC3024" t="b">
        <v>0</v>
      </c>
      <c r="AE3024" t="s">
        <v>7384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026D9-A3CA-4805-84B3-CDD1523219BC}">
  <sheetPr>
    <tabColor theme="3"/>
  </sheetPr>
  <dimension ref="A1:AC1001"/>
  <sheetViews>
    <sheetView workbookViewId="0">
      <selection activeCell="E9" sqref="E9"/>
    </sheetView>
  </sheetViews>
  <sheetFormatPr defaultRowHeight="14.4" x14ac:dyDescent="0.3"/>
  <cols>
    <col min="5" max="5" width="13.109375" customWidth="1"/>
    <col min="14" max="14" width="35.21875" customWidth="1"/>
  </cols>
  <sheetData>
    <row r="1" spans="1:29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20</v>
      </c>
      <c r="AC1" t="s">
        <v>2</v>
      </c>
    </row>
    <row r="2" spans="1:29" x14ac:dyDescent="0.3">
      <c r="A2">
        <v>-73.969384230000003</v>
      </c>
      <c r="B2">
        <v>40.771428800000002</v>
      </c>
      <c r="C2" t="s">
        <v>1262</v>
      </c>
      <c r="D2" t="s">
        <v>38</v>
      </c>
      <c r="E2" s="58">
        <v>43389</v>
      </c>
      <c r="F2">
        <v>12</v>
      </c>
      <c r="G2" t="s">
        <v>3842</v>
      </c>
      <c r="H2" t="s">
        <v>42</v>
      </c>
      <c r="I2" t="s">
        <v>176</v>
      </c>
      <c r="J2" t="s">
        <v>79</v>
      </c>
      <c r="K2" t="s">
        <v>5206</v>
      </c>
      <c r="L2" t="s">
        <v>65</v>
      </c>
      <c r="M2" t="b">
        <v>0</v>
      </c>
      <c r="N2" t="s">
        <v>982</v>
      </c>
      <c r="O2" t="b">
        <v>0</v>
      </c>
      <c r="P2" t="b">
        <v>0</v>
      </c>
      <c r="Q2" t="b">
        <v>1</v>
      </c>
      <c r="R2" t="b">
        <v>1</v>
      </c>
      <c r="S2" t="b">
        <v>1</v>
      </c>
      <c r="T2" t="b">
        <v>0</v>
      </c>
      <c r="U2" t="b">
        <v>1</v>
      </c>
      <c r="V2" t="b">
        <v>0</v>
      </c>
      <c r="W2" t="b">
        <v>0</v>
      </c>
      <c r="X2" t="b">
        <v>1</v>
      </c>
      <c r="Y2" t="b">
        <v>0</v>
      </c>
      <c r="Z2" t="b">
        <v>0</v>
      </c>
      <c r="AA2" t="b">
        <v>0</v>
      </c>
      <c r="AB2" t="s">
        <v>1801</v>
      </c>
      <c r="AC2" t="s">
        <v>7533</v>
      </c>
    </row>
    <row r="3" spans="1:29" x14ac:dyDescent="0.3">
      <c r="A3">
        <v>-73.951271149999997</v>
      </c>
      <c r="B3">
        <v>40.783989839999997</v>
      </c>
      <c r="C3" t="s">
        <v>870</v>
      </c>
      <c r="D3" t="s">
        <v>33</v>
      </c>
      <c r="E3" s="58">
        <v>43388</v>
      </c>
      <c r="F3">
        <v>1</v>
      </c>
      <c r="G3" t="s">
        <v>105</v>
      </c>
      <c r="H3" t="s">
        <v>176</v>
      </c>
      <c r="I3" t="s">
        <v>5105</v>
      </c>
      <c r="J3" t="s">
        <v>1922</v>
      </c>
      <c r="K3" t="s">
        <v>1696</v>
      </c>
      <c r="L3" t="s">
        <v>44</v>
      </c>
      <c r="M3">
        <v>12</v>
      </c>
      <c r="N3" t="s">
        <v>1702</v>
      </c>
      <c r="O3" t="b">
        <v>1</v>
      </c>
      <c r="P3" t="b">
        <v>1</v>
      </c>
      <c r="Q3" t="b">
        <v>0</v>
      </c>
      <c r="R3" t="b">
        <v>1</v>
      </c>
      <c r="S3" t="b">
        <v>0</v>
      </c>
      <c r="T3" t="b">
        <v>1</v>
      </c>
      <c r="U3" t="b">
        <v>0</v>
      </c>
      <c r="V3" t="b">
        <v>1</v>
      </c>
      <c r="W3" t="b">
        <v>1</v>
      </c>
      <c r="X3" t="b">
        <v>0</v>
      </c>
      <c r="Y3" t="b">
        <v>1</v>
      </c>
      <c r="Z3" t="b">
        <v>1</v>
      </c>
      <c r="AA3" t="b">
        <v>1</v>
      </c>
      <c r="AB3" t="s">
        <v>4924</v>
      </c>
      <c r="AC3" t="s">
        <v>7534</v>
      </c>
    </row>
    <row r="4" spans="1:29" x14ac:dyDescent="0.3">
      <c r="A4">
        <v>-73.958147019999998</v>
      </c>
      <c r="B4">
        <v>40.795645210000004</v>
      </c>
      <c r="C4" t="s">
        <v>1262</v>
      </c>
      <c r="D4" t="s">
        <v>38</v>
      </c>
      <c r="E4" s="58">
        <v>43390</v>
      </c>
      <c r="F4">
        <v>23</v>
      </c>
      <c r="G4" t="s">
        <v>48</v>
      </c>
      <c r="H4" t="s">
        <v>176</v>
      </c>
      <c r="I4" t="s">
        <v>5105</v>
      </c>
      <c r="J4" t="s">
        <v>43</v>
      </c>
      <c r="K4" t="s">
        <v>4791</v>
      </c>
      <c r="L4" t="s">
        <v>65</v>
      </c>
      <c r="M4" t="b">
        <v>0</v>
      </c>
      <c r="N4" t="s">
        <v>664</v>
      </c>
      <c r="O4" t="b">
        <v>0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0</v>
      </c>
      <c r="V4" t="b">
        <v>1</v>
      </c>
      <c r="W4" t="b">
        <v>0</v>
      </c>
      <c r="X4" t="b">
        <v>1</v>
      </c>
      <c r="Y4" t="b">
        <v>0</v>
      </c>
      <c r="Z4" t="b">
        <v>1</v>
      </c>
      <c r="AA4" t="b">
        <v>1</v>
      </c>
      <c r="AB4" t="s">
        <v>360</v>
      </c>
      <c r="AC4" t="s">
        <v>7535</v>
      </c>
    </row>
    <row r="5" spans="1:29" x14ac:dyDescent="0.3">
      <c r="A5">
        <v>-73.962338669999994</v>
      </c>
      <c r="B5">
        <v>40.790690730000001</v>
      </c>
      <c r="C5" t="s">
        <v>1874</v>
      </c>
      <c r="D5" t="s">
        <v>33</v>
      </c>
      <c r="E5" s="58">
        <v>43387</v>
      </c>
      <c r="F5">
        <v>22</v>
      </c>
      <c r="G5" t="s">
        <v>105</v>
      </c>
      <c r="H5" t="s">
        <v>176</v>
      </c>
      <c r="I5" t="s">
        <v>96</v>
      </c>
      <c r="J5" t="s">
        <v>177</v>
      </c>
      <c r="K5" t="s">
        <v>6823</v>
      </c>
      <c r="L5" t="s">
        <v>44</v>
      </c>
      <c r="M5">
        <v>7</v>
      </c>
      <c r="N5" t="s">
        <v>6728</v>
      </c>
      <c r="O5" t="b">
        <v>0</v>
      </c>
      <c r="P5" t="b">
        <v>1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1</v>
      </c>
      <c r="W5" t="b">
        <v>0</v>
      </c>
      <c r="X5" t="b">
        <v>0</v>
      </c>
      <c r="Y5" t="b">
        <v>1</v>
      </c>
      <c r="Z5" t="b">
        <v>1</v>
      </c>
      <c r="AA5" t="b">
        <v>1</v>
      </c>
      <c r="AB5" t="s">
        <v>6487</v>
      </c>
      <c r="AC5" t="s">
        <v>7536</v>
      </c>
    </row>
    <row r="6" spans="1:29" x14ac:dyDescent="0.3">
      <c r="A6">
        <v>-73.976253850000006</v>
      </c>
      <c r="B6">
        <v>40.793307949999999</v>
      </c>
      <c r="C6" t="s">
        <v>582</v>
      </c>
      <c r="D6" t="s">
        <v>38</v>
      </c>
      <c r="E6" s="58">
        <v>43384</v>
      </c>
      <c r="F6">
        <v>8</v>
      </c>
      <c r="G6" t="s">
        <v>48</v>
      </c>
      <c r="H6" t="s">
        <v>53</v>
      </c>
      <c r="I6" t="s">
        <v>1921</v>
      </c>
      <c r="J6" t="s">
        <v>5106</v>
      </c>
      <c r="K6" t="s">
        <v>3942</v>
      </c>
      <c r="L6" t="s">
        <v>44</v>
      </c>
      <c r="M6">
        <v>20</v>
      </c>
      <c r="N6" t="s">
        <v>2905</v>
      </c>
      <c r="O6" t="b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1</v>
      </c>
      <c r="Z6" t="b">
        <v>0</v>
      </c>
      <c r="AA6" t="b">
        <v>1</v>
      </c>
      <c r="AB6" t="s">
        <v>867</v>
      </c>
      <c r="AC6" t="s">
        <v>7537</v>
      </c>
    </row>
    <row r="7" spans="1:29" x14ac:dyDescent="0.3">
      <c r="A7">
        <v>-73.976254609999998</v>
      </c>
      <c r="B7">
        <v>40.788105010000002</v>
      </c>
      <c r="C7" t="s">
        <v>6089</v>
      </c>
      <c r="D7" t="s">
        <v>38</v>
      </c>
      <c r="E7" s="58">
        <v>43390</v>
      </c>
      <c r="F7">
        <v>5</v>
      </c>
      <c r="G7" t="s">
        <v>105</v>
      </c>
      <c r="H7" t="s">
        <v>176</v>
      </c>
      <c r="I7" t="s">
        <v>148</v>
      </c>
      <c r="J7" t="s">
        <v>116</v>
      </c>
      <c r="K7" t="s">
        <v>6764</v>
      </c>
      <c r="L7" t="s">
        <v>65</v>
      </c>
      <c r="M7" t="b">
        <v>0</v>
      </c>
      <c r="N7" t="s">
        <v>2996</v>
      </c>
      <c r="O7" t="b">
        <v>0</v>
      </c>
      <c r="P7" t="b">
        <v>0</v>
      </c>
      <c r="Q7" t="b">
        <v>0</v>
      </c>
      <c r="R7" t="b">
        <v>1</v>
      </c>
      <c r="S7" t="b">
        <v>1</v>
      </c>
      <c r="T7" t="b">
        <v>1</v>
      </c>
      <c r="U7" t="b">
        <v>0</v>
      </c>
      <c r="V7" t="b">
        <v>1</v>
      </c>
      <c r="W7" t="b">
        <v>0</v>
      </c>
      <c r="X7" t="b">
        <v>1</v>
      </c>
      <c r="Y7" t="b">
        <v>0</v>
      </c>
      <c r="Z7" t="b">
        <v>1</v>
      </c>
      <c r="AA7" t="b">
        <v>1</v>
      </c>
      <c r="AB7" t="s">
        <v>5896</v>
      </c>
      <c r="AC7" t="s">
        <v>7538</v>
      </c>
    </row>
    <row r="8" spans="1:29" x14ac:dyDescent="0.3">
      <c r="A8">
        <v>-73.979332619999994</v>
      </c>
      <c r="B8">
        <v>40.789284240000001</v>
      </c>
      <c r="C8" t="s">
        <v>988</v>
      </c>
      <c r="D8" t="s">
        <v>38</v>
      </c>
      <c r="E8" s="58">
        <v>43387</v>
      </c>
      <c r="F8">
        <v>15</v>
      </c>
      <c r="G8" t="s">
        <v>105</v>
      </c>
      <c r="H8" t="s">
        <v>42</v>
      </c>
      <c r="I8" t="s">
        <v>42</v>
      </c>
      <c r="J8" t="s">
        <v>34</v>
      </c>
      <c r="K8" t="s">
        <v>3152</v>
      </c>
      <c r="L8" t="s">
        <v>65</v>
      </c>
      <c r="M8" t="b">
        <v>0</v>
      </c>
      <c r="N8" t="s">
        <v>852</v>
      </c>
      <c r="O8" t="b">
        <v>1</v>
      </c>
      <c r="P8" t="b">
        <v>1</v>
      </c>
      <c r="Q8" t="b">
        <v>1</v>
      </c>
      <c r="R8" t="b">
        <v>1</v>
      </c>
      <c r="S8" t="b">
        <v>0</v>
      </c>
      <c r="T8" t="b">
        <v>1</v>
      </c>
      <c r="U8" t="b">
        <v>0</v>
      </c>
      <c r="V8" t="b">
        <v>0</v>
      </c>
      <c r="W8" t="b">
        <v>0</v>
      </c>
      <c r="X8" t="b">
        <v>1</v>
      </c>
      <c r="Y8" t="b">
        <v>1</v>
      </c>
      <c r="Z8" t="b">
        <v>0</v>
      </c>
      <c r="AA8" t="b">
        <v>0</v>
      </c>
      <c r="AB8" t="s">
        <v>799</v>
      </c>
      <c r="AC8" t="s">
        <v>7539</v>
      </c>
    </row>
    <row r="9" spans="1:29" x14ac:dyDescent="0.3">
      <c r="A9">
        <v>-73.953928759999997</v>
      </c>
      <c r="B9">
        <v>40.794809020000002</v>
      </c>
      <c r="C9" t="s">
        <v>510</v>
      </c>
      <c r="D9" t="s">
        <v>38</v>
      </c>
      <c r="E9" s="58">
        <v>43386</v>
      </c>
      <c r="F9">
        <v>1</v>
      </c>
      <c r="G9" t="s">
        <v>3842</v>
      </c>
      <c r="H9" t="s">
        <v>176</v>
      </c>
      <c r="I9" t="s">
        <v>148</v>
      </c>
      <c r="J9" t="s">
        <v>5106</v>
      </c>
      <c r="K9" t="s">
        <v>4177</v>
      </c>
      <c r="L9" t="s">
        <v>65</v>
      </c>
      <c r="M9" t="b">
        <v>0</v>
      </c>
      <c r="N9" t="s">
        <v>6675</v>
      </c>
      <c r="O9" t="b">
        <v>1</v>
      </c>
      <c r="P9" t="b">
        <v>1</v>
      </c>
      <c r="Q9" t="b">
        <v>0</v>
      </c>
      <c r="R9" t="b">
        <v>1</v>
      </c>
      <c r="S9" t="b">
        <v>1</v>
      </c>
      <c r="T9" t="b">
        <v>1</v>
      </c>
      <c r="U9" t="b">
        <v>1</v>
      </c>
      <c r="V9" t="b">
        <v>0</v>
      </c>
      <c r="W9" t="b">
        <v>1</v>
      </c>
      <c r="X9" t="b">
        <v>0</v>
      </c>
      <c r="Y9" t="b">
        <v>1</v>
      </c>
      <c r="Z9" t="b">
        <v>0</v>
      </c>
      <c r="AA9" t="b">
        <v>1</v>
      </c>
      <c r="AB9" t="s">
        <v>4194</v>
      </c>
      <c r="AC9" t="s">
        <v>7540</v>
      </c>
    </row>
    <row r="10" spans="1:29" x14ac:dyDescent="0.3">
      <c r="A10">
        <v>-73.962261440000006</v>
      </c>
      <c r="B10">
        <v>40.773700939999998</v>
      </c>
      <c r="C10" t="s">
        <v>1245</v>
      </c>
      <c r="D10" t="s">
        <v>38</v>
      </c>
      <c r="E10" s="58">
        <v>43386</v>
      </c>
      <c r="F10">
        <v>1</v>
      </c>
      <c r="G10" t="s">
        <v>105</v>
      </c>
      <c r="H10" t="s">
        <v>42</v>
      </c>
      <c r="I10" t="s">
        <v>5105</v>
      </c>
      <c r="J10" t="s">
        <v>339</v>
      </c>
      <c r="K10" t="s">
        <v>4791</v>
      </c>
      <c r="L10" t="s">
        <v>65</v>
      </c>
      <c r="M10" t="b">
        <v>0</v>
      </c>
      <c r="N10" t="s">
        <v>1064</v>
      </c>
      <c r="O10" t="b">
        <v>1</v>
      </c>
      <c r="P10" t="b">
        <v>1</v>
      </c>
      <c r="Q10" t="b">
        <v>1</v>
      </c>
      <c r="R10" t="b">
        <v>0</v>
      </c>
      <c r="S10" t="b">
        <v>0</v>
      </c>
      <c r="T10" t="b">
        <v>1</v>
      </c>
      <c r="U10" t="b">
        <v>0</v>
      </c>
      <c r="V10" t="b">
        <v>1</v>
      </c>
      <c r="W10" t="b">
        <v>0</v>
      </c>
      <c r="X10" t="b">
        <v>1</v>
      </c>
      <c r="Y10" t="b">
        <v>1</v>
      </c>
      <c r="Z10" t="b">
        <v>1</v>
      </c>
      <c r="AA10" t="b">
        <v>0</v>
      </c>
      <c r="AB10" t="s">
        <v>2751</v>
      </c>
      <c r="AC10" t="s">
        <v>7541</v>
      </c>
    </row>
    <row r="11" spans="1:29" x14ac:dyDescent="0.3">
      <c r="A11">
        <v>-73.958899040000006</v>
      </c>
      <c r="B11">
        <v>40.782142270000001</v>
      </c>
      <c r="C11" t="s">
        <v>1141</v>
      </c>
      <c r="D11" t="s">
        <v>38</v>
      </c>
      <c r="E11" s="58">
        <v>43379</v>
      </c>
      <c r="F11">
        <v>25</v>
      </c>
      <c r="G11" t="s">
        <v>105</v>
      </c>
      <c r="H11" t="s">
        <v>176</v>
      </c>
      <c r="I11" t="s">
        <v>148</v>
      </c>
      <c r="J11" t="s">
        <v>43</v>
      </c>
      <c r="K11" t="s">
        <v>4594</v>
      </c>
      <c r="L11" t="s">
        <v>44</v>
      </c>
      <c r="M11">
        <v>12</v>
      </c>
      <c r="N11" t="s">
        <v>6242</v>
      </c>
      <c r="O11" t="b">
        <v>1</v>
      </c>
      <c r="P11" t="b">
        <v>1</v>
      </c>
      <c r="Q11" t="b">
        <v>1</v>
      </c>
      <c r="R11" t="b">
        <v>0</v>
      </c>
      <c r="S11" t="b">
        <v>1</v>
      </c>
      <c r="T11" t="b">
        <v>1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1</v>
      </c>
      <c r="AA11" t="b">
        <v>1</v>
      </c>
      <c r="AB11" t="s">
        <v>4147</v>
      </c>
      <c r="AC11" t="s">
        <v>7542</v>
      </c>
    </row>
    <row r="12" spans="1:29" x14ac:dyDescent="0.3">
      <c r="A12">
        <v>-73.980511469999996</v>
      </c>
      <c r="B12">
        <v>40.772698980000001</v>
      </c>
      <c r="C12" t="s">
        <v>320</v>
      </c>
      <c r="D12" t="s">
        <v>38</v>
      </c>
      <c r="E12" s="58">
        <v>43391</v>
      </c>
      <c r="F12">
        <v>10</v>
      </c>
      <c r="G12" t="s">
        <v>48</v>
      </c>
      <c r="H12" t="s">
        <v>176</v>
      </c>
      <c r="I12" t="s">
        <v>115</v>
      </c>
      <c r="J12" t="s">
        <v>1922</v>
      </c>
      <c r="K12" t="s">
        <v>977</v>
      </c>
      <c r="L12" t="s">
        <v>65</v>
      </c>
      <c r="M12" t="b">
        <v>0</v>
      </c>
      <c r="N12" t="s">
        <v>6499</v>
      </c>
      <c r="O12" t="b">
        <v>1</v>
      </c>
      <c r="P12" t="b">
        <v>0</v>
      </c>
      <c r="Q12" t="b">
        <v>1</v>
      </c>
      <c r="R12" t="b">
        <v>0</v>
      </c>
      <c r="S12" t="b">
        <v>0</v>
      </c>
      <c r="T12" t="b">
        <v>0</v>
      </c>
      <c r="U12" t="b">
        <v>1</v>
      </c>
      <c r="V12" t="b">
        <v>1</v>
      </c>
      <c r="W12" t="b">
        <v>0</v>
      </c>
      <c r="X12" t="b">
        <v>1</v>
      </c>
      <c r="Y12" t="b">
        <v>0</v>
      </c>
      <c r="Z12" t="b">
        <v>1</v>
      </c>
      <c r="AA12" t="b">
        <v>0</v>
      </c>
      <c r="AB12" t="s">
        <v>4924</v>
      </c>
      <c r="AC12" t="s">
        <v>7543</v>
      </c>
    </row>
    <row r="13" spans="1:29" x14ac:dyDescent="0.3">
      <c r="A13">
        <v>-73.950667710000005</v>
      </c>
      <c r="B13">
        <v>40.799684339999999</v>
      </c>
      <c r="C13" t="s">
        <v>212</v>
      </c>
      <c r="D13" t="s">
        <v>38</v>
      </c>
      <c r="E13" s="58">
        <v>43387</v>
      </c>
      <c r="F13">
        <v>22</v>
      </c>
      <c r="G13" t="s">
        <v>3842</v>
      </c>
      <c r="H13" t="s">
        <v>42</v>
      </c>
      <c r="I13" t="s">
        <v>59</v>
      </c>
      <c r="J13" t="s">
        <v>97</v>
      </c>
      <c r="K13" t="s">
        <v>2503</v>
      </c>
      <c r="L13" t="s">
        <v>65</v>
      </c>
      <c r="M13" t="b">
        <v>0</v>
      </c>
      <c r="N13" t="s">
        <v>2877</v>
      </c>
      <c r="O13" t="b">
        <v>0</v>
      </c>
      <c r="P13" t="b">
        <v>0</v>
      </c>
      <c r="Q13" t="b">
        <v>0</v>
      </c>
      <c r="R13" t="b">
        <v>0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  <c r="X13" t="b">
        <v>0</v>
      </c>
      <c r="Y13" t="b">
        <v>0</v>
      </c>
      <c r="Z13" t="b">
        <v>0</v>
      </c>
      <c r="AA13" t="b">
        <v>1</v>
      </c>
      <c r="AB13" t="s">
        <v>3434</v>
      </c>
      <c r="AC13" t="s">
        <v>7544</v>
      </c>
    </row>
    <row r="14" spans="1:29" x14ac:dyDescent="0.3">
      <c r="A14">
        <v>-73.954989240000003</v>
      </c>
      <c r="B14">
        <v>40.79814897</v>
      </c>
      <c r="C14" t="s">
        <v>4378</v>
      </c>
      <c r="D14" t="s">
        <v>38</v>
      </c>
      <c r="E14" s="58">
        <v>43384</v>
      </c>
      <c r="F14">
        <v>10</v>
      </c>
      <c r="G14" t="s">
        <v>48</v>
      </c>
      <c r="H14" t="s">
        <v>176</v>
      </c>
      <c r="I14" t="s">
        <v>5105</v>
      </c>
      <c r="J14" t="s">
        <v>1233</v>
      </c>
      <c r="K14" t="s">
        <v>4110</v>
      </c>
      <c r="L14" t="s">
        <v>65</v>
      </c>
      <c r="M14" t="b">
        <v>0</v>
      </c>
      <c r="N14" t="s">
        <v>5295</v>
      </c>
      <c r="O14" t="b">
        <v>1</v>
      </c>
      <c r="P14" t="b">
        <v>0</v>
      </c>
      <c r="Q14" t="b">
        <v>0</v>
      </c>
      <c r="R14" t="b">
        <v>1</v>
      </c>
      <c r="S14" t="b">
        <v>0</v>
      </c>
      <c r="T14" t="b">
        <v>1</v>
      </c>
      <c r="U14" t="b">
        <v>1</v>
      </c>
      <c r="V14" t="b">
        <v>0</v>
      </c>
      <c r="W14" t="b">
        <v>0</v>
      </c>
      <c r="X14" t="b">
        <v>0</v>
      </c>
      <c r="Y14" t="b">
        <v>1</v>
      </c>
      <c r="Z14" t="b">
        <v>0</v>
      </c>
      <c r="AA14" t="b">
        <v>1</v>
      </c>
      <c r="AB14" t="s">
        <v>3835</v>
      </c>
      <c r="AC14" t="s">
        <v>7545</v>
      </c>
    </row>
    <row r="15" spans="1:29" x14ac:dyDescent="0.3">
      <c r="A15">
        <v>-73.974483320000004</v>
      </c>
      <c r="B15">
        <v>40.766298800000001</v>
      </c>
      <c r="C15" t="s">
        <v>2573</v>
      </c>
      <c r="D15" t="s">
        <v>33</v>
      </c>
      <c r="E15" s="58">
        <v>43387</v>
      </c>
      <c r="F15">
        <v>21</v>
      </c>
      <c r="G15" t="s">
        <v>48</v>
      </c>
      <c r="H15" t="s">
        <v>176</v>
      </c>
      <c r="I15" t="s">
        <v>5105</v>
      </c>
      <c r="J15" t="s">
        <v>5106</v>
      </c>
      <c r="K15" t="s">
        <v>3028</v>
      </c>
      <c r="L15" t="s">
        <v>65</v>
      </c>
      <c r="M15" t="b">
        <v>0</v>
      </c>
      <c r="N15" t="s">
        <v>2760</v>
      </c>
      <c r="O15" t="b">
        <v>0</v>
      </c>
      <c r="P15" t="b">
        <v>1</v>
      </c>
      <c r="Q15" t="b">
        <v>0</v>
      </c>
      <c r="R15" t="b">
        <v>1</v>
      </c>
      <c r="S15" t="b">
        <v>0</v>
      </c>
      <c r="T15" t="b">
        <v>1</v>
      </c>
      <c r="U15" t="b">
        <v>1</v>
      </c>
      <c r="V15" t="b">
        <v>0</v>
      </c>
      <c r="W15" t="b">
        <v>0</v>
      </c>
      <c r="X15" t="b">
        <v>1</v>
      </c>
      <c r="Y15" t="b">
        <v>1</v>
      </c>
      <c r="Z15" t="b">
        <v>1</v>
      </c>
      <c r="AA15" t="b">
        <v>0</v>
      </c>
      <c r="AB15" t="s">
        <v>4695</v>
      </c>
      <c r="AC15" t="s">
        <v>7546</v>
      </c>
    </row>
    <row r="16" spans="1:29" x14ac:dyDescent="0.3">
      <c r="A16">
        <v>-73.975442580000006</v>
      </c>
      <c r="B16">
        <v>40.789752450000002</v>
      </c>
      <c r="C16" t="s">
        <v>1326</v>
      </c>
      <c r="D16" t="s">
        <v>33</v>
      </c>
      <c r="E16" s="58">
        <v>43381</v>
      </c>
      <c r="F16">
        <v>15</v>
      </c>
      <c r="G16" t="s">
        <v>3842</v>
      </c>
      <c r="H16" t="s">
        <v>176</v>
      </c>
      <c r="I16" t="s">
        <v>59</v>
      </c>
      <c r="J16" t="s">
        <v>705</v>
      </c>
      <c r="K16" t="s">
        <v>1381</v>
      </c>
      <c r="L16" t="s">
        <v>65</v>
      </c>
      <c r="M16" t="b">
        <v>0</v>
      </c>
      <c r="N16" t="s">
        <v>2150</v>
      </c>
      <c r="O16" t="b">
        <v>0</v>
      </c>
      <c r="P16" t="b">
        <v>1</v>
      </c>
      <c r="Q16" t="b">
        <v>0</v>
      </c>
      <c r="R16" t="b">
        <v>1</v>
      </c>
      <c r="S16" t="b">
        <v>1</v>
      </c>
      <c r="T16" t="b">
        <v>1</v>
      </c>
      <c r="U16" t="b">
        <v>1</v>
      </c>
      <c r="V16" t="b">
        <v>0</v>
      </c>
      <c r="W16" t="b">
        <v>0</v>
      </c>
      <c r="X16" t="b">
        <v>1</v>
      </c>
      <c r="Y16" t="b">
        <v>0</v>
      </c>
      <c r="Z16" t="b">
        <v>0</v>
      </c>
      <c r="AA16" t="b">
        <v>0</v>
      </c>
      <c r="AB16" t="s">
        <v>1660</v>
      </c>
      <c r="AC16" t="s">
        <v>7547</v>
      </c>
    </row>
    <row r="17" spans="1:29" x14ac:dyDescent="0.3">
      <c r="A17">
        <v>-73.975392929999998</v>
      </c>
      <c r="B17">
        <v>40.797486669999998</v>
      </c>
      <c r="C17" t="s">
        <v>1015</v>
      </c>
      <c r="D17" t="s">
        <v>38</v>
      </c>
      <c r="E17" s="58">
        <v>43390</v>
      </c>
      <c r="F17">
        <v>17</v>
      </c>
      <c r="G17" t="s">
        <v>3842</v>
      </c>
      <c r="H17" t="s">
        <v>53</v>
      </c>
      <c r="I17" t="s">
        <v>176</v>
      </c>
      <c r="J17" t="s">
        <v>97</v>
      </c>
      <c r="K17" t="s">
        <v>6737</v>
      </c>
      <c r="L17" t="s">
        <v>44</v>
      </c>
      <c r="M17">
        <v>10</v>
      </c>
      <c r="N17" t="s">
        <v>6050</v>
      </c>
      <c r="O17" t="b">
        <v>0</v>
      </c>
      <c r="P17" t="b">
        <v>0</v>
      </c>
      <c r="Q17" t="b">
        <v>0</v>
      </c>
      <c r="R17" t="b">
        <v>1</v>
      </c>
      <c r="S17" t="b">
        <v>0</v>
      </c>
      <c r="T17" t="b">
        <v>1</v>
      </c>
      <c r="U17" t="b">
        <v>1</v>
      </c>
      <c r="V17" t="b">
        <v>1</v>
      </c>
      <c r="W17" t="b">
        <v>0</v>
      </c>
      <c r="X17" t="b">
        <v>0</v>
      </c>
      <c r="Y17" t="b">
        <v>0</v>
      </c>
      <c r="Z17" t="b">
        <v>1</v>
      </c>
      <c r="AA17" t="b">
        <v>1</v>
      </c>
      <c r="AB17" t="s">
        <v>4327</v>
      </c>
      <c r="AC17" t="s">
        <v>7548</v>
      </c>
    </row>
    <row r="18" spans="1:29" x14ac:dyDescent="0.3">
      <c r="A18">
        <v>-73.971594170000003</v>
      </c>
      <c r="B18">
        <v>40.771268339999999</v>
      </c>
      <c r="C18" t="s">
        <v>514</v>
      </c>
      <c r="D18" t="s">
        <v>33</v>
      </c>
      <c r="E18" s="58">
        <v>43381</v>
      </c>
      <c r="F18">
        <v>22</v>
      </c>
      <c r="G18" t="s">
        <v>3842</v>
      </c>
      <c r="H18" t="s">
        <v>42</v>
      </c>
      <c r="I18" t="s">
        <v>59</v>
      </c>
      <c r="J18" t="s">
        <v>5106</v>
      </c>
      <c r="K18" t="s">
        <v>1666</v>
      </c>
      <c r="L18" t="s">
        <v>65</v>
      </c>
      <c r="M18" t="b">
        <v>0</v>
      </c>
      <c r="N18" t="s">
        <v>1996</v>
      </c>
      <c r="O18" t="b">
        <v>1</v>
      </c>
      <c r="P18" t="b">
        <v>1</v>
      </c>
      <c r="Q18" t="b">
        <v>0</v>
      </c>
      <c r="R18" t="b">
        <v>1</v>
      </c>
      <c r="S18" t="b">
        <v>0</v>
      </c>
      <c r="T18" t="b">
        <v>1</v>
      </c>
      <c r="U18" t="b">
        <v>0</v>
      </c>
      <c r="V18" t="b">
        <v>0</v>
      </c>
      <c r="W18" t="b">
        <v>1</v>
      </c>
      <c r="X18" t="b">
        <v>1</v>
      </c>
      <c r="Y18" t="b">
        <v>1</v>
      </c>
      <c r="Z18" t="b">
        <v>1</v>
      </c>
      <c r="AA18" t="b">
        <v>1</v>
      </c>
      <c r="AB18" t="s">
        <v>5792</v>
      </c>
      <c r="AC18" t="s">
        <v>7549</v>
      </c>
    </row>
    <row r="19" spans="1:29" x14ac:dyDescent="0.3">
      <c r="A19">
        <v>-73.964661910000004</v>
      </c>
      <c r="B19">
        <v>40.784906800000002</v>
      </c>
      <c r="C19" t="s">
        <v>398</v>
      </c>
      <c r="D19" t="s">
        <v>38</v>
      </c>
      <c r="E19" s="58">
        <v>43384</v>
      </c>
      <c r="F19">
        <v>6</v>
      </c>
      <c r="G19" t="s">
        <v>105</v>
      </c>
      <c r="H19" t="s">
        <v>176</v>
      </c>
      <c r="I19" t="s">
        <v>148</v>
      </c>
      <c r="J19" t="s">
        <v>54</v>
      </c>
      <c r="K19" t="s">
        <v>1696</v>
      </c>
      <c r="L19" t="s">
        <v>44</v>
      </c>
      <c r="M19">
        <v>12</v>
      </c>
      <c r="N19" t="s">
        <v>4805</v>
      </c>
      <c r="O19" t="b">
        <v>0</v>
      </c>
      <c r="P19" t="b">
        <v>0</v>
      </c>
      <c r="Q19" t="b">
        <v>0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0</v>
      </c>
      <c r="X19" t="b">
        <v>1</v>
      </c>
      <c r="Y19" t="b">
        <v>0</v>
      </c>
      <c r="Z19" t="b">
        <v>1</v>
      </c>
      <c r="AA19" t="b">
        <v>0</v>
      </c>
      <c r="AB19" t="s">
        <v>685</v>
      </c>
      <c r="AC19" t="s">
        <v>7550</v>
      </c>
    </row>
    <row r="20" spans="1:29" x14ac:dyDescent="0.3">
      <c r="A20">
        <v>-73.967579610000001</v>
      </c>
      <c r="B20">
        <v>40.797143040000002</v>
      </c>
      <c r="C20" t="s">
        <v>6895</v>
      </c>
      <c r="D20" t="s">
        <v>38</v>
      </c>
      <c r="E20" s="58">
        <v>43387</v>
      </c>
      <c r="F20">
        <v>3</v>
      </c>
      <c r="G20" t="s">
        <v>3842</v>
      </c>
      <c r="H20" t="s">
        <v>42</v>
      </c>
      <c r="I20" t="s">
        <v>115</v>
      </c>
      <c r="J20" t="s">
        <v>89</v>
      </c>
      <c r="K20" t="s">
        <v>6633</v>
      </c>
      <c r="L20" t="s">
        <v>65</v>
      </c>
      <c r="M20" t="b">
        <v>0</v>
      </c>
      <c r="N20" t="s">
        <v>1337</v>
      </c>
      <c r="O20" t="b">
        <v>0</v>
      </c>
      <c r="P20" t="b">
        <v>0</v>
      </c>
      <c r="Q20" t="b">
        <v>1</v>
      </c>
      <c r="R20" t="b">
        <v>0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  <c r="X20" t="b">
        <v>0</v>
      </c>
      <c r="Y20" t="b">
        <v>0</v>
      </c>
      <c r="Z20" t="b">
        <v>1</v>
      </c>
      <c r="AA20" t="b">
        <v>1</v>
      </c>
      <c r="AB20" t="s">
        <v>3827</v>
      </c>
      <c r="AC20" t="s">
        <v>7551</v>
      </c>
    </row>
    <row r="21" spans="1:29" x14ac:dyDescent="0.3">
      <c r="A21">
        <v>-73.972003259999994</v>
      </c>
      <c r="B21">
        <v>40.766105830000001</v>
      </c>
      <c r="C21" t="s">
        <v>1578</v>
      </c>
      <c r="D21" t="s">
        <v>33</v>
      </c>
      <c r="E21" s="58">
        <v>43385</v>
      </c>
      <c r="F21">
        <v>13</v>
      </c>
      <c r="G21" t="s">
        <v>3842</v>
      </c>
      <c r="H21" t="s">
        <v>42</v>
      </c>
      <c r="I21" t="s">
        <v>96</v>
      </c>
      <c r="J21" t="s">
        <v>3228</v>
      </c>
      <c r="K21" t="s">
        <v>4308</v>
      </c>
      <c r="L21" t="s">
        <v>65</v>
      </c>
      <c r="M21" t="b">
        <v>0</v>
      </c>
      <c r="N21" t="s">
        <v>6452</v>
      </c>
      <c r="O21" t="b">
        <v>1</v>
      </c>
      <c r="P21" t="b">
        <v>0</v>
      </c>
      <c r="Q21" t="b">
        <v>0</v>
      </c>
      <c r="R21" t="b">
        <v>1</v>
      </c>
      <c r="S21" t="b">
        <v>1</v>
      </c>
      <c r="T21" t="b">
        <v>0</v>
      </c>
      <c r="U21" t="b">
        <v>1</v>
      </c>
      <c r="V21" t="b">
        <v>0</v>
      </c>
      <c r="W21" t="b">
        <v>1</v>
      </c>
      <c r="X21" t="b">
        <v>0</v>
      </c>
      <c r="Y21" t="b">
        <v>1</v>
      </c>
      <c r="Z21" t="b">
        <v>1</v>
      </c>
      <c r="AA21" t="b">
        <v>1</v>
      </c>
      <c r="AB21" t="s">
        <v>743</v>
      </c>
      <c r="AC21" t="s">
        <v>7552</v>
      </c>
    </row>
    <row r="22" spans="1:29" x14ac:dyDescent="0.3">
      <c r="A22">
        <v>-73.961923880000001</v>
      </c>
      <c r="B22">
        <v>40.78946534</v>
      </c>
      <c r="C22" t="s">
        <v>119</v>
      </c>
      <c r="D22" t="s">
        <v>38</v>
      </c>
      <c r="E22" s="58">
        <v>43392</v>
      </c>
      <c r="F22">
        <v>16</v>
      </c>
      <c r="G22" t="s">
        <v>3842</v>
      </c>
      <c r="H22" t="s">
        <v>42</v>
      </c>
      <c r="I22" t="s">
        <v>176</v>
      </c>
      <c r="J22" t="s">
        <v>43</v>
      </c>
      <c r="K22" t="s">
        <v>5413</v>
      </c>
      <c r="L22" t="s">
        <v>65</v>
      </c>
      <c r="M22" t="b">
        <v>0</v>
      </c>
      <c r="N22" t="s">
        <v>5512</v>
      </c>
      <c r="O22" t="b">
        <v>0</v>
      </c>
      <c r="P22" t="b">
        <v>0</v>
      </c>
      <c r="Q22" t="b">
        <v>1</v>
      </c>
      <c r="R22" t="b">
        <v>1</v>
      </c>
      <c r="S22" t="b">
        <v>1</v>
      </c>
      <c r="T22" t="b">
        <v>0</v>
      </c>
      <c r="U22" t="b">
        <v>1</v>
      </c>
      <c r="V22" t="b">
        <v>0</v>
      </c>
      <c r="W22" t="b">
        <v>0</v>
      </c>
      <c r="X22" t="b">
        <v>1</v>
      </c>
      <c r="Y22" t="b">
        <v>1</v>
      </c>
      <c r="Z22" t="b">
        <v>1</v>
      </c>
      <c r="AA22" t="b">
        <v>0</v>
      </c>
      <c r="AB22" t="s">
        <v>4778</v>
      </c>
      <c r="AC22" t="s">
        <v>7553</v>
      </c>
    </row>
    <row r="23" spans="1:29" x14ac:dyDescent="0.3">
      <c r="A23">
        <v>-73.976773339999994</v>
      </c>
      <c r="B23">
        <v>40.775379690000001</v>
      </c>
      <c r="C23" t="s">
        <v>1090</v>
      </c>
      <c r="D23" t="s">
        <v>38</v>
      </c>
      <c r="E23" s="58">
        <v>43391</v>
      </c>
      <c r="F23">
        <v>8</v>
      </c>
      <c r="G23" t="s">
        <v>48</v>
      </c>
      <c r="H23" t="s">
        <v>176</v>
      </c>
      <c r="I23" t="s">
        <v>737</v>
      </c>
      <c r="J23" t="s">
        <v>1233</v>
      </c>
      <c r="K23" t="s">
        <v>1181</v>
      </c>
      <c r="L23" t="s">
        <v>44</v>
      </c>
      <c r="M23">
        <v>15</v>
      </c>
      <c r="N23" t="s">
        <v>332</v>
      </c>
      <c r="O23" t="b">
        <v>0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0</v>
      </c>
      <c r="V23" t="b">
        <v>0</v>
      </c>
      <c r="W23" t="b">
        <v>0</v>
      </c>
      <c r="X23" t="b">
        <v>1</v>
      </c>
      <c r="Y23" t="b">
        <v>0</v>
      </c>
      <c r="Z23" t="b">
        <v>0</v>
      </c>
      <c r="AA23" t="b">
        <v>1</v>
      </c>
      <c r="AB23" t="s">
        <v>4025</v>
      </c>
      <c r="AC23" t="s">
        <v>7554</v>
      </c>
    </row>
    <row r="24" spans="1:29" x14ac:dyDescent="0.3">
      <c r="A24">
        <v>-73.97197448</v>
      </c>
      <c r="B24">
        <v>40.797456670000003</v>
      </c>
      <c r="C24" t="s">
        <v>957</v>
      </c>
      <c r="D24" t="s">
        <v>33</v>
      </c>
      <c r="E24" s="58">
        <v>43381</v>
      </c>
      <c r="F24">
        <v>30</v>
      </c>
      <c r="G24" t="s">
        <v>48</v>
      </c>
      <c r="H24" t="s">
        <v>176</v>
      </c>
      <c r="I24" t="s">
        <v>96</v>
      </c>
      <c r="J24" t="s">
        <v>339</v>
      </c>
      <c r="K24" t="s">
        <v>3758</v>
      </c>
      <c r="L24" t="s">
        <v>65</v>
      </c>
      <c r="M24" t="b">
        <v>0</v>
      </c>
      <c r="N24" t="s">
        <v>3098</v>
      </c>
      <c r="O24" t="b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1</v>
      </c>
      <c r="V24" t="b">
        <v>0</v>
      </c>
      <c r="W24" t="b">
        <v>1</v>
      </c>
      <c r="X24" t="b">
        <v>0</v>
      </c>
      <c r="Y24" t="b">
        <v>0</v>
      </c>
      <c r="Z24" t="b">
        <v>0</v>
      </c>
      <c r="AA24" t="b">
        <v>1</v>
      </c>
      <c r="AB24" t="s">
        <v>412</v>
      </c>
      <c r="AC24" t="s">
        <v>7555</v>
      </c>
    </row>
    <row r="25" spans="1:29" x14ac:dyDescent="0.3">
      <c r="A25">
        <v>-73.969641330000002</v>
      </c>
      <c r="B25">
        <v>40.79909954</v>
      </c>
      <c r="C25" t="s">
        <v>63</v>
      </c>
      <c r="D25" t="s">
        <v>33</v>
      </c>
      <c r="E25" s="58">
        <v>43381</v>
      </c>
      <c r="F25">
        <v>15</v>
      </c>
      <c r="G25" t="s">
        <v>105</v>
      </c>
      <c r="H25" t="s">
        <v>42</v>
      </c>
      <c r="I25" t="s">
        <v>53</v>
      </c>
      <c r="J25" t="s">
        <v>339</v>
      </c>
      <c r="K25" t="s">
        <v>2517</v>
      </c>
      <c r="L25" t="s">
        <v>44</v>
      </c>
      <c r="M25">
        <v>5</v>
      </c>
      <c r="N25" t="s">
        <v>5488</v>
      </c>
      <c r="O25" t="b">
        <v>1</v>
      </c>
      <c r="P25" t="b">
        <v>1</v>
      </c>
      <c r="Q25" t="b">
        <v>0</v>
      </c>
      <c r="R25" t="b">
        <v>1</v>
      </c>
      <c r="S25" t="b">
        <v>0</v>
      </c>
      <c r="T25" t="b">
        <v>0</v>
      </c>
      <c r="U25" t="b">
        <v>1</v>
      </c>
      <c r="V25" t="b">
        <v>1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s">
        <v>2090</v>
      </c>
      <c r="AC25" t="s">
        <v>7556</v>
      </c>
    </row>
    <row r="26" spans="1:29" x14ac:dyDescent="0.3">
      <c r="A26">
        <v>-73.966821190000005</v>
      </c>
      <c r="B26">
        <v>40.798156259999999</v>
      </c>
      <c r="C26" t="s">
        <v>320</v>
      </c>
      <c r="D26" t="s">
        <v>38</v>
      </c>
      <c r="E26" s="58">
        <v>43380</v>
      </c>
      <c r="F26">
        <v>17</v>
      </c>
      <c r="G26" t="s">
        <v>48</v>
      </c>
      <c r="H26" t="s">
        <v>53</v>
      </c>
      <c r="I26" t="s">
        <v>53</v>
      </c>
      <c r="J26" t="s">
        <v>1233</v>
      </c>
      <c r="K26" t="s">
        <v>3347</v>
      </c>
      <c r="L26" t="s">
        <v>44</v>
      </c>
      <c r="M26">
        <v>12</v>
      </c>
      <c r="N26" t="s">
        <v>1879</v>
      </c>
      <c r="O26" t="b">
        <v>0</v>
      </c>
      <c r="P26" t="b">
        <v>0</v>
      </c>
      <c r="Q26" t="b">
        <v>1</v>
      </c>
      <c r="R26" t="b">
        <v>1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1</v>
      </c>
      <c r="AA26" t="b">
        <v>1</v>
      </c>
      <c r="AB26" t="s">
        <v>3595</v>
      </c>
      <c r="AC26" t="s">
        <v>7557</v>
      </c>
    </row>
    <row r="27" spans="1:29" x14ac:dyDescent="0.3">
      <c r="A27">
        <v>-73.956475150000003</v>
      </c>
      <c r="B27">
        <v>40.78160673</v>
      </c>
      <c r="C27" t="s">
        <v>627</v>
      </c>
      <c r="D27" t="s">
        <v>33</v>
      </c>
      <c r="E27" s="58">
        <v>43387</v>
      </c>
      <c r="F27">
        <v>17</v>
      </c>
      <c r="G27" t="s">
        <v>105</v>
      </c>
      <c r="H27" t="s">
        <v>42</v>
      </c>
      <c r="I27" t="s">
        <v>53</v>
      </c>
      <c r="J27" t="s">
        <v>155</v>
      </c>
      <c r="K27" t="s">
        <v>6764</v>
      </c>
      <c r="L27" t="s">
        <v>65</v>
      </c>
      <c r="M27" t="b">
        <v>0</v>
      </c>
      <c r="N27" t="s">
        <v>1996</v>
      </c>
      <c r="O27" t="b">
        <v>0</v>
      </c>
      <c r="P27" t="b">
        <v>0</v>
      </c>
      <c r="Q27" t="b">
        <v>1</v>
      </c>
      <c r="R27" t="b">
        <v>1</v>
      </c>
      <c r="S27" t="b">
        <v>0</v>
      </c>
      <c r="T27" t="b">
        <v>0</v>
      </c>
      <c r="U27" t="b">
        <v>0</v>
      </c>
      <c r="V27" t="b">
        <v>1</v>
      </c>
      <c r="W27" t="b">
        <v>0</v>
      </c>
      <c r="X27" t="b">
        <v>0</v>
      </c>
      <c r="Y27" t="b">
        <v>1</v>
      </c>
      <c r="Z27" t="b">
        <v>1</v>
      </c>
      <c r="AA27" t="b">
        <v>0</v>
      </c>
      <c r="AB27" t="s">
        <v>5750</v>
      </c>
      <c r="AC27" t="s">
        <v>7558</v>
      </c>
    </row>
    <row r="28" spans="1:29" x14ac:dyDescent="0.3">
      <c r="A28">
        <v>-73.97488147</v>
      </c>
      <c r="B28">
        <v>40.795261340000003</v>
      </c>
      <c r="C28" t="s">
        <v>851</v>
      </c>
      <c r="D28" t="s">
        <v>33</v>
      </c>
      <c r="E28" s="58">
        <v>43391</v>
      </c>
      <c r="F28">
        <v>22</v>
      </c>
      <c r="G28" t="s">
        <v>48</v>
      </c>
      <c r="H28" t="s">
        <v>53</v>
      </c>
      <c r="I28" t="s">
        <v>53</v>
      </c>
      <c r="J28" t="s">
        <v>54</v>
      </c>
      <c r="K28" t="s">
        <v>4814</v>
      </c>
      <c r="L28" t="s">
        <v>44</v>
      </c>
      <c r="M28">
        <v>8</v>
      </c>
      <c r="N28" t="s">
        <v>6854</v>
      </c>
      <c r="O28" t="b">
        <v>1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0</v>
      </c>
      <c r="Z28" t="b">
        <v>1</v>
      </c>
      <c r="AA28" t="b">
        <v>0</v>
      </c>
      <c r="AB28" t="s">
        <v>369</v>
      </c>
      <c r="AC28" t="s">
        <v>7559</v>
      </c>
    </row>
    <row r="29" spans="1:29" x14ac:dyDescent="0.3">
      <c r="A29">
        <v>-73.964992690000003</v>
      </c>
      <c r="B29">
        <v>40.794645439999996</v>
      </c>
      <c r="C29" t="s">
        <v>1544</v>
      </c>
      <c r="D29" t="s">
        <v>38</v>
      </c>
      <c r="E29" s="58">
        <v>43393</v>
      </c>
      <c r="F29">
        <v>26</v>
      </c>
      <c r="G29" t="s">
        <v>3842</v>
      </c>
      <c r="H29" t="s">
        <v>42</v>
      </c>
      <c r="I29" t="s">
        <v>115</v>
      </c>
      <c r="J29" t="s">
        <v>3228</v>
      </c>
      <c r="K29" t="s">
        <v>4020</v>
      </c>
      <c r="L29" t="s">
        <v>65</v>
      </c>
      <c r="M29" t="b">
        <v>0</v>
      </c>
      <c r="N29" t="s">
        <v>487</v>
      </c>
      <c r="O29" t="b">
        <v>1</v>
      </c>
      <c r="P29" t="b">
        <v>0</v>
      </c>
      <c r="Q29" t="b">
        <v>1</v>
      </c>
      <c r="R29" t="b">
        <v>1</v>
      </c>
      <c r="S29" t="b">
        <v>1</v>
      </c>
      <c r="T29" t="b">
        <v>0</v>
      </c>
      <c r="U29" t="b">
        <v>1</v>
      </c>
      <c r="V29" t="b">
        <v>0</v>
      </c>
      <c r="W29" t="b">
        <v>1</v>
      </c>
      <c r="X29" t="b">
        <v>0</v>
      </c>
      <c r="Y29" t="b">
        <v>0</v>
      </c>
      <c r="Z29" t="b">
        <v>0</v>
      </c>
      <c r="AA29" t="b">
        <v>1</v>
      </c>
      <c r="AB29" t="s">
        <v>2514</v>
      </c>
      <c r="AC29" t="s">
        <v>7560</v>
      </c>
    </row>
    <row r="30" spans="1:29" x14ac:dyDescent="0.3">
      <c r="A30">
        <v>-73.962534950000006</v>
      </c>
      <c r="B30">
        <v>40.776145509999999</v>
      </c>
      <c r="C30" t="s">
        <v>1133</v>
      </c>
      <c r="D30" t="s">
        <v>33</v>
      </c>
      <c r="E30" s="58">
        <v>43381</v>
      </c>
      <c r="F30">
        <v>13</v>
      </c>
      <c r="G30" t="s">
        <v>48</v>
      </c>
      <c r="H30" t="s">
        <v>42</v>
      </c>
      <c r="I30" t="s">
        <v>96</v>
      </c>
      <c r="J30" t="s">
        <v>1922</v>
      </c>
      <c r="K30" t="s">
        <v>3471</v>
      </c>
      <c r="L30" t="s">
        <v>65</v>
      </c>
      <c r="M30" t="b">
        <v>0</v>
      </c>
      <c r="N30" t="s">
        <v>6521</v>
      </c>
      <c r="O30" t="b">
        <v>0</v>
      </c>
      <c r="P30" t="b">
        <v>1</v>
      </c>
      <c r="Q30" t="b">
        <v>1</v>
      </c>
      <c r="R30" t="b">
        <v>1</v>
      </c>
      <c r="S30" t="b">
        <v>0</v>
      </c>
      <c r="T30" t="b">
        <v>1</v>
      </c>
      <c r="U30" t="b">
        <v>0</v>
      </c>
      <c r="V30" t="b">
        <v>0</v>
      </c>
      <c r="W30" t="b">
        <v>0</v>
      </c>
      <c r="X30" t="b">
        <v>0</v>
      </c>
      <c r="Y30" t="b">
        <v>1</v>
      </c>
      <c r="Z30" t="b">
        <v>1</v>
      </c>
      <c r="AA30" t="b">
        <v>1</v>
      </c>
      <c r="AB30" t="s">
        <v>2274</v>
      </c>
      <c r="AC30" t="s">
        <v>7561</v>
      </c>
    </row>
    <row r="31" spans="1:29" x14ac:dyDescent="0.3">
      <c r="A31">
        <v>-73.979698330000005</v>
      </c>
      <c r="B31">
        <v>40.794094999999999</v>
      </c>
      <c r="C31" t="s">
        <v>767</v>
      </c>
      <c r="D31" t="s">
        <v>33</v>
      </c>
      <c r="E31" s="58">
        <v>43389</v>
      </c>
      <c r="F31">
        <v>17</v>
      </c>
      <c r="G31" t="s">
        <v>105</v>
      </c>
      <c r="H31" t="s">
        <v>42</v>
      </c>
      <c r="I31" t="s">
        <v>1921</v>
      </c>
      <c r="J31" t="s">
        <v>619</v>
      </c>
      <c r="K31" t="s">
        <v>6109</v>
      </c>
      <c r="L31" t="s">
        <v>44</v>
      </c>
      <c r="M31">
        <v>6</v>
      </c>
      <c r="N31" t="s">
        <v>3496</v>
      </c>
      <c r="O31" t="b">
        <v>1</v>
      </c>
      <c r="P31" t="b">
        <v>1</v>
      </c>
      <c r="Q31" t="b">
        <v>1</v>
      </c>
      <c r="R31" t="b">
        <v>0</v>
      </c>
      <c r="S31" t="b">
        <v>0</v>
      </c>
      <c r="T31" t="b">
        <v>1</v>
      </c>
      <c r="U31" t="b">
        <v>0</v>
      </c>
      <c r="V31" t="b">
        <v>1</v>
      </c>
      <c r="W31" t="b">
        <v>0</v>
      </c>
      <c r="X31" t="b">
        <v>0</v>
      </c>
      <c r="Y31" t="b">
        <v>1</v>
      </c>
      <c r="Z31" t="b">
        <v>0</v>
      </c>
      <c r="AA31" t="b">
        <v>0</v>
      </c>
      <c r="AB31" t="s">
        <v>1801</v>
      </c>
      <c r="AC31" t="s">
        <v>7562</v>
      </c>
    </row>
    <row r="32" spans="1:29" x14ac:dyDescent="0.3">
      <c r="A32">
        <v>-73.962059310000001</v>
      </c>
      <c r="B32">
        <v>40.766213630000003</v>
      </c>
      <c r="C32" t="s">
        <v>736</v>
      </c>
      <c r="D32" t="s">
        <v>38</v>
      </c>
      <c r="E32" s="58">
        <v>43383</v>
      </c>
      <c r="F32">
        <v>6</v>
      </c>
      <c r="G32" t="s">
        <v>48</v>
      </c>
      <c r="H32" t="s">
        <v>176</v>
      </c>
      <c r="I32" t="s">
        <v>42</v>
      </c>
      <c r="J32" t="s">
        <v>339</v>
      </c>
      <c r="K32" t="s">
        <v>64</v>
      </c>
      <c r="L32" t="s">
        <v>65</v>
      </c>
      <c r="M32" t="b">
        <v>0</v>
      </c>
      <c r="N32" t="s">
        <v>5784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0</v>
      </c>
      <c r="U32" t="b">
        <v>0</v>
      </c>
      <c r="V32" t="b">
        <v>0</v>
      </c>
      <c r="W32" t="b">
        <v>1</v>
      </c>
      <c r="X32" t="b">
        <v>1</v>
      </c>
      <c r="Y32" t="b">
        <v>1</v>
      </c>
      <c r="Z32" t="b">
        <v>1</v>
      </c>
      <c r="AA32" t="b">
        <v>0</v>
      </c>
      <c r="AB32" t="s">
        <v>630</v>
      </c>
      <c r="AC32" t="s">
        <v>7563</v>
      </c>
    </row>
    <row r="33" spans="1:29" x14ac:dyDescent="0.3">
      <c r="A33">
        <v>-73.975797850000006</v>
      </c>
      <c r="B33">
        <v>40.785904049999999</v>
      </c>
      <c r="C33" t="s">
        <v>1103</v>
      </c>
      <c r="D33" t="s">
        <v>33</v>
      </c>
      <c r="E33" s="58">
        <v>43392</v>
      </c>
      <c r="F33">
        <v>17</v>
      </c>
      <c r="G33" t="s">
        <v>3842</v>
      </c>
      <c r="H33" t="s">
        <v>53</v>
      </c>
      <c r="I33" t="s">
        <v>176</v>
      </c>
      <c r="J33" t="s">
        <v>1233</v>
      </c>
      <c r="K33" t="s">
        <v>4660</v>
      </c>
      <c r="L33" t="s">
        <v>65</v>
      </c>
      <c r="M33" t="b">
        <v>0</v>
      </c>
      <c r="N33" t="s">
        <v>1853</v>
      </c>
      <c r="O33" t="b">
        <v>1</v>
      </c>
      <c r="P33" t="b">
        <v>1</v>
      </c>
      <c r="Q33" t="b">
        <v>0</v>
      </c>
      <c r="R33" t="b">
        <v>0</v>
      </c>
      <c r="S33" t="b">
        <v>0</v>
      </c>
      <c r="T33" t="b">
        <v>1</v>
      </c>
      <c r="U33" t="b">
        <v>1</v>
      </c>
      <c r="V33" t="b">
        <v>1</v>
      </c>
      <c r="W33" t="b">
        <v>1</v>
      </c>
      <c r="X33" t="b">
        <v>1</v>
      </c>
      <c r="Y33" t="b">
        <v>1</v>
      </c>
      <c r="Z33" t="b">
        <v>0</v>
      </c>
      <c r="AA33" t="b">
        <v>1</v>
      </c>
      <c r="AB33" t="s">
        <v>499</v>
      </c>
      <c r="AC33" t="s">
        <v>7564</v>
      </c>
    </row>
    <row r="34" spans="1:29" x14ac:dyDescent="0.3">
      <c r="A34">
        <v>-73.979113569999996</v>
      </c>
      <c r="B34">
        <v>40.773008779999998</v>
      </c>
      <c r="C34" t="s">
        <v>796</v>
      </c>
      <c r="D34" t="s">
        <v>33</v>
      </c>
      <c r="E34" s="58">
        <v>43392</v>
      </c>
      <c r="F34">
        <v>16</v>
      </c>
      <c r="G34" t="s">
        <v>105</v>
      </c>
      <c r="H34" t="s">
        <v>53</v>
      </c>
      <c r="I34" t="s">
        <v>737</v>
      </c>
      <c r="J34" t="s">
        <v>60</v>
      </c>
      <c r="K34" t="s">
        <v>1696</v>
      </c>
      <c r="L34" t="s">
        <v>44</v>
      </c>
      <c r="M34">
        <v>6</v>
      </c>
      <c r="N34" t="s">
        <v>3037</v>
      </c>
      <c r="O34" t="b">
        <v>1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b">
        <v>1</v>
      </c>
      <c r="V34" t="b">
        <v>0</v>
      </c>
      <c r="W34" t="b">
        <v>1</v>
      </c>
      <c r="X34" t="b">
        <v>1</v>
      </c>
      <c r="Y34" t="b">
        <v>1</v>
      </c>
      <c r="Z34" t="b">
        <v>1</v>
      </c>
      <c r="AA34" t="b">
        <v>0</v>
      </c>
      <c r="AB34" t="s">
        <v>4197</v>
      </c>
      <c r="AC34" t="s">
        <v>7565</v>
      </c>
    </row>
    <row r="35" spans="1:29" x14ac:dyDescent="0.3">
      <c r="A35">
        <v>-73.95132864</v>
      </c>
      <c r="B35">
        <v>40.769155570000002</v>
      </c>
      <c r="C35" t="s">
        <v>729</v>
      </c>
      <c r="D35" t="s">
        <v>38</v>
      </c>
      <c r="E35" s="58">
        <v>43387</v>
      </c>
      <c r="F35">
        <v>14</v>
      </c>
      <c r="G35" t="s">
        <v>3842</v>
      </c>
      <c r="H35" t="s">
        <v>42</v>
      </c>
      <c r="I35" t="s">
        <v>148</v>
      </c>
      <c r="J35" t="s">
        <v>155</v>
      </c>
      <c r="K35" t="s">
        <v>5323</v>
      </c>
      <c r="L35" t="s">
        <v>44</v>
      </c>
      <c r="M35">
        <v>2</v>
      </c>
      <c r="N35" t="s">
        <v>2877</v>
      </c>
      <c r="O35" t="b">
        <v>1</v>
      </c>
      <c r="P35" t="b">
        <v>1</v>
      </c>
      <c r="Q35" t="b">
        <v>1</v>
      </c>
      <c r="R35" t="b">
        <v>0</v>
      </c>
      <c r="S35" t="b">
        <v>1</v>
      </c>
      <c r="T35" t="b">
        <v>1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1</v>
      </c>
      <c r="AA35" t="b">
        <v>1</v>
      </c>
      <c r="AB35" t="s">
        <v>4025</v>
      </c>
      <c r="AC35" t="s">
        <v>7566</v>
      </c>
    </row>
    <row r="36" spans="1:29" x14ac:dyDescent="0.3">
      <c r="A36">
        <v>-73.950802190000005</v>
      </c>
      <c r="B36">
        <v>40.767620020000003</v>
      </c>
      <c r="C36" t="s">
        <v>3049</v>
      </c>
      <c r="D36" t="s">
        <v>38</v>
      </c>
      <c r="E36" s="58">
        <v>43386</v>
      </c>
      <c r="F36">
        <v>13</v>
      </c>
      <c r="G36" t="s">
        <v>3842</v>
      </c>
      <c r="H36" t="s">
        <v>176</v>
      </c>
      <c r="I36" t="s">
        <v>5105</v>
      </c>
      <c r="J36" t="s">
        <v>177</v>
      </c>
      <c r="K36" t="s">
        <v>1754</v>
      </c>
      <c r="L36" t="s">
        <v>44</v>
      </c>
      <c r="M36">
        <v>3</v>
      </c>
      <c r="N36" t="s">
        <v>6641</v>
      </c>
      <c r="O36" t="b">
        <v>1</v>
      </c>
      <c r="P36" t="b">
        <v>1</v>
      </c>
      <c r="Q36" t="b">
        <v>1</v>
      </c>
      <c r="R36" t="b">
        <v>1</v>
      </c>
      <c r="S36" t="b">
        <v>0</v>
      </c>
      <c r="T36" t="b">
        <v>1</v>
      </c>
      <c r="U36" t="b">
        <v>1</v>
      </c>
      <c r="V36" t="b">
        <v>1</v>
      </c>
      <c r="W36" t="b">
        <v>1</v>
      </c>
      <c r="X36" t="b">
        <v>1</v>
      </c>
      <c r="Y36" t="b">
        <v>1</v>
      </c>
      <c r="Z36" t="b">
        <v>0</v>
      </c>
      <c r="AA36" t="b">
        <v>0</v>
      </c>
      <c r="AB36" t="s">
        <v>2277</v>
      </c>
      <c r="AC36" t="s">
        <v>7567</v>
      </c>
    </row>
    <row r="37" spans="1:29" x14ac:dyDescent="0.3">
      <c r="A37">
        <v>-73.955745140000005</v>
      </c>
      <c r="B37">
        <v>40.7894255</v>
      </c>
      <c r="C37" t="s">
        <v>879</v>
      </c>
      <c r="D37" t="s">
        <v>38</v>
      </c>
      <c r="E37" s="58">
        <v>43380</v>
      </c>
      <c r="F37">
        <v>6</v>
      </c>
      <c r="G37" t="s">
        <v>105</v>
      </c>
      <c r="H37" t="s">
        <v>176</v>
      </c>
      <c r="I37" t="s">
        <v>53</v>
      </c>
      <c r="J37" t="s">
        <v>89</v>
      </c>
      <c r="K37" t="s">
        <v>4660</v>
      </c>
      <c r="L37" t="s">
        <v>44</v>
      </c>
      <c r="M37">
        <v>15</v>
      </c>
      <c r="N37" t="s">
        <v>2737</v>
      </c>
      <c r="O37" t="b">
        <v>1</v>
      </c>
      <c r="P37" t="b">
        <v>0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  <c r="W37" t="b">
        <v>1</v>
      </c>
      <c r="X37" t="b">
        <v>0</v>
      </c>
      <c r="Y37" t="b">
        <v>0</v>
      </c>
      <c r="Z37" t="b">
        <v>0</v>
      </c>
      <c r="AA37" t="b">
        <v>0</v>
      </c>
      <c r="AB37" t="s">
        <v>3799</v>
      </c>
      <c r="AC37" t="s">
        <v>7568</v>
      </c>
    </row>
    <row r="38" spans="1:29" x14ac:dyDescent="0.3">
      <c r="A38">
        <v>-73.971582490000003</v>
      </c>
      <c r="B38">
        <v>40.77687693</v>
      </c>
      <c r="C38" t="s">
        <v>3054</v>
      </c>
      <c r="D38" t="s">
        <v>33</v>
      </c>
      <c r="E38" s="58">
        <v>43381</v>
      </c>
      <c r="F38">
        <v>3</v>
      </c>
      <c r="G38" t="s">
        <v>3842</v>
      </c>
      <c r="H38" t="s">
        <v>53</v>
      </c>
      <c r="I38" t="s">
        <v>737</v>
      </c>
      <c r="J38" t="s">
        <v>89</v>
      </c>
      <c r="K38" t="s">
        <v>49</v>
      </c>
      <c r="L38" t="s">
        <v>44</v>
      </c>
      <c r="M38">
        <v>4</v>
      </c>
      <c r="N38" t="s">
        <v>3013</v>
      </c>
      <c r="O38" t="b">
        <v>0</v>
      </c>
      <c r="P38" t="b">
        <v>1</v>
      </c>
      <c r="Q38" t="b">
        <v>0</v>
      </c>
      <c r="R38" t="b">
        <v>0</v>
      </c>
      <c r="S38" t="b">
        <v>1</v>
      </c>
      <c r="T38" t="b">
        <v>0</v>
      </c>
      <c r="U38" t="b">
        <v>1</v>
      </c>
      <c r="V38" t="b">
        <v>0</v>
      </c>
      <c r="W38" t="b">
        <v>1</v>
      </c>
      <c r="X38" t="b">
        <v>1</v>
      </c>
      <c r="Y38" t="b">
        <v>0</v>
      </c>
      <c r="Z38" t="b">
        <v>0</v>
      </c>
      <c r="AA38" t="b">
        <v>0</v>
      </c>
      <c r="AB38" t="s">
        <v>2751</v>
      </c>
      <c r="AC38" t="s">
        <v>7569</v>
      </c>
    </row>
    <row r="39" spans="1:29" x14ac:dyDescent="0.3">
      <c r="A39">
        <v>-73.978088080000006</v>
      </c>
      <c r="B39">
        <v>40.790428149999997</v>
      </c>
      <c r="C39" t="s">
        <v>119</v>
      </c>
      <c r="D39" t="s">
        <v>38</v>
      </c>
      <c r="E39" s="58">
        <v>43380</v>
      </c>
      <c r="F39">
        <v>14</v>
      </c>
      <c r="G39" t="s">
        <v>3842</v>
      </c>
      <c r="H39" t="s">
        <v>176</v>
      </c>
      <c r="I39" t="s">
        <v>5105</v>
      </c>
      <c r="J39" t="s">
        <v>149</v>
      </c>
      <c r="K39" t="s">
        <v>5558</v>
      </c>
      <c r="L39" t="s">
        <v>44</v>
      </c>
      <c r="M39">
        <v>40</v>
      </c>
      <c r="N39" t="s">
        <v>2119</v>
      </c>
      <c r="O39" t="b">
        <v>1</v>
      </c>
      <c r="P39" t="b">
        <v>1</v>
      </c>
      <c r="Q39" t="b">
        <v>0</v>
      </c>
      <c r="R39" t="b">
        <v>1</v>
      </c>
      <c r="S39" t="b">
        <v>1</v>
      </c>
      <c r="T39" t="b">
        <v>1</v>
      </c>
      <c r="U39" t="b">
        <v>1</v>
      </c>
      <c r="V39" t="b">
        <v>0</v>
      </c>
      <c r="W39" t="b">
        <v>0</v>
      </c>
      <c r="X39" t="b">
        <v>0</v>
      </c>
      <c r="Y39" t="b">
        <v>1</v>
      </c>
      <c r="Z39" t="b">
        <v>1</v>
      </c>
      <c r="AA39" t="b">
        <v>1</v>
      </c>
      <c r="AB39" t="s">
        <v>2974</v>
      </c>
      <c r="AC39" t="s">
        <v>7570</v>
      </c>
    </row>
    <row r="40" spans="1:29" x14ac:dyDescent="0.3">
      <c r="A40">
        <v>-73.959648470000005</v>
      </c>
      <c r="B40">
        <v>40.767211719999999</v>
      </c>
      <c r="C40" t="s">
        <v>390</v>
      </c>
      <c r="D40" t="s">
        <v>38</v>
      </c>
      <c r="E40" s="58">
        <v>43386</v>
      </c>
      <c r="F40">
        <v>14</v>
      </c>
      <c r="G40" t="s">
        <v>48</v>
      </c>
      <c r="H40" t="s">
        <v>53</v>
      </c>
      <c r="I40" t="s">
        <v>42</v>
      </c>
      <c r="J40" t="s">
        <v>738</v>
      </c>
      <c r="K40" t="s">
        <v>7178</v>
      </c>
      <c r="L40" t="s">
        <v>65</v>
      </c>
      <c r="M40" t="b">
        <v>0</v>
      </c>
      <c r="N40" t="s">
        <v>5022</v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  <c r="W40" t="b">
        <v>1</v>
      </c>
      <c r="X40" t="b">
        <v>0</v>
      </c>
      <c r="Y40" t="b">
        <v>0</v>
      </c>
      <c r="Z40" t="b">
        <v>0</v>
      </c>
      <c r="AA40" t="b">
        <v>0</v>
      </c>
      <c r="AB40" t="s">
        <v>7000</v>
      </c>
      <c r="AC40" t="s">
        <v>7571</v>
      </c>
    </row>
    <row r="41" spans="1:29" x14ac:dyDescent="0.3">
      <c r="A41">
        <v>-73.967321589999997</v>
      </c>
      <c r="B41">
        <v>40.776011359999998</v>
      </c>
      <c r="C41" t="s">
        <v>317</v>
      </c>
      <c r="D41" t="s">
        <v>33</v>
      </c>
      <c r="E41" s="58">
        <v>43384</v>
      </c>
      <c r="F41">
        <v>15</v>
      </c>
      <c r="G41" t="s">
        <v>3842</v>
      </c>
      <c r="H41" t="s">
        <v>53</v>
      </c>
      <c r="I41" t="s">
        <v>737</v>
      </c>
      <c r="J41" t="s">
        <v>43</v>
      </c>
      <c r="K41" t="s">
        <v>2382</v>
      </c>
      <c r="L41" t="s">
        <v>44</v>
      </c>
      <c r="M41">
        <v>40</v>
      </c>
      <c r="N41" t="s">
        <v>1359</v>
      </c>
      <c r="O41" t="b">
        <v>1</v>
      </c>
      <c r="P41" t="b">
        <v>1</v>
      </c>
      <c r="Q41" t="b">
        <v>1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1</v>
      </c>
      <c r="X41" t="b">
        <v>1</v>
      </c>
      <c r="Y41" t="b">
        <v>0</v>
      </c>
      <c r="Z41" t="b">
        <v>0</v>
      </c>
      <c r="AA41" t="b">
        <v>0</v>
      </c>
      <c r="AB41" t="s">
        <v>5181</v>
      </c>
      <c r="AC41" t="s">
        <v>7572</v>
      </c>
    </row>
    <row r="42" spans="1:29" x14ac:dyDescent="0.3">
      <c r="A42">
        <v>-73.977322090000001</v>
      </c>
      <c r="B42">
        <v>40.783904999999997</v>
      </c>
      <c r="C42" t="s">
        <v>660</v>
      </c>
      <c r="D42" t="s">
        <v>38</v>
      </c>
      <c r="E42" s="58">
        <v>43384</v>
      </c>
      <c r="F42">
        <v>8</v>
      </c>
      <c r="G42" t="s">
        <v>3842</v>
      </c>
      <c r="H42" t="s">
        <v>53</v>
      </c>
      <c r="I42" t="s">
        <v>96</v>
      </c>
      <c r="J42" t="s">
        <v>60</v>
      </c>
      <c r="K42" t="s">
        <v>3028</v>
      </c>
      <c r="L42" t="s">
        <v>44</v>
      </c>
      <c r="M42">
        <v>10</v>
      </c>
      <c r="N42" t="s">
        <v>6925</v>
      </c>
      <c r="O42" t="b">
        <v>0</v>
      </c>
      <c r="P42" t="b">
        <v>0</v>
      </c>
      <c r="Q42" t="b">
        <v>1</v>
      </c>
      <c r="R42" t="b">
        <v>1</v>
      </c>
      <c r="S42" t="b">
        <v>1</v>
      </c>
      <c r="T42" t="b">
        <v>0</v>
      </c>
      <c r="U42" t="b">
        <v>0</v>
      </c>
      <c r="V42" t="b">
        <v>1</v>
      </c>
      <c r="W42" t="b">
        <v>0</v>
      </c>
      <c r="X42" t="b">
        <v>0</v>
      </c>
      <c r="Y42" t="b">
        <v>1</v>
      </c>
      <c r="Z42" t="b">
        <v>1</v>
      </c>
      <c r="AA42" t="b">
        <v>0</v>
      </c>
      <c r="AB42" t="s">
        <v>425</v>
      </c>
      <c r="AC42" t="s">
        <v>7573</v>
      </c>
    </row>
    <row r="43" spans="1:29" x14ac:dyDescent="0.3">
      <c r="A43">
        <v>-73.965591799999999</v>
      </c>
      <c r="B43">
        <v>40.792750329999997</v>
      </c>
      <c r="C43" t="s">
        <v>411</v>
      </c>
      <c r="D43" t="s">
        <v>38</v>
      </c>
      <c r="E43" s="58">
        <v>43390</v>
      </c>
      <c r="F43">
        <v>29</v>
      </c>
      <c r="G43" t="s">
        <v>3842</v>
      </c>
      <c r="H43" t="s">
        <v>176</v>
      </c>
      <c r="I43" t="s">
        <v>737</v>
      </c>
      <c r="J43" t="s">
        <v>79</v>
      </c>
      <c r="K43" t="s">
        <v>1005</v>
      </c>
      <c r="L43" t="s">
        <v>65</v>
      </c>
      <c r="M43" t="b">
        <v>0</v>
      </c>
      <c r="N43" t="s">
        <v>6050</v>
      </c>
      <c r="O43" t="b">
        <v>1</v>
      </c>
      <c r="P43" t="b">
        <v>0</v>
      </c>
      <c r="Q43" t="b">
        <v>0</v>
      </c>
      <c r="R43" t="b">
        <v>0</v>
      </c>
      <c r="S43" t="b">
        <v>1</v>
      </c>
      <c r="T43" t="b">
        <v>1</v>
      </c>
      <c r="U43" t="b">
        <v>0</v>
      </c>
      <c r="V43" t="b">
        <v>0</v>
      </c>
      <c r="W43" t="b">
        <v>0</v>
      </c>
      <c r="X43" t="b">
        <v>1</v>
      </c>
      <c r="Y43" t="b">
        <v>1</v>
      </c>
      <c r="Z43" t="b">
        <v>1</v>
      </c>
      <c r="AA43" t="b">
        <v>0</v>
      </c>
      <c r="AB43" t="s">
        <v>295</v>
      </c>
      <c r="AC43" t="s">
        <v>7574</v>
      </c>
    </row>
    <row r="44" spans="1:29" x14ac:dyDescent="0.3">
      <c r="A44">
        <v>-73.980077519999995</v>
      </c>
      <c r="B44">
        <v>40.776133260000002</v>
      </c>
      <c r="C44" t="s">
        <v>1251</v>
      </c>
      <c r="D44" t="s">
        <v>38</v>
      </c>
      <c r="E44" s="58">
        <v>43393</v>
      </c>
      <c r="F44">
        <v>15</v>
      </c>
      <c r="G44" t="s">
        <v>3842</v>
      </c>
      <c r="H44" t="s">
        <v>53</v>
      </c>
      <c r="I44" t="s">
        <v>53</v>
      </c>
      <c r="J44" t="s">
        <v>1233</v>
      </c>
      <c r="K44" t="s">
        <v>672</v>
      </c>
      <c r="L44" t="s">
        <v>65</v>
      </c>
      <c r="M44" t="b">
        <v>0</v>
      </c>
      <c r="N44" t="s">
        <v>3931</v>
      </c>
      <c r="O44" t="b">
        <v>1</v>
      </c>
      <c r="P44" t="b">
        <v>1</v>
      </c>
      <c r="Q44" t="b">
        <v>1</v>
      </c>
      <c r="R44" t="b">
        <v>1</v>
      </c>
      <c r="S44" t="b">
        <v>0</v>
      </c>
      <c r="T44" t="b">
        <v>0</v>
      </c>
      <c r="U44" t="b">
        <v>0</v>
      </c>
      <c r="V44" t="b">
        <v>1</v>
      </c>
      <c r="W44" t="b">
        <v>0</v>
      </c>
      <c r="X44" t="b">
        <v>1</v>
      </c>
      <c r="Y44" t="b">
        <v>1</v>
      </c>
      <c r="Z44" t="b">
        <v>0</v>
      </c>
      <c r="AA44" t="b">
        <v>1</v>
      </c>
      <c r="AB44" t="s">
        <v>5330</v>
      </c>
      <c r="AC44" t="s">
        <v>7575</v>
      </c>
    </row>
    <row r="45" spans="1:29" x14ac:dyDescent="0.3">
      <c r="A45">
        <v>-73.952572450000005</v>
      </c>
      <c r="B45">
        <v>40.786946960000002</v>
      </c>
      <c r="C45" t="s">
        <v>2662</v>
      </c>
      <c r="D45" t="s">
        <v>38</v>
      </c>
      <c r="E45" s="58">
        <v>43387</v>
      </c>
      <c r="F45">
        <v>22</v>
      </c>
      <c r="G45" t="s">
        <v>105</v>
      </c>
      <c r="H45" t="s">
        <v>53</v>
      </c>
      <c r="I45" t="s">
        <v>42</v>
      </c>
      <c r="J45" t="s">
        <v>116</v>
      </c>
      <c r="K45" t="s">
        <v>2311</v>
      </c>
      <c r="L45" t="s">
        <v>44</v>
      </c>
      <c r="M45">
        <v>7</v>
      </c>
      <c r="N45" t="s">
        <v>848</v>
      </c>
      <c r="O45" t="b">
        <v>0</v>
      </c>
      <c r="P45" t="b">
        <v>0</v>
      </c>
      <c r="Q45" t="b">
        <v>1</v>
      </c>
      <c r="R45" t="b">
        <v>0</v>
      </c>
      <c r="S45" t="b">
        <v>1</v>
      </c>
      <c r="T45" t="b">
        <v>1</v>
      </c>
      <c r="U45" t="b">
        <v>1</v>
      </c>
      <c r="V45" t="b">
        <v>1</v>
      </c>
      <c r="W45" t="b">
        <v>1</v>
      </c>
      <c r="X45" t="b">
        <v>1</v>
      </c>
      <c r="Y45" t="b">
        <v>1</v>
      </c>
      <c r="Z45" t="b">
        <v>1</v>
      </c>
      <c r="AA45" t="b">
        <v>0</v>
      </c>
      <c r="AB45" t="s">
        <v>2233</v>
      </c>
      <c r="AC45" t="s">
        <v>7576</v>
      </c>
    </row>
    <row r="46" spans="1:29" x14ac:dyDescent="0.3">
      <c r="A46">
        <v>-73.973023359999999</v>
      </c>
      <c r="B46">
        <v>40.796104040000003</v>
      </c>
      <c r="C46" t="s">
        <v>855</v>
      </c>
      <c r="D46" t="s">
        <v>33</v>
      </c>
      <c r="E46" s="58">
        <v>43386</v>
      </c>
      <c r="F46">
        <v>29</v>
      </c>
      <c r="G46" t="s">
        <v>48</v>
      </c>
      <c r="H46" t="s">
        <v>42</v>
      </c>
      <c r="I46" t="s">
        <v>148</v>
      </c>
      <c r="J46" t="s">
        <v>116</v>
      </c>
      <c r="K46" t="s">
        <v>6245</v>
      </c>
      <c r="L46" t="s">
        <v>44</v>
      </c>
      <c r="M46">
        <v>25</v>
      </c>
      <c r="N46" t="s">
        <v>6370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0</v>
      </c>
      <c r="V46" t="b">
        <v>1</v>
      </c>
      <c r="W46" t="b">
        <v>1</v>
      </c>
      <c r="X46" t="b">
        <v>1</v>
      </c>
      <c r="Y46" t="b">
        <v>1</v>
      </c>
      <c r="Z46" t="b">
        <v>0</v>
      </c>
      <c r="AA46" t="b">
        <v>1</v>
      </c>
      <c r="AB46" t="s">
        <v>4501</v>
      </c>
      <c r="AC46" t="s">
        <v>7577</v>
      </c>
    </row>
    <row r="47" spans="1:29" x14ac:dyDescent="0.3">
      <c r="A47">
        <v>-73.960330990000003</v>
      </c>
      <c r="B47">
        <v>40.786593889999999</v>
      </c>
      <c r="C47" t="s">
        <v>957</v>
      </c>
      <c r="D47" t="s">
        <v>38</v>
      </c>
      <c r="E47" s="58">
        <v>43382</v>
      </c>
      <c r="F47">
        <v>27</v>
      </c>
      <c r="G47" t="s">
        <v>3842</v>
      </c>
      <c r="H47" t="s">
        <v>53</v>
      </c>
      <c r="I47" t="s">
        <v>1921</v>
      </c>
      <c r="J47" t="s">
        <v>5106</v>
      </c>
      <c r="K47" t="s">
        <v>4317</v>
      </c>
      <c r="L47" t="s">
        <v>65</v>
      </c>
      <c r="M47" t="b">
        <v>0</v>
      </c>
      <c r="N47" t="s">
        <v>4128</v>
      </c>
      <c r="O47" t="b">
        <v>0</v>
      </c>
      <c r="P47" t="b">
        <v>1</v>
      </c>
      <c r="Q47" t="b">
        <v>1</v>
      </c>
      <c r="R47" t="b">
        <v>1</v>
      </c>
      <c r="S47" t="b">
        <v>0</v>
      </c>
      <c r="T47" t="b">
        <v>0</v>
      </c>
      <c r="U47" t="b">
        <v>0</v>
      </c>
      <c r="V47" t="b">
        <v>1</v>
      </c>
      <c r="W47" t="b">
        <v>0</v>
      </c>
      <c r="X47" t="b">
        <v>1</v>
      </c>
      <c r="Y47" t="b">
        <v>0</v>
      </c>
      <c r="Z47" t="b">
        <v>0</v>
      </c>
      <c r="AA47" t="b">
        <v>0</v>
      </c>
      <c r="AB47" t="s">
        <v>6253</v>
      </c>
      <c r="AC47" t="s">
        <v>7578</v>
      </c>
    </row>
    <row r="48" spans="1:29" x14ac:dyDescent="0.3">
      <c r="A48">
        <v>-73.971359379999996</v>
      </c>
      <c r="B48">
        <v>40.773112670000003</v>
      </c>
      <c r="C48" t="s">
        <v>571</v>
      </c>
      <c r="D48" t="s">
        <v>38</v>
      </c>
      <c r="E48" s="58">
        <v>43393</v>
      </c>
      <c r="F48">
        <v>13</v>
      </c>
      <c r="G48" t="s">
        <v>3842</v>
      </c>
      <c r="H48" t="s">
        <v>53</v>
      </c>
      <c r="I48" t="s">
        <v>59</v>
      </c>
      <c r="J48" t="s">
        <v>339</v>
      </c>
      <c r="K48" t="s">
        <v>3208</v>
      </c>
      <c r="L48" t="s">
        <v>44</v>
      </c>
      <c r="M48">
        <v>15</v>
      </c>
      <c r="N48" t="s">
        <v>236</v>
      </c>
      <c r="O48" t="b">
        <v>0</v>
      </c>
      <c r="P48" t="b">
        <v>1</v>
      </c>
      <c r="Q48" t="b">
        <v>1</v>
      </c>
      <c r="R48" t="b">
        <v>0</v>
      </c>
      <c r="S48" t="b">
        <v>0</v>
      </c>
      <c r="T48" t="b">
        <v>0</v>
      </c>
      <c r="U48" t="b">
        <v>1</v>
      </c>
      <c r="V48" t="b">
        <v>1</v>
      </c>
      <c r="W48" t="b">
        <v>0</v>
      </c>
      <c r="X48" t="b">
        <v>1</v>
      </c>
      <c r="Y48" t="b">
        <v>0</v>
      </c>
      <c r="Z48" t="b">
        <v>0</v>
      </c>
      <c r="AA48" t="b">
        <v>0</v>
      </c>
      <c r="AB48" t="s">
        <v>5146</v>
      </c>
      <c r="AC48" t="s">
        <v>7579</v>
      </c>
    </row>
    <row r="49" spans="1:29" x14ac:dyDescent="0.3">
      <c r="A49">
        <v>-73.964809299999999</v>
      </c>
      <c r="B49">
        <v>40.765769769999999</v>
      </c>
      <c r="C49" t="s">
        <v>1090</v>
      </c>
      <c r="D49" t="s">
        <v>33</v>
      </c>
      <c r="E49" s="58">
        <v>43390</v>
      </c>
      <c r="F49">
        <v>17</v>
      </c>
      <c r="G49" t="s">
        <v>105</v>
      </c>
      <c r="H49" t="s">
        <v>42</v>
      </c>
      <c r="I49" t="s">
        <v>53</v>
      </c>
      <c r="J49" t="s">
        <v>3580</v>
      </c>
      <c r="K49" t="s">
        <v>5558</v>
      </c>
      <c r="L49" t="s">
        <v>44</v>
      </c>
      <c r="M49">
        <v>20</v>
      </c>
      <c r="N49" t="s">
        <v>2150</v>
      </c>
      <c r="O49" t="b">
        <v>1</v>
      </c>
      <c r="P49" t="b">
        <v>0</v>
      </c>
      <c r="Q49" t="b">
        <v>0</v>
      </c>
      <c r="R49" t="b">
        <v>1</v>
      </c>
      <c r="S49" t="b">
        <v>1</v>
      </c>
      <c r="T49" t="b">
        <v>1</v>
      </c>
      <c r="U49" t="b">
        <v>1</v>
      </c>
      <c r="V49" t="b">
        <v>0</v>
      </c>
      <c r="W49" t="b">
        <v>0</v>
      </c>
      <c r="X49" t="b">
        <v>1</v>
      </c>
      <c r="Y49" t="b">
        <v>1</v>
      </c>
      <c r="Z49" t="b">
        <v>1</v>
      </c>
      <c r="AA49" t="b">
        <v>1</v>
      </c>
      <c r="AB49" t="s">
        <v>2277</v>
      </c>
      <c r="AC49" t="s">
        <v>7580</v>
      </c>
    </row>
    <row r="50" spans="1:29" x14ac:dyDescent="0.3">
      <c r="A50">
        <v>-73.963971749999999</v>
      </c>
      <c r="B50">
        <v>40.795544980000003</v>
      </c>
      <c r="C50" t="s">
        <v>3964</v>
      </c>
      <c r="D50" t="s">
        <v>38</v>
      </c>
      <c r="E50" s="58">
        <v>43382</v>
      </c>
      <c r="F50">
        <v>21</v>
      </c>
      <c r="G50" t="s">
        <v>3842</v>
      </c>
      <c r="H50" t="s">
        <v>42</v>
      </c>
      <c r="I50" t="s">
        <v>5105</v>
      </c>
      <c r="J50" t="s">
        <v>116</v>
      </c>
      <c r="K50" t="s">
        <v>5481</v>
      </c>
      <c r="L50" t="s">
        <v>65</v>
      </c>
      <c r="M50" t="b">
        <v>0</v>
      </c>
      <c r="N50" t="s">
        <v>4958</v>
      </c>
      <c r="O50" t="b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1</v>
      </c>
      <c r="V50" t="b">
        <v>0</v>
      </c>
      <c r="W50" t="b">
        <v>1</v>
      </c>
      <c r="X50" t="b">
        <v>1</v>
      </c>
      <c r="Y50" t="b">
        <v>1</v>
      </c>
      <c r="Z50" t="b">
        <v>0</v>
      </c>
      <c r="AA50" t="b">
        <v>1</v>
      </c>
      <c r="AB50" t="s">
        <v>2459</v>
      </c>
      <c r="AC50" t="s">
        <v>7581</v>
      </c>
    </row>
    <row r="51" spans="1:29" x14ac:dyDescent="0.3">
      <c r="A51">
        <v>-73.975347350000007</v>
      </c>
      <c r="B51">
        <v>40.76565952</v>
      </c>
      <c r="C51" t="s">
        <v>408</v>
      </c>
      <c r="D51" t="s">
        <v>33</v>
      </c>
      <c r="E51" s="58">
        <v>43387</v>
      </c>
      <c r="F51">
        <v>24</v>
      </c>
      <c r="G51" t="s">
        <v>105</v>
      </c>
      <c r="H51" t="s">
        <v>176</v>
      </c>
      <c r="I51" t="s">
        <v>42</v>
      </c>
      <c r="J51" t="s">
        <v>2942</v>
      </c>
      <c r="K51" t="s">
        <v>4177</v>
      </c>
      <c r="L51" t="s">
        <v>44</v>
      </c>
      <c r="M51">
        <v>30</v>
      </c>
      <c r="N51" t="s">
        <v>742</v>
      </c>
      <c r="O51" t="b">
        <v>1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b">
        <v>1</v>
      </c>
      <c r="V51" t="b">
        <v>0</v>
      </c>
      <c r="W51" t="b">
        <v>0</v>
      </c>
      <c r="X51" t="b">
        <v>1</v>
      </c>
      <c r="Y51" t="b">
        <v>0</v>
      </c>
      <c r="Z51" t="b">
        <v>0</v>
      </c>
      <c r="AA51" t="b">
        <v>0</v>
      </c>
      <c r="AB51" t="s">
        <v>1288</v>
      </c>
      <c r="AC51" t="s">
        <v>7582</v>
      </c>
    </row>
    <row r="52" spans="1:29" x14ac:dyDescent="0.3">
      <c r="A52">
        <v>-73.950677929999998</v>
      </c>
      <c r="B52">
        <v>40.795707030000003</v>
      </c>
      <c r="C52" t="s">
        <v>2203</v>
      </c>
      <c r="D52" t="s">
        <v>33</v>
      </c>
      <c r="E52" s="58">
        <v>43379</v>
      </c>
      <c r="F52">
        <v>3</v>
      </c>
      <c r="G52" t="s">
        <v>48</v>
      </c>
      <c r="H52" t="s">
        <v>53</v>
      </c>
      <c r="I52" t="s">
        <v>96</v>
      </c>
      <c r="J52" t="s">
        <v>54</v>
      </c>
      <c r="K52" t="s">
        <v>4317</v>
      </c>
      <c r="L52" t="s">
        <v>65</v>
      </c>
      <c r="M52" t="b">
        <v>0</v>
      </c>
      <c r="N52" t="s">
        <v>5371</v>
      </c>
      <c r="O52" t="b">
        <v>1</v>
      </c>
      <c r="P52" t="b">
        <v>0</v>
      </c>
      <c r="Q52" t="b">
        <v>1</v>
      </c>
      <c r="R52" t="b">
        <v>0</v>
      </c>
      <c r="S52" t="b">
        <v>1</v>
      </c>
      <c r="T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0</v>
      </c>
      <c r="Z52" t="b">
        <v>1</v>
      </c>
      <c r="AA52" t="b">
        <v>0</v>
      </c>
      <c r="AB52" t="s">
        <v>5951</v>
      </c>
      <c r="AC52" t="s">
        <v>7583</v>
      </c>
    </row>
    <row r="53" spans="1:29" x14ac:dyDescent="0.3">
      <c r="A53">
        <v>-73.956790870000006</v>
      </c>
      <c r="B53">
        <v>40.783533409999997</v>
      </c>
      <c r="C53" t="s">
        <v>386</v>
      </c>
      <c r="D53" t="s">
        <v>33</v>
      </c>
      <c r="E53" s="58">
        <v>43391</v>
      </c>
      <c r="F53">
        <v>28</v>
      </c>
      <c r="G53" t="s">
        <v>48</v>
      </c>
      <c r="H53" t="s">
        <v>176</v>
      </c>
      <c r="I53" t="s">
        <v>115</v>
      </c>
      <c r="J53" t="s">
        <v>1922</v>
      </c>
      <c r="K53" t="s">
        <v>1816</v>
      </c>
      <c r="L53" t="s">
        <v>44</v>
      </c>
      <c r="M53">
        <v>40</v>
      </c>
      <c r="N53" t="s">
        <v>5109</v>
      </c>
      <c r="O53" t="b">
        <v>0</v>
      </c>
      <c r="P53" t="b">
        <v>0</v>
      </c>
      <c r="Q53" t="b">
        <v>0</v>
      </c>
      <c r="R53" t="b">
        <v>1</v>
      </c>
      <c r="S53" t="b">
        <v>1</v>
      </c>
      <c r="T53" t="b">
        <v>0</v>
      </c>
      <c r="U53" t="b">
        <v>1</v>
      </c>
      <c r="V53" t="b">
        <v>0</v>
      </c>
      <c r="W53" t="b">
        <v>1</v>
      </c>
      <c r="X53" t="b">
        <v>0</v>
      </c>
      <c r="Y53" t="b">
        <v>0</v>
      </c>
      <c r="Z53" t="b">
        <v>0</v>
      </c>
      <c r="AA53" t="b">
        <v>0</v>
      </c>
      <c r="AB53" t="s">
        <v>3827</v>
      </c>
      <c r="AC53" t="s">
        <v>7584</v>
      </c>
    </row>
    <row r="54" spans="1:29" x14ac:dyDescent="0.3">
      <c r="A54">
        <v>-73.951623729999994</v>
      </c>
      <c r="B54">
        <v>40.797973220000003</v>
      </c>
      <c r="C54" t="s">
        <v>790</v>
      </c>
      <c r="D54" t="s">
        <v>38</v>
      </c>
      <c r="E54" s="58">
        <v>43380</v>
      </c>
      <c r="F54">
        <v>6</v>
      </c>
      <c r="G54" t="s">
        <v>3842</v>
      </c>
      <c r="H54" t="s">
        <v>176</v>
      </c>
      <c r="I54" t="s">
        <v>42</v>
      </c>
      <c r="J54" t="s">
        <v>3580</v>
      </c>
      <c r="K54" t="s">
        <v>442</v>
      </c>
      <c r="L54" t="s">
        <v>65</v>
      </c>
      <c r="M54" t="b">
        <v>0</v>
      </c>
      <c r="N54" t="s">
        <v>4120</v>
      </c>
      <c r="O54" t="b">
        <v>0</v>
      </c>
      <c r="P54" t="b">
        <v>0</v>
      </c>
      <c r="Q54" t="b">
        <v>1</v>
      </c>
      <c r="R54" t="b">
        <v>1</v>
      </c>
      <c r="S54" t="b">
        <v>1</v>
      </c>
      <c r="T54" t="b">
        <v>0</v>
      </c>
      <c r="U54" t="b">
        <v>1</v>
      </c>
      <c r="V54" t="b">
        <v>0</v>
      </c>
      <c r="W54" t="b">
        <v>1</v>
      </c>
      <c r="X54" t="b">
        <v>1</v>
      </c>
      <c r="Y54" t="b">
        <v>1</v>
      </c>
      <c r="Z54" t="b">
        <v>0</v>
      </c>
      <c r="AA54" t="b">
        <v>1</v>
      </c>
      <c r="AB54" t="s">
        <v>7086</v>
      </c>
      <c r="AC54" t="s">
        <v>7585</v>
      </c>
    </row>
    <row r="55" spans="1:29" x14ac:dyDescent="0.3">
      <c r="A55">
        <v>-73.953028059999994</v>
      </c>
      <c r="B55">
        <v>40.793034110000001</v>
      </c>
      <c r="C55" t="s">
        <v>281</v>
      </c>
      <c r="D55" t="s">
        <v>33</v>
      </c>
      <c r="E55" s="58">
        <v>43380</v>
      </c>
      <c r="F55">
        <v>5</v>
      </c>
      <c r="G55" t="s">
        <v>3842</v>
      </c>
      <c r="H55" t="s">
        <v>42</v>
      </c>
      <c r="I55" t="s">
        <v>5105</v>
      </c>
      <c r="J55" t="s">
        <v>2942</v>
      </c>
      <c r="K55" t="s">
        <v>6623</v>
      </c>
      <c r="L55" t="s">
        <v>65</v>
      </c>
      <c r="M55" t="b">
        <v>0</v>
      </c>
      <c r="N55" t="s">
        <v>449</v>
      </c>
      <c r="O55" t="b">
        <v>1</v>
      </c>
      <c r="P55" t="b">
        <v>1</v>
      </c>
      <c r="Q55" t="b">
        <v>0</v>
      </c>
      <c r="R55" t="b">
        <v>1</v>
      </c>
      <c r="S55" t="b">
        <v>0</v>
      </c>
      <c r="T55" t="b">
        <v>0</v>
      </c>
      <c r="U55" t="b">
        <v>1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B55" t="s">
        <v>845</v>
      </c>
      <c r="AC55" t="s">
        <v>7586</v>
      </c>
    </row>
    <row r="56" spans="1:29" x14ac:dyDescent="0.3">
      <c r="A56">
        <v>-73.962362510000005</v>
      </c>
      <c r="B56">
        <v>40.800045779999998</v>
      </c>
      <c r="C56" t="s">
        <v>281</v>
      </c>
      <c r="D56" t="s">
        <v>33</v>
      </c>
      <c r="E56" s="58">
        <v>43391</v>
      </c>
      <c r="F56">
        <v>22</v>
      </c>
      <c r="G56" t="s">
        <v>3842</v>
      </c>
      <c r="H56" t="s">
        <v>176</v>
      </c>
      <c r="I56" t="s">
        <v>59</v>
      </c>
      <c r="J56" t="s">
        <v>2942</v>
      </c>
      <c r="K56" t="s">
        <v>1843</v>
      </c>
      <c r="L56" t="s">
        <v>65</v>
      </c>
      <c r="M56" t="b">
        <v>0</v>
      </c>
      <c r="N56" t="s">
        <v>848</v>
      </c>
      <c r="O56" t="b">
        <v>1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b">
        <v>1</v>
      </c>
      <c r="V56" t="b">
        <v>0</v>
      </c>
      <c r="W56" t="b">
        <v>0</v>
      </c>
      <c r="X56" t="b">
        <v>0</v>
      </c>
      <c r="Y56" t="b">
        <v>0</v>
      </c>
      <c r="Z56" t="b">
        <v>1</v>
      </c>
      <c r="AA56" t="b">
        <v>1</v>
      </c>
      <c r="AB56" t="s">
        <v>5863</v>
      </c>
      <c r="AC56" t="s">
        <v>7587</v>
      </c>
    </row>
    <row r="57" spans="1:29" x14ac:dyDescent="0.3">
      <c r="A57">
        <v>-73.952177789999993</v>
      </c>
      <c r="B57">
        <v>40.77725848</v>
      </c>
      <c r="C57" t="s">
        <v>143</v>
      </c>
      <c r="D57" t="s">
        <v>33</v>
      </c>
      <c r="E57" s="58">
        <v>43391</v>
      </c>
      <c r="F57">
        <v>26</v>
      </c>
      <c r="G57" t="s">
        <v>105</v>
      </c>
      <c r="H57" t="s">
        <v>53</v>
      </c>
      <c r="I57" t="s">
        <v>59</v>
      </c>
      <c r="J57" t="s">
        <v>738</v>
      </c>
      <c r="K57" t="s">
        <v>1636</v>
      </c>
      <c r="L57" t="s">
        <v>44</v>
      </c>
      <c r="M57">
        <v>6</v>
      </c>
      <c r="N57" t="s">
        <v>3697</v>
      </c>
      <c r="O57" t="b">
        <v>0</v>
      </c>
      <c r="P57" t="b">
        <v>1</v>
      </c>
      <c r="Q57" t="b">
        <v>1</v>
      </c>
      <c r="R57" t="b">
        <v>0</v>
      </c>
      <c r="S57" t="b">
        <v>0</v>
      </c>
      <c r="T57" t="b">
        <v>1</v>
      </c>
      <c r="U57" t="b">
        <v>1</v>
      </c>
      <c r="V57" t="b">
        <v>0</v>
      </c>
      <c r="W57" t="b">
        <v>0</v>
      </c>
      <c r="X57" t="b">
        <v>1</v>
      </c>
      <c r="Y57" t="b">
        <v>1</v>
      </c>
      <c r="Z57" t="b">
        <v>0</v>
      </c>
      <c r="AA57" t="b">
        <v>0</v>
      </c>
      <c r="AB57" t="s">
        <v>1455</v>
      </c>
      <c r="AC57" t="s">
        <v>7588</v>
      </c>
    </row>
    <row r="58" spans="1:29" x14ac:dyDescent="0.3">
      <c r="A58">
        <v>-73.978376659999995</v>
      </c>
      <c r="B58">
        <v>40.791921719999998</v>
      </c>
      <c r="C58" t="s">
        <v>208</v>
      </c>
      <c r="D58" t="s">
        <v>38</v>
      </c>
      <c r="E58" s="58">
        <v>43384</v>
      </c>
      <c r="F58">
        <v>17</v>
      </c>
      <c r="G58" t="s">
        <v>3842</v>
      </c>
      <c r="H58" t="s">
        <v>42</v>
      </c>
      <c r="I58" t="s">
        <v>176</v>
      </c>
      <c r="J58" t="s">
        <v>89</v>
      </c>
      <c r="K58" t="s">
        <v>2927</v>
      </c>
      <c r="L58" t="s">
        <v>65</v>
      </c>
      <c r="M58" t="b">
        <v>0</v>
      </c>
      <c r="N58" t="s">
        <v>3898</v>
      </c>
      <c r="O58" t="b">
        <v>1</v>
      </c>
      <c r="P58" t="b">
        <v>1</v>
      </c>
      <c r="Q58" t="b">
        <v>1</v>
      </c>
      <c r="R58" t="b">
        <v>0</v>
      </c>
      <c r="S58" t="b">
        <v>0</v>
      </c>
      <c r="T58" t="b">
        <v>1</v>
      </c>
      <c r="U58" t="b">
        <v>1</v>
      </c>
      <c r="V58" t="b">
        <v>1</v>
      </c>
      <c r="W58" t="b">
        <v>0</v>
      </c>
      <c r="X58" t="b">
        <v>1</v>
      </c>
      <c r="Y58" t="b">
        <v>0</v>
      </c>
      <c r="Z58" t="b">
        <v>1</v>
      </c>
      <c r="AA58" t="b">
        <v>1</v>
      </c>
      <c r="AB58" t="s">
        <v>4464</v>
      </c>
      <c r="AC58" t="s">
        <v>7589</v>
      </c>
    </row>
    <row r="59" spans="1:29" x14ac:dyDescent="0.3">
      <c r="A59">
        <v>-73.974997500000001</v>
      </c>
      <c r="B59">
        <v>40.77906179</v>
      </c>
      <c r="C59" t="s">
        <v>908</v>
      </c>
      <c r="D59" t="s">
        <v>38</v>
      </c>
      <c r="E59" s="58">
        <v>43393</v>
      </c>
      <c r="F59">
        <v>23</v>
      </c>
      <c r="G59" t="s">
        <v>3842</v>
      </c>
      <c r="H59" t="s">
        <v>53</v>
      </c>
      <c r="I59" t="s">
        <v>1921</v>
      </c>
      <c r="J59" t="s">
        <v>1142</v>
      </c>
      <c r="K59" t="s">
        <v>5971</v>
      </c>
      <c r="L59" t="s">
        <v>44</v>
      </c>
      <c r="M59">
        <v>30</v>
      </c>
      <c r="N59" t="s">
        <v>1836</v>
      </c>
      <c r="O59" t="b">
        <v>1</v>
      </c>
      <c r="P59" t="b">
        <v>0</v>
      </c>
      <c r="Q59" t="b">
        <v>1</v>
      </c>
      <c r="R59" t="b">
        <v>1</v>
      </c>
      <c r="S59" t="b">
        <v>0</v>
      </c>
      <c r="T59" t="b">
        <v>1</v>
      </c>
      <c r="U59" t="b">
        <v>0</v>
      </c>
      <c r="V59" t="b">
        <v>1</v>
      </c>
      <c r="W59" t="b">
        <v>1</v>
      </c>
      <c r="X59" t="b">
        <v>0</v>
      </c>
      <c r="Y59" t="b">
        <v>1</v>
      </c>
      <c r="Z59" t="b">
        <v>1</v>
      </c>
      <c r="AA59" t="b">
        <v>1</v>
      </c>
      <c r="AB59" t="s">
        <v>601</v>
      </c>
      <c r="AC59" t="s">
        <v>7590</v>
      </c>
    </row>
    <row r="60" spans="1:29" x14ac:dyDescent="0.3">
      <c r="A60">
        <v>-73.979736779999996</v>
      </c>
      <c r="B60">
        <v>40.781806060000001</v>
      </c>
      <c r="C60" t="s">
        <v>408</v>
      </c>
      <c r="D60" t="s">
        <v>38</v>
      </c>
      <c r="E60" s="58">
        <v>43382</v>
      </c>
      <c r="F60">
        <v>25</v>
      </c>
      <c r="G60" t="s">
        <v>48</v>
      </c>
      <c r="H60" t="s">
        <v>53</v>
      </c>
      <c r="I60" t="s">
        <v>5105</v>
      </c>
      <c r="J60" t="s">
        <v>116</v>
      </c>
      <c r="K60" t="s">
        <v>2362</v>
      </c>
      <c r="L60" t="s">
        <v>65</v>
      </c>
      <c r="M60" t="b">
        <v>0</v>
      </c>
      <c r="N60" t="s">
        <v>2865</v>
      </c>
      <c r="O60" t="b">
        <v>1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1</v>
      </c>
      <c r="Y60" t="b">
        <v>1</v>
      </c>
      <c r="Z60" t="b">
        <v>0</v>
      </c>
      <c r="AA60" t="b">
        <v>1</v>
      </c>
      <c r="AB60" t="s">
        <v>2459</v>
      </c>
      <c r="AC60" t="s">
        <v>7591</v>
      </c>
    </row>
    <row r="61" spans="1:29" x14ac:dyDescent="0.3">
      <c r="A61">
        <v>-73.970931230000005</v>
      </c>
      <c r="B61">
        <v>40.78700379</v>
      </c>
      <c r="C61" t="s">
        <v>946</v>
      </c>
      <c r="D61" t="s">
        <v>38</v>
      </c>
      <c r="E61" s="58">
        <v>43391</v>
      </c>
      <c r="F61">
        <v>2</v>
      </c>
      <c r="G61" t="s">
        <v>3842</v>
      </c>
      <c r="H61" t="s">
        <v>42</v>
      </c>
      <c r="I61" t="s">
        <v>59</v>
      </c>
      <c r="J61" t="s">
        <v>1142</v>
      </c>
      <c r="K61" t="s">
        <v>531</v>
      </c>
      <c r="L61" t="s">
        <v>65</v>
      </c>
      <c r="M61" t="b">
        <v>0</v>
      </c>
      <c r="N61" t="s">
        <v>332</v>
      </c>
      <c r="O61" t="b">
        <v>0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0</v>
      </c>
      <c r="V61" t="b">
        <v>1</v>
      </c>
      <c r="W61" t="b">
        <v>1</v>
      </c>
      <c r="X61" t="b">
        <v>1</v>
      </c>
      <c r="Y61" t="b">
        <v>0</v>
      </c>
      <c r="Z61" t="b">
        <v>0</v>
      </c>
      <c r="AA61" t="b">
        <v>0</v>
      </c>
      <c r="AB61" t="s">
        <v>5499</v>
      </c>
      <c r="AC61" t="s">
        <v>7592</v>
      </c>
    </row>
    <row r="62" spans="1:29" x14ac:dyDescent="0.3">
      <c r="A62">
        <v>-73.968939809999995</v>
      </c>
      <c r="B62">
        <v>40.795670960000002</v>
      </c>
      <c r="C62" t="s">
        <v>100</v>
      </c>
      <c r="D62" t="s">
        <v>38</v>
      </c>
      <c r="E62" s="58">
        <v>43389</v>
      </c>
      <c r="F62">
        <v>26</v>
      </c>
      <c r="G62" t="s">
        <v>48</v>
      </c>
      <c r="H62" t="s">
        <v>53</v>
      </c>
      <c r="I62" t="s">
        <v>176</v>
      </c>
      <c r="J62" t="s">
        <v>1922</v>
      </c>
      <c r="K62" t="s">
        <v>2311</v>
      </c>
      <c r="L62" t="s">
        <v>65</v>
      </c>
      <c r="M62" t="b">
        <v>0</v>
      </c>
      <c r="N62" t="s">
        <v>561</v>
      </c>
      <c r="O62" t="b">
        <v>1</v>
      </c>
      <c r="P62" t="b">
        <v>1</v>
      </c>
      <c r="Q62" t="b">
        <v>0</v>
      </c>
      <c r="R62" t="b">
        <v>1</v>
      </c>
      <c r="S62" t="b">
        <v>0</v>
      </c>
      <c r="T62" t="b">
        <v>1</v>
      </c>
      <c r="U62" t="b">
        <v>1</v>
      </c>
      <c r="V62" t="b">
        <v>0</v>
      </c>
      <c r="W62" t="b">
        <v>1</v>
      </c>
      <c r="X62" t="b">
        <v>1</v>
      </c>
      <c r="Y62" t="b">
        <v>0</v>
      </c>
      <c r="Z62" t="b">
        <v>1</v>
      </c>
      <c r="AA62" t="b">
        <v>0</v>
      </c>
      <c r="AB62" t="s">
        <v>527</v>
      </c>
      <c r="AC62" t="s">
        <v>7593</v>
      </c>
    </row>
    <row r="63" spans="1:29" x14ac:dyDescent="0.3">
      <c r="A63">
        <v>-73.972628229999998</v>
      </c>
      <c r="B63">
        <v>40.799558130000001</v>
      </c>
      <c r="C63" t="s">
        <v>468</v>
      </c>
      <c r="D63" t="s">
        <v>38</v>
      </c>
      <c r="E63" s="58">
        <v>43388</v>
      </c>
      <c r="F63">
        <v>15</v>
      </c>
      <c r="G63" t="s">
        <v>3842</v>
      </c>
      <c r="H63" t="s">
        <v>42</v>
      </c>
      <c r="I63" t="s">
        <v>176</v>
      </c>
      <c r="J63" t="s">
        <v>3228</v>
      </c>
      <c r="K63" t="s">
        <v>5413</v>
      </c>
      <c r="L63" t="s">
        <v>44</v>
      </c>
      <c r="M63">
        <v>2</v>
      </c>
      <c r="N63" t="s">
        <v>1819</v>
      </c>
      <c r="O63" t="b">
        <v>1</v>
      </c>
      <c r="P63" t="b">
        <v>0</v>
      </c>
      <c r="Q63" t="b">
        <v>0</v>
      </c>
      <c r="R63" t="b">
        <v>1</v>
      </c>
      <c r="S63" t="b">
        <v>1</v>
      </c>
      <c r="T63" t="b">
        <v>0</v>
      </c>
      <c r="U63" t="b">
        <v>1</v>
      </c>
      <c r="V63" t="b">
        <v>1</v>
      </c>
      <c r="W63" t="b">
        <v>1</v>
      </c>
      <c r="X63" t="b">
        <v>0</v>
      </c>
      <c r="Y63" t="b">
        <v>1</v>
      </c>
      <c r="Z63" t="b">
        <v>0</v>
      </c>
      <c r="AA63" t="b">
        <v>1</v>
      </c>
      <c r="AB63" t="s">
        <v>4695</v>
      </c>
      <c r="AC63" t="s">
        <v>7594</v>
      </c>
    </row>
    <row r="64" spans="1:29" x14ac:dyDescent="0.3">
      <c r="A64">
        <v>-73.955105709999998</v>
      </c>
      <c r="B64">
        <v>40.791959919999996</v>
      </c>
      <c r="C64" t="s">
        <v>1099</v>
      </c>
      <c r="D64" t="s">
        <v>38</v>
      </c>
      <c r="E64" s="58">
        <v>43391</v>
      </c>
      <c r="F64">
        <v>5</v>
      </c>
      <c r="G64" t="s">
        <v>48</v>
      </c>
      <c r="H64" t="s">
        <v>53</v>
      </c>
      <c r="I64" t="s">
        <v>176</v>
      </c>
      <c r="J64" t="s">
        <v>1142</v>
      </c>
      <c r="K64" t="s">
        <v>1754</v>
      </c>
      <c r="L64" t="s">
        <v>44</v>
      </c>
      <c r="M64">
        <v>25</v>
      </c>
      <c r="N64" t="s">
        <v>6646</v>
      </c>
      <c r="O64" t="b">
        <v>1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b">
        <v>1</v>
      </c>
      <c r="W64" t="b">
        <v>0</v>
      </c>
      <c r="X64" t="b">
        <v>1</v>
      </c>
      <c r="Y64" t="b">
        <v>0</v>
      </c>
      <c r="Z64" t="b">
        <v>0</v>
      </c>
      <c r="AA64" t="b">
        <v>1</v>
      </c>
      <c r="AB64" t="s">
        <v>2944</v>
      </c>
      <c r="AC64" t="s">
        <v>7595</v>
      </c>
    </row>
    <row r="65" spans="1:29" x14ac:dyDescent="0.3">
      <c r="A65">
        <v>-73.969943389999997</v>
      </c>
      <c r="B65">
        <v>40.779619340000004</v>
      </c>
      <c r="C65" t="s">
        <v>468</v>
      </c>
      <c r="D65" t="s">
        <v>33</v>
      </c>
      <c r="E65" s="58">
        <v>43381</v>
      </c>
      <c r="F65">
        <v>26</v>
      </c>
      <c r="G65" t="s">
        <v>3842</v>
      </c>
      <c r="H65" t="s">
        <v>42</v>
      </c>
      <c r="I65" t="s">
        <v>42</v>
      </c>
      <c r="J65" t="s">
        <v>177</v>
      </c>
      <c r="K65" t="s">
        <v>3843</v>
      </c>
      <c r="L65" t="s">
        <v>65</v>
      </c>
      <c r="M65" t="b">
        <v>0</v>
      </c>
      <c r="N65" t="s">
        <v>6335</v>
      </c>
      <c r="O65" t="b">
        <v>0</v>
      </c>
      <c r="P65" t="b">
        <v>1</v>
      </c>
      <c r="Q65" t="b">
        <v>1</v>
      </c>
      <c r="R65" t="b">
        <v>1</v>
      </c>
      <c r="S65" t="b">
        <v>0</v>
      </c>
      <c r="T65" t="b">
        <v>0</v>
      </c>
      <c r="U65" t="b">
        <v>0</v>
      </c>
      <c r="V65" t="b">
        <v>1</v>
      </c>
      <c r="W65" t="b">
        <v>1</v>
      </c>
      <c r="X65" t="b">
        <v>0</v>
      </c>
      <c r="Y65" t="b">
        <v>1</v>
      </c>
      <c r="Z65" t="b">
        <v>1</v>
      </c>
      <c r="AA65" t="b">
        <v>1</v>
      </c>
      <c r="AB65" t="s">
        <v>2338</v>
      </c>
      <c r="AC65" t="s">
        <v>7596</v>
      </c>
    </row>
    <row r="66" spans="1:29" x14ac:dyDescent="0.3">
      <c r="A66">
        <v>-73.972326899999999</v>
      </c>
      <c r="B66">
        <v>40.779745740000003</v>
      </c>
      <c r="C66" t="s">
        <v>298</v>
      </c>
      <c r="D66" t="s">
        <v>33</v>
      </c>
      <c r="E66" s="58">
        <v>43381</v>
      </c>
      <c r="F66">
        <v>20</v>
      </c>
      <c r="G66" t="s">
        <v>48</v>
      </c>
      <c r="H66" t="s">
        <v>176</v>
      </c>
      <c r="I66" t="s">
        <v>176</v>
      </c>
      <c r="J66" t="s">
        <v>97</v>
      </c>
      <c r="K66" t="s">
        <v>3248</v>
      </c>
      <c r="L66" t="s">
        <v>44</v>
      </c>
      <c r="M66">
        <v>20</v>
      </c>
      <c r="N66" t="s">
        <v>3496</v>
      </c>
      <c r="O66" t="b">
        <v>0</v>
      </c>
      <c r="P66" t="b">
        <v>0</v>
      </c>
      <c r="Q66" t="b">
        <v>1</v>
      </c>
      <c r="R66" t="b">
        <v>1</v>
      </c>
      <c r="S66" t="b">
        <v>1</v>
      </c>
      <c r="T66" t="b">
        <v>1</v>
      </c>
      <c r="U66" t="b">
        <v>0</v>
      </c>
      <c r="V66" t="b">
        <v>0</v>
      </c>
      <c r="W66" t="b">
        <v>1</v>
      </c>
      <c r="X66" t="b">
        <v>1</v>
      </c>
      <c r="Y66" t="b">
        <v>0</v>
      </c>
      <c r="Z66" t="b">
        <v>0</v>
      </c>
      <c r="AA66" t="b">
        <v>0</v>
      </c>
      <c r="AB66" t="s">
        <v>536</v>
      </c>
      <c r="AC66" t="s">
        <v>7597</v>
      </c>
    </row>
    <row r="67" spans="1:29" x14ac:dyDescent="0.3">
      <c r="A67">
        <v>-73.964097949999996</v>
      </c>
      <c r="B67">
        <v>40.790879359999998</v>
      </c>
      <c r="C67" t="s">
        <v>4415</v>
      </c>
      <c r="D67" t="s">
        <v>33</v>
      </c>
      <c r="E67" s="58">
        <v>43381</v>
      </c>
      <c r="F67">
        <v>6</v>
      </c>
      <c r="G67" t="s">
        <v>105</v>
      </c>
      <c r="H67" t="s">
        <v>53</v>
      </c>
      <c r="I67" t="s">
        <v>53</v>
      </c>
      <c r="J67" t="s">
        <v>1233</v>
      </c>
      <c r="K67" t="s">
        <v>1181</v>
      </c>
      <c r="L67" t="s">
        <v>44</v>
      </c>
      <c r="M67">
        <v>25</v>
      </c>
      <c r="N67" t="s">
        <v>6854</v>
      </c>
      <c r="O67" t="b">
        <v>0</v>
      </c>
      <c r="P67" t="b">
        <v>1</v>
      </c>
      <c r="Q67" t="b">
        <v>1</v>
      </c>
      <c r="R67" t="b">
        <v>1</v>
      </c>
      <c r="S67" t="b">
        <v>0</v>
      </c>
      <c r="T67" t="b">
        <v>1</v>
      </c>
      <c r="U67" t="b">
        <v>0</v>
      </c>
      <c r="V67" t="b">
        <v>0</v>
      </c>
      <c r="W67" t="b">
        <v>0</v>
      </c>
      <c r="X67" t="b">
        <v>1</v>
      </c>
      <c r="Y67" t="b">
        <v>0</v>
      </c>
      <c r="Z67" t="b">
        <v>0</v>
      </c>
      <c r="AA67" t="b">
        <v>0</v>
      </c>
      <c r="AB67" t="s">
        <v>743</v>
      </c>
      <c r="AC67" t="s">
        <v>7598</v>
      </c>
    </row>
    <row r="68" spans="1:29" x14ac:dyDescent="0.3">
      <c r="A68">
        <v>-73.976728370000004</v>
      </c>
      <c r="B68">
        <v>40.773317499999997</v>
      </c>
      <c r="C68" t="s">
        <v>52</v>
      </c>
      <c r="D68" t="s">
        <v>33</v>
      </c>
      <c r="E68" s="58">
        <v>43384</v>
      </c>
      <c r="F68">
        <v>6</v>
      </c>
      <c r="G68" t="s">
        <v>48</v>
      </c>
      <c r="H68" t="s">
        <v>42</v>
      </c>
      <c r="I68" t="s">
        <v>5105</v>
      </c>
      <c r="J68" t="s">
        <v>1233</v>
      </c>
      <c r="K68" t="s">
        <v>3883</v>
      </c>
      <c r="L68" t="s">
        <v>44</v>
      </c>
      <c r="M68">
        <v>12</v>
      </c>
      <c r="N68" t="s">
        <v>1432</v>
      </c>
      <c r="O68" t="b">
        <v>1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b">
        <v>1</v>
      </c>
      <c r="V68" t="b">
        <v>0</v>
      </c>
      <c r="W68" t="b">
        <v>0</v>
      </c>
      <c r="X68" t="b">
        <v>0</v>
      </c>
      <c r="Y68" t="b">
        <v>1</v>
      </c>
      <c r="Z68" t="b">
        <v>1</v>
      </c>
      <c r="AA68" t="b">
        <v>0</v>
      </c>
      <c r="AB68" t="s">
        <v>2350</v>
      </c>
      <c r="AC68" t="s">
        <v>7599</v>
      </c>
    </row>
    <row r="69" spans="1:29" x14ac:dyDescent="0.3">
      <c r="A69">
        <v>-73.955940060000003</v>
      </c>
      <c r="B69">
        <v>40.768800220000003</v>
      </c>
      <c r="C69" t="s">
        <v>37</v>
      </c>
      <c r="D69" t="s">
        <v>38</v>
      </c>
      <c r="E69" s="58">
        <v>43392</v>
      </c>
      <c r="F69">
        <v>27</v>
      </c>
      <c r="G69" t="s">
        <v>48</v>
      </c>
      <c r="H69" t="s">
        <v>53</v>
      </c>
      <c r="I69" t="s">
        <v>53</v>
      </c>
      <c r="J69" t="s">
        <v>339</v>
      </c>
      <c r="K69" t="s">
        <v>2823</v>
      </c>
      <c r="L69" t="s">
        <v>65</v>
      </c>
      <c r="M69" t="b">
        <v>0</v>
      </c>
      <c r="N69" t="s">
        <v>5022</v>
      </c>
      <c r="O69" t="b">
        <v>0</v>
      </c>
      <c r="P69" t="b">
        <v>1</v>
      </c>
      <c r="Q69" t="b">
        <v>0</v>
      </c>
      <c r="R69" t="b">
        <v>0</v>
      </c>
      <c r="S69" t="b">
        <v>1</v>
      </c>
      <c r="T69" t="b">
        <v>1</v>
      </c>
      <c r="U69" t="b">
        <v>0</v>
      </c>
      <c r="V69" t="b">
        <v>0</v>
      </c>
      <c r="W69" t="b">
        <v>0</v>
      </c>
      <c r="X69" t="b">
        <v>1</v>
      </c>
      <c r="Y69" t="b">
        <v>1</v>
      </c>
      <c r="Z69" t="b">
        <v>0</v>
      </c>
      <c r="AA69" t="b">
        <v>1</v>
      </c>
      <c r="AB69" t="s">
        <v>6185</v>
      </c>
      <c r="AC69" t="s">
        <v>7600</v>
      </c>
    </row>
    <row r="70" spans="1:29" x14ac:dyDescent="0.3">
      <c r="A70">
        <v>-73.97881495</v>
      </c>
      <c r="B70">
        <v>40.777396150000001</v>
      </c>
      <c r="C70" t="s">
        <v>124</v>
      </c>
      <c r="D70" t="s">
        <v>33</v>
      </c>
      <c r="E70" s="58">
        <v>43386</v>
      </c>
      <c r="F70">
        <v>18</v>
      </c>
      <c r="G70" t="s">
        <v>48</v>
      </c>
      <c r="H70" t="s">
        <v>53</v>
      </c>
      <c r="I70" t="s">
        <v>115</v>
      </c>
      <c r="J70" t="s">
        <v>619</v>
      </c>
      <c r="K70" t="s">
        <v>4180</v>
      </c>
      <c r="L70" t="s">
        <v>44</v>
      </c>
      <c r="M70">
        <v>4</v>
      </c>
      <c r="N70" t="s">
        <v>3629</v>
      </c>
      <c r="O70" t="b">
        <v>1</v>
      </c>
      <c r="P70" t="b">
        <v>1</v>
      </c>
      <c r="Q70" t="b">
        <v>1</v>
      </c>
      <c r="R70" t="b">
        <v>1</v>
      </c>
      <c r="S70" t="b">
        <v>0</v>
      </c>
      <c r="T70" t="b">
        <v>1</v>
      </c>
      <c r="U70" t="b">
        <v>1</v>
      </c>
      <c r="V70" t="b">
        <v>1</v>
      </c>
      <c r="W70" t="b">
        <v>1</v>
      </c>
      <c r="X70" t="b">
        <v>0</v>
      </c>
      <c r="Y70" t="b">
        <v>1</v>
      </c>
      <c r="Z70" t="b">
        <v>1</v>
      </c>
      <c r="AA70" t="b">
        <v>0</v>
      </c>
      <c r="AB70" t="s">
        <v>5241</v>
      </c>
      <c r="AC70" t="s">
        <v>7601</v>
      </c>
    </row>
    <row r="71" spans="1:29" x14ac:dyDescent="0.3">
      <c r="A71">
        <v>-73.950134000000006</v>
      </c>
      <c r="B71">
        <v>40.775023740000002</v>
      </c>
      <c r="C71" t="s">
        <v>534</v>
      </c>
      <c r="D71" t="s">
        <v>33</v>
      </c>
      <c r="E71" s="58">
        <v>43389</v>
      </c>
      <c r="F71">
        <v>18</v>
      </c>
      <c r="G71" t="s">
        <v>3842</v>
      </c>
      <c r="H71" t="s">
        <v>53</v>
      </c>
      <c r="I71" t="s">
        <v>59</v>
      </c>
      <c r="J71" t="s">
        <v>155</v>
      </c>
      <c r="K71" t="s">
        <v>5976</v>
      </c>
      <c r="L71" t="s">
        <v>65</v>
      </c>
      <c r="M71" t="b">
        <v>0</v>
      </c>
      <c r="N71" t="s">
        <v>1836</v>
      </c>
      <c r="O71" t="b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1</v>
      </c>
      <c r="V71" t="b">
        <v>0</v>
      </c>
      <c r="W71" t="b">
        <v>1</v>
      </c>
      <c r="X71" t="b">
        <v>0</v>
      </c>
      <c r="Y71" t="b">
        <v>0</v>
      </c>
      <c r="Z71" t="b">
        <v>1</v>
      </c>
      <c r="AA71" t="b">
        <v>0</v>
      </c>
      <c r="AB71" t="s">
        <v>4025</v>
      </c>
      <c r="AC71" t="s">
        <v>7602</v>
      </c>
    </row>
    <row r="72" spans="1:29" x14ac:dyDescent="0.3">
      <c r="A72">
        <v>-73.956881670000001</v>
      </c>
      <c r="B72">
        <v>40.775343040000003</v>
      </c>
      <c r="C72" t="s">
        <v>268</v>
      </c>
      <c r="D72" t="s">
        <v>33</v>
      </c>
      <c r="E72" s="58">
        <v>43385</v>
      </c>
      <c r="F72">
        <v>4</v>
      </c>
      <c r="G72" t="s">
        <v>3842</v>
      </c>
      <c r="H72" t="s">
        <v>42</v>
      </c>
      <c r="I72" t="s">
        <v>1921</v>
      </c>
      <c r="J72" t="s">
        <v>97</v>
      </c>
      <c r="K72" t="s">
        <v>977</v>
      </c>
      <c r="L72" t="s">
        <v>65</v>
      </c>
      <c r="M72" t="b">
        <v>0</v>
      </c>
      <c r="N72" t="s">
        <v>2865</v>
      </c>
      <c r="O72" t="b">
        <v>1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b">
        <v>1</v>
      </c>
      <c r="V72" t="b">
        <v>1</v>
      </c>
      <c r="W72" t="b">
        <v>0</v>
      </c>
      <c r="X72" t="b">
        <v>1</v>
      </c>
      <c r="Y72" t="b">
        <v>0</v>
      </c>
      <c r="Z72" t="b">
        <v>0</v>
      </c>
      <c r="AA72" t="b">
        <v>0</v>
      </c>
      <c r="AB72" t="s">
        <v>5146</v>
      </c>
      <c r="AC72" t="s">
        <v>7603</v>
      </c>
    </row>
    <row r="73" spans="1:29" x14ac:dyDescent="0.3">
      <c r="A73">
        <v>-73.974911590000005</v>
      </c>
      <c r="B73">
        <v>40.773135490000001</v>
      </c>
      <c r="C73" t="s">
        <v>304</v>
      </c>
      <c r="D73" t="s">
        <v>33</v>
      </c>
      <c r="E73" s="58">
        <v>43392</v>
      </c>
      <c r="F73">
        <v>17</v>
      </c>
      <c r="G73" t="s">
        <v>3842</v>
      </c>
      <c r="H73" t="s">
        <v>176</v>
      </c>
      <c r="I73" t="s">
        <v>176</v>
      </c>
      <c r="J73" t="s">
        <v>705</v>
      </c>
      <c r="K73" t="s">
        <v>6800</v>
      </c>
      <c r="L73" t="s">
        <v>65</v>
      </c>
      <c r="M73" t="b">
        <v>0</v>
      </c>
      <c r="N73" t="s">
        <v>3826</v>
      </c>
      <c r="O73" t="b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b">
        <v>0</v>
      </c>
      <c r="W73" t="b">
        <v>1</v>
      </c>
      <c r="X73" t="b">
        <v>1</v>
      </c>
      <c r="Y73" t="b">
        <v>1</v>
      </c>
      <c r="Z73" t="b">
        <v>1</v>
      </c>
      <c r="AA73" t="b">
        <v>1</v>
      </c>
      <c r="AB73" t="s">
        <v>2792</v>
      </c>
      <c r="AC73" t="s">
        <v>7604</v>
      </c>
    </row>
    <row r="74" spans="1:29" x14ac:dyDescent="0.3">
      <c r="A74">
        <v>-73.980984980000002</v>
      </c>
      <c r="B74">
        <v>40.766392680000003</v>
      </c>
      <c r="C74" t="s">
        <v>4415</v>
      </c>
      <c r="D74" t="s">
        <v>38</v>
      </c>
      <c r="E74" s="58">
        <v>43382</v>
      </c>
      <c r="F74">
        <v>25</v>
      </c>
      <c r="G74" t="s">
        <v>105</v>
      </c>
      <c r="H74" t="s">
        <v>176</v>
      </c>
      <c r="I74" t="s">
        <v>96</v>
      </c>
      <c r="J74" t="s">
        <v>34</v>
      </c>
      <c r="K74" t="s">
        <v>5971</v>
      </c>
      <c r="L74" t="s">
        <v>44</v>
      </c>
      <c r="M74">
        <v>4</v>
      </c>
      <c r="N74" t="s">
        <v>5946</v>
      </c>
      <c r="O74" t="b">
        <v>1</v>
      </c>
      <c r="P74" t="b">
        <v>0</v>
      </c>
      <c r="Q74" t="b">
        <v>1</v>
      </c>
      <c r="R74" t="b">
        <v>0</v>
      </c>
      <c r="S74" t="b">
        <v>0</v>
      </c>
      <c r="T74" t="b">
        <v>1</v>
      </c>
      <c r="U74" t="b">
        <v>0</v>
      </c>
      <c r="V74" t="b">
        <v>1</v>
      </c>
      <c r="W74" t="b">
        <v>1</v>
      </c>
      <c r="X74" t="b">
        <v>0</v>
      </c>
      <c r="Y74" t="b">
        <v>0</v>
      </c>
      <c r="Z74" t="b">
        <v>0</v>
      </c>
      <c r="AA74" t="b">
        <v>0</v>
      </c>
      <c r="AB74" t="s">
        <v>6518</v>
      </c>
      <c r="AC74" t="s">
        <v>7605</v>
      </c>
    </row>
    <row r="75" spans="1:29" x14ac:dyDescent="0.3">
      <c r="A75">
        <v>-73.955523069999998</v>
      </c>
      <c r="B75">
        <v>40.765539969999999</v>
      </c>
      <c r="C75" t="s">
        <v>468</v>
      </c>
      <c r="D75" t="s">
        <v>38</v>
      </c>
      <c r="E75" s="58">
        <v>43389</v>
      </c>
      <c r="F75">
        <v>14</v>
      </c>
      <c r="G75" t="s">
        <v>105</v>
      </c>
      <c r="H75" t="s">
        <v>176</v>
      </c>
      <c r="I75" t="s">
        <v>96</v>
      </c>
      <c r="J75" t="s">
        <v>1233</v>
      </c>
      <c r="K75" t="s">
        <v>4742</v>
      </c>
      <c r="L75" t="s">
        <v>65</v>
      </c>
      <c r="M75" t="b">
        <v>0</v>
      </c>
      <c r="N75" t="s">
        <v>356</v>
      </c>
      <c r="O75" t="b">
        <v>1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b">
        <v>1</v>
      </c>
      <c r="W75" t="b">
        <v>0</v>
      </c>
      <c r="X75" t="b">
        <v>0</v>
      </c>
      <c r="Y75" t="b">
        <v>1</v>
      </c>
      <c r="Z75" t="b">
        <v>0</v>
      </c>
      <c r="AA75" t="b">
        <v>0</v>
      </c>
      <c r="AB75" t="s">
        <v>3823</v>
      </c>
      <c r="AC75" t="s">
        <v>7606</v>
      </c>
    </row>
    <row r="76" spans="1:29" x14ac:dyDescent="0.3">
      <c r="A76">
        <v>-73.958937239999997</v>
      </c>
      <c r="B76">
        <v>40.799686250000001</v>
      </c>
      <c r="C76" t="s">
        <v>741</v>
      </c>
      <c r="D76" t="s">
        <v>38</v>
      </c>
      <c r="E76" s="58">
        <v>43390</v>
      </c>
      <c r="F76">
        <v>14</v>
      </c>
      <c r="G76" t="s">
        <v>48</v>
      </c>
      <c r="H76" t="s">
        <v>42</v>
      </c>
      <c r="I76" t="s">
        <v>59</v>
      </c>
      <c r="J76" t="s">
        <v>60</v>
      </c>
      <c r="K76" t="s">
        <v>4477</v>
      </c>
      <c r="L76" t="s">
        <v>44</v>
      </c>
      <c r="M76">
        <v>3</v>
      </c>
      <c r="N76" t="s">
        <v>4948</v>
      </c>
      <c r="O76" t="b">
        <v>0</v>
      </c>
      <c r="P76" t="b">
        <v>1</v>
      </c>
      <c r="Q76" t="b">
        <v>0</v>
      </c>
      <c r="R76" t="b">
        <v>1</v>
      </c>
      <c r="S76" t="b">
        <v>1</v>
      </c>
      <c r="T76" t="b">
        <v>1</v>
      </c>
      <c r="U76" t="b">
        <v>1</v>
      </c>
      <c r="V76" t="b">
        <v>1</v>
      </c>
      <c r="W76" t="b">
        <v>0</v>
      </c>
      <c r="X76" t="b">
        <v>1</v>
      </c>
      <c r="Y76" t="b">
        <v>1</v>
      </c>
      <c r="Z76" t="b">
        <v>1</v>
      </c>
      <c r="AA76" t="b">
        <v>0</v>
      </c>
      <c r="AB76" t="s">
        <v>3446</v>
      </c>
      <c r="AC76" t="s">
        <v>7607</v>
      </c>
    </row>
    <row r="77" spans="1:29" x14ac:dyDescent="0.3">
      <c r="A77">
        <v>-73.958240919999994</v>
      </c>
      <c r="B77">
        <v>40.779971639999999</v>
      </c>
      <c r="C77" t="s">
        <v>612</v>
      </c>
      <c r="D77" t="s">
        <v>33</v>
      </c>
      <c r="E77" s="58">
        <v>43382</v>
      </c>
      <c r="F77">
        <v>13</v>
      </c>
      <c r="G77" t="s">
        <v>105</v>
      </c>
      <c r="H77" t="s">
        <v>176</v>
      </c>
      <c r="I77" t="s">
        <v>115</v>
      </c>
      <c r="J77" t="s">
        <v>3580</v>
      </c>
      <c r="K77" t="s">
        <v>4791</v>
      </c>
      <c r="L77" t="s">
        <v>44</v>
      </c>
      <c r="M77">
        <v>5</v>
      </c>
      <c r="N77" t="s">
        <v>4445</v>
      </c>
      <c r="O77" t="b">
        <v>1</v>
      </c>
      <c r="P77" t="b">
        <v>1</v>
      </c>
      <c r="Q77" t="b">
        <v>1</v>
      </c>
      <c r="R77" t="b">
        <v>0</v>
      </c>
      <c r="S77" t="b">
        <v>1</v>
      </c>
      <c r="T77" t="b">
        <v>1</v>
      </c>
      <c r="U77" t="b">
        <v>1</v>
      </c>
      <c r="V77" t="b">
        <v>1</v>
      </c>
      <c r="W77" t="b">
        <v>0</v>
      </c>
      <c r="X77" t="b">
        <v>1</v>
      </c>
      <c r="Y77" t="b">
        <v>1</v>
      </c>
      <c r="Z77" t="b">
        <v>1</v>
      </c>
      <c r="AA77" t="b">
        <v>0</v>
      </c>
      <c r="AB77" t="s">
        <v>690</v>
      </c>
      <c r="AC77" t="s">
        <v>7608</v>
      </c>
    </row>
    <row r="78" spans="1:29" x14ac:dyDescent="0.3">
      <c r="A78">
        <v>-73.956912299999999</v>
      </c>
      <c r="B78">
        <v>40.778441979999997</v>
      </c>
      <c r="C78" t="s">
        <v>893</v>
      </c>
      <c r="D78" t="s">
        <v>38</v>
      </c>
      <c r="E78" s="58">
        <v>43389</v>
      </c>
      <c r="F78">
        <v>7</v>
      </c>
      <c r="G78" t="s">
        <v>48</v>
      </c>
      <c r="H78" t="s">
        <v>42</v>
      </c>
      <c r="I78" t="s">
        <v>96</v>
      </c>
      <c r="J78" t="s">
        <v>79</v>
      </c>
      <c r="K78" t="s">
        <v>1666</v>
      </c>
      <c r="L78" t="s">
        <v>65</v>
      </c>
      <c r="M78" t="b">
        <v>0</v>
      </c>
      <c r="N78" t="s">
        <v>2204</v>
      </c>
      <c r="O78" t="b">
        <v>0</v>
      </c>
      <c r="P78" t="b">
        <v>1</v>
      </c>
      <c r="Q78" t="b">
        <v>1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1</v>
      </c>
      <c r="Y78" t="b">
        <v>1</v>
      </c>
      <c r="Z78" t="b">
        <v>1</v>
      </c>
      <c r="AA78" t="b">
        <v>0</v>
      </c>
      <c r="AB78" t="s">
        <v>7261</v>
      </c>
      <c r="AC78" t="s">
        <v>7609</v>
      </c>
    </row>
    <row r="79" spans="1:29" x14ac:dyDescent="0.3">
      <c r="A79">
        <v>-73.978830849999994</v>
      </c>
      <c r="B79">
        <v>40.788839590000002</v>
      </c>
      <c r="C79" t="s">
        <v>408</v>
      </c>
      <c r="D79" t="s">
        <v>33</v>
      </c>
      <c r="E79" s="58">
        <v>43388</v>
      </c>
      <c r="F79">
        <v>12</v>
      </c>
      <c r="G79" t="s">
        <v>48</v>
      </c>
      <c r="H79" t="s">
        <v>53</v>
      </c>
      <c r="I79" t="s">
        <v>53</v>
      </c>
      <c r="J79" t="s">
        <v>3228</v>
      </c>
      <c r="K79" t="s">
        <v>3942</v>
      </c>
      <c r="L79" t="s">
        <v>65</v>
      </c>
      <c r="M79" t="b">
        <v>0</v>
      </c>
      <c r="N79" t="s">
        <v>5784</v>
      </c>
      <c r="O79" t="b">
        <v>0</v>
      </c>
      <c r="P79" t="b">
        <v>0</v>
      </c>
      <c r="Q79" t="b">
        <v>1</v>
      </c>
      <c r="R79" t="b">
        <v>0</v>
      </c>
      <c r="S79" t="b">
        <v>0</v>
      </c>
      <c r="T79" t="b">
        <v>0</v>
      </c>
      <c r="U79" t="b">
        <v>1</v>
      </c>
      <c r="V79" t="b">
        <v>0</v>
      </c>
      <c r="W79" t="b">
        <v>0</v>
      </c>
      <c r="X79" t="b">
        <v>1</v>
      </c>
      <c r="Y79" t="b">
        <v>1</v>
      </c>
      <c r="Z79" t="b">
        <v>1</v>
      </c>
      <c r="AA79" t="b">
        <v>1</v>
      </c>
      <c r="AB79" t="s">
        <v>630</v>
      </c>
      <c r="AC79" t="s">
        <v>7610</v>
      </c>
    </row>
    <row r="80" spans="1:29" x14ac:dyDescent="0.3">
      <c r="A80">
        <v>-73.969889559999999</v>
      </c>
      <c r="B80">
        <v>40.772594920000003</v>
      </c>
      <c r="C80" t="s">
        <v>353</v>
      </c>
      <c r="D80" t="s">
        <v>38</v>
      </c>
      <c r="E80" s="58">
        <v>43393</v>
      </c>
      <c r="F80">
        <v>23</v>
      </c>
      <c r="G80" t="s">
        <v>48</v>
      </c>
      <c r="H80" t="s">
        <v>53</v>
      </c>
      <c r="I80" t="s">
        <v>737</v>
      </c>
      <c r="J80" t="s">
        <v>97</v>
      </c>
      <c r="K80" t="s">
        <v>242</v>
      </c>
      <c r="L80" t="s">
        <v>65</v>
      </c>
      <c r="M80" t="b">
        <v>0</v>
      </c>
      <c r="N80" t="s">
        <v>1879</v>
      </c>
      <c r="O80" t="b">
        <v>1</v>
      </c>
      <c r="P80" t="b">
        <v>0</v>
      </c>
      <c r="Q80" t="b">
        <v>1</v>
      </c>
      <c r="R80" t="b">
        <v>0</v>
      </c>
      <c r="S80" t="b">
        <v>0</v>
      </c>
      <c r="T80" t="b">
        <v>0</v>
      </c>
      <c r="U80" t="b">
        <v>0</v>
      </c>
      <c r="V80" t="b">
        <v>1</v>
      </c>
      <c r="W80" t="b">
        <v>0</v>
      </c>
      <c r="X80" t="b">
        <v>1</v>
      </c>
      <c r="Y80" t="b">
        <v>0</v>
      </c>
      <c r="Z80" t="b">
        <v>1</v>
      </c>
      <c r="AA80" t="b">
        <v>1</v>
      </c>
      <c r="AB80" t="s">
        <v>7288</v>
      </c>
      <c r="AC80" t="s">
        <v>7611</v>
      </c>
    </row>
    <row r="81" spans="1:29" x14ac:dyDescent="0.3">
      <c r="A81">
        <v>-73.977516030000004</v>
      </c>
      <c r="B81">
        <v>40.798356759999997</v>
      </c>
      <c r="C81" t="s">
        <v>2372</v>
      </c>
      <c r="D81" t="s">
        <v>38</v>
      </c>
      <c r="E81" s="58">
        <v>43389</v>
      </c>
      <c r="F81">
        <v>15</v>
      </c>
      <c r="G81" t="s">
        <v>105</v>
      </c>
      <c r="H81" t="s">
        <v>176</v>
      </c>
      <c r="I81" t="s">
        <v>42</v>
      </c>
      <c r="J81" t="s">
        <v>155</v>
      </c>
      <c r="K81" t="s">
        <v>6214</v>
      </c>
      <c r="L81" t="s">
        <v>44</v>
      </c>
      <c r="M81">
        <v>25</v>
      </c>
      <c r="N81" t="s">
        <v>2724</v>
      </c>
      <c r="O81" t="b">
        <v>1</v>
      </c>
      <c r="P81" t="b">
        <v>1</v>
      </c>
      <c r="Q81" t="b">
        <v>1</v>
      </c>
      <c r="R81" t="b">
        <v>1</v>
      </c>
      <c r="S81" t="b">
        <v>0</v>
      </c>
      <c r="T81" t="b">
        <v>0</v>
      </c>
      <c r="U81" t="b">
        <v>1</v>
      </c>
      <c r="V81" t="b">
        <v>0</v>
      </c>
      <c r="W81" t="b">
        <v>0</v>
      </c>
      <c r="X81" t="b">
        <v>0</v>
      </c>
      <c r="Y81" t="b">
        <v>0</v>
      </c>
      <c r="Z81" t="b">
        <v>1</v>
      </c>
      <c r="AA81" t="b">
        <v>1</v>
      </c>
      <c r="AB81" t="s">
        <v>5356</v>
      </c>
      <c r="AC81" t="s">
        <v>7612</v>
      </c>
    </row>
    <row r="82" spans="1:29" x14ac:dyDescent="0.3">
      <c r="A82">
        <v>-73.954025360000003</v>
      </c>
      <c r="B82">
        <v>40.792596189999998</v>
      </c>
      <c r="C82" t="s">
        <v>275</v>
      </c>
      <c r="D82" t="s">
        <v>38</v>
      </c>
      <c r="E82" s="58">
        <v>43389</v>
      </c>
      <c r="F82">
        <v>19</v>
      </c>
      <c r="G82" t="s">
        <v>3842</v>
      </c>
      <c r="H82" t="s">
        <v>42</v>
      </c>
      <c r="I82" t="s">
        <v>148</v>
      </c>
      <c r="J82" t="s">
        <v>1233</v>
      </c>
      <c r="K82" t="s">
        <v>2685</v>
      </c>
      <c r="L82" t="s">
        <v>44</v>
      </c>
      <c r="M82">
        <v>3</v>
      </c>
      <c r="N82" t="s">
        <v>2357</v>
      </c>
      <c r="O82" t="b">
        <v>0</v>
      </c>
      <c r="P82" t="b">
        <v>1</v>
      </c>
      <c r="Q82" t="b">
        <v>1</v>
      </c>
      <c r="R82" t="b">
        <v>0</v>
      </c>
      <c r="S82" t="b">
        <v>1</v>
      </c>
      <c r="T82" t="b">
        <v>1</v>
      </c>
      <c r="U82" t="b">
        <v>1</v>
      </c>
      <c r="V82" t="b">
        <v>0</v>
      </c>
      <c r="W82" t="b">
        <v>0</v>
      </c>
      <c r="X82" t="b">
        <v>0</v>
      </c>
      <c r="Y82" t="b">
        <v>1</v>
      </c>
      <c r="Z82" t="b">
        <v>0</v>
      </c>
      <c r="AA82" t="b">
        <v>1</v>
      </c>
      <c r="AB82" t="s">
        <v>4974</v>
      </c>
      <c r="AC82" t="s">
        <v>7613</v>
      </c>
    </row>
    <row r="83" spans="1:29" x14ac:dyDescent="0.3">
      <c r="A83">
        <v>-73.961564069999994</v>
      </c>
      <c r="B83">
        <v>40.76805864</v>
      </c>
      <c r="C83" t="s">
        <v>704</v>
      </c>
      <c r="D83" t="s">
        <v>38</v>
      </c>
      <c r="E83" s="58">
        <v>43392</v>
      </c>
      <c r="F83">
        <v>11</v>
      </c>
      <c r="G83" t="s">
        <v>105</v>
      </c>
      <c r="H83" t="s">
        <v>53</v>
      </c>
      <c r="I83" t="s">
        <v>96</v>
      </c>
      <c r="J83" t="s">
        <v>97</v>
      </c>
      <c r="K83" t="s">
        <v>1259</v>
      </c>
      <c r="L83" t="s">
        <v>65</v>
      </c>
      <c r="M83" t="b">
        <v>0</v>
      </c>
      <c r="N83" t="s">
        <v>2951</v>
      </c>
      <c r="O83" t="b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b">
        <v>1</v>
      </c>
      <c r="V83" t="b">
        <v>1</v>
      </c>
      <c r="W83" t="b">
        <v>1</v>
      </c>
      <c r="X83" t="b">
        <v>0</v>
      </c>
      <c r="Y83" t="b">
        <v>0</v>
      </c>
      <c r="Z83" t="b">
        <v>0</v>
      </c>
      <c r="AA83" t="b">
        <v>0</v>
      </c>
      <c r="AB83" t="s">
        <v>2194</v>
      </c>
      <c r="AC83" t="s">
        <v>7614</v>
      </c>
    </row>
    <row r="84" spans="1:29" x14ac:dyDescent="0.3">
      <c r="A84">
        <v>-73.970756199999997</v>
      </c>
      <c r="B84">
        <v>40.779612790000002</v>
      </c>
      <c r="C84" t="s">
        <v>471</v>
      </c>
      <c r="D84" t="s">
        <v>38</v>
      </c>
      <c r="E84" s="58">
        <v>43389</v>
      </c>
      <c r="F84">
        <v>15</v>
      </c>
      <c r="G84" t="s">
        <v>48</v>
      </c>
      <c r="H84" t="s">
        <v>42</v>
      </c>
      <c r="I84" t="s">
        <v>1921</v>
      </c>
      <c r="J84" t="s">
        <v>34</v>
      </c>
      <c r="K84" t="s">
        <v>2503</v>
      </c>
      <c r="L84" t="s">
        <v>65</v>
      </c>
      <c r="M84" t="b">
        <v>0</v>
      </c>
      <c r="N84" t="s">
        <v>5666</v>
      </c>
      <c r="O84" t="b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1</v>
      </c>
      <c r="V84" t="b">
        <v>0</v>
      </c>
      <c r="W84" t="b">
        <v>1</v>
      </c>
      <c r="X84" t="b">
        <v>0</v>
      </c>
      <c r="Y84" t="b">
        <v>1</v>
      </c>
      <c r="Z84" t="b">
        <v>1</v>
      </c>
      <c r="AA84" t="b">
        <v>0</v>
      </c>
      <c r="AB84" t="s">
        <v>1029</v>
      </c>
      <c r="AC84" t="s">
        <v>7615</v>
      </c>
    </row>
    <row r="85" spans="1:29" x14ac:dyDescent="0.3">
      <c r="A85">
        <v>-73.97916051</v>
      </c>
      <c r="B85">
        <v>40.795862530000001</v>
      </c>
      <c r="C85" t="s">
        <v>1063</v>
      </c>
      <c r="D85" t="s">
        <v>33</v>
      </c>
      <c r="E85" s="58">
        <v>43380</v>
      </c>
      <c r="F85">
        <v>12</v>
      </c>
      <c r="G85" t="s">
        <v>48</v>
      </c>
      <c r="H85" t="s">
        <v>42</v>
      </c>
      <c r="I85" t="s">
        <v>176</v>
      </c>
      <c r="J85" t="s">
        <v>97</v>
      </c>
      <c r="K85" t="s">
        <v>4814</v>
      </c>
      <c r="L85" t="s">
        <v>44</v>
      </c>
      <c r="M85">
        <v>30</v>
      </c>
      <c r="N85" t="s">
        <v>3496</v>
      </c>
      <c r="O85" t="b">
        <v>1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1</v>
      </c>
      <c r="V85" t="b">
        <v>0</v>
      </c>
      <c r="W85" t="b">
        <v>1</v>
      </c>
      <c r="X85" t="b">
        <v>1</v>
      </c>
      <c r="Y85" t="b">
        <v>0</v>
      </c>
      <c r="Z85" t="b">
        <v>0</v>
      </c>
      <c r="AA85" t="b">
        <v>1</v>
      </c>
      <c r="AB85" t="s">
        <v>4974</v>
      </c>
      <c r="AC85" t="s">
        <v>7616</v>
      </c>
    </row>
    <row r="86" spans="1:29" x14ac:dyDescent="0.3">
      <c r="A86">
        <v>-73.971382289999994</v>
      </c>
      <c r="B86">
        <v>40.798172649999998</v>
      </c>
      <c r="C86" t="s">
        <v>1451</v>
      </c>
      <c r="D86" t="s">
        <v>38</v>
      </c>
      <c r="E86" s="58">
        <v>43392</v>
      </c>
      <c r="F86">
        <v>3</v>
      </c>
      <c r="G86" t="s">
        <v>105</v>
      </c>
      <c r="H86" t="s">
        <v>53</v>
      </c>
      <c r="I86" t="s">
        <v>1921</v>
      </c>
      <c r="J86" t="s">
        <v>177</v>
      </c>
      <c r="K86" t="s">
        <v>5558</v>
      </c>
      <c r="L86" t="s">
        <v>44</v>
      </c>
      <c r="M86">
        <v>12</v>
      </c>
      <c r="N86" t="s">
        <v>3140</v>
      </c>
      <c r="O86" t="b">
        <v>0</v>
      </c>
      <c r="P86" t="b">
        <v>1</v>
      </c>
      <c r="Q86" t="b">
        <v>0</v>
      </c>
      <c r="R86" t="b">
        <v>1</v>
      </c>
      <c r="S86" t="b">
        <v>1</v>
      </c>
      <c r="T86" t="b">
        <v>0</v>
      </c>
      <c r="U86" t="b">
        <v>1</v>
      </c>
      <c r="V86" t="b">
        <v>0</v>
      </c>
      <c r="W86" t="b">
        <v>1</v>
      </c>
      <c r="X86" t="b">
        <v>0</v>
      </c>
      <c r="Y86" t="b">
        <v>0</v>
      </c>
      <c r="Z86" t="b">
        <v>1</v>
      </c>
      <c r="AA86" t="b">
        <v>1</v>
      </c>
      <c r="AB86" t="s">
        <v>3549</v>
      </c>
      <c r="AC86" t="s">
        <v>7617</v>
      </c>
    </row>
    <row r="87" spans="1:29" x14ac:dyDescent="0.3">
      <c r="A87">
        <v>-73.970935850000004</v>
      </c>
      <c r="B87">
        <v>40.781366869999999</v>
      </c>
      <c r="C87" t="s">
        <v>3395</v>
      </c>
      <c r="D87" t="s">
        <v>33</v>
      </c>
      <c r="E87" s="58">
        <v>43379</v>
      </c>
      <c r="F87">
        <v>17</v>
      </c>
      <c r="G87" t="s">
        <v>48</v>
      </c>
      <c r="H87" t="s">
        <v>42</v>
      </c>
      <c r="I87" t="s">
        <v>5105</v>
      </c>
      <c r="J87" t="s">
        <v>149</v>
      </c>
      <c r="K87" t="s">
        <v>6800</v>
      </c>
      <c r="L87" t="s">
        <v>65</v>
      </c>
      <c r="M87" t="b">
        <v>0</v>
      </c>
      <c r="N87" t="s">
        <v>1432</v>
      </c>
      <c r="O87" t="b">
        <v>1</v>
      </c>
      <c r="P87" t="b">
        <v>0</v>
      </c>
      <c r="Q87" t="b">
        <v>1</v>
      </c>
      <c r="R87" t="b">
        <v>0</v>
      </c>
      <c r="S87" t="b">
        <v>0</v>
      </c>
      <c r="T87" t="b">
        <v>0</v>
      </c>
      <c r="U87" t="b">
        <v>1</v>
      </c>
      <c r="V87" t="b">
        <v>1</v>
      </c>
      <c r="W87" t="b">
        <v>1</v>
      </c>
      <c r="X87" t="b">
        <v>1</v>
      </c>
      <c r="Y87" t="b">
        <v>1</v>
      </c>
      <c r="Z87" t="b">
        <v>1</v>
      </c>
      <c r="AA87" t="b">
        <v>1</v>
      </c>
      <c r="AB87" t="s">
        <v>1222</v>
      </c>
      <c r="AC87" t="s">
        <v>7618</v>
      </c>
    </row>
    <row r="88" spans="1:29" x14ac:dyDescent="0.3">
      <c r="A88">
        <v>-73.958222090000007</v>
      </c>
      <c r="B88">
        <v>40.786507559999997</v>
      </c>
      <c r="C88" t="s">
        <v>228</v>
      </c>
      <c r="D88" t="s">
        <v>33</v>
      </c>
      <c r="E88" s="58">
        <v>43387</v>
      </c>
      <c r="F88">
        <v>3</v>
      </c>
      <c r="G88" t="s">
        <v>48</v>
      </c>
      <c r="H88" t="s">
        <v>53</v>
      </c>
      <c r="I88" t="s">
        <v>42</v>
      </c>
      <c r="J88" t="s">
        <v>339</v>
      </c>
      <c r="K88" t="s">
        <v>809</v>
      </c>
      <c r="L88" t="s">
        <v>44</v>
      </c>
      <c r="M88">
        <v>25</v>
      </c>
      <c r="N88" t="s">
        <v>4895</v>
      </c>
      <c r="O88" t="b">
        <v>1</v>
      </c>
      <c r="P88" t="b">
        <v>1</v>
      </c>
      <c r="Q88" t="b">
        <v>0</v>
      </c>
      <c r="R88" t="b">
        <v>0</v>
      </c>
      <c r="S88" t="b">
        <v>0</v>
      </c>
      <c r="T88" t="b">
        <v>1</v>
      </c>
      <c r="U88" t="b">
        <v>0</v>
      </c>
      <c r="V88" t="b">
        <v>0</v>
      </c>
      <c r="W88" t="b">
        <v>1</v>
      </c>
      <c r="X88" t="b">
        <v>1</v>
      </c>
      <c r="Y88" t="b">
        <v>0</v>
      </c>
      <c r="Z88" t="b">
        <v>0</v>
      </c>
      <c r="AA88" t="b">
        <v>0</v>
      </c>
      <c r="AB88" t="s">
        <v>1182</v>
      </c>
      <c r="AC88" t="s">
        <v>7619</v>
      </c>
    </row>
    <row r="89" spans="1:29" x14ac:dyDescent="0.3">
      <c r="A89">
        <v>-73.961115809999995</v>
      </c>
      <c r="B89">
        <v>40.77079157</v>
      </c>
      <c r="C89" t="s">
        <v>163</v>
      </c>
      <c r="D89" t="s">
        <v>33</v>
      </c>
      <c r="E89" s="58">
        <v>43390</v>
      </c>
      <c r="F89">
        <v>19</v>
      </c>
      <c r="G89" t="s">
        <v>105</v>
      </c>
      <c r="H89" t="s">
        <v>53</v>
      </c>
      <c r="I89" t="s">
        <v>53</v>
      </c>
      <c r="J89" t="s">
        <v>54</v>
      </c>
      <c r="K89" t="s">
        <v>3942</v>
      </c>
      <c r="L89" t="s">
        <v>44</v>
      </c>
      <c r="M89">
        <v>15</v>
      </c>
      <c r="N89" t="s">
        <v>6508</v>
      </c>
      <c r="O89" t="b">
        <v>0</v>
      </c>
      <c r="P89" t="b">
        <v>0</v>
      </c>
      <c r="Q89" t="b">
        <v>1</v>
      </c>
      <c r="R89" t="b">
        <v>0</v>
      </c>
      <c r="S89" t="b">
        <v>0</v>
      </c>
      <c r="T89" t="b">
        <v>0</v>
      </c>
      <c r="U89" t="b">
        <v>1</v>
      </c>
      <c r="V89" t="b">
        <v>1</v>
      </c>
      <c r="W89" t="b">
        <v>1</v>
      </c>
      <c r="X89" t="b">
        <v>1</v>
      </c>
      <c r="Y89" t="b">
        <v>1</v>
      </c>
      <c r="Z89" t="b">
        <v>0</v>
      </c>
      <c r="AA89" t="b">
        <v>0</v>
      </c>
      <c r="AB89" t="s">
        <v>1182</v>
      </c>
      <c r="AC89" t="s">
        <v>7620</v>
      </c>
    </row>
    <row r="90" spans="1:29" x14ac:dyDescent="0.3">
      <c r="A90">
        <v>-73.953267440000005</v>
      </c>
      <c r="B90">
        <v>40.79980758</v>
      </c>
      <c r="C90" t="s">
        <v>1962</v>
      </c>
      <c r="D90" t="s">
        <v>33</v>
      </c>
      <c r="E90" s="58">
        <v>43393</v>
      </c>
      <c r="F90">
        <v>20</v>
      </c>
      <c r="G90" t="s">
        <v>105</v>
      </c>
      <c r="H90" t="s">
        <v>53</v>
      </c>
      <c r="I90" t="s">
        <v>115</v>
      </c>
      <c r="J90" t="s">
        <v>60</v>
      </c>
      <c r="K90" t="s">
        <v>1843</v>
      </c>
      <c r="L90" t="s">
        <v>44</v>
      </c>
      <c r="M90">
        <v>8</v>
      </c>
      <c r="N90" t="s">
        <v>405</v>
      </c>
      <c r="O90" t="b">
        <v>0</v>
      </c>
      <c r="P90" t="b">
        <v>0</v>
      </c>
      <c r="Q90" t="b">
        <v>1</v>
      </c>
      <c r="R90" t="b">
        <v>1</v>
      </c>
      <c r="S90" t="b">
        <v>0</v>
      </c>
      <c r="T90" t="b">
        <v>0</v>
      </c>
      <c r="U90" t="b">
        <v>1</v>
      </c>
      <c r="V90" t="b">
        <v>1</v>
      </c>
      <c r="W90" t="b">
        <v>1</v>
      </c>
      <c r="X90" t="b">
        <v>1</v>
      </c>
      <c r="Y90" t="b">
        <v>0</v>
      </c>
      <c r="Z90" t="b">
        <v>1</v>
      </c>
      <c r="AA90" t="b">
        <v>0</v>
      </c>
      <c r="AB90" t="s">
        <v>2038</v>
      </c>
      <c r="AC90" t="s">
        <v>7621</v>
      </c>
    </row>
    <row r="91" spans="1:29" x14ac:dyDescent="0.3">
      <c r="A91">
        <v>-73.966313650000004</v>
      </c>
      <c r="B91">
        <v>40.773067330000003</v>
      </c>
      <c r="C91" t="s">
        <v>114</v>
      </c>
      <c r="D91" t="s">
        <v>33</v>
      </c>
      <c r="E91" s="58">
        <v>43390</v>
      </c>
      <c r="F91">
        <v>4</v>
      </c>
      <c r="G91" t="s">
        <v>105</v>
      </c>
      <c r="H91" t="s">
        <v>42</v>
      </c>
      <c r="I91" t="s">
        <v>42</v>
      </c>
      <c r="J91" t="s">
        <v>60</v>
      </c>
      <c r="K91" t="s">
        <v>3341</v>
      </c>
      <c r="L91" t="s">
        <v>44</v>
      </c>
      <c r="M91">
        <v>10</v>
      </c>
      <c r="N91" t="s">
        <v>6806</v>
      </c>
      <c r="O91" t="b">
        <v>1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1</v>
      </c>
      <c r="W91" t="b">
        <v>1</v>
      </c>
      <c r="X91" t="b">
        <v>1</v>
      </c>
      <c r="Y91" t="b">
        <v>1</v>
      </c>
      <c r="Z91" t="b">
        <v>1</v>
      </c>
      <c r="AA91" t="b">
        <v>1</v>
      </c>
      <c r="AB91" t="s">
        <v>432</v>
      </c>
      <c r="AC91" t="s">
        <v>7622</v>
      </c>
    </row>
    <row r="92" spans="1:29" x14ac:dyDescent="0.3">
      <c r="A92">
        <v>-73.977398919999999</v>
      </c>
      <c r="B92">
        <v>40.798102229999998</v>
      </c>
      <c r="C92" t="s">
        <v>796</v>
      </c>
      <c r="D92" t="s">
        <v>38</v>
      </c>
      <c r="E92" s="58">
        <v>43380</v>
      </c>
      <c r="F92">
        <v>3</v>
      </c>
      <c r="G92" t="s">
        <v>48</v>
      </c>
      <c r="H92" t="s">
        <v>53</v>
      </c>
      <c r="I92" t="s">
        <v>148</v>
      </c>
      <c r="J92" t="s">
        <v>619</v>
      </c>
      <c r="K92" t="s">
        <v>7178</v>
      </c>
      <c r="L92" t="s">
        <v>44</v>
      </c>
      <c r="M92">
        <v>4</v>
      </c>
      <c r="N92" t="s">
        <v>2071</v>
      </c>
      <c r="O92" t="b">
        <v>1</v>
      </c>
      <c r="P92" t="b">
        <v>0</v>
      </c>
      <c r="Q92" t="b">
        <v>0</v>
      </c>
      <c r="R92" t="b">
        <v>0</v>
      </c>
      <c r="S92" t="b">
        <v>0</v>
      </c>
      <c r="T92" t="b">
        <v>1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1</v>
      </c>
      <c r="AA92" t="b">
        <v>1</v>
      </c>
      <c r="AB92" t="s">
        <v>2748</v>
      </c>
      <c r="AC92" t="s">
        <v>7623</v>
      </c>
    </row>
    <row r="93" spans="1:29" x14ac:dyDescent="0.3">
      <c r="A93">
        <v>-73.958736439999996</v>
      </c>
      <c r="B93">
        <v>40.787783330000003</v>
      </c>
      <c r="C93" t="s">
        <v>314</v>
      </c>
      <c r="D93" t="s">
        <v>38</v>
      </c>
      <c r="E93" s="58">
        <v>43391</v>
      </c>
      <c r="F93">
        <v>26</v>
      </c>
      <c r="G93" t="s">
        <v>48</v>
      </c>
      <c r="H93" t="s">
        <v>42</v>
      </c>
      <c r="I93" t="s">
        <v>737</v>
      </c>
      <c r="J93" t="s">
        <v>2942</v>
      </c>
      <c r="K93" t="s">
        <v>6582</v>
      </c>
      <c r="L93" t="s">
        <v>44</v>
      </c>
      <c r="M93">
        <v>7</v>
      </c>
      <c r="N93" t="s">
        <v>5946</v>
      </c>
      <c r="O93" t="b">
        <v>1</v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0</v>
      </c>
      <c r="V93" t="b">
        <v>0</v>
      </c>
      <c r="W93" t="b">
        <v>1</v>
      </c>
      <c r="X93" t="b">
        <v>1</v>
      </c>
      <c r="Y93" t="b">
        <v>1</v>
      </c>
      <c r="Z93" t="b">
        <v>0</v>
      </c>
      <c r="AA93" t="b">
        <v>1</v>
      </c>
      <c r="AB93" t="s">
        <v>859</v>
      </c>
      <c r="AC93" t="s">
        <v>7624</v>
      </c>
    </row>
    <row r="94" spans="1:29" x14ac:dyDescent="0.3">
      <c r="A94">
        <v>-73.957241920000001</v>
      </c>
      <c r="B94">
        <v>40.786307770000001</v>
      </c>
      <c r="C94" t="s">
        <v>1221</v>
      </c>
      <c r="D94" t="s">
        <v>38</v>
      </c>
      <c r="E94" s="58">
        <v>43386</v>
      </c>
      <c r="F94">
        <v>16</v>
      </c>
      <c r="G94" t="s">
        <v>3842</v>
      </c>
      <c r="H94" t="s">
        <v>53</v>
      </c>
      <c r="I94" t="s">
        <v>96</v>
      </c>
      <c r="J94" t="s">
        <v>155</v>
      </c>
      <c r="K94" t="s">
        <v>981</v>
      </c>
      <c r="L94" t="s">
        <v>65</v>
      </c>
      <c r="M94" t="b">
        <v>0</v>
      </c>
      <c r="N94" t="s">
        <v>1689</v>
      </c>
      <c r="O94" t="b">
        <v>1</v>
      </c>
      <c r="P94" t="b">
        <v>1</v>
      </c>
      <c r="Q94" t="b">
        <v>1</v>
      </c>
      <c r="R94" t="b">
        <v>0</v>
      </c>
      <c r="S94" t="b">
        <v>1</v>
      </c>
      <c r="T94" t="b">
        <v>1</v>
      </c>
      <c r="U94" t="b">
        <v>0</v>
      </c>
      <c r="V94" t="b">
        <v>0</v>
      </c>
      <c r="W94" t="b">
        <v>0</v>
      </c>
      <c r="X94" t="b">
        <v>1</v>
      </c>
      <c r="Y94" t="b">
        <v>1</v>
      </c>
      <c r="Z94" t="b">
        <v>1</v>
      </c>
      <c r="AA94" t="b">
        <v>0</v>
      </c>
      <c r="AB94" t="s">
        <v>5887</v>
      </c>
      <c r="AC94" t="s">
        <v>7625</v>
      </c>
    </row>
    <row r="95" spans="1:29" x14ac:dyDescent="0.3">
      <c r="A95">
        <v>-73.963513809999995</v>
      </c>
      <c r="B95">
        <v>40.782961329999999</v>
      </c>
      <c r="C95" t="s">
        <v>736</v>
      </c>
      <c r="D95" t="s">
        <v>38</v>
      </c>
      <c r="E95" s="58">
        <v>43393</v>
      </c>
      <c r="F95">
        <v>12</v>
      </c>
      <c r="G95" t="s">
        <v>3842</v>
      </c>
      <c r="H95" t="s">
        <v>53</v>
      </c>
      <c r="I95" t="s">
        <v>115</v>
      </c>
      <c r="J95" t="s">
        <v>79</v>
      </c>
      <c r="K95" t="s">
        <v>64</v>
      </c>
      <c r="L95" t="s">
        <v>44</v>
      </c>
      <c r="M95">
        <v>15</v>
      </c>
      <c r="N95" t="s">
        <v>2902</v>
      </c>
      <c r="O95" t="b">
        <v>0</v>
      </c>
      <c r="P95" t="b">
        <v>1</v>
      </c>
      <c r="Q95" t="b">
        <v>1</v>
      </c>
      <c r="R95" t="b">
        <v>1</v>
      </c>
      <c r="S95" t="b">
        <v>1</v>
      </c>
      <c r="T95" t="b">
        <v>0</v>
      </c>
      <c r="U95" t="b">
        <v>1</v>
      </c>
      <c r="V95" t="b">
        <v>1</v>
      </c>
      <c r="W95" t="b">
        <v>1</v>
      </c>
      <c r="X95" t="b">
        <v>1</v>
      </c>
      <c r="Y95" t="b">
        <v>1</v>
      </c>
      <c r="Z95" t="b">
        <v>1</v>
      </c>
      <c r="AA95" t="b">
        <v>0</v>
      </c>
      <c r="AB95" t="s">
        <v>635</v>
      </c>
      <c r="AC95" t="s">
        <v>7626</v>
      </c>
    </row>
    <row r="96" spans="1:29" x14ac:dyDescent="0.3">
      <c r="A96">
        <v>-73.956921829999999</v>
      </c>
      <c r="B96">
        <v>40.773032059999998</v>
      </c>
      <c r="C96" t="s">
        <v>1366</v>
      </c>
      <c r="D96" t="s">
        <v>33</v>
      </c>
      <c r="E96" s="58">
        <v>43387</v>
      </c>
      <c r="F96">
        <v>8</v>
      </c>
      <c r="G96" t="s">
        <v>105</v>
      </c>
      <c r="H96" t="s">
        <v>176</v>
      </c>
      <c r="I96" t="s">
        <v>115</v>
      </c>
      <c r="J96" t="s">
        <v>97</v>
      </c>
      <c r="K96" t="s">
        <v>1666</v>
      </c>
      <c r="L96" t="s">
        <v>65</v>
      </c>
      <c r="M96" t="b">
        <v>0</v>
      </c>
      <c r="N96" t="s">
        <v>3697</v>
      </c>
      <c r="O96" t="b">
        <v>1</v>
      </c>
      <c r="P96" t="b">
        <v>0</v>
      </c>
      <c r="Q96" t="b">
        <v>1</v>
      </c>
      <c r="R96" t="b">
        <v>1</v>
      </c>
      <c r="S96" t="b">
        <v>1</v>
      </c>
      <c r="T96" t="b">
        <v>0</v>
      </c>
      <c r="U96" t="b">
        <v>1</v>
      </c>
      <c r="V96" t="b">
        <v>0</v>
      </c>
      <c r="W96" t="b">
        <v>0</v>
      </c>
      <c r="X96" t="b">
        <v>0</v>
      </c>
      <c r="Y96" t="b">
        <v>1</v>
      </c>
      <c r="Z96" t="b">
        <v>0</v>
      </c>
      <c r="AA96" t="b">
        <v>1</v>
      </c>
      <c r="AB96" t="s">
        <v>6963</v>
      </c>
      <c r="AC96" t="s">
        <v>7627</v>
      </c>
    </row>
    <row r="97" spans="1:29" x14ac:dyDescent="0.3">
      <c r="A97">
        <v>-73.965635219999996</v>
      </c>
      <c r="B97">
        <v>40.771125840000003</v>
      </c>
      <c r="C97" t="s">
        <v>1211</v>
      </c>
      <c r="D97" t="s">
        <v>38</v>
      </c>
      <c r="E97" s="58">
        <v>43382</v>
      </c>
      <c r="F97">
        <v>24</v>
      </c>
      <c r="G97" t="s">
        <v>3842</v>
      </c>
      <c r="H97" t="s">
        <v>176</v>
      </c>
      <c r="I97" t="s">
        <v>96</v>
      </c>
      <c r="J97" t="s">
        <v>1142</v>
      </c>
      <c r="K97" t="s">
        <v>3433</v>
      </c>
      <c r="L97" t="s">
        <v>65</v>
      </c>
      <c r="M97" t="b">
        <v>0</v>
      </c>
      <c r="N97" t="s">
        <v>4445</v>
      </c>
      <c r="O97" t="b">
        <v>0</v>
      </c>
      <c r="P97" t="b">
        <v>1</v>
      </c>
      <c r="Q97" t="b">
        <v>0</v>
      </c>
      <c r="R97" t="b">
        <v>0</v>
      </c>
      <c r="S97" t="b">
        <v>0</v>
      </c>
      <c r="T97" t="b">
        <v>1</v>
      </c>
      <c r="U97" t="b">
        <v>0</v>
      </c>
      <c r="V97" t="b">
        <v>1</v>
      </c>
      <c r="W97" t="b">
        <v>1</v>
      </c>
      <c r="X97" t="b">
        <v>1</v>
      </c>
      <c r="Y97" t="b">
        <v>0</v>
      </c>
      <c r="Z97" t="b">
        <v>0</v>
      </c>
      <c r="AA97" t="b">
        <v>1</v>
      </c>
      <c r="AB97" t="s">
        <v>2182</v>
      </c>
      <c r="AC97" t="s">
        <v>7628</v>
      </c>
    </row>
    <row r="98" spans="1:29" x14ac:dyDescent="0.3">
      <c r="A98">
        <v>-73.964725529999996</v>
      </c>
      <c r="B98">
        <v>40.772673509999997</v>
      </c>
      <c r="C98" t="s">
        <v>372</v>
      </c>
      <c r="D98" t="s">
        <v>38</v>
      </c>
      <c r="E98" s="58">
        <v>43386</v>
      </c>
      <c r="F98">
        <v>29</v>
      </c>
      <c r="G98" t="s">
        <v>48</v>
      </c>
      <c r="H98" t="s">
        <v>176</v>
      </c>
      <c r="I98" t="s">
        <v>96</v>
      </c>
      <c r="J98" t="s">
        <v>34</v>
      </c>
      <c r="K98" t="s">
        <v>5413</v>
      </c>
      <c r="L98" t="s">
        <v>44</v>
      </c>
      <c r="M98">
        <v>7</v>
      </c>
      <c r="N98" t="s">
        <v>4805</v>
      </c>
      <c r="O98" t="b">
        <v>0</v>
      </c>
      <c r="P98" t="b">
        <v>1</v>
      </c>
      <c r="Q98" t="b">
        <v>1</v>
      </c>
      <c r="R98" t="b">
        <v>0</v>
      </c>
      <c r="S98" t="b">
        <v>0</v>
      </c>
      <c r="T98" t="b">
        <v>1</v>
      </c>
      <c r="U98" t="b">
        <v>1</v>
      </c>
      <c r="V98" t="b">
        <v>0</v>
      </c>
      <c r="W98" t="b">
        <v>0</v>
      </c>
      <c r="X98" t="b">
        <v>1</v>
      </c>
      <c r="Y98" t="b">
        <v>1</v>
      </c>
      <c r="Z98" t="b">
        <v>0</v>
      </c>
      <c r="AA98" t="b">
        <v>0</v>
      </c>
      <c r="AB98" t="s">
        <v>3061</v>
      </c>
      <c r="AC98" t="s">
        <v>7629</v>
      </c>
    </row>
    <row r="99" spans="1:29" x14ac:dyDescent="0.3">
      <c r="A99">
        <v>-73.967718050000002</v>
      </c>
      <c r="B99">
        <v>40.771474759999997</v>
      </c>
      <c r="C99" t="s">
        <v>1221</v>
      </c>
      <c r="D99" t="s">
        <v>33</v>
      </c>
      <c r="E99" s="58">
        <v>43387</v>
      </c>
      <c r="F99">
        <v>29</v>
      </c>
      <c r="G99" t="s">
        <v>3842</v>
      </c>
      <c r="H99" t="s">
        <v>42</v>
      </c>
      <c r="I99" t="s">
        <v>96</v>
      </c>
      <c r="J99" t="s">
        <v>339</v>
      </c>
      <c r="K99" t="s">
        <v>6245</v>
      </c>
      <c r="L99" t="s">
        <v>65</v>
      </c>
      <c r="M99" t="b">
        <v>0</v>
      </c>
      <c r="N99" t="s">
        <v>4566</v>
      </c>
      <c r="O99" t="b">
        <v>0</v>
      </c>
      <c r="P99" t="b">
        <v>1</v>
      </c>
      <c r="Q99" t="b">
        <v>0</v>
      </c>
      <c r="R99" t="b">
        <v>1</v>
      </c>
      <c r="S99" t="b">
        <v>1</v>
      </c>
      <c r="T99" t="b">
        <v>0</v>
      </c>
      <c r="U99" t="b">
        <v>0</v>
      </c>
      <c r="V99" t="b">
        <v>1</v>
      </c>
      <c r="W99" t="b">
        <v>1</v>
      </c>
      <c r="X99" t="b">
        <v>1</v>
      </c>
      <c r="Y99" t="b">
        <v>0</v>
      </c>
      <c r="Z99" t="b">
        <v>1</v>
      </c>
      <c r="AA99" t="b">
        <v>0</v>
      </c>
      <c r="AB99" t="s">
        <v>4294</v>
      </c>
      <c r="AC99" t="s">
        <v>7630</v>
      </c>
    </row>
    <row r="100" spans="1:29" x14ac:dyDescent="0.3">
      <c r="A100">
        <v>-73.980359480000004</v>
      </c>
      <c r="B100">
        <v>40.792358159999999</v>
      </c>
      <c r="C100" t="s">
        <v>564</v>
      </c>
      <c r="D100" t="s">
        <v>33</v>
      </c>
      <c r="E100" s="58">
        <v>43388</v>
      </c>
      <c r="F100">
        <v>17</v>
      </c>
      <c r="G100" t="s">
        <v>48</v>
      </c>
      <c r="H100" t="s">
        <v>42</v>
      </c>
      <c r="I100" t="s">
        <v>96</v>
      </c>
      <c r="J100" t="s">
        <v>43</v>
      </c>
      <c r="K100" t="s">
        <v>1666</v>
      </c>
      <c r="L100" t="s">
        <v>65</v>
      </c>
      <c r="M100" t="b">
        <v>0</v>
      </c>
      <c r="N100" t="s">
        <v>1582</v>
      </c>
      <c r="O100" t="b">
        <v>1</v>
      </c>
      <c r="P100" t="b">
        <v>0</v>
      </c>
      <c r="Q100" t="b">
        <v>1</v>
      </c>
      <c r="R100" t="b">
        <v>1</v>
      </c>
      <c r="S100" t="b">
        <v>1</v>
      </c>
      <c r="T100" t="b">
        <v>0</v>
      </c>
      <c r="U100" t="b">
        <v>1</v>
      </c>
      <c r="V100" t="b">
        <v>0</v>
      </c>
      <c r="W100" t="b">
        <v>0</v>
      </c>
      <c r="X100" t="b">
        <v>0</v>
      </c>
      <c r="Y100" t="b">
        <v>1</v>
      </c>
      <c r="Z100" t="b">
        <v>1</v>
      </c>
      <c r="AA100" t="b">
        <v>1</v>
      </c>
      <c r="AB100" t="s">
        <v>5124</v>
      </c>
      <c r="AC100" t="s">
        <v>7631</v>
      </c>
    </row>
    <row r="101" spans="1:29" x14ac:dyDescent="0.3">
      <c r="A101">
        <v>-73.977766819999999</v>
      </c>
      <c r="B101">
        <v>40.777237829999997</v>
      </c>
      <c r="C101" t="s">
        <v>435</v>
      </c>
      <c r="D101" t="s">
        <v>38</v>
      </c>
      <c r="E101" s="58">
        <v>43388</v>
      </c>
      <c r="F101">
        <v>7</v>
      </c>
      <c r="G101" t="s">
        <v>105</v>
      </c>
      <c r="H101" t="s">
        <v>53</v>
      </c>
      <c r="I101" t="s">
        <v>96</v>
      </c>
      <c r="J101" t="s">
        <v>97</v>
      </c>
      <c r="K101" t="s">
        <v>4785</v>
      </c>
      <c r="L101" t="s">
        <v>65</v>
      </c>
      <c r="M101" t="b">
        <v>0</v>
      </c>
      <c r="N101" t="s">
        <v>321</v>
      </c>
      <c r="O101" t="b">
        <v>1</v>
      </c>
      <c r="P101" t="b">
        <v>0</v>
      </c>
      <c r="Q101" t="b">
        <v>1</v>
      </c>
      <c r="R101" t="b">
        <v>0</v>
      </c>
      <c r="S101" t="b">
        <v>1</v>
      </c>
      <c r="T101" t="b">
        <v>0</v>
      </c>
      <c r="U101" t="b">
        <v>1</v>
      </c>
      <c r="V101" t="b">
        <v>0</v>
      </c>
      <c r="W101" t="b">
        <v>1</v>
      </c>
      <c r="X101" t="b">
        <v>1</v>
      </c>
      <c r="Y101" t="b">
        <v>0</v>
      </c>
      <c r="Z101" t="b">
        <v>0</v>
      </c>
      <c r="AA101" t="b">
        <v>1</v>
      </c>
      <c r="AB101" t="s">
        <v>6579</v>
      </c>
      <c r="AC101" t="s">
        <v>7632</v>
      </c>
    </row>
    <row r="102" spans="1:29" x14ac:dyDescent="0.3">
      <c r="A102">
        <v>-73.980170549999997</v>
      </c>
      <c r="B102">
        <v>40.766947180000003</v>
      </c>
      <c r="C102" t="s">
        <v>1874</v>
      </c>
      <c r="D102" t="s">
        <v>38</v>
      </c>
      <c r="E102" s="58">
        <v>43383</v>
      </c>
      <c r="F102">
        <v>11</v>
      </c>
      <c r="G102" t="s">
        <v>105</v>
      </c>
      <c r="H102" t="s">
        <v>53</v>
      </c>
      <c r="I102" t="s">
        <v>115</v>
      </c>
      <c r="J102" t="s">
        <v>177</v>
      </c>
      <c r="K102" t="s">
        <v>1696</v>
      </c>
      <c r="L102" t="s">
        <v>44</v>
      </c>
      <c r="M102">
        <v>30</v>
      </c>
      <c r="N102" t="s">
        <v>6778</v>
      </c>
      <c r="O102" t="b">
        <v>0</v>
      </c>
      <c r="P102" t="b">
        <v>0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b">
        <v>0</v>
      </c>
      <c r="W102" t="b">
        <v>0</v>
      </c>
      <c r="X102" t="b">
        <v>0</v>
      </c>
      <c r="Y102" t="b">
        <v>1</v>
      </c>
      <c r="Z102" t="b">
        <v>1</v>
      </c>
      <c r="AA102" t="b">
        <v>0</v>
      </c>
      <c r="AB102" t="s">
        <v>974</v>
      </c>
      <c r="AC102" t="s">
        <v>7633</v>
      </c>
    </row>
    <row r="103" spans="1:29" x14ac:dyDescent="0.3">
      <c r="A103">
        <v>-73.961151869999995</v>
      </c>
      <c r="B103">
        <v>40.799030690000002</v>
      </c>
      <c r="C103" t="s">
        <v>899</v>
      </c>
      <c r="D103" t="s">
        <v>33</v>
      </c>
      <c r="E103" s="58">
        <v>43391</v>
      </c>
      <c r="F103">
        <v>18</v>
      </c>
      <c r="G103" t="s">
        <v>48</v>
      </c>
      <c r="H103" t="s">
        <v>53</v>
      </c>
      <c r="I103" t="s">
        <v>59</v>
      </c>
      <c r="J103" t="s">
        <v>619</v>
      </c>
      <c r="K103" t="s">
        <v>3453</v>
      </c>
      <c r="L103" t="s">
        <v>65</v>
      </c>
      <c r="M103" t="b">
        <v>0</v>
      </c>
      <c r="N103" t="s">
        <v>6167</v>
      </c>
      <c r="O103" t="b">
        <v>0</v>
      </c>
      <c r="P103" t="b">
        <v>1</v>
      </c>
      <c r="Q103" t="b">
        <v>0</v>
      </c>
      <c r="R103" t="b">
        <v>1</v>
      </c>
      <c r="S103" t="b">
        <v>1</v>
      </c>
      <c r="T103" t="b">
        <v>0</v>
      </c>
      <c r="U103" t="b">
        <v>1</v>
      </c>
      <c r="V103" t="b">
        <v>1</v>
      </c>
      <c r="W103" t="b">
        <v>1</v>
      </c>
      <c r="X103" t="b">
        <v>0</v>
      </c>
      <c r="Y103" t="b">
        <v>1</v>
      </c>
      <c r="Z103" t="b">
        <v>1</v>
      </c>
      <c r="AA103" t="b">
        <v>1</v>
      </c>
      <c r="AB103" t="s">
        <v>2407</v>
      </c>
      <c r="AC103" t="s">
        <v>7634</v>
      </c>
    </row>
    <row r="104" spans="1:29" x14ac:dyDescent="0.3">
      <c r="A104">
        <v>-73.971276230000001</v>
      </c>
      <c r="B104">
        <v>40.796026869999999</v>
      </c>
      <c r="C104" t="s">
        <v>271</v>
      </c>
      <c r="D104" t="s">
        <v>38</v>
      </c>
      <c r="E104" s="58">
        <v>43392</v>
      </c>
      <c r="F104">
        <v>1</v>
      </c>
      <c r="G104" t="s">
        <v>3842</v>
      </c>
      <c r="H104" t="s">
        <v>53</v>
      </c>
      <c r="I104" t="s">
        <v>59</v>
      </c>
      <c r="J104" t="s">
        <v>43</v>
      </c>
      <c r="K104" t="s">
        <v>6633</v>
      </c>
      <c r="L104" t="s">
        <v>44</v>
      </c>
      <c r="M104">
        <v>2</v>
      </c>
      <c r="N104" t="s">
        <v>328</v>
      </c>
      <c r="O104" t="b">
        <v>0</v>
      </c>
      <c r="P104" t="b">
        <v>1</v>
      </c>
      <c r="Q104" t="b">
        <v>1</v>
      </c>
      <c r="R104" t="b">
        <v>0</v>
      </c>
      <c r="S104" t="b">
        <v>0</v>
      </c>
      <c r="T104" t="b">
        <v>0</v>
      </c>
      <c r="U104" t="b">
        <v>1</v>
      </c>
      <c r="V104" t="b">
        <v>1</v>
      </c>
      <c r="W104" t="b">
        <v>0</v>
      </c>
      <c r="X104" t="b">
        <v>1</v>
      </c>
      <c r="Y104" t="b">
        <v>0</v>
      </c>
      <c r="Z104" t="b">
        <v>0</v>
      </c>
      <c r="AA104" t="b">
        <v>1</v>
      </c>
      <c r="AB104" t="s">
        <v>3434</v>
      </c>
      <c r="AC104" t="s">
        <v>7635</v>
      </c>
    </row>
    <row r="105" spans="1:29" x14ac:dyDescent="0.3">
      <c r="A105">
        <v>-73.965170740000005</v>
      </c>
      <c r="B105">
        <v>40.797574830000002</v>
      </c>
      <c r="C105" t="s">
        <v>2077</v>
      </c>
      <c r="D105" t="s">
        <v>38</v>
      </c>
      <c r="E105" s="58">
        <v>43385</v>
      </c>
      <c r="F105">
        <v>3</v>
      </c>
      <c r="G105" t="s">
        <v>105</v>
      </c>
      <c r="H105" t="s">
        <v>42</v>
      </c>
      <c r="I105" t="s">
        <v>1921</v>
      </c>
      <c r="J105" t="s">
        <v>97</v>
      </c>
      <c r="K105" t="s">
        <v>242</v>
      </c>
      <c r="L105" t="s">
        <v>65</v>
      </c>
      <c r="M105" t="b">
        <v>0</v>
      </c>
      <c r="N105" t="s">
        <v>1702</v>
      </c>
      <c r="O105" t="b">
        <v>0</v>
      </c>
      <c r="P105" t="b">
        <v>1</v>
      </c>
      <c r="Q105" t="b">
        <v>0</v>
      </c>
      <c r="R105" t="b">
        <v>1</v>
      </c>
      <c r="S105" t="b">
        <v>0</v>
      </c>
      <c r="T105" t="b">
        <v>1</v>
      </c>
      <c r="U105" t="b">
        <v>0</v>
      </c>
      <c r="V105" t="b">
        <v>0</v>
      </c>
      <c r="W105" t="b">
        <v>1</v>
      </c>
      <c r="X105" t="b">
        <v>0</v>
      </c>
      <c r="Y105" t="b">
        <v>1</v>
      </c>
      <c r="Z105" t="b">
        <v>0</v>
      </c>
      <c r="AA105" t="b">
        <v>0</v>
      </c>
      <c r="AB105" t="s">
        <v>6185</v>
      </c>
      <c r="AC105" t="s">
        <v>7636</v>
      </c>
    </row>
    <row r="106" spans="1:29" x14ac:dyDescent="0.3">
      <c r="A106">
        <v>-73.952627579999998</v>
      </c>
      <c r="B106">
        <v>40.79993923</v>
      </c>
      <c r="C106" t="s">
        <v>136</v>
      </c>
      <c r="D106" t="s">
        <v>38</v>
      </c>
      <c r="E106" s="58">
        <v>43388</v>
      </c>
      <c r="F106">
        <v>4</v>
      </c>
      <c r="G106" t="s">
        <v>105</v>
      </c>
      <c r="H106" t="s">
        <v>53</v>
      </c>
      <c r="I106" t="s">
        <v>59</v>
      </c>
      <c r="J106" t="s">
        <v>738</v>
      </c>
      <c r="K106" t="s">
        <v>49</v>
      </c>
      <c r="L106" t="s">
        <v>65</v>
      </c>
      <c r="M106" t="b">
        <v>0</v>
      </c>
      <c r="N106" t="s">
        <v>3687</v>
      </c>
      <c r="O106" t="b">
        <v>1</v>
      </c>
      <c r="P106" t="b">
        <v>0</v>
      </c>
      <c r="Q106" t="b">
        <v>0</v>
      </c>
      <c r="R106" t="b">
        <v>1</v>
      </c>
      <c r="S106" t="b">
        <v>1</v>
      </c>
      <c r="T106" t="b">
        <v>1</v>
      </c>
      <c r="U106" t="b">
        <v>1</v>
      </c>
      <c r="V106" t="b">
        <v>1</v>
      </c>
      <c r="W106" t="b">
        <v>0</v>
      </c>
      <c r="X106" t="b">
        <v>0</v>
      </c>
      <c r="Y106" t="b">
        <v>1</v>
      </c>
      <c r="Z106" t="b">
        <v>1</v>
      </c>
      <c r="AA106" t="b">
        <v>1</v>
      </c>
      <c r="AB106" t="s">
        <v>3672</v>
      </c>
      <c r="AC106" t="s">
        <v>7637</v>
      </c>
    </row>
    <row r="107" spans="1:29" x14ac:dyDescent="0.3">
      <c r="A107">
        <v>-73.973321630000001</v>
      </c>
      <c r="B107">
        <v>40.771033150000001</v>
      </c>
      <c r="C107" t="s">
        <v>304</v>
      </c>
      <c r="D107" t="s">
        <v>38</v>
      </c>
      <c r="E107" s="58">
        <v>43382</v>
      </c>
      <c r="F107">
        <v>13</v>
      </c>
      <c r="G107" t="s">
        <v>3842</v>
      </c>
      <c r="H107" t="s">
        <v>53</v>
      </c>
      <c r="I107" t="s">
        <v>148</v>
      </c>
      <c r="J107" t="s">
        <v>177</v>
      </c>
      <c r="K107" t="s">
        <v>2973</v>
      </c>
      <c r="L107" t="s">
        <v>65</v>
      </c>
      <c r="M107" t="b">
        <v>0</v>
      </c>
      <c r="N107" t="s">
        <v>2003</v>
      </c>
      <c r="O107" t="b">
        <v>0</v>
      </c>
      <c r="P107" t="b">
        <v>1</v>
      </c>
      <c r="Q107" t="b">
        <v>0</v>
      </c>
      <c r="R107" t="b">
        <v>1</v>
      </c>
      <c r="S107" t="b">
        <v>1</v>
      </c>
      <c r="T107" t="b">
        <v>1</v>
      </c>
      <c r="U107" t="b">
        <v>1</v>
      </c>
      <c r="V107" t="b">
        <v>1</v>
      </c>
      <c r="W107" t="b">
        <v>0</v>
      </c>
      <c r="X107" t="b">
        <v>1</v>
      </c>
      <c r="Y107" t="b">
        <v>1</v>
      </c>
      <c r="Z107" t="b">
        <v>0</v>
      </c>
      <c r="AA107" t="b">
        <v>0</v>
      </c>
      <c r="AB107" t="s">
        <v>4147</v>
      </c>
      <c r="AC107" t="s">
        <v>7638</v>
      </c>
    </row>
    <row r="108" spans="1:29" x14ac:dyDescent="0.3">
      <c r="A108">
        <v>-73.968257449999996</v>
      </c>
      <c r="B108">
        <v>40.778861499999998</v>
      </c>
      <c r="C108" t="s">
        <v>1544</v>
      </c>
      <c r="D108" t="s">
        <v>33</v>
      </c>
      <c r="E108" s="58">
        <v>43379</v>
      </c>
      <c r="F108">
        <v>6</v>
      </c>
      <c r="G108" t="s">
        <v>3842</v>
      </c>
      <c r="H108" t="s">
        <v>176</v>
      </c>
      <c r="I108" t="s">
        <v>59</v>
      </c>
      <c r="J108" t="s">
        <v>43</v>
      </c>
      <c r="K108" t="s">
        <v>5976</v>
      </c>
      <c r="L108" t="s">
        <v>65</v>
      </c>
      <c r="M108" t="b">
        <v>0</v>
      </c>
      <c r="N108" t="s">
        <v>6524</v>
      </c>
      <c r="O108" t="b">
        <v>1</v>
      </c>
      <c r="P108" t="b">
        <v>0</v>
      </c>
      <c r="Q108" t="b">
        <v>1</v>
      </c>
      <c r="R108" t="b">
        <v>1</v>
      </c>
      <c r="S108" t="b">
        <v>0</v>
      </c>
      <c r="T108" t="b">
        <v>0</v>
      </c>
      <c r="U108" t="b">
        <v>1</v>
      </c>
      <c r="V108" t="b">
        <v>1</v>
      </c>
      <c r="W108" t="b">
        <v>0</v>
      </c>
      <c r="X108" t="b">
        <v>1</v>
      </c>
      <c r="Y108" t="b">
        <v>1</v>
      </c>
      <c r="Z108" t="b">
        <v>0</v>
      </c>
      <c r="AA108" t="b">
        <v>1</v>
      </c>
      <c r="AB108" t="s">
        <v>2884</v>
      </c>
      <c r="AC108" t="s">
        <v>7639</v>
      </c>
    </row>
    <row r="109" spans="1:29" x14ac:dyDescent="0.3">
      <c r="A109">
        <v>-73.957406460000001</v>
      </c>
      <c r="B109">
        <v>40.791606610000002</v>
      </c>
      <c r="C109" t="s">
        <v>1626</v>
      </c>
      <c r="D109" t="s">
        <v>33</v>
      </c>
      <c r="E109" s="58">
        <v>43381</v>
      </c>
      <c r="F109">
        <v>26</v>
      </c>
      <c r="G109" t="s">
        <v>48</v>
      </c>
      <c r="H109" t="s">
        <v>53</v>
      </c>
      <c r="I109" t="s">
        <v>115</v>
      </c>
      <c r="J109" t="s">
        <v>97</v>
      </c>
      <c r="K109" t="s">
        <v>4020</v>
      </c>
      <c r="L109" t="s">
        <v>44</v>
      </c>
      <c r="M109">
        <v>7</v>
      </c>
      <c r="N109" t="s">
        <v>3898</v>
      </c>
      <c r="O109" t="b">
        <v>1</v>
      </c>
      <c r="P109" t="b">
        <v>0</v>
      </c>
      <c r="Q109" t="b">
        <v>0</v>
      </c>
      <c r="R109" t="b">
        <v>1</v>
      </c>
      <c r="S109" t="b">
        <v>0</v>
      </c>
      <c r="T109" t="b">
        <v>1</v>
      </c>
      <c r="U109" t="b">
        <v>1</v>
      </c>
      <c r="V109" t="b">
        <v>0</v>
      </c>
      <c r="W109" t="b">
        <v>0</v>
      </c>
      <c r="X109" t="b">
        <v>1</v>
      </c>
      <c r="Y109" t="b">
        <v>0</v>
      </c>
      <c r="Z109" t="b">
        <v>1</v>
      </c>
      <c r="AA109" t="b">
        <v>0</v>
      </c>
      <c r="AB109" t="s">
        <v>2392</v>
      </c>
      <c r="AC109" t="s">
        <v>7640</v>
      </c>
    </row>
    <row r="110" spans="1:29" x14ac:dyDescent="0.3">
      <c r="A110">
        <v>-73.973965899999996</v>
      </c>
      <c r="B110">
        <v>40.789416060000001</v>
      </c>
      <c r="C110" t="s">
        <v>212</v>
      </c>
      <c r="D110" t="s">
        <v>33</v>
      </c>
      <c r="E110" s="58">
        <v>43383</v>
      </c>
      <c r="F110">
        <v>14</v>
      </c>
      <c r="G110" t="s">
        <v>3842</v>
      </c>
      <c r="H110" t="s">
        <v>53</v>
      </c>
      <c r="I110" t="s">
        <v>96</v>
      </c>
      <c r="J110" t="s">
        <v>60</v>
      </c>
      <c r="K110" t="s">
        <v>3351</v>
      </c>
      <c r="L110" t="s">
        <v>65</v>
      </c>
      <c r="M110" t="b">
        <v>0</v>
      </c>
      <c r="N110" t="s">
        <v>1363</v>
      </c>
      <c r="O110" t="b">
        <v>1</v>
      </c>
      <c r="P110" t="b">
        <v>0</v>
      </c>
      <c r="Q110" t="b">
        <v>0</v>
      </c>
      <c r="R110" t="b">
        <v>1</v>
      </c>
      <c r="S110" t="b">
        <v>0</v>
      </c>
      <c r="T110" t="b">
        <v>1</v>
      </c>
      <c r="U110" t="b">
        <v>1</v>
      </c>
      <c r="V110" t="b">
        <v>0</v>
      </c>
      <c r="W110" t="b">
        <v>0</v>
      </c>
      <c r="X110" t="b">
        <v>1</v>
      </c>
      <c r="Y110" t="b">
        <v>1</v>
      </c>
      <c r="Z110" t="b">
        <v>1</v>
      </c>
      <c r="AA110" t="b">
        <v>1</v>
      </c>
      <c r="AB110" t="s">
        <v>1284</v>
      </c>
      <c r="AC110" t="s">
        <v>7641</v>
      </c>
    </row>
    <row r="111" spans="1:29" x14ac:dyDescent="0.3">
      <c r="A111">
        <v>-73.978738579999998</v>
      </c>
      <c r="B111">
        <v>40.770329009999998</v>
      </c>
      <c r="C111" t="s">
        <v>462</v>
      </c>
      <c r="D111" t="s">
        <v>38</v>
      </c>
      <c r="E111" s="58">
        <v>43381</v>
      </c>
      <c r="F111">
        <v>5</v>
      </c>
      <c r="G111" t="s">
        <v>3842</v>
      </c>
      <c r="H111" t="s">
        <v>53</v>
      </c>
      <c r="I111" t="s">
        <v>176</v>
      </c>
      <c r="J111" t="s">
        <v>177</v>
      </c>
      <c r="K111" t="s">
        <v>4243</v>
      </c>
      <c r="L111" t="s">
        <v>65</v>
      </c>
      <c r="M111" t="b">
        <v>0</v>
      </c>
      <c r="N111" t="s">
        <v>2833</v>
      </c>
      <c r="O111" t="b">
        <v>1</v>
      </c>
      <c r="P111" t="b">
        <v>0</v>
      </c>
      <c r="Q111" t="b">
        <v>1</v>
      </c>
      <c r="R111" t="b">
        <v>0</v>
      </c>
      <c r="S111" t="b">
        <v>1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1</v>
      </c>
      <c r="AA111" t="b">
        <v>1</v>
      </c>
      <c r="AB111" t="s">
        <v>1264</v>
      </c>
      <c r="AC111" t="s">
        <v>7642</v>
      </c>
    </row>
    <row r="112" spans="1:29" x14ac:dyDescent="0.3">
      <c r="A112">
        <v>-73.972049720000001</v>
      </c>
      <c r="B112">
        <v>40.793634400000002</v>
      </c>
      <c r="C112" t="s">
        <v>204</v>
      </c>
      <c r="D112" t="s">
        <v>38</v>
      </c>
      <c r="E112" s="58">
        <v>43390</v>
      </c>
      <c r="F112">
        <v>16</v>
      </c>
      <c r="G112" t="s">
        <v>3842</v>
      </c>
      <c r="H112" t="s">
        <v>42</v>
      </c>
      <c r="I112" t="s">
        <v>176</v>
      </c>
      <c r="J112" t="s">
        <v>43</v>
      </c>
      <c r="K112" t="s">
        <v>3208</v>
      </c>
      <c r="L112" t="s">
        <v>44</v>
      </c>
      <c r="M112">
        <v>30</v>
      </c>
      <c r="N112" t="s">
        <v>6521</v>
      </c>
      <c r="O112" t="b">
        <v>0</v>
      </c>
      <c r="P112" t="b">
        <v>1</v>
      </c>
      <c r="Q112" t="b">
        <v>1</v>
      </c>
      <c r="R112" t="b">
        <v>1</v>
      </c>
      <c r="S112" t="b">
        <v>0</v>
      </c>
      <c r="T112" t="b">
        <v>0</v>
      </c>
      <c r="U112" t="b">
        <v>1</v>
      </c>
      <c r="V112" t="b">
        <v>1</v>
      </c>
      <c r="W112" t="b">
        <v>0</v>
      </c>
      <c r="X112" t="b">
        <v>0</v>
      </c>
      <c r="Y112" t="b">
        <v>1</v>
      </c>
      <c r="Z112" t="b">
        <v>1</v>
      </c>
      <c r="AA112" t="b">
        <v>1</v>
      </c>
      <c r="AB112" t="s">
        <v>3274</v>
      </c>
      <c r="AC112" t="s">
        <v>7643</v>
      </c>
    </row>
    <row r="113" spans="1:29" x14ac:dyDescent="0.3">
      <c r="A113">
        <v>-73.976090299999996</v>
      </c>
      <c r="B113">
        <v>40.772812739999999</v>
      </c>
      <c r="C113" t="s">
        <v>1320</v>
      </c>
      <c r="D113" t="s">
        <v>38</v>
      </c>
      <c r="E113" s="58">
        <v>43391</v>
      </c>
      <c r="F113">
        <v>15</v>
      </c>
      <c r="G113" t="s">
        <v>48</v>
      </c>
      <c r="H113" t="s">
        <v>176</v>
      </c>
      <c r="I113" t="s">
        <v>148</v>
      </c>
      <c r="J113" t="s">
        <v>1142</v>
      </c>
      <c r="K113" t="s">
        <v>6109</v>
      </c>
      <c r="L113" t="s">
        <v>44</v>
      </c>
      <c r="M113">
        <v>40</v>
      </c>
      <c r="N113" t="s">
        <v>2304</v>
      </c>
      <c r="O113" t="b">
        <v>1</v>
      </c>
      <c r="P113" t="b">
        <v>1</v>
      </c>
      <c r="Q113" t="b">
        <v>0</v>
      </c>
      <c r="R113" t="b">
        <v>0</v>
      </c>
      <c r="S113" t="b">
        <v>1</v>
      </c>
      <c r="T113" t="b">
        <v>1</v>
      </c>
      <c r="U113" t="b">
        <v>0</v>
      </c>
      <c r="V113" t="b">
        <v>0</v>
      </c>
      <c r="W113" t="b">
        <v>0</v>
      </c>
      <c r="X113" t="b">
        <v>1</v>
      </c>
      <c r="Y113" t="b">
        <v>1</v>
      </c>
      <c r="Z113" t="b">
        <v>1</v>
      </c>
      <c r="AA113" t="b">
        <v>0</v>
      </c>
      <c r="AB113" t="s">
        <v>947</v>
      </c>
      <c r="AC113" t="s">
        <v>7644</v>
      </c>
    </row>
    <row r="114" spans="1:29" x14ac:dyDescent="0.3">
      <c r="A114">
        <v>-73.951931849999994</v>
      </c>
      <c r="B114">
        <v>40.772790800000003</v>
      </c>
      <c r="C114" t="s">
        <v>1718</v>
      </c>
      <c r="D114" t="s">
        <v>38</v>
      </c>
      <c r="E114" s="58">
        <v>43389</v>
      </c>
      <c r="F114">
        <v>15</v>
      </c>
      <c r="G114" t="s">
        <v>48</v>
      </c>
      <c r="H114" t="s">
        <v>53</v>
      </c>
      <c r="I114" t="s">
        <v>5105</v>
      </c>
      <c r="J114" t="s">
        <v>97</v>
      </c>
      <c r="K114" t="s">
        <v>1472</v>
      </c>
      <c r="L114" t="s">
        <v>44</v>
      </c>
      <c r="M114">
        <v>4</v>
      </c>
      <c r="N114" t="s">
        <v>6524</v>
      </c>
      <c r="O114" t="b">
        <v>0</v>
      </c>
      <c r="P114" t="b">
        <v>0</v>
      </c>
      <c r="Q114" t="b">
        <v>0</v>
      </c>
      <c r="R114" t="b">
        <v>0</v>
      </c>
      <c r="S114" t="b">
        <v>1</v>
      </c>
      <c r="T114" t="b">
        <v>0</v>
      </c>
      <c r="U114" t="b">
        <v>1</v>
      </c>
      <c r="V114" t="b">
        <v>1</v>
      </c>
      <c r="W114" t="b">
        <v>1</v>
      </c>
      <c r="X114" t="b">
        <v>1</v>
      </c>
      <c r="Y114" t="b">
        <v>1</v>
      </c>
      <c r="Z114" t="b">
        <v>1</v>
      </c>
      <c r="AA114" t="b">
        <v>1</v>
      </c>
      <c r="AB114" t="s">
        <v>2870</v>
      </c>
      <c r="AC114" t="s">
        <v>7645</v>
      </c>
    </row>
    <row r="115" spans="1:29" x14ac:dyDescent="0.3">
      <c r="A115">
        <v>-73.955753849999994</v>
      </c>
      <c r="B115">
        <v>40.783816379999998</v>
      </c>
      <c r="C115" t="s">
        <v>893</v>
      </c>
      <c r="D115" t="s">
        <v>38</v>
      </c>
      <c r="E115" s="58">
        <v>43385</v>
      </c>
      <c r="F115">
        <v>30</v>
      </c>
      <c r="G115" t="s">
        <v>105</v>
      </c>
      <c r="H115" t="s">
        <v>53</v>
      </c>
      <c r="I115" t="s">
        <v>115</v>
      </c>
      <c r="J115" t="s">
        <v>619</v>
      </c>
      <c r="K115" t="s">
        <v>700</v>
      </c>
      <c r="L115" t="s">
        <v>65</v>
      </c>
      <c r="M115" t="b">
        <v>0</v>
      </c>
      <c r="N115" t="s">
        <v>3542</v>
      </c>
      <c r="O115" t="b">
        <v>1</v>
      </c>
      <c r="P115" t="b">
        <v>1</v>
      </c>
      <c r="Q115" t="b">
        <v>1</v>
      </c>
      <c r="R115" t="b">
        <v>0</v>
      </c>
      <c r="S115" t="b">
        <v>0</v>
      </c>
      <c r="T115" t="b">
        <v>1</v>
      </c>
      <c r="U115" t="b">
        <v>1</v>
      </c>
      <c r="V115" t="b">
        <v>1</v>
      </c>
      <c r="W115" t="b">
        <v>1</v>
      </c>
      <c r="X115" t="b">
        <v>1</v>
      </c>
      <c r="Y115" t="b">
        <v>1</v>
      </c>
      <c r="Z115" t="b">
        <v>0</v>
      </c>
      <c r="AA115" t="b">
        <v>1</v>
      </c>
      <c r="AB115" t="s">
        <v>4641</v>
      </c>
      <c r="AC115" t="s">
        <v>7646</v>
      </c>
    </row>
    <row r="116" spans="1:29" x14ac:dyDescent="0.3">
      <c r="A116">
        <v>-73.961246389999999</v>
      </c>
      <c r="B116">
        <v>40.785786809999998</v>
      </c>
      <c r="C116" t="s">
        <v>2011</v>
      </c>
      <c r="D116" t="s">
        <v>33</v>
      </c>
      <c r="E116" s="58">
        <v>43390</v>
      </c>
      <c r="F116">
        <v>4</v>
      </c>
      <c r="G116" t="s">
        <v>48</v>
      </c>
      <c r="H116" t="s">
        <v>176</v>
      </c>
      <c r="I116" t="s">
        <v>53</v>
      </c>
      <c r="J116" t="s">
        <v>79</v>
      </c>
      <c r="K116" t="s">
        <v>3859</v>
      </c>
      <c r="L116" t="s">
        <v>44</v>
      </c>
      <c r="M116">
        <v>20</v>
      </c>
      <c r="N116" t="s">
        <v>3931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0</v>
      </c>
      <c r="Z116" t="b">
        <v>0</v>
      </c>
      <c r="AA116" t="b">
        <v>0</v>
      </c>
      <c r="AB116" t="s">
        <v>4979</v>
      </c>
      <c r="AC116" t="s">
        <v>7647</v>
      </c>
    </row>
    <row r="117" spans="1:29" x14ac:dyDescent="0.3">
      <c r="A117">
        <v>-73.953762639999994</v>
      </c>
      <c r="B117">
        <v>40.785334259999999</v>
      </c>
      <c r="C117" t="s">
        <v>423</v>
      </c>
      <c r="D117" t="s">
        <v>38</v>
      </c>
      <c r="E117" s="58">
        <v>43387</v>
      </c>
      <c r="F117">
        <v>8</v>
      </c>
      <c r="G117" t="s">
        <v>105</v>
      </c>
      <c r="H117" t="s">
        <v>53</v>
      </c>
      <c r="I117" t="s">
        <v>42</v>
      </c>
      <c r="J117" t="s">
        <v>1233</v>
      </c>
      <c r="K117" t="s">
        <v>7049</v>
      </c>
      <c r="L117" t="s">
        <v>44</v>
      </c>
      <c r="M117">
        <v>4</v>
      </c>
      <c r="N117" t="s">
        <v>1248</v>
      </c>
      <c r="O117" t="b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b">
        <v>0</v>
      </c>
      <c r="W117" t="b">
        <v>0</v>
      </c>
      <c r="X117" t="b">
        <v>1</v>
      </c>
      <c r="Y117" t="b">
        <v>1</v>
      </c>
      <c r="Z117" t="b">
        <v>0</v>
      </c>
      <c r="AA117" t="b">
        <v>1</v>
      </c>
      <c r="AB117" t="s">
        <v>1284</v>
      </c>
      <c r="AC117" t="s">
        <v>7648</v>
      </c>
    </row>
    <row r="118" spans="1:29" x14ac:dyDescent="0.3">
      <c r="A118">
        <v>-73.955893689999996</v>
      </c>
      <c r="B118">
        <v>40.76813172</v>
      </c>
      <c r="C118" t="s">
        <v>957</v>
      </c>
      <c r="D118" t="s">
        <v>38</v>
      </c>
      <c r="E118" s="58">
        <v>43393</v>
      </c>
      <c r="F118">
        <v>27</v>
      </c>
      <c r="G118" t="s">
        <v>3842</v>
      </c>
      <c r="H118" t="s">
        <v>42</v>
      </c>
      <c r="I118" t="s">
        <v>1921</v>
      </c>
      <c r="J118" t="s">
        <v>3580</v>
      </c>
      <c r="K118" t="s">
        <v>6582</v>
      </c>
      <c r="L118" t="s">
        <v>44</v>
      </c>
      <c r="M118">
        <v>4</v>
      </c>
      <c r="N118" t="s">
        <v>1730</v>
      </c>
      <c r="O118" t="b">
        <v>0</v>
      </c>
      <c r="P118" t="b">
        <v>1</v>
      </c>
      <c r="Q118" t="b">
        <v>0</v>
      </c>
      <c r="R118" t="b">
        <v>0</v>
      </c>
      <c r="S118" t="b">
        <v>1</v>
      </c>
      <c r="T118" t="b">
        <v>1</v>
      </c>
      <c r="U118" t="b">
        <v>1</v>
      </c>
      <c r="V118" t="b">
        <v>0</v>
      </c>
      <c r="W118" t="b">
        <v>0</v>
      </c>
      <c r="X118" t="b">
        <v>0</v>
      </c>
      <c r="Y118" t="b">
        <v>1</v>
      </c>
      <c r="Z118" t="b">
        <v>1</v>
      </c>
      <c r="AA118" t="b">
        <v>0</v>
      </c>
      <c r="AB118" t="s">
        <v>1182</v>
      </c>
      <c r="AC118" t="s">
        <v>7649</v>
      </c>
    </row>
    <row r="119" spans="1:29" x14ac:dyDescent="0.3">
      <c r="A119">
        <v>-73.975293410000006</v>
      </c>
      <c r="B119">
        <v>40.795804179999998</v>
      </c>
      <c r="C119" t="s">
        <v>1093</v>
      </c>
      <c r="D119" t="s">
        <v>33</v>
      </c>
      <c r="E119" s="58">
        <v>43390</v>
      </c>
      <c r="F119">
        <v>16</v>
      </c>
      <c r="G119" t="s">
        <v>105</v>
      </c>
      <c r="H119" t="s">
        <v>53</v>
      </c>
      <c r="I119" t="s">
        <v>53</v>
      </c>
      <c r="J119" t="s">
        <v>339</v>
      </c>
      <c r="K119" t="s">
        <v>3208</v>
      </c>
      <c r="L119" t="s">
        <v>44</v>
      </c>
      <c r="M119">
        <v>15</v>
      </c>
      <c r="N119" t="s">
        <v>1337</v>
      </c>
      <c r="O119" t="b">
        <v>0</v>
      </c>
      <c r="P119" t="b">
        <v>0</v>
      </c>
      <c r="Q119" t="b">
        <v>1</v>
      </c>
      <c r="R119" t="b">
        <v>0</v>
      </c>
      <c r="S119" t="b">
        <v>0</v>
      </c>
      <c r="T119" t="b">
        <v>1</v>
      </c>
      <c r="U119" t="b">
        <v>0</v>
      </c>
      <c r="V119" t="b">
        <v>1</v>
      </c>
      <c r="W119" t="b">
        <v>1</v>
      </c>
      <c r="X119" t="b">
        <v>0</v>
      </c>
      <c r="Y119" t="b">
        <v>1</v>
      </c>
      <c r="Z119" t="b">
        <v>1</v>
      </c>
      <c r="AA119" t="b">
        <v>0</v>
      </c>
      <c r="AB119" t="s">
        <v>4727</v>
      </c>
      <c r="AC119" t="s">
        <v>7650</v>
      </c>
    </row>
    <row r="120" spans="1:29" x14ac:dyDescent="0.3">
      <c r="A120">
        <v>-73.953099370000004</v>
      </c>
      <c r="B120">
        <v>40.774261869999997</v>
      </c>
      <c r="C120" t="s">
        <v>2798</v>
      </c>
      <c r="D120" t="s">
        <v>38</v>
      </c>
      <c r="E120" s="58">
        <v>43384</v>
      </c>
      <c r="F120">
        <v>28</v>
      </c>
      <c r="G120" t="s">
        <v>105</v>
      </c>
      <c r="H120" t="s">
        <v>42</v>
      </c>
      <c r="I120" t="s">
        <v>115</v>
      </c>
      <c r="J120" t="s">
        <v>2942</v>
      </c>
      <c r="K120" t="s">
        <v>1843</v>
      </c>
      <c r="L120" t="s">
        <v>44</v>
      </c>
      <c r="M120">
        <v>20</v>
      </c>
      <c r="N120" t="s">
        <v>2612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1</v>
      </c>
      <c r="U120" t="b">
        <v>1</v>
      </c>
      <c r="V120" t="b">
        <v>1</v>
      </c>
      <c r="W120" t="b">
        <v>1</v>
      </c>
      <c r="X120" t="b">
        <v>0</v>
      </c>
      <c r="Y120" t="b">
        <v>0</v>
      </c>
      <c r="Z120" t="b">
        <v>1</v>
      </c>
      <c r="AA120" t="b">
        <v>0</v>
      </c>
      <c r="AB120" t="s">
        <v>914</v>
      </c>
      <c r="AC120" t="s">
        <v>7651</v>
      </c>
    </row>
    <row r="121" spans="1:29" x14ac:dyDescent="0.3">
      <c r="A121">
        <v>-73.964203380000001</v>
      </c>
      <c r="B121">
        <v>40.769470609999999</v>
      </c>
      <c r="C121" t="s">
        <v>1832</v>
      </c>
      <c r="D121" t="s">
        <v>33</v>
      </c>
      <c r="E121" s="58">
        <v>43391</v>
      </c>
      <c r="F121">
        <v>16</v>
      </c>
      <c r="G121" t="s">
        <v>3842</v>
      </c>
      <c r="H121" t="s">
        <v>42</v>
      </c>
      <c r="I121" t="s">
        <v>59</v>
      </c>
      <c r="J121" t="s">
        <v>97</v>
      </c>
      <c r="K121" t="s">
        <v>2282</v>
      </c>
      <c r="L121" t="s">
        <v>44</v>
      </c>
      <c r="M121">
        <v>20</v>
      </c>
      <c r="N121" t="s">
        <v>4541</v>
      </c>
      <c r="O121" t="b">
        <v>1</v>
      </c>
      <c r="P121" t="b">
        <v>0</v>
      </c>
      <c r="Q121" t="b">
        <v>1</v>
      </c>
      <c r="R121" t="b">
        <v>1</v>
      </c>
      <c r="S121" t="b">
        <v>1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1</v>
      </c>
      <c r="AA121" t="b">
        <v>1</v>
      </c>
      <c r="AB121" t="s">
        <v>2643</v>
      </c>
      <c r="AC121" t="s">
        <v>7652</v>
      </c>
    </row>
    <row r="122" spans="1:29" x14ac:dyDescent="0.3">
      <c r="A122">
        <v>-73.955775239999994</v>
      </c>
      <c r="B122">
        <v>40.796201580000002</v>
      </c>
      <c r="C122" t="s">
        <v>1852</v>
      </c>
      <c r="D122" t="s">
        <v>33</v>
      </c>
      <c r="E122" s="58">
        <v>43388</v>
      </c>
      <c r="F122">
        <v>30</v>
      </c>
      <c r="G122" t="s">
        <v>105</v>
      </c>
      <c r="H122" t="s">
        <v>53</v>
      </c>
      <c r="I122" t="s">
        <v>96</v>
      </c>
      <c r="J122" t="s">
        <v>89</v>
      </c>
      <c r="K122" t="s">
        <v>4785</v>
      </c>
      <c r="L122" t="s">
        <v>65</v>
      </c>
      <c r="M122" t="b">
        <v>0</v>
      </c>
      <c r="N122" t="s">
        <v>742</v>
      </c>
      <c r="O122" t="b">
        <v>0</v>
      </c>
      <c r="P122" t="b">
        <v>0</v>
      </c>
      <c r="Q122" t="b">
        <v>1</v>
      </c>
      <c r="R122" t="b">
        <v>0</v>
      </c>
      <c r="S122" t="b">
        <v>0</v>
      </c>
      <c r="T122" t="b">
        <v>1</v>
      </c>
      <c r="U122" t="b">
        <v>0</v>
      </c>
      <c r="V122" t="b">
        <v>1</v>
      </c>
      <c r="W122" t="b">
        <v>0</v>
      </c>
      <c r="X122" t="b">
        <v>1</v>
      </c>
      <c r="Y122" t="b">
        <v>0</v>
      </c>
      <c r="Z122" t="b">
        <v>1</v>
      </c>
      <c r="AA122" t="b">
        <v>0</v>
      </c>
      <c r="AB122" t="s">
        <v>1242</v>
      </c>
      <c r="AC122" t="s">
        <v>7653</v>
      </c>
    </row>
    <row r="123" spans="1:29" x14ac:dyDescent="0.3">
      <c r="A123">
        <v>-73.952988329999997</v>
      </c>
      <c r="B123">
        <v>40.798557099999996</v>
      </c>
      <c r="C123" t="s">
        <v>338</v>
      </c>
      <c r="D123" t="s">
        <v>33</v>
      </c>
      <c r="E123" s="58">
        <v>43379</v>
      </c>
      <c r="F123">
        <v>4</v>
      </c>
      <c r="G123" t="s">
        <v>48</v>
      </c>
      <c r="H123" t="s">
        <v>176</v>
      </c>
      <c r="I123" t="s">
        <v>53</v>
      </c>
      <c r="J123" t="s">
        <v>116</v>
      </c>
      <c r="K123" t="s">
        <v>6245</v>
      </c>
      <c r="L123" t="s">
        <v>44</v>
      </c>
      <c r="M123">
        <v>15</v>
      </c>
      <c r="N123" t="s">
        <v>1518</v>
      </c>
      <c r="O123" t="b">
        <v>1</v>
      </c>
      <c r="P123" t="b">
        <v>1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1</v>
      </c>
      <c r="X123" t="b">
        <v>1</v>
      </c>
      <c r="Y123" t="b">
        <v>0</v>
      </c>
      <c r="Z123" t="b">
        <v>0</v>
      </c>
      <c r="AA123" t="b">
        <v>1</v>
      </c>
      <c r="AB123" t="s">
        <v>2916</v>
      </c>
      <c r="AC123" t="s">
        <v>7654</v>
      </c>
    </row>
    <row r="124" spans="1:29" x14ac:dyDescent="0.3">
      <c r="A124">
        <v>-73.971161559999999</v>
      </c>
      <c r="B124">
        <v>40.795264330000002</v>
      </c>
      <c r="C124" t="s">
        <v>68</v>
      </c>
      <c r="D124" t="s">
        <v>33</v>
      </c>
      <c r="E124" s="58">
        <v>43385</v>
      </c>
      <c r="F124">
        <v>13</v>
      </c>
      <c r="G124" t="s">
        <v>48</v>
      </c>
      <c r="H124" t="s">
        <v>42</v>
      </c>
      <c r="I124" t="s">
        <v>42</v>
      </c>
      <c r="J124" t="s">
        <v>619</v>
      </c>
      <c r="K124" t="s">
        <v>7046</v>
      </c>
      <c r="L124" t="s">
        <v>65</v>
      </c>
      <c r="M124" t="b">
        <v>0</v>
      </c>
      <c r="N124" t="s">
        <v>368</v>
      </c>
      <c r="O124" t="b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b">
        <v>1</v>
      </c>
      <c r="V124" t="b">
        <v>0</v>
      </c>
      <c r="W124" t="b">
        <v>0</v>
      </c>
      <c r="X124" t="b">
        <v>1</v>
      </c>
      <c r="Y124" t="b">
        <v>1</v>
      </c>
      <c r="Z124" t="b">
        <v>1</v>
      </c>
      <c r="AA124" t="b">
        <v>0</v>
      </c>
      <c r="AB124" t="s">
        <v>4005</v>
      </c>
      <c r="AC124" t="s">
        <v>7655</v>
      </c>
    </row>
    <row r="125" spans="1:29" x14ac:dyDescent="0.3">
      <c r="A125">
        <v>-73.977698899999993</v>
      </c>
      <c r="B125">
        <v>40.793411990000003</v>
      </c>
      <c r="C125" t="s">
        <v>2418</v>
      </c>
      <c r="D125" t="s">
        <v>33</v>
      </c>
      <c r="E125" s="58">
        <v>43393</v>
      </c>
      <c r="F125">
        <v>26</v>
      </c>
      <c r="G125" t="s">
        <v>48</v>
      </c>
      <c r="H125" t="s">
        <v>176</v>
      </c>
      <c r="I125" t="s">
        <v>5105</v>
      </c>
      <c r="J125" t="s">
        <v>79</v>
      </c>
      <c r="K125" t="s">
        <v>6737</v>
      </c>
      <c r="L125" t="s">
        <v>44</v>
      </c>
      <c r="M125">
        <v>20</v>
      </c>
      <c r="N125" t="s">
        <v>405</v>
      </c>
      <c r="O125" t="b">
        <v>1</v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b">
        <v>0</v>
      </c>
      <c r="W125" t="b">
        <v>1</v>
      </c>
      <c r="X125" t="b">
        <v>0</v>
      </c>
      <c r="Y125" t="b">
        <v>1</v>
      </c>
      <c r="Z125" t="b">
        <v>0</v>
      </c>
      <c r="AA125" t="b">
        <v>1</v>
      </c>
      <c r="AB125" t="s">
        <v>6539</v>
      </c>
      <c r="AC125" t="s">
        <v>7656</v>
      </c>
    </row>
    <row r="126" spans="1:29" x14ac:dyDescent="0.3">
      <c r="A126">
        <v>-73.973993030000003</v>
      </c>
      <c r="B126">
        <v>40.787980330000003</v>
      </c>
      <c r="C126" t="s">
        <v>873</v>
      </c>
      <c r="D126" t="s">
        <v>38</v>
      </c>
      <c r="E126" s="58">
        <v>43381</v>
      </c>
      <c r="F126">
        <v>28</v>
      </c>
      <c r="G126" t="s">
        <v>48</v>
      </c>
      <c r="H126" t="s">
        <v>53</v>
      </c>
      <c r="I126" t="s">
        <v>176</v>
      </c>
      <c r="J126" t="s">
        <v>43</v>
      </c>
      <c r="K126" t="s">
        <v>3843</v>
      </c>
      <c r="L126" t="s">
        <v>44</v>
      </c>
      <c r="M126">
        <v>10</v>
      </c>
      <c r="N126" t="s">
        <v>1494</v>
      </c>
      <c r="O126" t="b">
        <v>1</v>
      </c>
      <c r="P126" t="b">
        <v>0</v>
      </c>
      <c r="Q126" t="b">
        <v>0</v>
      </c>
      <c r="R126" t="b">
        <v>0</v>
      </c>
      <c r="S126" t="b">
        <v>1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1</v>
      </c>
      <c r="AA126" t="b">
        <v>0</v>
      </c>
      <c r="AB126" t="s">
        <v>3679</v>
      </c>
      <c r="AC126" t="s">
        <v>7657</v>
      </c>
    </row>
    <row r="127" spans="1:29" x14ac:dyDescent="0.3">
      <c r="A127">
        <v>-73.967731670000006</v>
      </c>
      <c r="B127">
        <v>40.784305170000003</v>
      </c>
      <c r="C127" t="s">
        <v>402</v>
      </c>
      <c r="D127" t="s">
        <v>33</v>
      </c>
      <c r="E127" s="58">
        <v>43383</v>
      </c>
      <c r="F127">
        <v>13</v>
      </c>
      <c r="G127" t="s">
        <v>105</v>
      </c>
      <c r="H127" t="s">
        <v>42</v>
      </c>
      <c r="I127" t="s">
        <v>5105</v>
      </c>
      <c r="J127" t="s">
        <v>149</v>
      </c>
      <c r="K127" t="s">
        <v>2169</v>
      </c>
      <c r="L127" t="s">
        <v>44</v>
      </c>
      <c r="M127">
        <v>30</v>
      </c>
      <c r="N127" t="s">
        <v>4757</v>
      </c>
      <c r="O127" t="b">
        <v>1</v>
      </c>
      <c r="P127" t="b">
        <v>1</v>
      </c>
      <c r="Q127" t="b">
        <v>1</v>
      </c>
      <c r="R127" t="b">
        <v>1</v>
      </c>
      <c r="S127" t="b">
        <v>1</v>
      </c>
      <c r="T127" t="b">
        <v>0</v>
      </c>
      <c r="U127" t="b">
        <v>1</v>
      </c>
      <c r="V127" t="b">
        <v>0</v>
      </c>
      <c r="W127" t="b">
        <v>1</v>
      </c>
      <c r="X127" t="b">
        <v>1</v>
      </c>
      <c r="Y127" t="b">
        <v>1</v>
      </c>
      <c r="Z127" t="b">
        <v>0</v>
      </c>
      <c r="AA127" t="b">
        <v>0</v>
      </c>
      <c r="AB127" t="s">
        <v>3468</v>
      </c>
      <c r="AC127" t="s">
        <v>7658</v>
      </c>
    </row>
    <row r="128" spans="1:29" x14ac:dyDescent="0.3">
      <c r="A128">
        <v>-73.9554428</v>
      </c>
      <c r="B128">
        <v>40.76797328</v>
      </c>
      <c r="C128" t="s">
        <v>331</v>
      </c>
      <c r="D128" t="s">
        <v>33</v>
      </c>
      <c r="E128" s="58">
        <v>43388</v>
      </c>
      <c r="F128">
        <v>2</v>
      </c>
      <c r="G128" t="s">
        <v>105</v>
      </c>
      <c r="H128" t="s">
        <v>53</v>
      </c>
      <c r="I128" t="s">
        <v>42</v>
      </c>
      <c r="J128" t="s">
        <v>177</v>
      </c>
      <c r="K128" t="s">
        <v>1896</v>
      </c>
      <c r="L128" t="s">
        <v>65</v>
      </c>
      <c r="M128" t="b">
        <v>0</v>
      </c>
      <c r="N128" t="s">
        <v>3342</v>
      </c>
      <c r="O128" t="b">
        <v>0</v>
      </c>
      <c r="P128" t="b">
        <v>0</v>
      </c>
      <c r="Q128" t="b">
        <v>0</v>
      </c>
      <c r="R128" t="b">
        <v>0</v>
      </c>
      <c r="S128" t="b">
        <v>1</v>
      </c>
      <c r="T128" t="b">
        <v>1</v>
      </c>
      <c r="U128" t="b">
        <v>0</v>
      </c>
      <c r="V128" t="b">
        <v>0</v>
      </c>
      <c r="W128" t="b">
        <v>1</v>
      </c>
      <c r="X128" t="b">
        <v>0</v>
      </c>
      <c r="Y128" t="b">
        <v>1</v>
      </c>
      <c r="Z128" t="b">
        <v>0</v>
      </c>
      <c r="AA128" t="b">
        <v>1</v>
      </c>
      <c r="AB128" t="s">
        <v>5478</v>
      </c>
      <c r="AC128" t="s">
        <v>7659</v>
      </c>
    </row>
    <row r="129" spans="1:29" x14ac:dyDescent="0.3">
      <c r="A129">
        <v>-73.95409995</v>
      </c>
      <c r="B129">
        <v>40.779291430000001</v>
      </c>
      <c r="C129" t="s">
        <v>256</v>
      </c>
      <c r="D129" t="s">
        <v>38</v>
      </c>
      <c r="E129" s="58">
        <v>43382</v>
      </c>
      <c r="F129">
        <v>3</v>
      </c>
      <c r="G129" t="s">
        <v>3842</v>
      </c>
      <c r="H129" t="s">
        <v>176</v>
      </c>
      <c r="I129" t="s">
        <v>96</v>
      </c>
      <c r="J129" t="s">
        <v>89</v>
      </c>
      <c r="K129" t="s">
        <v>3433</v>
      </c>
      <c r="L129" t="s">
        <v>44</v>
      </c>
      <c r="M129">
        <v>6</v>
      </c>
      <c r="N129" t="s">
        <v>2101</v>
      </c>
      <c r="O129" t="b">
        <v>1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1</v>
      </c>
      <c r="V129" t="b">
        <v>1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s">
        <v>3564</v>
      </c>
      <c r="AC129" t="s">
        <v>7660</v>
      </c>
    </row>
    <row r="130" spans="1:29" x14ac:dyDescent="0.3">
      <c r="A130">
        <v>-73.980940029999999</v>
      </c>
      <c r="B130">
        <v>40.778032230000001</v>
      </c>
      <c r="C130" t="s">
        <v>221</v>
      </c>
      <c r="D130" t="s">
        <v>38</v>
      </c>
      <c r="E130" s="58">
        <v>43388</v>
      </c>
      <c r="F130">
        <v>22</v>
      </c>
      <c r="G130" t="s">
        <v>105</v>
      </c>
      <c r="H130" t="s">
        <v>53</v>
      </c>
      <c r="I130" t="s">
        <v>59</v>
      </c>
      <c r="J130" t="s">
        <v>97</v>
      </c>
      <c r="K130" t="s">
        <v>2927</v>
      </c>
      <c r="L130" t="s">
        <v>44</v>
      </c>
      <c r="M130">
        <v>5</v>
      </c>
      <c r="N130" t="s">
        <v>4510</v>
      </c>
      <c r="O130" t="b">
        <v>0</v>
      </c>
      <c r="P130" t="b">
        <v>1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b">
        <v>1</v>
      </c>
      <c r="W130" t="b">
        <v>1</v>
      </c>
      <c r="X130" t="b">
        <v>0</v>
      </c>
      <c r="Y130" t="b">
        <v>1</v>
      </c>
      <c r="Z130" t="b">
        <v>0</v>
      </c>
      <c r="AA130" t="b">
        <v>1</v>
      </c>
      <c r="AB130" t="s">
        <v>2338</v>
      </c>
      <c r="AC130" t="s">
        <v>7661</v>
      </c>
    </row>
    <row r="131" spans="1:29" x14ac:dyDescent="0.3">
      <c r="A131">
        <v>-73.965102310000006</v>
      </c>
      <c r="B131">
        <v>40.774056039999998</v>
      </c>
      <c r="C131" t="s">
        <v>1420</v>
      </c>
      <c r="D131" t="s">
        <v>33</v>
      </c>
      <c r="E131" s="58">
        <v>43383</v>
      </c>
      <c r="F131">
        <v>8</v>
      </c>
      <c r="G131" t="s">
        <v>105</v>
      </c>
      <c r="H131" t="s">
        <v>53</v>
      </c>
      <c r="I131" t="s">
        <v>42</v>
      </c>
      <c r="J131" t="s">
        <v>97</v>
      </c>
      <c r="K131" t="s">
        <v>4243</v>
      </c>
      <c r="L131" t="s">
        <v>44</v>
      </c>
      <c r="M131">
        <v>30</v>
      </c>
      <c r="N131" t="s">
        <v>3076</v>
      </c>
      <c r="O131" t="b">
        <v>0</v>
      </c>
      <c r="P131" t="b">
        <v>1</v>
      </c>
      <c r="Q131" t="b">
        <v>1</v>
      </c>
      <c r="R131" t="b">
        <v>0</v>
      </c>
      <c r="S131" t="b">
        <v>1</v>
      </c>
      <c r="T131" t="b">
        <v>1</v>
      </c>
      <c r="U131" t="b">
        <v>1</v>
      </c>
      <c r="V131" t="b">
        <v>0</v>
      </c>
      <c r="W131" t="b">
        <v>0</v>
      </c>
      <c r="X131" t="b">
        <v>1</v>
      </c>
      <c r="Y131" t="b">
        <v>0</v>
      </c>
      <c r="Z131" t="b">
        <v>0</v>
      </c>
      <c r="AA131" t="b">
        <v>0</v>
      </c>
      <c r="AB131" t="s">
        <v>7360</v>
      </c>
      <c r="AC131" t="s">
        <v>7662</v>
      </c>
    </row>
    <row r="132" spans="1:29" x14ac:dyDescent="0.3">
      <c r="A132">
        <v>-73.968036510000005</v>
      </c>
      <c r="B132">
        <v>40.790380740000003</v>
      </c>
      <c r="C132" t="s">
        <v>502</v>
      </c>
      <c r="D132" t="s">
        <v>38</v>
      </c>
      <c r="E132" s="58">
        <v>43383</v>
      </c>
      <c r="F132">
        <v>24</v>
      </c>
      <c r="G132" t="s">
        <v>105</v>
      </c>
      <c r="H132" t="s">
        <v>42</v>
      </c>
      <c r="I132" t="s">
        <v>1921</v>
      </c>
      <c r="J132" t="s">
        <v>2942</v>
      </c>
      <c r="K132" t="s">
        <v>3341</v>
      </c>
      <c r="L132" t="s">
        <v>44</v>
      </c>
      <c r="M132">
        <v>12</v>
      </c>
      <c r="N132" t="s">
        <v>1241</v>
      </c>
      <c r="O132" t="b">
        <v>1</v>
      </c>
      <c r="P132" t="b">
        <v>0</v>
      </c>
      <c r="Q132" t="b">
        <v>0</v>
      </c>
      <c r="R132" t="b">
        <v>1</v>
      </c>
      <c r="S132" t="b">
        <v>0</v>
      </c>
      <c r="T132" t="b">
        <v>1</v>
      </c>
      <c r="U132" t="b">
        <v>0</v>
      </c>
      <c r="V132" t="b">
        <v>0</v>
      </c>
      <c r="W132" t="b">
        <v>0</v>
      </c>
      <c r="X132" t="b">
        <v>1</v>
      </c>
      <c r="Y132" t="b">
        <v>0</v>
      </c>
      <c r="Z132" t="b">
        <v>0</v>
      </c>
      <c r="AA132" t="b">
        <v>1</v>
      </c>
      <c r="AB132" t="s">
        <v>5918</v>
      </c>
      <c r="AC132" t="s">
        <v>7663</v>
      </c>
    </row>
    <row r="133" spans="1:29" x14ac:dyDescent="0.3">
      <c r="A133">
        <v>-73.974176220000004</v>
      </c>
      <c r="B133">
        <v>40.782369389999999</v>
      </c>
      <c r="C133" t="s">
        <v>1199</v>
      </c>
      <c r="D133" t="s">
        <v>38</v>
      </c>
      <c r="E133" s="58">
        <v>43384</v>
      </c>
      <c r="F133">
        <v>15</v>
      </c>
      <c r="G133" t="s">
        <v>3842</v>
      </c>
      <c r="H133" t="s">
        <v>53</v>
      </c>
      <c r="I133" t="s">
        <v>42</v>
      </c>
      <c r="J133" t="s">
        <v>89</v>
      </c>
      <c r="K133" t="s">
        <v>49</v>
      </c>
      <c r="L133" t="s">
        <v>65</v>
      </c>
      <c r="M133" t="b">
        <v>0</v>
      </c>
      <c r="N133" t="s">
        <v>1800</v>
      </c>
      <c r="O133" t="b">
        <v>1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b">
        <v>1</v>
      </c>
      <c r="V133" t="b">
        <v>1</v>
      </c>
      <c r="W133" t="b">
        <v>0</v>
      </c>
      <c r="X133" t="b">
        <v>1</v>
      </c>
      <c r="Y133" t="b">
        <v>0</v>
      </c>
      <c r="Z133" t="b">
        <v>0</v>
      </c>
      <c r="AA133" t="b">
        <v>0</v>
      </c>
      <c r="AB133" t="s">
        <v>2518</v>
      </c>
      <c r="AC133" t="s">
        <v>7664</v>
      </c>
    </row>
    <row r="134" spans="1:29" x14ac:dyDescent="0.3">
      <c r="A134">
        <v>-73.977390400000004</v>
      </c>
      <c r="B134">
        <v>40.767764130000003</v>
      </c>
      <c r="C134" t="s">
        <v>204</v>
      </c>
      <c r="D134" t="s">
        <v>33</v>
      </c>
      <c r="E134" s="58">
        <v>43392</v>
      </c>
      <c r="F134">
        <v>11</v>
      </c>
      <c r="G134" t="s">
        <v>48</v>
      </c>
      <c r="H134" t="s">
        <v>53</v>
      </c>
      <c r="I134" t="s">
        <v>115</v>
      </c>
      <c r="J134" t="s">
        <v>177</v>
      </c>
      <c r="K134" t="s">
        <v>3453</v>
      </c>
      <c r="L134" t="s">
        <v>65</v>
      </c>
      <c r="M134" t="b">
        <v>0</v>
      </c>
      <c r="N134" t="s">
        <v>6476</v>
      </c>
      <c r="O134" t="b">
        <v>0</v>
      </c>
      <c r="P134" t="b">
        <v>0</v>
      </c>
      <c r="Q134" t="b">
        <v>1</v>
      </c>
      <c r="R134" t="b">
        <v>0</v>
      </c>
      <c r="S134" t="b">
        <v>1</v>
      </c>
      <c r="T134" t="b">
        <v>0</v>
      </c>
      <c r="U134" t="b">
        <v>0</v>
      </c>
      <c r="V134" t="b">
        <v>1</v>
      </c>
      <c r="W134" t="b">
        <v>0</v>
      </c>
      <c r="X134" t="b">
        <v>0</v>
      </c>
      <c r="Y134" t="b">
        <v>0</v>
      </c>
      <c r="Z134" t="b">
        <v>1</v>
      </c>
      <c r="AA134" t="b">
        <v>0</v>
      </c>
      <c r="AB134" t="s">
        <v>499</v>
      </c>
      <c r="AC134" t="s">
        <v>7665</v>
      </c>
    </row>
    <row r="135" spans="1:29" x14ac:dyDescent="0.3">
      <c r="A135">
        <v>-73.970545040000005</v>
      </c>
      <c r="B135">
        <v>40.772662850000003</v>
      </c>
      <c r="C135" t="s">
        <v>3073</v>
      </c>
      <c r="D135" t="s">
        <v>33</v>
      </c>
      <c r="E135" s="58">
        <v>43388</v>
      </c>
      <c r="F135">
        <v>9</v>
      </c>
      <c r="G135" t="s">
        <v>105</v>
      </c>
      <c r="H135" t="s">
        <v>53</v>
      </c>
      <c r="I135" t="s">
        <v>59</v>
      </c>
      <c r="J135" t="s">
        <v>177</v>
      </c>
      <c r="K135" t="s">
        <v>1934</v>
      </c>
      <c r="L135" t="s">
        <v>65</v>
      </c>
      <c r="M135" t="b">
        <v>0</v>
      </c>
      <c r="N135" t="s">
        <v>4107</v>
      </c>
      <c r="O135" t="b">
        <v>0</v>
      </c>
      <c r="P135" t="b">
        <v>0</v>
      </c>
      <c r="Q135" t="b">
        <v>1</v>
      </c>
      <c r="R135" t="b">
        <v>0</v>
      </c>
      <c r="S135" t="b">
        <v>1</v>
      </c>
      <c r="T135" t="b">
        <v>0</v>
      </c>
      <c r="U135" t="b">
        <v>1</v>
      </c>
      <c r="V135" t="b">
        <v>0</v>
      </c>
      <c r="W135" t="b">
        <v>0</v>
      </c>
      <c r="X135" t="b">
        <v>1</v>
      </c>
      <c r="Y135" t="b">
        <v>0</v>
      </c>
      <c r="Z135" t="b">
        <v>1</v>
      </c>
      <c r="AA135" t="b">
        <v>1</v>
      </c>
      <c r="AB135" t="s">
        <v>290</v>
      </c>
      <c r="AC135" t="s">
        <v>7666</v>
      </c>
    </row>
    <row r="136" spans="1:29" x14ac:dyDescent="0.3">
      <c r="A136">
        <v>-73.951516499999997</v>
      </c>
      <c r="B136">
        <v>40.788966739999999</v>
      </c>
      <c r="C136" t="s">
        <v>1852</v>
      </c>
      <c r="D136" t="s">
        <v>38</v>
      </c>
      <c r="E136" s="58">
        <v>43390</v>
      </c>
      <c r="F136">
        <v>7</v>
      </c>
      <c r="G136" t="s">
        <v>3842</v>
      </c>
      <c r="H136" t="s">
        <v>42</v>
      </c>
      <c r="I136" t="s">
        <v>96</v>
      </c>
      <c r="J136" t="s">
        <v>97</v>
      </c>
      <c r="K136" t="s">
        <v>2311</v>
      </c>
      <c r="L136" t="s">
        <v>65</v>
      </c>
      <c r="M136" t="b">
        <v>0</v>
      </c>
      <c r="N136" t="s">
        <v>201</v>
      </c>
      <c r="O136" t="b">
        <v>0</v>
      </c>
      <c r="P136" t="b">
        <v>1</v>
      </c>
      <c r="Q136" t="b">
        <v>0</v>
      </c>
      <c r="R136" t="b">
        <v>1</v>
      </c>
      <c r="S136" t="b">
        <v>1</v>
      </c>
      <c r="T136" t="b">
        <v>0</v>
      </c>
      <c r="U136" t="b">
        <v>0</v>
      </c>
      <c r="V136" t="b">
        <v>0</v>
      </c>
      <c r="W136" t="b">
        <v>1</v>
      </c>
      <c r="X136" t="b">
        <v>1</v>
      </c>
      <c r="Y136" t="b">
        <v>0</v>
      </c>
      <c r="Z136" t="b">
        <v>0</v>
      </c>
      <c r="AA136" t="b">
        <v>0</v>
      </c>
      <c r="AB136" t="s">
        <v>4005</v>
      </c>
      <c r="AC136" t="s">
        <v>7667</v>
      </c>
    </row>
    <row r="137" spans="1:29" x14ac:dyDescent="0.3">
      <c r="A137">
        <v>-73.970998109999996</v>
      </c>
      <c r="B137">
        <v>40.767591070000002</v>
      </c>
      <c r="C137" t="s">
        <v>1759</v>
      </c>
      <c r="D137" t="s">
        <v>33</v>
      </c>
      <c r="E137" s="58">
        <v>43388</v>
      </c>
      <c r="F137">
        <v>13</v>
      </c>
      <c r="G137" t="s">
        <v>3842</v>
      </c>
      <c r="H137" t="s">
        <v>176</v>
      </c>
      <c r="I137" t="s">
        <v>176</v>
      </c>
      <c r="J137" t="s">
        <v>43</v>
      </c>
      <c r="K137" t="s">
        <v>1688</v>
      </c>
      <c r="L137" t="s">
        <v>65</v>
      </c>
      <c r="M137" t="b">
        <v>0</v>
      </c>
      <c r="N137" t="s">
        <v>2332</v>
      </c>
      <c r="O137" t="b">
        <v>0</v>
      </c>
      <c r="P137" t="b">
        <v>1</v>
      </c>
      <c r="Q137" t="b">
        <v>1</v>
      </c>
      <c r="R137" t="b">
        <v>1</v>
      </c>
      <c r="S137" t="b">
        <v>0</v>
      </c>
      <c r="T137" t="b">
        <v>1</v>
      </c>
      <c r="U137" t="b">
        <v>1</v>
      </c>
      <c r="V137" t="b">
        <v>1</v>
      </c>
      <c r="W137" t="b">
        <v>0</v>
      </c>
      <c r="X137" t="b">
        <v>1</v>
      </c>
      <c r="Y137" t="b">
        <v>1</v>
      </c>
      <c r="Z137" t="b">
        <v>1</v>
      </c>
      <c r="AA137" t="b">
        <v>1</v>
      </c>
      <c r="AB137" t="s">
        <v>803</v>
      </c>
      <c r="AC137" t="s">
        <v>7668</v>
      </c>
    </row>
    <row r="138" spans="1:29" x14ac:dyDescent="0.3">
      <c r="A138">
        <v>-73.964849459999996</v>
      </c>
      <c r="B138">
        <v>40.794879829999999</v>
      </c>
      <c r="C138" t="s">
        <v>6089</v>
      </c>
      <c r="D138" t="s">
        <v>33</v>
      </c>
      <c r="E138" s="58">
        <v>43391</v>
      </c>
      <c r="F138">
        <v>2</v>
      </c>
      <c r="G138" t="s">
        <v>3842</v>
      </c>
      <c r="H138" t="s">
        <v>176</v>
      </c>
      <c r="I138" t="s">
        <v>176</v>
      </c>
      <c r="J138" t="s">
        <v>2942</v>
      </c>
      <c r="K138" t="s">
        <v>3318</v>
      </c>
      <c r="L138" t="s">
        <v>44</v>
      </c>
      <c r="M138">
        <v>12</v>
      </c>
      <c r="N138" t="s">
        <v>2970</v>
      </c>
      <c r="O138" t="b">
        <v>0</v>
      </c>
      <c r="P138" t="b">
        <v>1</v>
      </c>
      <c r="Q138" t="b">
        <v>1</v>
      </c>
      <c r="R138" t="b">
        <v>0</v>
      </c>
      <c r="S138" t="b">
        <v>1</v>
      </c>
      <c r="T138" t="b">
        <v>0</v>
      </c>
      <c r="U138" t="b">
        <v>1</v>
      </c>
      <c r="V138" t="b">
        <v>0</v>
      </c>
      <c r="W138" t="b">
        <v>0</v>
      </c>
      <c r="X138" t="b">
        <v>0</v>
      </c>
      <c r="Y138" t="b">
        <v>1</v>
      </c>
      <c r="Z138" t="b">
        <v>1</v>
      </c>
      <c r="AA138" t="b">
        <v>1</v>
      </c>
      <c r="AB138" t="s">
        <v>3844</v>
      </c>
      <c r="AC138" t="s">
        <v>7669</v>
      </c>
    </row>
    <row r="139" spans="1:29" x14ac:dyDescent="0.3">
      <c r="A139">
        <v>-73.959057909999999</v>
      </c>
      <c r="B139">
        <v>40.782343709999999</v>
      </c>
      <c r="C139" t="s">
        <v>1657</v>
      </c>
      <c r="D139" t="s">
        <v>38</v>
      </c>
      <c r="E139" s="58">
        <v>43391</v>
      </c>
      <c r="F139">
        <v>8</v>
      </c>
      <c r="G139" t="s">
        <v>48</v>
      </c>
      <c r="H139" t="s">
        <v>53</v>
      </c>
      <c r="I139" t="s">
        <v>42</v>
      </c>
      <c r="J139" t="s">
        <v>60</v>
      </c>
      <c r="K139" t="s">
        <v>5429</v>
      </c>
      <c r="L139" t="s">
        <v>44</v>
      </c>
      <c r="M139">
        <v>2</v>
      </c>
      <c r="N139" t="s">
        <v>1068</v>
      </c>
      <c r="O139" t="b">
        <v>0</v>
      </c>
      <c r="P139" t="b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b">
        <v>1</v>
      </c>
      <c r="W139" t="b">
        <v>1</v>
      </c>
      <c r="X139" t="b">
        <v>0</v>
      </c>
      <c r="Y139" t="b">
        <v>1</v>
      </c>
      <c r="Z139" t="b">
        <v>0</v>
      </c>
      <c r="AA139" t="b">
        <v>0</v>
      </c>
      <c r="AB139" t="s">
        <v>2916</v>
      </c>
      <c r="AC139" t="s">
        <v>7670</v>
      </c>
    </row>
    <row r="140" spans="1:29" x14ac:dyDescent="0.3">
      <c r="A140">
        <v>-73.969727219999996</v>
      </c>
      <c r="B140">
        <v>40.781831089999997</v>
      </c>
      <c r="C140" t="s">
        <v>2056</v>
      </c>
      <c r="D140" t="s">
        <v>33</v>
      </c>
      <c r="E140" s="58">
        <v>43389</v>
      </c>
      <c r="F140">
        <v>7</v>
      </c>
      <c r="G140" t="s">
        <v>105</v>
      </c>
      <c r="H140" t="s">
        <v>42</v>
      </c>
      <c r="I140" t="s">
        <v>115</v>
      </c>
      <c r="J140" t="s">
        <v>89</v>
      </c>
      <c r="K140" t="s">
        <v>7003</v>
      </c>
      <c r="L140" t="s">
        <v>44</v>
      </c>
      <c r="M140">
        <v>3</v>
      </c>
      <c r="N140" t="s">
        <v>1068</v>
      </c>
      <c r="O140" t="b">
        <v>1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1</v>
      </c>
      <c r="V140" t="b">
        <v>0</v>
      </c>
      <c r="W140" t="b">
        <v>0</v>
      </c>
      <c r="X140" t="b">
        <v>0</v>
      </c>
      <c r="Y140" t="b">
        <v>0</v>
      </c>
      <c r="Z140" t="b">
        <v>1</v>
      </c>
      <c r="AA140" t="b">
        <v>0</v>
      </c>
      <c r="AB140" t="s">
        <v>5779</v>
      </c>
      <c r="AC140" t="s">
        <v>7671</v>
      </c>
    </row>
    <row r="141" spans="1:29" x14ac:dyDescent="0.3">
      <c r="A141">
        <v>-73.950608849999995</v>
      </c>
      <c r="B141">
        <v>40.785768070000003</v>
      </c>
      <c r="C141" t="s">
        <v>544</v>
      </c>
      <c r="D141" t="s">
        <v>33</v>
      </c>
      <c r="E141" s="58">
        <v>43384</v>
      </c>
      <c r="F141">
        <v>24</v>
      </c>
      <c r="G141" t="s">
        <v>3842</v>
      </c>
      <c r="H141" t="s">
        <v>53</v>
      </c>
      <c r="I141" t="s">
        <v>53</v>
      </c>
      <c r="J141" t="s">
        <v>1233</v>
      </c>
      <c r="K141" t="s">
        <v>2382</v>
      </c>
      <c r="L141" t="s">
        <v>65</v>
      </c>
      <c r="M141" t="b">
        <v>0</v>
      </c>
      <c r="N141" t="s">
        <v>1853</v>
      </c>
      <c r="O141" t="b">
        <v>0</v>
      </c>
      <c r="P141" t="b">
        <v>1</v>
      </c>
      <c r="Q141" t="b">
        <v>1</v>
      </c>
      <c r="R141" t="b">
        <v>1</v>
      </c>
      <c r="S141" t="b">
        <v>0</v>
      </c>
      <c r="T141" t="b">
        <v>0</v>
      </c>
      <c r="U141" t="b">
        <v>1</v>
      </c>
      <c r="V141" t="b">
        <v>1</v>
      </c>
      <c r="W141" t="b">
        <v>1</v>
      </c>
      <c r="X141" t="b">
        <v>0</v>
      </c>
      <c r="Y141" t="b">
        <v>0</v>
      </c>
      <c r="Z141" t="b">
        <v>0</v>
      </c>
      <c r="AA141" t="b">
        <v>0</v>
      </c>
      <c r="AB141" t="s">
        <v>4501</v>
      </c>
      <c r="AC141" t="s">
        <v>7672</v>
      </c>
    </row>
    <row r="142" spans="1:29" x14ac:dyDescent="0.3">
      <c r="A142">
        <v>-73.950902299999996</v>
      </c>
      <c r="B142">
        <v>40.793945909999998</v>
      </c>
      <c r="C142" t="s">
        <v>195</v>
      </c>
      <c r="D142" t="s">
        <v>33</v>
      </c>
      <c r="E142" s="58">
        <v>43386</v>
      </c>
      <c r="F142">
        <v>12</v>
      </c>
      <c r="G142" t="s">
        <v>48</v>
      </c>
      <c r="H142" t="s">
        <v>176</v>
      </c>
      <c r="I142" t="s">
        <v>5105</v>
      </c>
      <c r="J142" t="s">
        <v>79</v>
      </c>
      <c r="K142" t="s">
        <v>3248</v>
      </c>
      <c r="L142" t="s">
        <v>44</v>
      </c>
      <c r="M142">
        <v>10</v>
      </c>
      <c r="N142" t="s">
        <v>1432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1</v>
      </c>
      <c r="U142" t="b">
        <v>1</v>
      </c>
      <c r="V142" t="b">
        <v>0</v>
      </c>
      <c r="W142" t="b">
        <v>0</v>
      </c>
      <c r="X142" t="b">
        <v>0</v>
      </c>
      <c r="Y142" t="b">
        <v>0</v>
      </c>
      <c r="Z142" t="b">
        <v>1</v>
      </c>
      <c r="AA142" t="b">
        <v>1</v>
      </c>
      <c r="AB142" t="s">
        <v>5241</v>
      </c>
      <c r="AC142" t="s">
        <v>7673</v>
      </c>
    </row>
    <row r="143" spans="1:29" x14ac:dyDescent="0.3">
      <c r="A143">
        <v>-73.973243350000004</v>
      </c>
      <c r="B143">
        <v>40.77715628</v>
      </c>
      <c r="C143" t="s">
        <v>1262</v>
      </c>
      <c r="D143" t="s">
        <v>33</v>
      </c>
      <c r="E143" s="58">
        <v>43386</v>
      </c>
      <c r="F143">
        <v>19</v>
      </c>
      <c r="G143" t="s">
        <v>3842</v>
      </c>
      <c r="H143" t="s">
        <v>42</v>
      </c>
      <c r="I143" t="s">
        <v>5105</v>
      </c>
      <c r="J143" t="s">
        <v>97</v>
      </c>
      <c r="K143" t="s">
        <v>2927</v>
      </c>
      <c r="L143" t="s">
        <v>65</v>
      </c>
      <c r="M143" t="b">
        <v>0</v>
      </c>
      <c r="N143" t="s">
        <v>1819</v>
      </c>
      <c r="O143" t="b">
        <v>1</v>
      </c>
      <c r="P143" t="b">
        <v>0</v>
      </c>
      <c r="Q143" t="b">
        <v>1</v>
      </c>
      <c r="R143" t="b">
        <v>1</v>
      </c>
      <c r="S143" t="b">
        <v>1</v>
      </c>
      <c r="T143" t="b">
        <v>0</v>
      </c>
      <c r="U143" t="b">
        <v>1</v>
      </c>
      <c r="V143" t="b">
        <v>0</v>
      </c>
      <c r="W143" t="b">
        <v>1</v>
      </c>
      <c r="X143" t="b">
        <v>1</v>
      </c>
      <c r="Y143" t="b">
        <v>1</v>
      </c>
      <c r="Z143" t="b">
        <v>0</v>
      </c>
      <c r="AA143" t="b">
        <v>1</v>
      </c>
      <c r="AB143" t="s">
        <v>1643</v>
      </c>
      <c r="AC143" t="s">
        <v>7674</v>
      </c>
    </row>
    <row r="144" spans="1:29" x14ac:dyDescent="0.3">
      <c r="A144">
        <v>-73.965526670000003</v>
      </c>
      <c r="B144">
        <v>40.788782159999997</v>
      </c>
      <c r="C144" t="s">
        <v>646</v>
      </c>
      <c r="D144" t="s">
        <v>33</v>
      </c>
      <c r="E144" s="58">
        <v>43389</v>
      </c>
      <c r="F144">
        <v>7</v>
      </c>
      <c r="G144" t="s">
        <v>3842</v>
      </c>
      <c r="H144" t="s">
        <v>176</v>
      </c>
      <c r="I144" t="s">
        <v>5105</v>
      </c>
      <c r="J144" t="s">
        <v>149</v>
      </c>
      <c r="K144" t="s">
        <v>3887</v>
      </c>
      <c r="L144" t="s">
        <v>44</v>
      </c>
      <c r="M144">
        <v>6</v>
      </c>
      <c r="N144" t="s">
        <v>858</v>
      </c>
      <c r="O144" t="b">
        <v>1</v>
      </c>
      <c r="P144" t="b">
        <v>1</v>
      </c>
      <c r="Q144" t="b">
        <v>1</v>
      </c>
      <c r="R144" t="b">
        <v>0</v>
      </c>
      <c r="S144" t="b">
        <v>0</v>
      </c>
      <c r="T144" t="b">
        <v>1</v>
      </c>
      <c r="U144" t="b">
        <v>0</v>
      </c>
      <c r="V144" t="b">
        <v>0</v>
      </c>
      <c r="W144" t="b">
        <v>0</v>
      </c>
      <c r="X144" t="b">
        <v>1</v>
      </c>
      <c r="Y144" t="b">
        <v>1</v>
      </c>
      <c r="Z144" t="b">
        <v>1</v>
      </c>
      <c r="AA144" t="b">
        <v>0</v>
      </c>
      <c r="AB144" t="s">
        <v>630</v>
      </c>
      <c r="AC144" t="s">
        <v>7675</v>
      </c>
    </row>
    <row r="145" spans="1:29" x14ac:dyDescent="0.3">
      <c r="A145">
        <v>-73.97169993</v>
      </c>
      <c r="B145">
        <v>40.784828869999998</v>
      </c>
      <c r="C145" t="s">
        <v>68</v>
      </c>
      <c r="D145" t="s">
        <v>38</v>
      </c>
      <c r="E145" s="58">
        <v>43387</v>
      </c>
      <c r="F145">
        <v>10</v>
      </c>
      <c r="G145" t="s">
        <v>3842</v>
      </c>
      <c r="H145" t="s">
        <v>176</v>
      </c>
      <c r="I145" t="s">
        <v>53</v>
      </c>
      <c r="J145" t="s">
        <v>34</v>
      </c>
      <c r="K145" t="s">
        <v>3208</v>
      </c>
      <c r="L145" t="s">
        <v>65</v>
      </c>
      <c r="M145" t="b">
        <v>0</v>
      </c>
      <c r="N145" t="s">
        <v>4860</v>
      </c>
      <c r="O145" t="b">
        <v>1</v>
      </c>
      <c r="P145" t="b">
        <v>0</v>
      </c>
      <c r="Q145" t="b">
        <v>0</v>
      </c>
      <c r="R145" t="b">
        <v>1</v>
      </c>
      <c r="S145" t="b">
        <v>1</v>
      </c>
      <c r="T145" t="b">
        <v>1</v>
      </c>
      <c r="U145" t="b">
        <v>1</v>
      </c>
      <c r="V145" t="b">
        <v>1</v>
      </c>
      <c r="W145" t="b">
        <v>0</v>
      </c>
      <c r="X145" t="b">
        <v>0</v>
      </c>
      <c r="Y145" t="b">
        <v>0</v>
      </c>
      <c r="Z145" t="b">
        <v>0</v>
      </c>
      <c r="AA145" t="b">
        <v>1</v>
      </c>
      <c r="AB145" t="s">
        <v>914</v>
      </c>
      <c r="AC145" t="s">
        <v>7676</v>
      </c>
    </row>
    <row r="146" spans="1:29" x14ac:dyDescent="0.3">
      <c r="A146">
        <v>-73.972204099999999</v>
      </c>
      <c r="B146">
        <v>40.774312160000001</v>
      </c>
      <c r="C146" t="s">
        <v>483</v>
      </c>
      <c r="D146" t="s">
        <v>38</v>
      </c>
      <c r="E146" s="58">
        <v>43386</v>
      </c>
      <c r="F146">
        <v>29</v>
      </c>
      <c r="G146" t="s">
        <v>3842</v>
      </c>
      <c r="H146" t="s">
        <v>42</v>
      </c>
      <c r="I146" t="s">
        <v>115</v>
      </c>
      <c r="J146" t="s">
        <v>34</v>
      </c>
      <c r="K146" t="s">
        <v>3453</v>
      </c>
      <c r="L146" t="s">
        <v>44</v>
      </c>
      <c r="M146">
        <v>8</v>
      </c>
      <c r="N146" t="s">
        <v>1241</v>
      </c>
      <c r="O146" t="b">
        <v>0</v>
      </c>
      <c r="P146" t="b">
        <v>0</v>
      </c>
      <c r="Q146" t="b">
        <v>1</v>
      </c>
      <c r="R146" t="b">
        <v>1</v>
      </c>
      <c r="S146" t="b">
        <v>0</v>
      </c>
      <c r="T146" t="b">
        <v>1</v>
      </c>
      <c r="U146" t="b">
        <v>1</v>
      </c>
      <c r="V146" t="b">
        <v>0</v>
      </c>
      <c r="W146" t="b">
        <v>0</v>
      </c>
      <c r="X146" t="b">
        <v>0</v>
      </c>
      <c r="Y146" t="b">
        <v>0</v>
      </c>
      <c r="Z146" t="b">
        <v>1</v>
      </c>
      <c r="AA146" t="b">
        <v>0</v>
      </c>
      <c r="AB146" t="s">
        <v>3663</v>
      </c>
      <c r="AC146" t="s">
        <v>7677</v>
      </c>
    </row>
    <row r="147" spans="1:29" x14ac:dyDescent="0.3">
      <c r="A147">
        <v>-73.979998969999997</v>
      </c>
      <c r="B147">
        <v>40.79584534</v>
      </c>
      <c r="C147" t="s">
        <v>943</v>
      </c>
      <c r="D147" t="s">
        <v>33</v>
      </c>
      <c r="E147" s="58">
        <v>43391</v>
      </c>
      <c r="F147">
        <v>25</v>
      </c>
      <c r="G147" t="s">
        <v>3842</v>
      </c>
      <c r="H147" t="s">
        <v>42</v>
      </c>
      <c r="I147" t="s">
        <v>5105</v>
      </c>
      <c r="J147" t="s">
        <v>2942</v>
      </c>
      <c r="K147" t="s">
        <v>894</v>
      </c>
      <c r="L147" t="s">
        <v>44</v>
      </c>
      <c r="M147">
        <v>2</v>
      </c>
      <c r="N147" t="s">
        <v>5022</v>
      </c>
      <c r="O147" t="b">
        <v>1</v>
      </c>
      <c r="P147" t="b">
        <v>0</v>
      </c>
      <c r="Q147" t="b">
        <v>1</v>
      </c>
      <c r="R147" t="b">
        <v>0</v>
      </c>
      <c r="S147" t="b">
        <v>1</v>
      </c>
      <c r="T147" t="b">
        <v>1</v>
      </c>
      <c r="U147" t="b">
        <v>0</v>
      </c>
      <c r="V147" t="b">
        <v>1</v>
      </c>
      <c r="W147" t="b">
        <v>0</v>
      </c>
      <c r="X147" t="b">
        <v>1</v>
      </c>
      <c r="Y147" t="b">
        <v>0</v>
      </c>
      <c r="Z147" t="b">
        <v>1</v>
      </c>
      <c r="AA147" t="b">
        <v>0</v>
      </c>
      <c r="AB147" t="s">
        <v>1751</v>
      </c>
      <c r="AC147" t="s">
        <v>7678</v>
      </c>
    </row>
    <row r="148" spans="1:29" x14ac:dyDescent="0.3">
      <c r="A148">
        <v>-73.961995819999999</v>
      </c>
      <c r="B148">
        <v>40.792986319999997</v>
      </c>
      <c r="C148" t="s">
        <v>514</v>
      </c>
      <c r="D148" t="s">
        <v>38</v>
      </c>
      <c r="E148" s="58">
        <v>43389</v>
      </c>
      <c r="F148">
        <v>16</v>
      </c>
      <c r="G148" t="s">
        <v>48</v>
      </c>
      <c r="H148" t="s">
        <v>53</v>
      </c>
      <c r="I148" t="s">
        <v>1921</v>
      </c>
      <c r="J148" t="s">
        <v>89</v>
      </c>
      <c r="K148" t="s">
        <v>3843</v>
      </c>
      <c r="L148" t="s">
        <v>44</v>
      </c>
      <c r="M148">
        <v>25</v>
      </c>
      <c r="N148" t="s">
        <v>4323</v>
      </c>
      <c r="O148" t="b">
        <v>1</v>
      </c>
      <c r="P148" t="b">
        <v>0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b">
        <v>1</v>
      </c>
      <c r="W148" t="b">
        <v>0</v>
      </c>
      <c r="X148" t="b">
        <v>0</v>
      </c>
      <c r="Y148" t="b">
        <v>0</v>
      </c>
      <c r="Z148" t="b">
        <v>1</v>
      </c>
      <c r="AA148" t="b">
        <v>0</v>
      </c>
      <c r="AB148" t="s">
        <v>432</v>
      </c>
      <c r="AC148" t="s">
        <v>7679</v>
      </c>
    </row>
    <row r="149" spans="1:29" x14ac:dyDescent="0.3">
      <c r="A149">
        <v>-73.965355950000003</v>
      </c>
      <c r="B149">
        <v>40.788093340000003</v>
      </c>
      <c r="C149" t="s">
        <v>483</v>
      </c>
      <c r="D149" t="s">
        <v>33</v>
      </c>
      <c r="E149" s="58">
        <v>43380</v>
      </c>
      <c r="F149">
        <v>3</v>
      </c>
      <c r="G149" t="s">
        <v>105</v>
      </c>
      <c r="H149" t="s">
        <v>53</v>
      </c>
      <c r="I149" t="s">
        <v>53</v>
      </c>
      <c r="J149" t="s">
        <v>1922</v>
      </c>
      <c r="K149" t="s">
        <v>7365</v>
      </c>
      <c r="L149" t="s">
        <v>44</v>
      </c>
      <c r="M149">
        <v>15</v>
      </c>
      <c r="N149" t="s">
        <v>5673</v>
      </c>
      <c r="O149" t="b">
        <v>0</v>
      </c>
      <c r="P149" t="b">
        <v>1</v>
      </c>
      <c r="Q149" t="b">
        <v>1</v>
      </c>
      <c r="R149" t="b">
        <v>1</v>
      </c>
      <c r="S149" t="b">
        <v>1</v>
      </c>
      <c r="T149" t="b">
        <v>0</v>
      </c>
      <c r="U149" t="b">
        <v>0</v>
      </c>
      <c r="V149" t="b">
        <v>1</v>
      </c>
      <c r="W149" t="b">
        <v>1</v>
      </c>
      <c r="X149" t="b">
        <v>0</v>
      </c>
      <c r="Y149" t="b">
        <v>0</v>
      </c>
      <c r="Z149" t="b">
        <v>0</v>
      </c>
      <c r="AA149" t="b">
        <v>1</v>
      </c>
      <c r="AB149" t="s">
        <v>5188</v>
      </c>
      <c r="AC149" t="s">
        <v>7680</v>
      </c>
    </row>
    <row r="150" spans="1:29" x14ac:dyDescent="0.3">
      <c r="A150">
        <v>-73.979540249999999</v>
      </c>
      <c r="B150">
        <v>40.794857819999997</v>
      </c>
      <c r="C150" t="s">
        <v>1663</v>
      </c>
      <c r="D150" t="s">
        <v>33</v>
      </c>
      <c r="E150" s="58">
        <v>43392</v>
      </c>
      <c r="F150">
        <v>30</v>
      </c>
      <c r="G150" t="s">
        <v>105</v>
      </c>
      <c r="H150" t="s">
        <v>176</v>
      </c>
      <c r="I150" t="s">
        <v>53</v>
      </c>
      <c r="J150" t="s">
        <v>155</v>
      </c>
      <c r="K150" t="s">
        <v>4660</v>
      </c>
      <c r="L150" t="s">
        <v>65</v>
      </c>
      <c r="M150" t="b">
        <v>0</v>
      </c>
      <c r="N150" t="s">
        <v>3496</v>
      </c>
      <c r="O150" t="b">
        <v>0</v>
      </c>
      <c r="P150" t="b">
        <v>1</v>
      </c>
      <c r="Q150" t="b">
        <v>0</v>
      </c>
      <c r="R150" t="b">
        <v>1</v>
      </c>
      <c r="S150" t="b">
        <v>0</v>
      </c>
      <c r="T150" t="b">
        <v>1</v>
      </c>
      <c r="U150" t="b">
        <v>1</v>
      </c>
      <c r="V150" t="b">
        <v>1</v>
      </c>
      <c r="W150" t="b">
        <v>1</v>
      </c>
      <c r="X150" t="b">
        <v>0</v>
      </c>
      <c r="Y150" t="b">
        <v>1</v>
      </c>
      <c r="Z150" t="b">
        <v>0</v>
      </c>
      <c r="AA150" t="b">
        <v>1</v>
      </c>
      <c r="AB150" t="s">
        <v>3483</v>
      </c>
      <c r="AC150" t="s">
        <v>7681</v>
      </c>
    </row>
    <row r="151" spans="1:29" x14ac:dyDescent="0.3">
      <c r="A151">
        <v>-73.972398819999995</v>
      </c>
      <c r="B151">
        <v>40.795446230000003</v>
      </c>
      <c r="C151" t="s">
        <v>1521</v>
      </c>
      <c r="D151" t="s">
        <v>33</v>
      </c>
      <c r="E151" s="58">
        <v>43392</v>
      </c>
      <c r="F151">
        <v>10</v>
      </c>
      <c r="G151" t="s">
        <v>105</v>
      </c>
      <c r="H151" t="s">
        <v>42</v>
      </c>
      <c r="I151" t="s">
        <v>96</v>
      </c>
      <c r="J151" t="s">
        <v>177</v>
      </c>
      <c r="K151" t="s">
        <v>1688</v>
      </c>
      <c r="L151" t="s">
        <v>44</v>
      </c>
      <c r="M151">
        <v>25</v>
      </c>
      <c r="N151" t="s">
        <v>1346</v>
      </c>
      <c r="O151" t="b">
        <v>0</v>
      </c>
      <c r="P151" t="b">
        <v>1</v>
      </c>
      <c r="Q151" t="b">
        <v>0</v>
      </c>
      <c r="R151" t="b">
        <v>1</v>
      </c>
      <c r="S151" t="b">
        <v>0</v>
      </c>
      <c r="T151" t="b">
        <v>1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1</v>
      </c>
      <c r="AA151" t="b">
        <v>0</v>
      </c>
      <c r="AB151" t="s">
        <v>7086</v>
      </c>
      <c r="AC151" t="s">
        <v>7682</v>
      </c>
    </row>
    <row r="152" spans="1:29" x14ac:dyDescent="0.3">
      <c r="A152">
        <v>-73.952605599999998</v>
      </c>
      <c r="B152">
        <v>40.789850610000002</v>
      </c>
      <c r="C152" t="s">
        <v>1920</v>
      </c>
      <c r="D152" t="s">
        <v>33</v>
      </c>
      <c r="E152" s="58">
        <v>43390</v>
      </c>
      <c r="F152">
        <v>6</v>
      </c>
      <c r="G152" t="s">
        <v>105</v>
      </c>
      <c r="H152" t="s">
        <v>42</v>
      </c>
      <c r="I152" t="s">
        <v>96</v>
      </c>
      <c r="J152" t="s">
        <v>34</v>
      </c>
      <c r="K152" t="s">
        <v>49</v>
      </c>
      <c r="L152" t="s">
        <v>44</v>
      </c>
      <c r="M152">
        <v>6</v>
      </c>
      <c r="N152" t="s">
        <v>6335</v>
      </c>
      <c r="O152" t="b">
        <v>0</v>
      </c>
      <c r="P152" t="b">
        <v>1</v>
      </c>
      <c r="Q152" t="b">
        <v>0</v>
      </c>
      <c r="R152" t="b">
        <v>1</v>
      </c>
      <c r="S152" t="b">
        <v>0</v>
      </c>
      <c r="T152" t="b">
        <v>1</v>
      </c>
      <c r="U152" t="b">
        <v>1</v>
      </c>
      <c r="V152" t="b">
        <v>0</v>
      </c>
      <c r="W152" t="b">
        <v>1</v>
      </c>
      <c r="X152" t="b">
        <v>0</v>
      </c>
      <c r="Y152" t="b">
        <v>0</v>
      </c>
      <c r="Z152" t="b">
        <v>1</v>
      </c>
      <c r="AA152" t="b">
        <v>1</v>
      </c>
      <c r="AB152" t="s">
        <v>2090</v>
      </c>
      <c r="AC152" t="s">
        <v>7683</v>
      </c>
    </row>
    <row r="153" spans="1:29" x14ac:dyDescent="0.3">
      <c r="A153">
        <v>-73.973627519999994</v>
      </c>
      <c r="B153">
        <v>40.794380109999999</v>
      </c>
      <c r="C153" t="s">
        <v>163</v>
      </c>
      <c r="D153" t="s">
        <v>33</v>
      </c>
      <c r="E153" s="58">
        <v>43388</v>
      </c>
      <c r="F153">
        <v>18</v>
      </c>
      <c r="G153" t="s">
        <v>48</v>
      </c>
      <c r="H153" t="s">
        <v>53</v>
      </c>
      <c r="I153" t="s">
        <v>59</v>
      </c>
      <c r="J153" t="s">
        <v>34</v>
      </c>
      <c r="K153" t="s">
        <v>7178</v>
      </c>
      <c r="L153" t="s">
        <v>44</v>
      </c>
      <c r="M153">
        <v>20</v>
      </c>
      <c r="N153" t="s">
        <v>2349</v>
      </c>
      <c r="O153" t="b">
        <v>1</v>
      </c>
      <c r="P153" t="b">
        <v>1</v>
      </c>
      <c r="Q153" t="b">
        <v>0</v>
      </c>
      <c r="R153" t="b">
        <v>0</v>
      </c>
      <c r="S153" t="b">
        <v>1</v>
      </c>
      <c r="T153" t="b">
        <v>0</v>
      </c>
      <c r="U153" t="b">
        <v>0</v>
      </c>
      <c r="V153" t="b">
        <v>0</v>
      </c>
      <c r="W153" t="b">
        <v>0</v>
      </c>
      <c r="X153" t="b">
        <v>1</v>
      </c>
      <c r="Y153" t="b">
        <v>0</v>
      </c>
      <c r="Z153" t="b">
        <v>0</v>
      </c>
      <c r="AA153" t="b">
        <v>0</v>
      </c>
      <c r="AB153" t="s">
        <v>5188</v>
      </c>
      <c r="AC153" t="s">
        <v>7684</v>
      </c>
    </row>
    <row r="154" spans="1:29" x14ac:dyDescent="0.3">
      <c r="A154">
        <v>-73.976603549999993</v>
      </c>
      <c r="B154">
        <v>40.789467139999999</v>
      </c>
      <c r="C154" t="s">
        <v>693</v>
      </c>
      <c r="D154" t="s">
        <v>38</v>
      </c>
      <c r="E154" s="58">
        <v>43390</v>
      </c>
      <c r="F154">
        <v>18</v>
      </c>
      <c r="G154" t="s">
        <v>48</v>
      </c>
      <c r="H154" t="s">
        <v>176</v>
      </c>
      <c r="I154" t="s">
        <v>1921</v>
      </c>
      <c r="J154" t="s">
        <v>619</v>
      </c>
      <c r="K154" t="s">
        <v>2943</v>
      </c>
      <c r="L154" t="s">
        <v>65</v>
      </c>
      <c r="M154" t="b">
        <v>0</v>
      </c>
      <c r="N154" t="s">
        <v>6024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1</v>
      </c>
      <c r="U154" t="b">
        <v>0</v>
      </c>
      <c r="V154" t="b">
        <v>1</v>
      </c>
      <c r="W154" t="b">
        <v>0</v>
      </c>
      <c r="X154" t="b">
        <v>1</v>
      </c>
      <c r="Y154" t="b">
        <v>0</v>
      </c>
      <c r="Z154" t="b">
        <v>1</v>
      </c>
      <c r="AA154" t="b">
        <v>0</v>
      </c>
      <c r="AB154" t="s">
        <v>6253</v>
      </c>
      <c r="AC154" t="s">
        <v>7685</v>
      </c>
    </row>
    <row r="155" spans="1:29" x14ac:dyDescent="0.3">
      <c r="A155">
        <v>-73.965771750000002</v>
      </c>
      <c r="B155">
        <v>40.788856959999997</v>
      </c>
      <c r="C155" t="s">
        <v>82</v>
      </c>
      <c r="D155" t="s">
        <v>38</v>
      </c>
      <c r="E155" s="58">
        <v>43389</v>
      </c>
      <c r="F155">
        <v>5</v>
      </c>
      <c r="G155" t="s">
        <v>48</v>
      </c>
      <c r="H155" t="s">
        <v>176</v>
      </c>
      <c r="I155" t="s">
        <v>1921</v>
      </c>
      <c r="J155" t="s">
        <v>79</v>
      </c>
      <c r="K155" t="s">
        <v>3341</v>
      </c>
      <c r="L155" t="s">
        <v>44</v>
      </c>
      <c r="M155">
        <v>25</v>
      </c>
      <c r="N155" t="s">
        <v>4406</v>
      </c>
      <c r="O155" t="b">
        <v>1</v>
      </c>
      <c r="P155" t="b">
        <v>1</v>
      </c>
      <c r="Q155" t="b">
        <v>0</v>
      </c>
      <c r="R155" t="b">
        <v>1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1</v>
      </c>
      <c r="Z155" t="b">
        <v>1</v>
      </c>
      <c r="AA155" t="b">
        <v>1</v>
      </c>
      <c r="AB155" t="s">
        <v>690</v>
      </c>
      <c r="AC155" t="s">
        <v>7686</v>
      </c>
    </row>
    <row r="156" spans="1:29" x14ac:dyDescent="0.3">
      <c r="A156">
        <v>-73.950172870000003</v>
      </c>
      <c r="B156">
        <v>40.786690640000003</v>
      </c>
      <c r="C156" t="s">
        <v>2577</v>
      </c>
      <c r="D156" t="s">
        <v>33</v>
      </c>
      <c r="E156" s="58">
        <v>43393</v>
      </c>
      <c r="F156">
        <v>21</v>
      </c>
      <c r="G156" t="s">
        <v>3842</v>
      </c>
      <c r="H156" t="s">
        <v>53</v>
      </c>
      <c r="I156" t="s">
        <v>59</v>
      </c>
      <c r="J156" t="s">
        <v>3228</v>
      </c>
      <c r="K156" t="s">
        <v>64</v>
      </c>
      <c r="L156" t="s">
        <v>44</v>
      </c>
      <c r="M156">
        <v>4</v>
      </c>
      <c r="N156" t="s">
        <v>3826</v>
      </c>
      <c r="O156" t="b">
        <v>0</v>
      </c>
      <c r="P156" t="b">
        <v>1</v>
      </c>
      <c r="Q156" t="b">
        <v>0</v>
      </c>
      <c r="R156" t="b">
        <v>0</v>
      </c>
      <c r="S156" t="b">
        <v>0</v>
      </c>
      <c r="T156" t="b">
        <v>1</v>
      </c>
      <c r="U156" t="b">
        <v>1</v>
      </c>
      <c r="V156" t="b">
        <v>1</v>
      </c>
      <c r="W156" t="b">
        <v>1</v>
      </c>
      <c r="X156" t="b">
        <v>0</v>
      </c>
      <c r="Y156" t="b">
        <v>0</v>
      </c>
      <c r="Z156" t="b">
        <v>0</v>
      </c>
      <c r="AA156" t="b">
        <v>0</v>
      </c>
      <c r="AB156" t="s">
        <v>2962</v>
      </c>
      <c r="AC156" t="s">
        <v>7687</v>
      </c>
    </row>
    <row r="157" spans="1:29" x14ac:dyDescent="0.3">
      <c r="A157">
        <v>-73.973549129999995</v>
      </c>
      <c r="B157">
        <v>40.791412200000003</v>
      </c>
      <c r="C157" t="s">
        <v>95</v>
      </c>
      <c r="D157" t="s">
        <v>38</v>
      </c>
      <c r="E157" s="58">
        <v>43379</v>
      </c>
      <c r="F157">
        <v>29</v>
      </c>
      <c r="G157" t="s">
        <v>3842</v>
      </c>
      <c r="H157" t="s">
        <v>42</v>
      </c>
      <c r="I157" t="s">
        <v>1921</v>
      </c>
      <c r="J157" t="s">
        <v>34</v>
      </c>
      <c r="K157" t="s">
        <v>3942</v>
      </c>
      <c r="L157" t="s">
        <v>44</v>
      </c>
      <c r="M157">
        <v>15</v>
      </c>
      <c r="N157" t="s">
        <v>524</v>
      </c>
      <c r="O157" t="b">
        <v>1</v>
      </c>
      <c r="P157" t="b">
        <v>0</v>
      </c>
      <c r="Q157" t="b">
        <v>1</v>
      </c>
      <c r="R157" t="b">
        <v>1</v>
      </c>
      <c r="S157" t="b">
        <v>1</v>
      </c>
      <c r="T157" t="b">
        <v>1</v>
      </c>
      <c r="U157" t="b">
        <v>0</v>
      </c>
      <c r="V157" t="b">
        <v>1</v>
      </c>
      <c r="W157" t="b">
        <v>0</v>
      </c>
      <c r="X157" t="b">
        <v>1</v>
      </c>
      <c r="Y157" t="b">
        <v>0</v>
      </c>
      <c r="Z157" t="b">
        <v>0</v>
      </c>
      <c r="AA157" t="b">
        <v>0</v>
      </c>
      <c r="AB157" t="s">
        <v>1264</v>
      </c>
      <c r="AC157" t="s">
        <v>7688</v>
      </c>
    </row>
    <row r="158" spans="1:29" x14ac:dyDescent="0.3">
      <c r="A158">
        <v>-73.960028780000002</v>
      </c>
      <c r="B158">
        <v>40.770494810000002</v>
      </c>
      <c r="C158" t="s">
        <v>646</v>
      </c>
      <c r="D158" t="s">
        <v>33</v>
      </c>
      <c r="E158" s="58">
        <v>43388</v>
      </c>
      <c r="F158">
        <v>7</v>
      </c>
      <c r="G158" t="s">
        <v>3842</v>
      </c>
      <c r="H158" t="s">
        <v>53</v>
      </c>
      <c r="I158" t="s">
        <v>148</v>
      </c>
      <c r="J158" t="s">
        <v>3228</v>
      </c>
      <c r="K158" t="s">
        <v>5976</v>
      </c>
      <c r="L158" t="s">
        <v>44</v>
      </c>
      <c r="M158">
        <v>25</v>
      </c>
      <c r="N158" t="s">
        <v>5652</v>
      </c>
      <c r="O158" t="b">
        <v>0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  <c r="U158" t="b">
        <v>1</v>
      </c>
      <c r="V158" t="b">
        <v>1</v>
      </c>
      <c r="W158" t="b">
        <v>1</v>
      </c>
      <c r="X158" t="b">
        <v>0</v>
      </c>
      <c r="Y158" t="b">
        <v>0</v>
      </c>
      <c r="Z158" t="b">
        <v>1</v>
      </c>
      <c r="AA158" t="b">
        <v>0</v>
      </c>
      <c r="AB158" t="s">
        <v>4727</v>
      </c>
      <c r="AC158" t="s">
        <v>7689</v>
      </c>
    </row>
    <row r="159" spans="1:29" x14ac:dyDescent="0.3">
      <c r="A159">
        <v>-73.957215689999998</v>
      </c>
      <c r="B159">
        <v>40.795924229999997</v>
      </c>
      <c r="C159" t="s">
        <v>289</v>
      </c>
      <c r="D159" t="s">
        <v>38</v>
      </c>
      <c r="E159" s="58">
        <v>43380</v>
      </c>
      <c r="F159">
        <v>28</v>
      </c>
      <c r="G159" t="s">
        <v>105</v>
      </c>
      <c r="H159" t="s">
        <v>53</v>
      </c>
      <c r="I159" t="s">
        <v>737</v>
      </c>
      <c r="J159" t="s">
        <v>54</v>
      </c>
      <c r="K159" t="s">
        <v>3347</v>
      </c>
      <c r="L159" t="s">
        <v>44</v>
      </c>
      <c r="M159">
        <v>25</v>
      </c>
      <c r="N159" t="s">
        <v>379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1</v>
      </c>
      <c r="Y159" t="b">
        <v>1</v>
      </c>
      <c r="Z159" t="b">
        <v>0</v>
      </c>
      <c r="AA159" t="b">
        <v>0</v>
      </c>
      <c r="AB159" t="s">
        <v>3474</v>
      </c>
      <c r="AC159" t="s">
        <v>7690</v>
      </c>
    </row>
    <row r="160" spans="1:29" x14ac:dyDescent="0.3">
      <c r="A160">
        <v>-73.973688010000004</v>
      </c>
      <c r="B160">
        <v>40.795606399999997</v>
      </c>
      <c r="C160" t="s">
        <v>520</v>
      </c>
      <c r="D160" t="s">
        <v>33</v>
      </c>
      <c r="E160" s="58">
        <v>43380</v>
      </c>
      <c r="F160">
        <v>2</v>
      </c>
      <c r="G160" t="s">
        <v>3842</v>
      </c>
      <c r="H160" t="s">
        <v>53</v>
      </c>
      <c r="I160" t="s">
        <v>5105</v>
      </c>
      <c r="J160" t="s">
        <v>1922</v>
      </c>
      <c r="K160" t="s">
        <v>1181</v>
      </c>
      <c r="L160" t="s">
        <v>65</v>
      </c>
      <c r="M160" t="b">
        <v>0</v>
      </c>
      <c r="N160" t="s">
        <v>6373</v>
      </c>
      <c r="O160" t="b">
        <v>0</v>
      </c>
      <c r="P160" t="b">
        <v>1</v>
      </c>
      <c r="Q160" t="b">
        <v>0</v>
      </c>
      <c r="R160" t="b">
        <v>1</v>
      </c>
      <c r="S160" t="b">
        <v>1</v>
      </c>
      <c r="T160" t="b">
        <v>0</v>
      </c>
      <c r="U160" t="b">
        <v>0</v>
      </c>
      <c r="V160" t="b">
        <v>1</v>
      </c>
      <c r="W160" t="b">
        <v>0</v>
      </c>
      <c r="X160" t="b">
        <v>0</v>
      </c>
      <c r="Y160" t="b">
        <v>0</v>
      </c>
      <c r="Z160" t="b">
        <v>1</v>
      </c>
      <c r="AA160" t="b">
        <v>0</v>
      </c>
      <c r="AB160" t="s">
        <v>3884</v>
      </c>
      <c r="AC160" t="s">
        <v>7691</v>
      </c>
    </row>
    <row r="161" spans="1:29" x14ac:dyDescent="0.3">
      <c r="A161">
        <v>-73.958265780000005</v>
      </c>
      <c r="B161">
        <v>40.765940399999998</v>
      </c>
      <c r="C161" t="s">
        <v>119</v>
      </c>
      <c r="D161" t="s">
        <v>38</v>
      </c>
      <c r="E161" s="58">
        <v>43390</v>
      </c>
      <c r="F161">
        <v>11</v>
      </c>
      <c r="G161" t="s">
        <v>105</v>
      </c>
      <c r="H161" t="s">
        <v>53</v>
      </c>
      <c r="I161" t="s">
        <v>96</v>
      </c>
      <c r="J161" t="s">
        <v>149</v>
      </c>
      <c r="K161" t="s">
        <v>2943</v>
      </c>
      <c r="L161" t="s">
        <v>65</v>
      </c>
      <c r="M161" t="b">
        <v>0</v>
      </c>
      <c r="N161" t="s">
        <v>405</v>
      </c>
      <c r="O161" t="b">
        <v>1</v>
      </c>
      <c r="P161" t="b">
        <v>0</v>
      </c>
      <c r="Q161" t="b">
        <v>1</v>
      </c>
      <c r="R161" t="b">
        <v>1</v>
      </c>
      <c r="S161" t="b">
        <v>1</v>
      </c>
      <c r="T161" t="b">
        <v>1</v>
      </c>
      <c r="U161" t="b">
        <v>0</v>
      </c>
      <c r="V161" t="b">
        <v>0</v>
      </c>
      <c r="W161" t="b">
        <v>1</v>
      </c>
      <c r="X161" t="b">
        <v>1</v>
      </c>
      <c r="Y161" t="b">
        <v>1</v>
      </c>
      <c r="Z161" t="b">
        <v>1</v>
      </c>
      <c r="AA161" t="b">
        <v>1</v>
      </c>
      <c r="AB161" t="s">
        <v>1073</v>
      </c>
      <c r="AC161" t="s">
        <v>7692</v>
      </c>
    </row>
    <row r="162" spans="1:29" x14ac:dyDescent="0.3">
      <c r="A162">
        <v>-73.96959665</v>
      </c>
      <c r="B162">
        <v>40.793985900000003</v>
      </c>
      <c r="C162" t="s">
        <v>839</v>
      </c>
      <c r="D162" t="s">
        <v>33</v>
      </c>
      <c r="E162" s="58">
        <v>43381</v>
      </c>
      <c r="F162">
        <v>30</v>
      </c>
      <c r="G162" t="s">
        <v>3842</v>
      </c>
      <c r="H162" t="s">
        <v>42</v>
      </c>
      <c r="I162" t="s">
        <v>59</v>
      </c>
      <c r="J162" t="s">
        <v>705</v>
      </c>
      <c r="K162" t="s">
        <v>4110</v>
      </c>
      <c r="L162" t="s">
        <v>65</v>
      </c>
      <c r="M162" t="b">
        <v>0</v>
      </c>
      <c r="N162" t="s">
        <v>2189</v>
      </c>
      <c r="O162" t="b">
        <v>1</v>
      </c>
      <c r="P162" t="b">
        <v>0</v>
      </c>
      <c r="Q162" t="b">
        <v>0</v>
      </c>
      <c r="R162" t="b">
        <v>1</v>
      </c>
      <c r="S162" t="b">
        <v>1</v>
      </c>
      <c r="T162" t="b">
        <v>0</v>
      </c>
      <c r="U162" t="b">
        <v>1</v>
      </c>
      <c r="V162" t="b">
        <v>0</v>
      </c>
      <c r="W162" t="b">
        <v>0</v>
      </c>
      <c r="X162" t="b">
        <v>1</v>
      </c>
      <c r="Y162" t="b">
        <v>0</v>
      </c>
      <c r="Z162" t="b">
        <v>0</v>
      </c>
      <c r="AA162" t="b">
        <v>1</v>
      </c>
      <c r="AB162" t="s">
        <v>4104</v>
      </c>
      <c r="AC162" t="s">
        <v>7693</v>
      </c>
    </row>
    <row r="163" spans="1:29" x14ac:dyDescent="0.3">
      <c r="A163">
        <v>-73.961280900000006</v>
      </c>
      <c r="B163">
        <v>40.769447900000003</v>
      </c>
      <c r="C163" t="s">
        <v>1859</v>
      </c>
      <c r="D163" t="s">
        <v>33</v>
      </c>
      <c r="E163" s="58">
        <v>43388</v>
      </c>
      <c r="F163">
        <v>13</v>
      </c>
      <c r="G163" t="s">
        <v>105</v>
      </c>
      <c r="H163" t="s">
        <v>53</v>
      </c>
      <c r="I163" t="s">
        <v>59</v>
      </c>
      <c r="J163" t="s">
        <v>1233</v>
      </c>
      <c r="K163" t="s">
        <v>7178</v>
      </c>
      <c r="L163" t="s">
        <v>44</v>
      </c>
      <c r="M163">
        <v>40</v>
      </c>
      <c r="N163" t="s">
        <v>5420</v>
      </c>
      <c r="O163" t="b">
        <v>1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  <c r="U163" t="b">
        <v>1</v>
      </c>
      <c r="V163" t="b">
        <v>0</v>
      </c>
      <c r="W163" t="b">
        <v>1</v>
      </c>
      <c r="X163" t="b">
        <v>0</v>
      </c>
      <c r="Y163" t="b">
        <v>0</v>
      </c>
      <c r="Z163" t="b">
        <v>1</v>
      </c>
      <c r="AA163" t="b">
        <v>0</v>
      </c>
      <c r="AB163" t="s">
        <v>4031</v>
      </c>
      <c r="AC163" t="s">
        <v>7694</v>
      </c>
    </row>
    <row r="164" spans="1:29" x14ac:dyDescent="0.3">
      <c r="A164">
        <v>-73.961242429999999</v>
      </c>
      <c r="B164">
        <v>40.776709480000001</v>
      </c>
      <c r="C164" t="s">
        <v>863</v>
      </c>
      <c r="D164" t="s">
        <v>38</v>
      </c>
      <c r="E164" s="58">
        <v>43385</v>
      </c>
      <c r="F164">
        <v>23</v>
      </c>
      <c r="G164" t="s">
        <v>3842</v>
      </c>
      <c r="H164" t="s">
        <v>42</v>
      </c>
      <c r="I164" t="s">
        <v>1921</v>
      </c>
      <c r="J164" t="s">
        <v>705</v>
      </c>
      <c r="K164" t="s">
        <v>2503</v>
      </c>
      <c r="L164" t="s">
        <v>65</v>
      </c>
      <c r="M164" t="b">
        <v>0</v>
      </c>
      <c r="N164" t="s">
        <v>5652</v>
      </c>
      <c r="O164" t="b">
        <v>0</v>
      </c>
      <c r="P164" t="b">
        <v>1</v>
      </c>
      <c r="Q164" t="b">
        <v>0</v>
      </c>
      <c r="R164" t="b">
        <v>0</v>
      </c>
      <c r="S164" t="b">
        <v>1</v>
      </c>
      <c r="T164" t="b">
        <v>0</v>
      </c>
      <c r="U164" t="b">
        <v>0</v>
      </c>
      <c r="V164" t="b">
        <v>1</v>
      </c>
      <c r="W164" t="b">
        <v>0</v>
      </c>
      <c r="X164" t="b">
        <v>0</v>
      </c>
      <c r="Y164" t="b">
        <v>0</v>
      </c>
      <c r="Z164" t="b">
        <v>0</v>
      </c>
      <c r="AA164" t="b">
        <v>1</v>
      </c>
      <c r="AB164" t="s">
        <v>290</v>
      </c>
      <c r="AC164" t="s">
        <v>7695</v>
      </c>
    </row>
    <row r="165" spans="1:29" x14ac:dyDescent="0.3">
      <c r="A165">
        <v>-73.964315529999993</v>
      </c>
      <c r="B165">
        <v>40.791088000000002</v>
      </c>
      <c r="C165" t="s">
        <v>1663</v>
      </c>
      <c r="D165" t="s">
        <v>38</v>
      </c>
      <c r="E165" s="58">
        <v>43380</v>
      </c>
      <c r="F165">
        <v>5</v>
      </c>
      <c r="G165" t="s">
        <v>3842</v>
      </c>
      <c r="H165" t="s">
        <v>53</v>
      </c>
      <c r="I165" t="s">
        <v>53</v>
      </c>
      <c r="J165" t="s">
        <v>60</v>
      </c>
      <c r="K165" t="s">
        <v>3248</v>
      </c>
      <c r="L165" t="s">
        <v>44</v>
      </c>
      <c r="M165">
        <v>3</v>
      </c>
      <c r="N165" t="s">
        <v>1766</v>
      </c>
      <c r="O165" t="b">
        <v>1</v>
      </c>
      <c r="P165" t="b">
        <v>0</v>
      </c>
      <c r="Q165" t="b">
        <v>1</v>
      </c>
      <c r="R165" t="b">
        <v>1</v>
      </c>
      <c r="S165" t="b">
        <v>1</v>
      </c>
      <c r="T165" t="b">
        <v>0</v>
      </c>
      <c r="U165" t="b">
        <v>0</v>
      </c>
      <c r="V165" t="b">
        <v>0</v>
      </c>
      <c r="W165" t="b">
        <v>0</v>
      </c>
      <c r="X165" t="b">
        <v>1</v>
      </c>
      <c r="Y165" t="b">
        <v>0</v>
      </c>
      <c r="Z165" t="b">
        <v>0</v>
      </c>
      <c r="AA165" t="b">
        <v>0</v>
      </c>
      <c r="AB165" t="s">
        <v>1284</v>
      </c>
      <c r="AC165" t="s">
        <v>7696</v>
      </c>
    </row>
    <row r="166" spans="1:29" x14ac:dyDescent="0.3">
      <c r="A166">
        <v>-73.978320159999996</v>
      </c>
      <c r="B166">
        <v>40.770570679999999</v>
      </c>
      <c r="C166" t="s">
        <v>486</v>
      </c>
      <c r="D166" t="s">
        <v>33</v>
      </c>
      <c r="E166" s="58">
        <v>43392</v>
      </c>
      <c r="F166">
        <v>30</v>
      </c>
      <c r="G166" t="s">
        <v>48</v>
      </c>
      <c r="H166" t="s">
        <v>176</v>
      </c>
      <c r="I166" t="s">
        <v>176</v>
      </c>
      <c r="J166" t="s">
        <v>79</v>
      </c>
      <c r="K166" t="s">
        <v>2973</v>
      </c>
      <c r="L166" t="s">
        <v>44</v>
      </c>
      <c r="M166">
        <v>3</v>
      </c>
      <c r="N166" t="s">
        <v>3140</v>
      </c>
      <c r="O166" t="b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b">
        <v>1</v>
      </c>
      <c r="W166" t="b">
        <v>0</v>
      </c>
      <c r="X166" t="b">
        <v>0</v>
      </c>
      <c r="Y166" t="b">
        <v>0</v>
      </c>
      <c r="Z166" t="b">
        <v>1</v>
      </c>
      <c r="AA166" t="b">
        <v>0</v>
      </c>
      <c r="AB166" t="s">
        <v>4495</v>
      </c>
      <c r="AC166" t="s">
        <v>7697</v>
      </c>
    </row>
    <row r="167" spans="1:29" x14ac:dyDescent="0.3">
      <c r="A167">
        <v>-73.954899330000003</v>
      </c>
      <c r="B167">
        <v>40.793709530000001</v>
      </c>
      <c r="C167" t="s">
        <v>1287</v>
      </c>
      <c r="D167" t="s">
        <v>38</v>
      </c>
      <c r="E167" s="58">
        <v>43379</v>
      </c>
      <c r="F167">
        <v>6</v>
      </c>
      <c r="G167" t="s">
        <v>3842</v>
      </c>
      <c r="H167" t="s">
        <v>42</v>
      </c>
      <c r="I167" t="s">
        <v>42</v>
      </c>
      <c r="J167" t="s">
        <v>3580</v>
      </c>
      <c r="K167" t="s">
        <v>2282</v>
      </c>
      <c r="L167" t="s">
        <v>44</v>
      </c>
      <c r="M167">
        <v>12</v>
      </c>
      <c r="N167" t="s">
        <v>299</v>
      </c>
      <c r="O167" t="b">
        <v>0</v>
      </c>
      <c r="P167" t="b">
        <v>1</v>
      </c>
      <c r="Q167" t="b">
        <v>1</v>
      </c>
      <c r="R167" t="b">
        <v>1</v>
      </c>
      <c r="S167" t="b">
        <v>0</v>
      </c>
      <c r="T167" t="b">
        <v>1</v>
      </c>
      <c r="U167" t="b">
        <v>0</v>
      </c>
      <c r="V167" t="b">
        <v>1</v>
      </c>
      <c r="W167" t="b">
        <v>1</v>
      </c>
      <c r="X167" t="b">
        <v>1</v>
      </c>
      <c r="Y167" t="b">
        <v>0</v>
      </c>
      <c r="Z167" t="b">
        <v>0</v>
      </c>
      <c r="AA167" t="b">
        <v>0</v>
      </c>
      <c r="AB167" t="s">
        <v>167</v>
      </c>
      <c r="AC167" t="s">
        <v>7698</v>
      </c>
    </row>
    <row r="168" spans="1:29" x14ac:dyDescent="0.3">
      <c r="A168">
        <v>-73.971074279999996</v>
      </c>
      <c r="B168">
        <v>40.794208320000003</v>
      </c>
      <c r="C168" t="s">
        <v>275</v>
      </c>
      <c r="D168" t="s">
        <v>33</v>
      </c>
      <c r="E168" s="58">
        <v>43392</v>
      </c>
      <c r="F168">
        <v>24</v>
      </c>
      <c r="G168" t="s">
        <v>3842</v>
      </c>
      <c r="H168" t="s">
        <v>176</v>
      </c>
      <c r="I168" t="s">
        <v>42</v>
      </c>
      <c r="J168" t="s">
        <v>1233</v>
      </c>
      <c r="K168" t="s">
        <v>2685</v>
      </c>
      <c r="L168" t="s">
        <v>44</v>
      </c>
      <c r="M168">
        <v>30</v>
      </c>
      <c r="N168" t="s">
        <v>4953</v>
      </c>
      <c r="O168" t="b">
        <v>0</v>
      </c>
      <c r="P168" t="b">
        <v>0</v>
      </c>
      <c r="Q168" t="b">
        <v>1</v>
      </c>
      <c r="R168" t="b">
        <v>1</v>
      </c>
      <c r="S168" t="b">
        <v>1</v>
      </c>
      <c r="T168" t="b">
        <v>0</v>
      </c>
      <c r="U168" t="b">
        <v>0</v>
      </c>
      <c r="V168" t="b">
        <v>1</v>
      </c>
      <c r="W168" t="b">
        <v>0</v>
      </c>
      <c r="X168" t="b">
        <v>0</v>
      </c>
      <c r="Y168" t="b">
        <v>0</v>
      </c>
      <c r="Z168" t="b">
        <v>1</v>
      </c>
      <c r="AA168" t="b">
        <v>0</v>
      </c>
      <c r="AB168" t="s">
        <v>360</v>
      </c>
      <c r="AC168" t="s">
        <v>7699</v>
      </c>
    </row>
    <row r="169" spans="1:29" x14ac:dyDescent="0.3">
      <c r="A169">
        <v>-73.975295029999998</v>
      </c>
      <c r="B169">
        <v>40.782777520000003</v>
      </c>
      <c r="C169" t="s">
        <v>1525</v>
      </c>
      <c r="D169" t="s">
        <v>38</v>
      </c>
      <c r="E169" s="58">
        <v>43384</v>
      </c>
      <c r="F169">
        <v>26</v>
      </c>
      <c r="G169" t="s">
        <v>48</v>
      </c>
      <c r="H169" t="s">
        <v>53</v>
      </c>
      <c r="I169" t="s">
        <v>59</v>
      </c>
      <c r="J169" t="s">
        <v>5106</v>
      </c>
      <c r="K169" t="s">
        <v>1005</v>
      </c>
      <c r="L169" t="s">
        <v>65</v>
      </c>
      <c r="M169" t="b">
        <v>0</v>
      </c>
      <c r="N169" t="s">
        <v>6370</v>
      </c>
      <c r="O169" t="b">
        <v>1</v>
      </c>
      <c r="P169" t="b">
        <v>1</v>
      </c>
      <c r="Q169" t="b">
        <v>1</v>
      </c>
      <c r="R169" t="b">
        <v>1</v>
      </c>
      <c r="S169" t="b">
        <v>0</v>
      </c>
      <c r="T169" t="b">
        <v>1</v>
      </c>
      <c r="U169" t="b">
        <v>0</v>
      </c>
      <c r="V169" t="b">
        <v>1</v>
      </c>
      <c r="W169" t="b">
        <v>1</v>
      </c>
      <c r="X169" t="b">
        <v>0</v>
      </c>
      <c r="Y169" t="b">
        <v>0</v>
      </c>
      <c r="Z169" t="b">
        <v>0</v>
      </c>
      <c r="AA169" t="b">
        <v>1</v>
      </c>
      <c r="AB169" t="s">
        <v>714</v>
      </c>
      <c r="AC169" t="s">
        <v>7700</v>
      </c>
    </row>
    <row r="170" spans="1:29" x14ac:dyDescent="0.3">
      <c r="A170">
        <v>-73.979876739999995</v>
      </c>
      <c r="B170">
        <v>40.7651355</v>
      </c>
      <c r="C170" t="s">
        <v>642</v>
      </c>
      <c r="D170" t="s">
        <v>38</v>
      </c>
      <c r="E170" s="58">
        <v>43387</v>
      </c>
      <c r="F170">
        <v>29</v>
      </c>
      <c r="G170" t="s">
        <v>105</v>
      </c>
      <c r="H170" t="s">
        <v>53</v>
      </c>
      <c r="I170" t="s">
        <v>5105</v>
      </c>
      <c r="J170" t="s">
        <v>43</v>
      </c>
      <c r="K170" t="s">
        <v>4237</v>
      </c>
      <c r="L170" t="s">
        <v>65</v>
      </c>
      <c r="M170" t="b">
        <v>0</v>
      </c>
      <c r="N170" t="s">
        <v>3132</v>
      </c>
      <c r="O170" t="b">
        <v>0</v>
      </c>
      <c r="P170" t="b">
        <v>1</v>
      </c>
      <c r="Q170" t="b">
        <v>1</v>
      </c>
      <c r="R170" t="b">
        <v>0</v>
      </c>
      <c r="S170" t="b">
        <v>1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1</v>
      </c>
      <c r="AA170" t="b">
        <v>1</v>
      </c>
      <c r="AB170" t="s">
        <v>511</v>
      </c>
      <c r="AC170" t="s">
        <v>7701</v>
      </c>
    </row>
    <row r="171" spans="1:29" x14ac:dyDescent="0.3">
      <c r="A171">
        <v>-73.962582789999999</v>
      </c>
      <c r="B171">
        <v>40.775016659999999</v>
      </c>
      <c r="C171" t="s">
        <v>2056</v>
      </c>
      <c r="D171" t="s">
        <v>33</v>
      </c>
      <c r="E171" s="58">
        <v>43393</v>
      </c>
      <c r="F171">
        <v>14</v>
      </c>
      <c r="G171" t="s">
        <v>48</v>
      </c>
      <c r="H171" t="s">
        <v>53</v>
      </c>
      <c r="I171" t="s">
        <v>148</v>
      </c>
      <c r="J171" t="s">
        <v>5106</v>
      </c>
      <c r="K171" t="s">
        <v>1666</v>
      </c>
      <c r="L171" t="s">
        <v>65</v>
      </c>
      <c r="M171" t="b">
        <v>0</v>
      </c>
      <c r="N171" t="s">
        <v>6636</v>
      </c>
      <c r="O171" t="b">
        <v>1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1</v>
      </c>
      <c r="Y171" t="b">
        <v>1</v>
      </c>
      <c r="Z171" t="b">
        <v>0</v>
      </c>
      <c r="AA171" t="b">
        <v>0</v>
      </c>
      <c r="AB171" t="s">
        <v>4055</v>
      </c>
      <c r="AC171" t="s">
        <v>7702</v>
      </c>
    </row>
    <row r="172" spans="1:29" x14ac:dyDescent="0.3">
      <c r="A172">
        <v>-73.959858120000007</v>
      </c>
      <c r="B172">
        <v>40.78663134</v>
      </c>
      <c r="C172" t="s">
        <v>3796</v>
      </c>
      <c r="D172" t="s">
        <v>38</v>
      </c>
      <c r="E172" s="58">
        <v>43381</v>
      </c>
      <c r="F172">
        <v>12</v>
      </c>
      <c r="G172" t="s">
        <v>48</v>
      </c>
      <c r="H172" t="s">
        <v>42</v>
      </c>
      <c r="I172" t="s">
        <v>5105</v>
      </c>
      <c r="J172" t="s">
        <v>79</v>
      </c>
      <c r="K172" t="s">
        <v>6823</v>
      </c>
      <c r="L172" t="s">
        <v>44</v>
      </c>
      <c r="M172">
        <v>5</v>
      </c>
      <c r="N172" t="s">
        <v>6538</v>
      </c>
      <c r="O172" t="b">
        <v>0</v>
      </c>
      <c r="P172" t="b">
        <v>1</v>
      </c>
      <c r="Q172" t="b">
        <v>1</v>
      </c>
      <c r="R172" t="b">
        <v>0</v>
      </c>
      <c r="S172" t="b">
        <v>1</v>
      </c>
      <c r="T172" t="b">
        <v>1</v>
      </c>
      <c r="U172" t="b">
        <v>1</v>
      </c>
      <c r="V172" t="b">
        <v>0</v>
      </c>
      <c r="W172" t="b">
        <v>1</v>
      </c>
      <c r="X172" t="b">
        <v>1</v>
      </c>
      <c r="Y172" t="b">
        <v>1</v>
      </c>
      <c r="Z172" t="b">
        <v>1</v>
      </c>
      <c r="AA172" t="b">
        <v>1</v>
      </c>
      <c r="AB172" t="s">
        <v>6045</v>
      </c>
      <c r="AC172" t="s">
        <v>7703</v>
      </c>
    </row>
    <row r="173" spans="1:29" x14ac:dyDescent="0.3">
      <c r="A173">
        <v>-73.980637110000004</v>
      </c>
      <c r="B173">
        <v>40.799456120000002</v>
      </c>
      <c r="C173" t="s">
        <v>133</v>
      </c>
      <c r="D173" t="s">
        <v>38</v>
      </c>
      <c r="E173" s="58">
        <v>43384</v>
      </c>
      <c r="F173">
        <v>4</v>
      </c>
      <c r="G173" t="s">
        <v>105</v>
      </c>
      <c r="H173" t="s">
        <v>176</v>
      </c>
      <c r="I173" t="s">
        <v>59</v>
      </c>
      <c r="J173" t="s">
        <v>60</v>
      </c>
      <c r="K173" t="s">
        <v>6582</v>
      </c>
      <c r="L173" t="s">
        <v>65</v>
      </c>
      <c r="M173" t="b">
        <v>0</v>
      </c>
      <c r="N173" t="s">
        <v>4293</v>
      </c>
      <c r="O173" t="b">
        <v>0</v>
      </c>
      <c r="P173" t="b">
        <v>0</v>
      </c>
      <c r="Q173" t="b">
        <v>1</v>
      </c>
      <c r="R173" t="b">
        <v>0</v>
      </c>
      <c r="S173" t="b">
        <v>1</v>
      </c>
      <c r="T173" t="b">
        <v>1</v>
      </c>
      <c r="U173" t="b">
        <v>0</v>
      </c>
      <c r="V173" t="b">
        <v>0</v>
      </c>
      <c r="W173" t="b">
        <v>0</v>
      </c>
      <c r="X173" t="b">
        <v>0</v>
      </c>
      <c r="Y173" t="b">
        <v>1</v>
      </c>
      <c r="Z173" t="b">
        <v>1</v>
      </c>
      <c r="AA173" t="b">
        <v>0</v>
      </c>
      <c r="AB173" t="s">
        <v>6963</v>
      </c>
      <c r="AC173" t="s">
        <v>7704</v>
      </c>
    </row>
    <row r="174" spans="1:29" x14ac:dyDescent="0.3">
      <c r="A174">
        <v>-73.965060010000002</v>
      </c>
      <c r="B174">
        <v>40.787155460000001</v>
      </c>
      <c r="C174" t="s">
        <v>660</v>
      </c>
      <c r="D174" t="s">
        <v>33</v>
      </c>
      <c r="E174" s="58">
        <v>43381</v>
      </c>
      <c r="F174">
        <v>29</v>
      </c>
      <c r="G174" t="s">
        <v>3842</v>
      </c>
      <c r="H174" t="s">
        <v>42</v>
      </c>
      <c r="I174" t="s">
        <v>5105</v>
      </c>
      <c r="J174" t="s">
        <v>60</v>
      </c>
      <c r="K174" t="s">
        <v>4237</v>
      </c>
      <c r="L174" t="s">
        <v>65</v>
      </c>
      <c r="M174" t="b">
        <v>0</v>
      </c>
      <c r="N174" t="s">
        <v>3687</v>
      </c>
      <c r="O174" t="b">
        <v>0</v>
      </c>
      <c r="P174" t="b">
        <v>0</v>
      </c>
      <c r="Q174" t="b">
        <v>0</v>
      </c>
      <c r="R174" t="b">
        <v>1</v>
      </c>
      <c r="S174" t="b">
        <v>0</v>
      </c>
      <c r="T174" t="b">
        <v>1</v>
      </c>
      <c r="U174" t="b">
        <v>1</v>
      </c>
      <c r="V174" t="b">
        <v>1</v>
      </c>
      <c r="W174" t="b">
        <v>0</v>
      </c>
      <c r="X174" t="b">
        <v>1</v>
      </c>
      <c r="Y174" t="b">
        <v>1</v>
      </c>
      <c r="Z174" t="b">
        <v>0</v>
      </c>
      <c r="AA174" t="b">
        <v>1</v>
      </c>
      <c r="AB174" t="s">
        <v>391</v>
      </c>
      <c r="AC174" t="s">
        <v>7705</v>
      </c>
    </row>
    <row r="175" spans="1:29" x14ac:dyDescent="0.3">
      <c r="A175">
        <v>-73.974038280000002</v>
      </c>
      <c r="B175">
        <v>40.774057790000001</v>
      </c>
      <c r="C175" t="s">
        <v>1090</v>
      </c>
      <c r="D175" t="s">
        <v>38</v>
      </c>
      <c r="E175" s="58">
        <v>43392</v>
      </c>
      <c r="F175">
        <v>23</v>
      </c>
      <c r="G175" t="s">
        <v>105</v>
      </c>
      <c r="H175" t="s">
        <v>42</v>
      </c>
      <c r="I175" t="s">
        <v>96</v>
      </c>
      <c r="J175" t="s">
        <v>89</v>
      </c>
      <c r="K175" t="s">
        <v>4939</v>
      </c>
      <c r="L175" t="s">
        <v>44</v>
      </c>
      <c r="M175">
        <v>5</v>
      </c>
      <c r="N175" t="s">
        <v>6373</v>
      </c>
      <c r="O175" t="b">
        <v>1</v>
      </c>
      <c r="P175" t="b">
        <v>0</v>
      </c>
      <c r="Q175" t="b">
        <v>1</v>
      </c>
      <c r="R175" t="b">
        <v>1</v>
      </c>
      <c r="S175" t="b">
        <v>0</v>
      </c>
      <c r="T175" t="b">
        <v>1</v>
      </c>
      <c r="U175" t="b">
        <v>0</v>
      </c>
      <c r="V175" t="b">
        <v>1</v>
      </c>
      <c r="W175" t="b">
        <v>1</v>
      </c>
      <c r="X175" t="b">
        <v>0</v>
      </c>
      <c r="Y175" t="b">
        <v>0</v>
      </c>
      <c r="Z175" t="b">
        <v>1</v>
      </c>
      <c r="AA175" t="b">
        <v>0</v>
      </c>
      <c r="AB175" t="s">
        <v>4073</v>
      </c>
      <c r="AC175" t="s">
        <v>7706</v>
      </c>
    </row>
    <row r="176" spans="1:29" x14ac:dyDescent="0.3">
      <c r="A176">
        <v>-73.960876400000004</v>
      </c>
      <c r="B176">
        <v>40.78723265</v>
      </c>
      <c r="C176" t="s">
        <v>2046</v>
      </c>
      <c r="D176" t="s">
        <v>33</v>
      </c>
      <c r="E176" s="58">
        <v>43391</v>
      </c>
      <c r="F176">
        <v>6</v>
      </c>
      <c r="G176" t="s">
        <v>3842</v>
      </c>
      <c r="H176" t="s">
        <v>53</v>
      </c>
      <c r="I176" t="s">
        <v>5105</v>
      </c>
      <c r="J176" t="s">
        <v>3228</v>
      </c>
      <c r="K176" t="s">
        <v>3453</v>
      </c>
      <c r="L176" t="s">
        <v>65</v>
      </c>
      <c r="M176" t="b">
        <v>0</v>
      </c>
      <c r="N176" t="s">
        <v>524</v>
      </c>
      <c r="O176" t="b">
        <v>1</v>
      </c>
      <c r="P176" t="b">
        <v>0</v>
      </c>
      <c r="Q176" t="b">
        <v>1</v>
      </c>
      <c r="R176" t="b">
        <v>0</v>
      </c>
      <c r="S176" t="b">
        <v>0</v>
      </c>
      <c r="T176" t="b">
        <v>0</v>
      </c>
      <c r="U176" t="b">
        <v>1</v>
      </c>
      <c r="V176" t="b">
        <v>1</v>
      </c>
      <c r="W176" t="b">
        <v>1</v>
      </c>
      <c r="X176" t="b">
        <v>1</v>
      </c>
      <c r="Y176" t="b">
        <v>0</v>
      </c>
      <c r="Z176" t="b">
        <v>1</v>
      </c>
      <c r="AA176" t="b">
        <v>0</v>
      </c>
      <c r="AB176" t="s">
        <v>4104</v>
      </c>
      <c r="AC176" t="s">
        <v>7707</v>
      </c>
    </row>
    <row r="177" spans="1:29" x14ac:dyDescent="0.3">
      <c r="A177">
        <v>-73.975677059999995</v>
      </c>
      <c r="B177">
        <v>40.783922390000001</v>
      </c>
      <c r="C177" t="s">
        <v>796</v>
      </c>
      <c r="D177" t="s">
        <v>33</v>
      </c>
      <c r="E177" s="58">
        <v>43379</v>
      </c>
      <c r="F177">
        <v>10</v>
      </c>
      <c r="G177" t="s">
        <v>3842</v>
      </c>
      <c r="H177" t="s">
        <v>176</v>
      </c>
      <c r="I177" t="s">
        <v>1921</v>
      </c>
      <c r="J177" t="s">
        <v>3580</v>
      </c>
      <c r="K177" t="s">
        <v>4594</v>
      </c>
      <c r="L177" t="s">
        <v>44</v>
      </c>
      <c r="M177">
        <v>8</v>
      </c>
      <c r="N177" t="s">
        <v>524</v>
      </c>
      <c r="O177" t="b">
        <v>0</v>
      </c>
      <c r="P177" t="b">
        <v>1</v>
      </c>
      <c r="Q177" t="b">
        <v>1</v>
      </c>
      <c r="R177" t="b">
        <v>0</v>
      </c>
      <c r="S177" t="b">
        <v>0</v>
      </c>
      <c r="T177" t="b">
        <v>1</v>
      </c>
      <c r="U177" t="b">
        <v>1</v>
      </c>
      <c r="V177" t="b">
        <v>1</v>
      </c>
      <c r="W177" t="b">
        <v>1</v>
      </c>
      <c r="X177" t="b">
        <v>0</v>
      </c>
      <c r="Y177" t="b">
        <v>1</v>
      </c>
      <c r="Z177" t="b">
        <v>1</v>
      </c>
      <c r="AA177" t="b">
        <v>0</v>
      </c>
      <c r="AB177" t="s">
        <v>5750</v>
      </c>
      <c r="AC177" t="s">
        <v>7708</v>
      </c>
    </row>
    <row r="178" spans="1:29" x14ac:dyDescent="0.3">
      <c r="A178">
        <v>-73.959437699999995</v>
      </c>
      <c r="B178">
        <v>40.792367349999999</v>
      </c>
      <c r="C178" t="s">
        <v>668</v>
      </c>
      <c r="D178" t="s">
        <v>33</v>
      </c>
      <c r="E178" s="58">
        <v>43392</v>
      </c>
      <c r="F178">
        <v>18</v>
      </c>
      <c r="G178" t="s">
        <v>105</v>
      </c>
      <c r="H178" t="s">
        <v>53</v>
      </c>
      <c r="I178" t="s">
        <v>1921</v>
      </c>
      <c r="J178" t="s">
        <v>619</v>
      </c>
      <c r="K178" t="s">
        <v>4594</v>
      </c>
      <c r="L178" t="s">
        <v>65</v>
      </c>
      <c r="M178" t="b">
        <v>0</v>
      </c>
      <c r="N178" t="s">
        <v>742</v>
      </c>
      <c r="O178" t="b">
        <v>1</v>
      </c>
      <c r="P178" t="b">
        <v>0</v>
      </c>
      <c r="Q178" t="b">
        <v>1</v>
      </c>
      <c r="R178" t="b">
        <v>1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1</v>
      </c>
      <c r="Y178" t="b">
        <v>1</v>
      </c>
      <c r="Z178" t="b">
        <v>1</v>
      </c>
      <c r="AA178" t="b">
        <v>1</v>
      </c>
      <c r="AB178" t="s">
        <v>3434</v>
      </c>
      <c r="AC178" t="s">
        <v>7709</v>
      </c>
    </row>
    <row r="179" spans="1:29" x14ac:dyDescent="0.3">
      <c r="A179">
        <v>-73.96900085</v>
      </c>
      <c r="B179">
        <v>40.768677230000002</v>
      </c>
      <c r="C179" t="s">
        <v>1320</v>
      </c>
      <c r="D179" t="s">
        <v>33</v>
      </c>
      <c r="E179" s="58">
        <v>43391</v>
      </c>
      <c r="F179">
        <v>15</v>
      </c>
      <c r="G179" t="s">
        <v>48</v>
      </c>
      <c r="H179" t="s">
        <v>42</v>
      </c>
      <c r="I179" t="s">
        <v>148</v>
      </c>
      <c r="J179" t="s">
        <v>5106</v>
      </c>
      <c r="K179" t="s">
        <v>6869</v>
      </c>
      <c r="L179" t="s">
        <v>65</v>
      </c>
      <c r="M179" t="b">
        <v>0</v>
      </c>
      <c r="N179" t="s">
        <v>6370</v>
      </c>
      <c r="O179" t="b">
        <v>1</v>
      </c>
      <c r="P179" t="b">
        <v>0</v>
      </c>
      <c r="Q179" t="b">
        <v>1</v>
      </c>
      <c r="R179" t="b">
        <v>0</v>
      </c>
      <c r="S179" t="b">
        <v>0</v>
      </c>
      <c r="T179" t="b">
        <v>0</v>
      </c>
      <c r="U179" t="b">
        <v>1</v>
      </c>
      <c r="V179" t="b">
        <v>0</v>
      </c>
      <c r="W179" t="b">
        <v>1</v>
      </c>
      <c r="X179" t="b">
        <v>1</v>
      </c>
      <c r="Y179" t="b">
        <v>1</v>
      </c>
      <c r="Z179" t="b">
        <v>1</v>
      </c>
      <c r="AA179" t="b">
        <v>1</v>
      </c>
      <c r="AB179" t="s">
        <v>5921</v>
      </c>
      <c r="AC179" t="s">
        <v>7710</v>
      </c>
    </row>
    <row r="180" spans="1:29" x14ac:dyDescent="0.3">
      <c r="A180">
        <v>-73.951710770000005</v>
      </c>
      <c r="B180">
        <v>40.79170482</v>
      </c>
      <c r="C180" t="s">
        <v>1042</v>
      </c>
      <c r="D180" t="s">
        <v>33</v>
      </c>
      <c r="E180" s="58">
        <v>43390</v>
      </c>
      <c r="F180">
        <v>8</v>
      </c>
      <c r="G180" t="s">
        <v>105</v>
      </c>
      <c r="H180" t="s">
        <v>53</v>
      </c>
      <c r="I180" t="s">
        <v>96</v>
      </c>
      <c r="J180" t="s">
        <v>79</v>
      </c>
      <c r="K180" t="s">
        <v>4660</v>
      </c>
      <c r="L180" t="s">
        <v>65</v>
      </c>
      <c r="M180" t="b">
        <v>0</v>
      </c>
      <c r="N180" t="s">
        <v>2970</v>
      </c>
      <c r="O180" t="b">
        <v>0</v>
      </c>
      <c r="P180" t="b">
        <v>0</v>
      </c>
      <c r="Q180" t="b">
        <v>1</v>
      </c>
      <c r="R180" t="b">
        <v>1</v>
      </c>
      <c r="S180" t="b">
        <v>0</v>
      </c>
      <c r="T180" t="b">
        <v>0</v>
      </c>
      <c r="U180" t="b">
        <v>1</v>
      </c>
      <c r="V180" t="b">
        <v>1</v>
      </c>
      <c r="W180" t="b">
        <v>1</v>
      </c>
      <c r="X180" t="b">
        <v>1</v>
      </c>
      <c r="Y180" t="b">
        <v>1</v>
      </c>
      <c r="Z180" t="b">
        <v>1</v>
      </c>
      <c r="AA180" t="b">
        <v>0</v>
      </c>
      <c r="AB180" t="s">
        <v>2182</v>
      </c>
      <c r="AC180" t="s">
        <v>7711</v>
      </c>
    </row>
    <row r="181" spans="1:29" x14ac:dyDescent="0.3">
      <c r="A181">
        <v>-73.976835359999995</v>
      </c>
      <c r="B181">
        <v>40.783967500000003</v>
      </c>
      <c r="C181" t="s">
        <v>1780</v>
      </c>
      <c r="D181" t="s">
        <v>38</v>
      </c>
      <c r="E181" s="58">
        <v>43383</v>
      </c>
      <c r="F181">
        <v>26</v>
      </c>
      <c r="G181" t="s">
        <v>3842</v>
      </c>
      <c r="H181" t="s">
        <v>176</v>
      </c>
      <c r="I181" t="s">
        <v>176</v>
      </c>
      <c r="J181" t="s">
        <v>97</v>
      </c>
      <c r="K181" t="s">
        <v>3347</v>
      </c>
      <c r="L181" t="s">
        <v>44</v>
      </c>
      <c r="M181">
        <v>15</v>
      </c>
      <c r="N181" t="s">
        <v>7271</v>
      </c>
      <c r="O181" t="b">
        <v>0</v>
      </c>
      <c r="P181" t="b">
        <v>1</v>
      </c>
      <c r="Q181" t="b">
        <v>0</v>
      </c>
      <c r="R181" t="b">
        <v>1</v>
      </c>
      <c r="S181" t="b">
        <v>0</v>
      </c>
      <c r="T181" t="b">
        <v>1</v>
      </c>
      <c r="U181" t="b">
        <v>0</v>
      </c>
      <c r="V181" t="b">
        <v>1</v>
      </c>
      <c r="W181" t="b">
        <v>0</v>
      </c>
      <c r="X181" t="b">
        <v>1</v>
      </c>
      <c r="Y181" t="b">
        <v>0</v>
      </c>
      <c r="Z181" t="b">
        <v>0</v>
      </c>
      <c r="AA181" t="b">
        <v>1</v>
      </c>
      <c r="AB181" t="s">
        <v>974</v>
      </c>
      <c r="AC181" t="s">
        <v>7712</v>
      </c>
    </row>
    <row r="182" spans="1:29" x14ac:dyDescent="0.3">
      <c r="A182">
        <v>-73.970436539999994</v>
      </c>
      <c r="B182">
        <v>40.79881555</v>
      </c>
      <c r="C182" t="s">
        <v>677</v>
      </c>
      <c r="D182" t="s">
        <v>33</v>
      </c>
      <c r="E182" s="58">
        <v>43388</v>
      </c>
      <c r="F182">
        <v>9</v>
      </c>
      <c r="G182" t="s">
        <v>105</v>
      </c>
      <c r="H182" t="s">
        <v>53</v>
      </c>
      <c r="I182" t="s">
        <v>53</v>
      </c>
      <c r="J182" t="s">
        <v>3228</v>
      </c>
      <c r="K182" t="s">
        <v>1005</v>
      </c>
      <c r="L182" t="s">
        <v>65</v>
      </c>
      <c r="M182" t="b">
        <v>0</v>
      </c>
      <c r="N182" t="s">
        <v>4012</v>
      </c>
      <c r="O182" t="b">
        <v>1</v>
      </c>
      <c r="P182" t="b">
        <v>1</v>
      </c>
      <c r="Q182" t="b">
        <v>0</v>
      </c>
      <c r="R182" t="b">
        <v>1</v>
      </c>
      <c r="S182" t="b">
        <v>1</v>
      </c>
      <c r="T182" t="b">
        <v>1</v>
      </c>
      <c r="U182" t="b">
        <v>0</v>
      </c>
      <c r="V182" t="b">
        <v>1</v>
      </c>
      <c r="W182" t="b">
        <v>1</v>
      </c>
      <c r="X182" t="b">
        <v>1</v>
      </c>
      <c r="Y182" t="b">
        <v>1</v>
      </c>
      <c r="Z182" t="b">
        <v>0</v>
      </c>
      <c r="AA182" t="b">
        <v>1</v>
      </c>
      <c r="AB182" t="s">
        <v>4139</v>
      </c>
      <c r="AC182" t="s">
        <v>7713</v>
      </c>
    </row>
    <row r="183" spans="1:29" x14ac:dyDescent="0.3">
      <c r="A183">
        <v>-73.977591329999996</v>
      </c>
      <c r="B183">
        <v>40.776947249999999</v>
      </c>
      <c r="C183" t="s">
        <v>1202</v>
      </c>
      <c r="D183" t="s">
        <v>33</v>
      </c>
      <c r="E183" s="58">
        <v>43392</v>
      </c>
      <c r="F183">
        <v>5</v>
      </c>
      <c r="G183" t="s">
        <v>105</v>
      </c>
      <c r="H183" t="s">
        <v>176</v>
      </c>
      <c r="I183" t="s">
        <v>96</v>
      </c>
      <c r="J183" t="s">
        <v>34</v>
      </c>
      <c r="K183" t="s">
        <v>4939</v>
      </c>
      <c r="L183" t="s">
        <v>65</v>
      </c>
      <c r="M183" t="b">
        <v>0</v>
      </c>
      <c r="N183" t="s">
        <v>5529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1</v>
      </c>
      <c r="U183" t="b">
        <v>0</v>
      </c>
      <c r="V183" t="b">
        <v>1</v>
      </c>
      <c r="W183" t="b">
        <v>1</v>
      </c>
      <c r="X183" t="b">
        <v>1</v>
      </c>
      <c r="Y183" t="b">
        <v>0</v>
      </c>
      <c r="Z183" t="b">
        <v>0</v>
      </c>
      <c r="AA183" t="b">
        <v>1</v>
      </c>
      <c r="AB183" t="s">
        <v>1801</v>
      </c>
      <c r="AC183" t="s">
        <v>7714</v>
      </c>
    </row>
    <row r="184" spans="1:29" x14ac:dyDescent="0.3">
      <c r="A184">
        <v>-73.95208916</v>
      </c>
      <c r="B184">
        <v>40.787183919999997</v>
      </c>
      <c r="C184" t="s">
        <v>278</v>
      </c>
      <c r="D184" t="s">
        <v>38</v>
      </c>
      <c r="E184" s="58">
        <v>43391</v>
      </c>
      <c r="F184">
        <v>10</v>
      </c>
      <c r="G184" t="s">
        <v>3842</v>
      </c>
      <c r="H184" t="s">
        <v>176</v>
      </c>
      <c r="I184" t="s">
        <v>115</v>
      </c>
      <c r="J184" t="s">
        <v>705</v>
      </c>
      <c r="K184" t="s">
        <v>3028</v>
      </c>
      <c r="L184" t="s">
        <v>65</v>
      </c>
      <c r="M184" t="b">
        <v>0</v>
      </c>
      <c r="N184" t="s">
        <v>1106</v>
      </c>
      <c r="O184" t="b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1</v>
      </c>
      <c r="AB184" t="s">
        <v>3893</v>
      </c>
      <c r="AC184" t="s">
        <v>7715</v>
      </c>
    </row>
    <row r="185" spans="1:29" x14ac:dyDescent="0.3">
      <c r="A185">
        <v>-73.95357783</v>
      </c>
      <c r="B185">
        <v>40.797725370000002</v>
      </c>
      <c r="C185" t="s">
        <v>1211</v>
      </c>
      <c r="D185" t="s">
        <v>38</v>
      </c>
      <c r="E185" s="58">
        <v>43389</v>
      </c>
      <c r="F185">
        <v>20</v>
      </c>
      <c r="G185" t="s">
        <v>48</v>
      </c>
      <c r="H185" t="s">
        <v>53</v>
      </c>
      <c r="I185" t="s">
        <v>737</v>
      </c>
      <c r="J185" t="s">
        <v>60</v>
      </c>
      <c r="K185" t="s">
        <v>1754</v>
      </c>
      <c r="L185" t="s">
        <v>65</v>
      </c>
      <c r="M185" t="b">
        <v>0</v>
      </c>
      <c r="N185" t="s">
        <v>3542</v>
      </c>
      <c r="O185" t="b">
        <v>1</v>
      </c>
      <c r="P185" t="b">
        <v>1</v>
      </c>
      <c r="Q185" t="b">
        <v>1</v>
      </c>
      <c r="R185" t="b">
        <v>0</v>
      </c>
      <c r="S185" t="b">
        <v>1</v>
      </c>
      <c r="T185" t="b">
        <v>1</v>
      </c>
      <c r="U185" t="b">
        <v>0</v>
      </c>
      <c r="V185" t="b">
        <v>1</v>
      </c>
      <c r="W185" t="b">
        <v>1</v>
      </c>
      <c r="X185" t="b">
        <v>0</v>
      </c>
      <c r="Y185" t="b">
        <v>0</v>
      </c>
      <c r="Z185" t="b">
        <v>1</v>
      </c>
      <c r="AA185" t="b">
        <v>1</v>
      </c>
      <c r="AB185" t="s">
        <v>399</v>
      </c>
      <c r="AC185" t="s">
        <v>7716</v>
      </c>
    </row>
    <row r="186" spans="1:29" x14ac:dyDescent="0.3">
      <c r="A186">
        <v>-73.973049720000006</v>
      </c>
      <c r="B186">
        <v>40.768519810000001</v>
      </c>
      <c r="C186" t="s">
        <v>1240</v>
      </c>
      <c r="D186" t="s">
        <v>38</v>
      </c>
      <c r="E186" s="58">
        <v>43382</v>
      </c>
      <c r="F186">
        <v>6</v>
      </c>
      <c r="G186" t="s">
        <v>105</v>
      </c>
      <c r="H186" t="s">
        <v>42</v>
      </c>
      <c r="I186" t="s">
        <v>59</v>
      </c>
      <c r="J186" t="s">
        <v>1233</v>
      </c>
      <c r="K186" t="s">
        <v>4020</v>
      </c>
      <c r="L186" t="s">
        <v>44</v>
      </c>
      <c r="M186">
        <v>15</v>
      </c>
      <c r="N186" t="s">
        <v>2574</v>
      </c>
      <c r="O186" t="b">
        <v>1</v>
      </c>
      <c r="P186" t="b">
        <v>0</v>
      </c>
      <c r="Q186" t="b">
        <v>1</v>
      </c>
      <c r="R186" t="b">
        <v>0</v>
      </c>
      <c r="S186" t="b">
        <v>1</v>
      </c>
      <c r="T186" t="b">
        <v>1</v>
      </c>
      <c r="U186" t="b">
        <v>1</v>
      </c>
      <c r="V186" t="b">
        <v>0</v>
      </c>
      <c r="W186" t="b">
        <v>0</v>
      </c>
      <c r="X186" t="b">
        <v>1</v>
      </c>
      <c r="Y186" t="b">
        <v>1</v>
      </c>
      <c r="Z186" t="b">
        <v>1</v>
      </c>
      <c r="AA186" t="b">
        <v>1</v>
      </c>
      <c r="AB186" t="s">
        <v>5750</v>
      </c>
      <c r="AC186" t="s">
        <v>7717</v>
      </c>
    </row>
    <row r="187" spans="1:29" x14ac:dyDescent="0.3">
      <c r="A187">
        <v>-73.960410789999997</v>
      </c>
      <c r="B187">
        <v>40.797908470000003</v>
      </c>
      <c r="C187" t="s">
        <v>1310</v>
      </c>
      <c r="D187" t="s">
        <v>33</v>
      </c>
      <c r="E187" s="58">
        <v>43385</v>
      </c>
      <c r="F187">
        <v>16</v>
      </c>
      <c r="G187" t="s">
        <v>3842</v>
      </c>
      <c r="H187" t="s">
        <v>53</v>
      </c>
      <c r="I187" t="s">
        <v>115</v>
      </c>
      <c r="J187" t="s">
        <v>3580</v>
      </c>
      <c r="K187" t="s">
        <v>3347</v>
      </c>
      <c r="L187" t="s">
        <v>44</v>
      </c>
      <c r="M187">
        <v>30</v>
      </c>
      <c r="N187" t="s">
        <v>3040</v>
      </c>
      <c r="O187" t="b">
        <v>0</v>
      </c>
      <c r="P187" t="b">
        <v>0</v>
      </c>
      <c r="Q187" t="b">
        <v>1</v>
      </c>
      <c r="R187" t="b">
        <v>0</v>
      </c>
      <c r="S187" t="b">
        <v>1</v>
      </c>
      <c r="T187" t="b">
        <v>0</v>
      </c>
      <c r="U187" t="b">
        <v>0</v>
      </c>
      <c r="V187" t="b">
        <v>0</v>
      </c>
      <c r="W187" t="b">
        <v>1</v>
      </c>
      <c r="X187" t="b">
        <v>0</v>
      </c>
      <c r="Y187" t="b">
        <v>1</v>
      </c>
      <c r="Z187" t="b">
        <v>0</v>
      </c>
      <c r="AA187" t="b">
        <v>1</v>
      </c>
      <c r="AB187" t="s">
        <v>1109</v>
      </c>
      <c r="AC187" t="s">
        <v>7718</v>
      </c>
    </row>
    <row r="188" spans="1:29" x14ac:dyDescent="0.3">
      <c r="A188">
        <v>-73.955467720000001</v>
      </c>
      <c r="B188">
        <v>40.78912965</v>
      </c>
      <c r="C188" t="s">
        <v>660</v>
      </c>
      <c r="D188" t="s">
        <v>33</v>
      </c>
      <c r="E188" s="58">
        <v>43384</v>
      </c>
      <c r="F188">
        <v>24</v>
      </c>
      <c r="G188" t="s">
        <v>3842</v>
      </c>
      <c r="H188" t="s">
        <v>42</v>
      </c>
      <c r="I188" t="s">
        <v>148</v>
      </c>
      <c r="J188" t="s">
        <v>705</v>
      </c>
      <c r="K188" t="s">
        <v>1843</v>
      </c>
      <c r="L188" t="s">
        <v>65</v>
      </c>
      <c r="M188" t="b">
        <v>0</v>
      </c>
      <c r="N188" t="s">
        <v>1766</v>
      </c>
      <c r="O188" t="b">
        <v>1</v>
      </c>
      <c r="P188" t="b">
        <v>0</v>
      </c>
      <c r="Q188" t="b">
        <v>0</v>
      </c>
      <c r="R188" t="b">
        <v>1</v>
      </c>
      <c r="S188" t="b">
        <v>1</v>
      </c>
      <c r="T188" t="b">
        <v>1</v>
      </c>
      <c r="U188" t="b">
        <v>0</v>
      </c>
      <c r="V188" t="b">
        <v>1</v>
      </c>
      <c r="W188" t="b">
        <v>1</v>
      </c>
      <c r="X188" t="b">
        <v>1</v>
      </c>
      <c r="Y188" t="b">
        <v>0</v>
      </c>
      <c r="Z188" t="b">
        <v>1</v>
      </c>
      <c r="AA188" t="b">
        <v>1</v>
      </c>
      <c r="AB188" t="s">
        <v>2277</v>
      </c>
      <c r="AC188" t="s">
        <v>7719</v>
      </c>
    </row>
    <row r="189" spans="1:29" x14ac:dyDescent="0.3">
      <c r="A189">
        <v>-73.963704840000005</v>
      </c>
      <c r="B189">
        <v>40.767299059999999</v>
      </c>
      <c r="C189" t="s">
        <v>353</v>
      </c>
      <c r="D189" t="s">
        <v>33</v>
      </c>
      <c r="E189" s="58">
        <v>43388</v>
      </c>
      <c r="F189">
        <v>27</v>
      </c>
      <c r="G189" t="s">
        <v>105</v>
      </c>
      <c r="H189" t="s">
        <v>42</v>
      </c>
      <c r="I189" t="s">
        <v>115</v>
      </c>
      <c r="J189" t="s">
        <v>1142</v>
      </c>
      <c r="K189" t="s">
        <v>894</v>
      </c>
      <c r="L189" t="s">
        <v>65</v>
      </c>
      <c r="M189" t="b">
        <v>0</v>
      </c>
      <c r="N189" t="s">
        <v>5606</v>
      </c>
      <c r="O189" t="b">
        <v>1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1</v>
      </c>
      <c r="V189" t="b">
        <v>1</v>
      </c>
      <c r="W189" t="b">
        <v>0</v>
      </c>
      <c r="X189" t="b">
        <v>0</v>
      </c>
      <c r="Y189" t="b">
        <v>1</v>
      </c>
      <c r="Z189" t="b">
        <v>0</v>
      </c>
      <c r="AA189" t="b">
        <v>1</v>
      </c>
      <c r="AB189" t="s">
        <v>3158</v>
      </c>
      <c r="AC189" t="s">
        <v>7720</v>
      </c>
    </row>
    <row r="190" spans="1:29" x14ac:dyDescent="0.3">
      <c r="A190">
        <v>-73.964508050000006</v>
      </c>
      <c r="B190">
        <v>40.77550695</v>
      </c>
      <c r="C190" t="s">
        <v>2085</v>
      </c>
      <c r="D190" t="s">
        <v>38</v>
      </c>
      <c r="E190" s="58">
        <v>43385</v>
      </c>
      <c r="F190">
        <v>3</v>
      </c>
      <c r="G190" t="s">
        <v>48</v>
      </c>
      <c r="H190" t="s">
        <v>53</v>
      </c>
      <c r="I190" t="s">
        <v>1921</v>
      </c>
      <c r="J190" t="s">
        <v>705</v>
      </c>
      <c r="K190" t="s">
        <v>2685</v>
      </c>
      <c r="L190" t="s">
        <v>65</v>
      </c>
      <c r="M190" t="b">
        <v>0</v>
      </c>
      <c r="N190" t="s">
        <v>1346</v>
      </c>
      <c r="O190" t="b">
        <v>0</v>
      </c>
      <c r="P190" t="b">
        <v>0</v>
      </c>
      <c r="Q190" t="b">
        <v>1</v>
      </c>
      <c r="R190" t="b">
        <v>1</v>
      </c>
      <c r="S190" t="b">
        <v>0</v>
      </c>
      <c r="T190" t="b">
        <v>1</v>
      </c>
      <c r="U190" t="b">
        <v>1</v>
      </c>
      <c r="V190" t="b">
        <v>0</v>
      </c>
      <c r="W190" t="b">
        <v>1</v>
      </c>
      <c r="X190" t="b">
        <v>0</v>
      </c>
      <c r="Y190" t="b">
        <v>1</v>
      </c>
      <c r="Z190" t="b">
        <v>1</v>
      </c>
      <c r="AA190" t="b">
        <v>1</v>
      </c>
      <c r="AB190" t="s">
        <v>7285</v>
      </c>
      <c r="AC190" t="s">
        <v>7721</v>
      </c>
    </row>
    <row r="191" spans="1:29" x14ac:dyDescent="0.3">
      <c r="A191">
        <v>-73.973555520000005</v>
      </c>
      <c r="B191">
        <v>40.789843879999999</v>
      </c>
      <c r="C191" t="s">
        <v>1962</v>
      </c>
      <c r="D191" t="s">
        <v>33</v>
      </c>
      <c r="E191" s="58">
        <v>43383</v>
      </c>
      <c r="F191">
        <v>10</v>
      </c>
      <c r="G191" t="s">
        <v>105</v>
      </c>
      <c r="H191" t="s">
        <v>42</v>
      </c>
      <c r="I191" t="s">
        <v>5105</v>
      </c>
      <c r="J191" t="s">
        <v>1142</v>
      </c>
      <c r="K191" t="s">
        <v>1896</v>
      </c>
      <c r="L191" t="s">
        <v>44</v>
      </c>
      <c r="M191">
        <v>3</v>
      </c>
      <c r="N191" t="s">
        <v>958</v>
      </c>
      <c r="O191" t="b">
        <v>0</v>
      </c>
      <c r="P191" t="b">
        <v>1</v>
      </c>
      <c r="Q191" t="b">
        <v>1</v>
      </c>
      <c r="R191" t="b">
        <v>1</v>
      </c>
      <c r="S191" t="b">
        <v>1</v>
      </c>
      <c r="T191" t="b">
        <v>1</v>
      </c>
      <c r="U191" t="b">
        <v>1</v>
      </c>
      <c r="V191" t="b">
        <v>0</v>
      </c>
      <c r="W191" t="b">
        <v>0</v>
      </c>
      <c r="X191" t="b">
        <v>0</v>
      </c>
      <c r="Y191" t="b">
        <v>0</v>
      </c>
      <c r="Z191" t="b">
        <v>1</v>
      </c>
      <c r="AA191" t="b">
        <v>1</v>
      </c>
      <c r="AB191" t="s">
        <v>3573</v>
      </c>
      <c r="AC191" t="s">
        <v>7722</v>
      </c>
    </row>
    <row r="192" spans="1:29" x14ac:dyDescent="0.3">
      <c r="A192">
        <v>-73.978231730000005</v>
      </c>
      <c r="B192">
        <v>40.767281939999997</v>
      </c>
      <c r="C192" t="s">
        <v>827</v>
      </c>
      <c r="D192" t="s">
        <v>38</v>
      </c>
      <c r="E192" s="58">
        <v>43393</v>
      </c>
      <c r="F192">
        <v>11</v>
      </c>
      <c r="G192" t="s">
        <v>48</v>
      </c>
      <c r="H192" t="s">
        <v>42</v>
      </c>
      <c r="I192" t="s">
        <v>53</v>
      </c>
      <c r="J192" t="s">
        <v>3228</v>
      </c>
      <c r="K192" t="s">
        <v>3347</v>
      </c>
      <c r="L192" t="s">
        <v>65</v>
      </c>
      <c r="M192" t="b">
        <v>0</v>
      </c>
      <c r="N192" t="s">
        <v>1853</v>
      </c>
      <c r="O192" t="b">
        <v>0</v>
      </c>
      <c r="P192" t="b">
        <v>0</v>
      </c>
      <c r="Q192" t="b">
        <v>0</v>
      </c>
      <c r="R192" t="b">
        <v>1</v>
      </c>
      <c r="S192" t="b">
        <v>1</v>
      </c>
      <c r="T192" t="b">
        <v>1</v>
      </c>
      <c r="U192" t="b">
        <v>0</v>
      </c>
      <c r="V192" t="b">
        <v>1</v>
      </c>
      <c r="W192" t="b">
        <v>1</v>
      </c>
      <c r="X192" t="b">
        <v>0</v>
      </c>
      <c r="Y192" t="b">
        <v>0</v>
      </c>
      <c r="Z192" t="b">
        <v>0</v>
      </c>
      <c r="AA192" t="b">
        <v>1</v>
      </c>
      <c r="AB192" t="s">
        <v>5392</v>
      </c>
      <c r="AC192" t="s">
        <v>7723</v>
      </c>
    </row>
    <row r="193" spans="1:29" x14ac:dyDescent="0.3">
      <c r="A193">
        <v>-73.952952980000006</v>
      </c>
      <c r="B193">
        <v>40.785407640000003</v>
      </c>
      <c r="C193" t="s">
        <v>1544</v>
      </c>
      <c r="D193" t="s">
        <v>33</v>
      </c>
      <c r="E193" s="58">
        <v>43393</v>
      </c>
      <c r="F193">
        <v>11</v>
      </c>
      <c r="G193" t="s">
        <v>48</v>
      </c>
      <c r="H193" t="s">
        <v>53</v>
      </c>
      <c r="I193" t="s">
        <v>42</v>
      </c>
      <c r="J193" t="s">
        <v>116</v>
      </c>
      <c r="K193" t="s">
        <v>2685</v>
      </c>
      <c r="L193" t="s">
        <v>65</v>
      </c>
      <c r="M193" t="b">
        <v>0</v>
      </c>
      <c r="N193" t="s">
        <v>2032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1</v>
      </c>
      <c r="U193" t="b">
        <v>0</v>
      </c>
      <c r="V193" t="b">
        <v>0</v>
      </c>
      <c r="W193" t="b">
        <v>1</v>
      </c>
      <c r="X193" t="b">
        <v>1</v>
      </c>
      <c r="Y193" t="b">
        <v>1</v>
      </c>
      <c r="Z193" t="b">
        <v>1</v>
      </c>
      <c r="AA193" t="b">
        <v>1</v>
      </c>
      <c r="AB193" t="s">
        <v>1497</v>
      </c>
      <c r="AC193" t="s">
        <v>7724</v>
      </c>
    </row>
    <row r="194" spans="1:29" x14ac:dyDescent="0.3">
      <c r="A194">
        <v>-73.952852309999997</v>
      </c>
      <c r="B194">
        <v>40.777088470000002</v>
      </c>
      <c r="C194" t="s">
        <v>1251</v>
      </c>
      <c r="D194" t="s">
        <v>38</v>
      </c>
      <c r="E194" s="58">
        <v>43382</v>
      </c>
      <c r="F194">
        <v>17</v>
      </c>
      <c r="G194" t="s">
        <v>48</v>
      </c>
      <c r="H194" t="s">
        <v>53</v>
      </c>
      <c r="I194" t="s">
        <v>59</v>
      </c>
      <c r="J194" t="s">
        <v>54</v>
      </c>
      <c r="K194" t="s">
        <v>4463</v>
      </c>
      <c r="L194" t="s">
        <v>44</v>
      </c>
      <c r="M194">
        <v>4</v>
      </c>
      <c r="N194" t="s">
        <v>6948</v>
      </c>
      <c r="O194" t="b">
        <v>1</v>
      </c>
      <c r="P194" t="b">
        <v>0</v>
      </c>
      <c r="Q194" t="b">
        <v>0</v>
      </c>
      <c r="R194" t="b">
        <v>0</v>
      </c>
      <c r="S194" t="b">
        <v>0</v>
      </c>
      <c r="T194" t="b">
        <v>1</v>
      </c>
      <c r="U194" t="b">
        <v>0</v>
      </c>
      <c r="V194" t="b">
        <v>1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s">
        <v>374</v>
      </c>
      <c r="AC194" t="s">
        <v>7725</v>
      </c>
    </row>
    <row r="195" spans="1:29" x14ac:dyDescent="0.3">
      <c r="A195">
        <v>-73.961255890000004</v>
      </c>
      <c r="B195">
        <v>40.786771770000001</v>
      </c>
      <c r="C195" t="s">
        <v>1049</v>
      </c>
      <c r="D195" t="s">
        <v>33</v>
      </c>
      <c r="E195" s="58">
        <v>43385</v>
      </c>
      <c r="F195">
        <v>4</v>
      </c>
      <c r="G195" t="s">
        <v>48</v>
      </c>
      <c r="H195" t="s">
        <v>53</v>
      </c>
      <c r="I195" t="s">
        <v>42</v>
      </c>
      <c r="J195" t="s">
        <v>2942</v>
      </c>
      <c r="K195" t="s">
        <v>4237</v>
      </c>
      <c r="L195" t="s">
        <v>44</v>
      </c>
      <c r="M195">
        <v>4</v>
      </c>
      <c r="N195" t="s">
        <v>1084</v>
      </c>
      <c r="O195" t="b">
        <v>1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1</v>
      </c>
      <c r="V195" t="b">
        <v>1</v>
      </c>
      <c r="W195" t="b">
        <v>0</v>
      </c>
      <c r="X195" t="b">
        <v>0</v>
      </c>
      <c r="Y195" t="b">
        <v>1</v>
      </c>
      <c r="Z195" t="b">
        <v>0</v>
      </c>
      <c r="AA195" t="b">
        <v>0</v>
      </c>
      <c r="AB195" t="s">
        <v>399</v>
      </c>
      <c r="AC195" t="s">
        <v>7726</v>
      </c>
    </row>
    <row r="196" spans="1:29" x14ac:dyDescent="0.3">
      <c r="A196">
        <v>-73.970500560000005</v>
      </c>
      <c r="B196">
        <v>40.766521150000003</v>
      </c>
      <c r="C196" t="s">
        <v>870</v>
      </c>
      <c r="D196" t="s">
        <v>33</v>
      </c>
      <c r="E196" s="58">
        <v>43385</v>
      </c>
      <c r="F196">
        <v>4</v>
      </c>
      <c r="G196" t="s">
        <v>105</v>
      </c>
      <c r="H196" t="s">
        <v>42</v>
      </c>
      <c r="I196" t="s">
        <v>5105</v>
      </c>
      <c r="J196" t="s">
        <v>34</v>
      </c>
      <c r="K196" t="s">
        <v>7370</v>
      </c>
      <c r="L196" t="s">
        <v>44</v>
      </c>
      <c r="M196">
        <v>7</v>
      </c>
      <c r="N196" t="s">
        <v>4240</v>
      </c>
      <c r="O196" t="b">
        <v>0</v>
      </c>
      <c r="P196" t="b">
        <v>0</v>
      </c>
      <c r="Q196" t="b">
        <v>1</v>
      </c>
      <c r="R196" t="b">
        <v>0</v>
      </c>
      <c r="S196" t="b">
        <v>0</v>
      </c>
      <c r="T196" t="b">
        <v>1</v>
      </c>
      <c r="U196" t="b">
        <v>1</v>
      </c>
      <c r="V196" t="b">
        <v>0</v>
      </c>
      <c r="W196" t="b">
        <v>1</v>
      </c>
      <c r="X196" t="b">
        <v>0</v>
      </c>
      <c r="Y196" t="b">
        <v>1</v>
      </c>
      <c r="Z196" t="b">
        <v>0</v>
      </c>
      <c r="AA196" t="b">
        <v>1</v>
      </c>
      <c r="AB196" t="s">
        <v>4104</v>
      </c>
      <c r="AC196" t="s">
        <v>7727</v>
      </c>
    </row>
    <row r="197" spans="1:29" x14ac:dyDescent="0.3">
      <c r="A197">
        <v>-73.970180540000001</v>
      </c>
      <c r="B197">
        <v>40.795595609999999</v>
      </c>
      <c r="C197" t="s">
        <v>969</v>
      </c>
      <c r="D197" t="s">
        <v>33</v>
      </c>
      <c r="E197" s="58">
        <v>43384</v>
      </c>
      <c r="F197">
        <v>17</v>
      </c>
      <c r="G197" t="s">
        <v>3842</v>
      </c>
      <c r="H197" t="s">
        <v>176</v>
      </c>
      <c r="I197" t="s">
        <v>1921</v>
      </c>
      <c r="J197" t="s">
        <v>43</v>
      </c>
      <c r="K197" t="s">
        <v>242</v>
      </c>
      <c r="L197" t="s">
        <v>65</v>
      </c>
      <c r="M197" t="b">
        <v>0</v>
      </c>
      <c r="N197" t="s">
        <v>1763</v>
      </c>
      <c r="O197" t="b">
        <v>0</v>
      </c>
      <c r="P197" t="b">
        <v>1</v>
      </c>
      <c r="Q197" t="b">
        <v>0</v>
      </c>
      <c r="R197" t="b">
        <v>0</v>
      </c>
      <c r="S197" t="b">
        <v>1</v>
      </c>
      <c r="T197" t="b">
        <v>1</v>
      </c>
      <c r="U197" t="b">
        <v>1</v>
      </c>
      <c r="V197" t="b">
        <v>0</v>
      </c>
      <c r="W197" t="b">
        <v>1</v>
      </c>
      <c r="X197" t="b">
        <v>1</v>
      </c>
      <c r="Y197" t="b">
        <v>0</v>
      </c>
      <c r="Z197" t="b">
        <v>1</v>
      </c>
      <c r="AA197" t="b">
        <v>1</v>
      </c>
      <c r="AB197" t="s">
        <v>3312</v>
      </c>
      <c r="AC197" t="s">
        <v>7728</v>
      </c>
    </row>
    <row r="198" spans="1:29" x14ac:dyDescent="0.3">
      <c r="A198">
        <v>-73.958336849999995</v>
      </c>
      <c r="B198">
        <v>40.799185119999997</v>
      </c>
      <c r="C198" t="s">
        <v>172</v>
      </c>
      <c r="D198" t="s">
        <v>38</v>
      </c>
      <c r="E198" s="58">
        <v>43386</v>
      </c>
      <c r="F198">
        <v>9</v>
      </c>
      <c r="G198" t="s">
        <v>3842</v>
      </c>
      <c r="H198" t="s">
        <v>42</v>
      </c>
      <c r="I198" t="s">
        <v>1921</v>
      </c>
      <c r="J198" t="s">
        <v>738</v>
      </c>
      <c r="K198" t="s">
        <v>3050</v>
      </c>
      <c r="L198" t="s">
        <v>44</v>
      </c>
      <c r="M198">
        <v>4</v>
      </c>
      <c r="N198" t="s">
        <v>359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1</v>
      </c>
      <c r="U198" t="b">
        <v>1</v>
      </c>
      <c r="V198" t="b">
        <v>1</v>
      </c>
      <c r="W198" t="b">
        <v>1</v>
      </c>
      <c r="X198" t="b">
        <v>0</v>
      </c>
      <c r="Y198" t="b">
        <v>0</v>
      </c>
      <c r="Z198" t="b">
        <v>1</v>
      </c>
      <c r="AA198" t="b">
        <v>1</v>
      </c>
      <c r="AB198" t="s">
        <v>650</v>
      </c>
      <c r="AC198" t="s">
        <v>7729</v>
      </c>
    </row>
    <row r="199" spans="1:29" x14ac:dyDescent="0.3">
      <c r="A199">
        <v>-73.952956290000003</v>
      </c>
      <c r="B199">
        <v>40.799022770000001</v>
      </c>
      <c r="C199" t="s">
        <v>200</v>
      </c>
      <c r="D199" t="s">
        <v>38</v>
      </c>
      <c r="E199" s="58">
        <v>43382</v>
      </c>
      <c r="F199">
        <v>19</v>
      </c>
      <c r="G199" t="s">
        <v>3842</v>
      </c>
      <c r="H199" t="s">
        <v>176</v>
      </c>
      <c r="I199" t="s">
        <v>5105</v>
      </c>
      <c r="J199" t="s">
        <v>5106</v>
      </c>
      <c r="K199" t="s">
        <v>6166</v>
      </c>
      <c r="L199" t="s">
        <v>44</v>
      </c>
      <c r="M199">
        <v>20</v>
      </c>
      <c r="N199" t="s">
        <v>4293</v>
      </c>
      <c r="O199" t="b">
        <v>0</v>
      </c>
      <c r="P199" t="b">
        <v>1</v>
      </c>
      <c r="Q199" t="b">
        <v>1</v>
      </c>
      <c r="R199" t="b">
        <v>0</v>
      </c>
      <c r="S199" t="b">
        <v>1</v>
      </c>
      <c r="T199" t="b">
        <v>1</v>
      </c>
      <c r="U199" t="b">
        <v>0</v>
      </c>
      <c r="V199" t="b">
        <v>1</v>
      </c>
      <c r="W199" t="b">
        <v>0</v>
      </c>
      <c r="X199" t="b">
        <v>1</v>
      </c>
      <c r="Y199" t="b">
        <v>1</v>
      </c>
      <c r="Z199" t="b">
        <v>0</v>
      </c>
      <c r="AA199" t="b">
        <v>0</v>
      </c>
      <c r="AB199" t="s">
        <v>6624</v>
      </c>
      <c r="AC199" t="s">
        <v>7730</v>
      </c>
    </row>
    <row r="200" spans="1:29" x14ac:dyDescent="0.3">
      <c r="A200">
        <v>-73.953271409999999</v>
      </c>
      <c r="B200">
        <v>40.7913043</v>
      </c>
      <c r="C200" t="s">
        <v>2798</v>
      </c>
      <c r="D200" t="s">
        <v>33</v>
      </c>
      <c r="E200" s="58">
        <v>43388</v>
      </c>
      <c r="F200">
        <v>5</v>
      </c>
      <c r="G200" t="s">
        <v>3842</v>
      </c>
      <c r="H200" t="s">
        <v>53</v>
      </c>
      <c r="I200" t="s">
        <v>59</v>
      </c>
      <c r="J200" t="s">
        <v>155</v>
      </c>
      <c r="K200" t="s">
        <v>2169</v>
      </c>
      <c r="L200" t="s">
        <v>65</v>
      </c>
      <c r="M200" t="b">
        <v>0</v>
      </c>
      <c r="N200" t="s">
        <v>3013</v>
      </c>
      <c r="O200" t="b">
        <v>1</v>
      </c>
      <c r="P200" t="b">
        <v>0</v>
      </c>
      <c r="Q200" t="b">
        <v>1</v>
      </c>
      <c r="R200" t="b">
        <v>0</v>
      </c>
      <c r="S200" t="b">
        <v>1</v>
      </c>
      <c r="T200" t="b">
        <v>1</v>
      </c>
      <c r="U200" t="b">
        <v>1</v>
      </c>
      <c r="V200" t="b">
        <v>0</v>
      </c>
      <c r="W200" t="b">
        <v>0</v>
      </c>
      <c r="X200" t="b">
        <v>1</v>
      </c>
      <c r="Y200" t="b">
        <v>0</v>
      </c>
      <c r="Z200" t="b">
        <v>1</v>
      </c>
      <c r="AA200" t="b">
        <v>0</v>
      </c>
      <c r="AB200" t="s">
        <v>6939</v>
      </c>
      <c r="AC200" t="s">
        <v>7731</v>
      </c>
    </row>
    <row r="201" spans="1:29" x14ac:dyDescent="0.3">
      <c r="A201">
        <v>-73.956641779999998</v>
      </c>
      <c r="B201">
        <v>40.76949072</v>
      </c>
      <c r="C201" t="s">
        <v>6895</v>
      </c>
      <c r="D201" t="s">
        <v>33</v>
      </c>
      <c r="E201" s="58">
        <v>43383</v>
      </c>
      <c r="F201">
        <v>22</v>
      </c>
      <c r="G201" t="s">
        <v>3842</v>
      </c>
      <c r="H201" t="s">
        <v>176</v>
      </c>
      <c r="I201" t="s">
        <v>42</v>
      </c>
      <c r="J201" t="s">
        <v>1922</v>
      </c>
      <c r="K201" t="s">
        <v>3157</v>
      </c>
      <c r="L201" t="s">
        <v>44</v>
      </c>
      <c r="M201">
        <v>6</v>
      </c>
      <c r="N201" t="s">
        <v>2220</v>
      </c>
      <c r="O201" t="b">
        <v>1</v>
      </c>
      <c r="P201" t="b">
        <v>0</v>
      </c>
      <c r="Q201" t="b">
        <v>1</v>
      </c>
      <c r="R201" t="b">
        <v>1</v>
      </c>
      <c r="S201" t="b">
        <v>1</v>
      </c>
      <c r="T201" t="b">
        <v>1</v>
      </c>
      <c r="U201" t="b">
        <v>1</v>
      </c>
      <c r="V201" t="b">
        <v>0</v>
      </c>
      <c r="W201" t="b">
        <v>1</v>
      </c>
      <c r="X201" t="b">
        <v>0</v>
      </c>
      <c r="Y201" t="b">
        <v>1</v>
      </c>
      <c r="Z201" t="b">
        <v>0</v>
      </c>
      <c r="AA201" t="b">
        <v>1</v>
      </c>
      <c r="AB201" t="s">
        <v>3258</v>
      </c>
      <c r="AC201" t="s">
        <v>7732</v>
      </c>
    </row>
    <row r="202" spans="1:29" x14ac:dyDescent="0.3">
      <c r="A202">
        <v>-73.960975149999996</v>
      </c>
      <c r="B202">
        <v>40.791607489999997</v>
      </c>
      <c r="C202" t="s">
        <v>3054</v>
      </c>
      <c r="D202" t="s">
        <v>33</v>
      </c>
      <c r="E202" s="58">
        <v>43382</v>
      </c>
      <c r="F202">
        <v>24</v>
      </c>
      <c r="G202" t="s">
        <v>3842</v>
      </c>
      <c r="H202" t="s">
        <v>53</v>
      </c>
      <c r="I202" t="s">
        <v>96</v>
      </c>
      <c r="J202" t="s">
        <v>5106</v>
      </c>
      <c r="K202" t="s">
        <v>6623</v>
      </c>
      <c r="L202" t="s">
        <v>65</v>
      </c>
      <c r="M202" t="b">
        <v>0</v>
      </c>
      <c r="N202" t="s">
        <v>7258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1</v>
      </c>
      <c r="U202" t="b">
        <v>0</v>
      </c>
      <c r="V202" t="b">
        <v>0</v>
      </c>
      <c r="W202" t="b">
        <v>1</v>
      </c>
      <c r="X202" t="b">
        <v>1</v>
      </c>
      <c r="Y202" t="b">
        <v>0</v>
      </c>
      <c r="Z202" t="b">
        <v>0</v>
      </c>
      <c r="AA202" t="b">
        <v>1</v>
      </c>
      <c r="AB202" t="s">
        <v>295</v>
      </c>
      <c r="AC202" t="s">
        <v>7733</v>
      </c>
    </row>
    <row r="203" spans="1:29" x14ac:dyDescent="0.3">
      <c r="A203">
        <v>-73.978513489999997</v>
      </c>
      <c r="B203">
        <v>40.765776320000001</v>
      </c>
      <c r="C203" t="s">
        <v>343</v>
      </c>
      <c r="D203" t="s">
        <v>38</v>
      </c>
      <c r="E203" s="58">
        <v>43390</v>
      </c>
      <c r="F203">
        <v>6</v>
      </c>
      <c r="G203" t="s">
        <v>105</v>
      </c>
      <c r="H203" t="s">
        <v>53</v>
      </c>
      <c r="I203" t="s">
        <v>1921</v>
      </c>
      <c r="J203" t="s">
        <v>705</v>
      </c>
      <c r="K203" t="s">
        <v>7003</v>
      </c>
      <c r="L203" t="s">
        <v>65</v>
      </c>
      <c r="M203" t="b">
        <v>0</v>
      </c>
      <c r="N203" t="s">
        <v>6373</v>
      </c>
      <c r="O203" t="b">
        <v>0</v>
      </c>
      <c r="P203" t="b">
        <v>1</v>
      </c>
      <c r="Q203" t="b">
        <v>0</v>
      </c>
      <c r="R203" t="b">
        <v>1</v>
      </c>
      <c r="S203" t="b">
        <v>1</v>
      </c>
      <c r="T203" t="b">
        <v>0</v>
      </c>
      <c r="U203" t="b">
        <v>0</v>
      </c>
      <c r="V203" t="b">
        <v>0</v>
      </c>
      <c r="W203" t="b">
        <v>1</v>
      </c>
      <c r="X203" t="b">
        <v>0</v>
      </c>
      <c r="Y203" t="b">
        <v>1</v>
      </c>
      <c r="Z203" t="b">
        <v>1</v>
      </c>
      <c r="AA203" t="b">
        <v>1</v>
      </c>
      <c r="AB203" t="s">
        <v>4139</v>
      </c>
      <c r="AC203" t="s">
        <v>7734</v>
      </c>
    </row>
    <row r="204" spans="1:29" x14ac:dyDescent="0.3">
      <c r="A204">
        <v>-73.976077489999994</v>
      </c>
      <c r="B204">
        <v>40.765689590000001</v>
      </c>
      <c r="C204" t="s">
        <v>2011</v>
      </c>
      <c r="D204" t="s">
        <v>33</v>
      </c>
      <c r="E204" s="58">
        <v>43379</v>
      </c>
      <c r="F204">
        <v>3</v>
      </c>
      <c r="G204" t="s">
        <v>48</v>
      </c>
      <c r="H204" t="s">
        <v>176</v>
      </c>
      <c r="I204" t="s">
        <v>42</v>
      </c>
      <c r="J204" t="s">
        <v>1233</v>
      </c>
      <c r="K204" t="s">
        <v>1181</v>
      </c>
      <c r="L204" t="s">
        <v>44</v>
      </c>
      <c r="M204">
        <v>5</v>
      </c>
      <c r="N204" t="s">
        <v>6814</v>
      </c>
      <c r="O204" t="b">
        <v>1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b">
        <v>1</v>
      </c>
      <c r="V204" t="b">
        <v>1</v>
      </c>
      <c r="W204" t="b">
        <v>0</v>
      </c>
      <c r="X204" t="b">
        <v>0</v>
      </c>
      <c r="Y204" t="b">
        <v>0</v>
      </c>
      <c r="Z204" t="b">
        <v>0</v>
      </c>
      <c r="AA204" t="b">
        <v>1</v>
      </c>
      <c r="AB204" t="s">
        <v>6253</v>
      </c>
      <c r="AC204" t="s">
        <v>7735</v>
      </c>
    </row>
    <row r="205" spans="1:29" x14ac:dyDescent="0.3">
      <c r="A205">
        <v>-73.952910900000006</v>
      </c>
      <c r="B205">
        <v>40.776304289999999</v>
      </c>
      <c r="C205" t="s">
        <v>943</v>
      </c>
      <c r="D205" t="s">
        <v>33</v>
      </c>
      <c r="E205" s="58">
        <v>43390</v>
      </c>
      <c r="F205">
        <v>22</v>
      </c>
      <c r="G205" t="s">
        <v>3842</v>
      </c>
      <c r="H205" t="s">
        <v>53</v>
      </c>
      <c r="I205" t="s">
        <v>176</v>
      </c>
      <c r="J205" t="s">
        <v>619</v>
      </c>
      <c r="K205" t="s">
        <v>4069</v>
      </c>
      <c r="L205" t="s">
        <v>65</v>
      </c>
      <c r="M205" t="b">
        <v>0</v>
      </c>
      <c r="N205" t="s">
        <v>4573</v>
      </c>
      <c r="O205" t="b">
        <v>1</v>
      </c>
      <c r="P205" t="b">
        <v>0</v>
      </c>
      <c r="Q205" t="b">
        <v>0</v>
      </c>
      <c r="R205" t="b">
        <v>1</v>
      </c>
      <c r="S205" t="b">
        <v>1</v>
      </c>
      <c r="T205" t="b">
        <v>1</v>
      </c>
      <c r="U205" t="b">
        <v>1</v>
      </c>
      <c r="V205" t="b">
        <v>1</v>
      </c>
      <c r="W205" t="b">
        <v>1</v>
      </c>
      <c r="X205" t="b">
        <v>0</v>
      </c>
      <c r="Y205" t="b">
        <v>1</v>
      </c>
      <c r="Z205" t="b">
        <v>1</v>
      </c>
      <c r="AA205" t="b">
        <v>1</v>
      </c>
      <c r="AB205" t="s">
        <v>6280</v>
      </c>
      <c r="AC205" t="s">
        <v>7736</v>
      </c>
    </row>
    <row r="206" spans="1:29" x14ac:dyDescent="0.3">
      <c r="A206">
        <v>-73.962094379999996</v>
      </c>
      <c r="B206">
        <v>40.782114739999997</v>
      </c>
      <c r="C206" t="s">
        <v>782</v>
      </c>
      <c r="D206" t="s">
        <v>33</v>
      </c>
      <c r="E206" s="58">
        <v>43386</v>
      </c>
      <c r="F206">
        <v>1</v>
      </c>
      <c r="G206" t="s">
        <v>105</v>
      </c>
      <c r="H206" t="s">
        <v>176</v>
      </c>
      <c r="I206" t="s">
        <v>42</v>
      </c>
      <c r="J206" t="s">
        <v>34</v>
      </c>
      <c r="K206" t="s">
        <v>5682</v>
      </c>
      <c r="L206" t="s">
        <v>44</v>
      </c>
      <c r="M206">
        <v>4</v>
      </c>
      <c r="N206" t="s">
        <v>3479</v>
      </c>
      <c r="O206" t="b">
        <v>1</v>
      </c>
      <c r="P206" t="b">
        <v>0</v>
      </c>
      <c r="Q206" t="b">
        <v>1</v>
      </c>
      <c r="R206" t="b">
        <v>1</v>
      </c>
      <c r="S206" t="b">
        <v>0</v>
      </c>
      <c r="T206" t="b">
        <v>0</v>
      </c>
      <c r="U206" t="b">
        <v>1</v>
      </c>
      <c r="V206" t="b">
        <v>1</v>
      </c>
      <c r="W206" t="b">
        <v>0</v>
      </c>
      <c r="X206" t="b">
        <v>0</v>
      </c>
      <c r="Y206" t="b">
        <v>1</v>
      </c>
      <c r="Z206" t="b">
        <v>1</v>
      </c>
      <c r="AA206" t="b">
        <v>0</v>
      </c>
      <c r="AB206" t="s">
        <v>2123</v>
      </c>
      <c r="AC206" t="s">
        <v>7737</v>
      </c>
    </row>
    <row r="207" spans="1:29" x14ac:dyDescent="0.3">
      <c r="A207">
        <v>-73.98086945</v>
      </c>
      <c r="B207">
        <v>40.792035060000003</v>
      </c>
      <c r="C207" t="s">
        <v>1906</v>
      </c>
      <c r="D207" t="s">
        <v>33</v>
      </c>
      <c r="E207" s="58">
        <v>43379</v>
      </c>
      <c r="F207">
        <v>20</v>
      </c>
      <c r="G207" t="s">
        <v>3842</v>
      </c>
      <c r="H207" t="s">
        <v>53</v>
      </c>
      <c r="I207" t="s">
        <v>176</v>
      </c>
      <c r="J207" t="s">
        <v>79</v>
      </c>
      <c r="K207" t="s">
        <v>6422</v>
      </c>
      <c r="L207" t="s">
        <v>44</v>
      </c>
      <c r="M207">
        <v>10</v>
      </c>
      <c r="N207" t="s">
        <v>3176</v>
      </c>
      <c r="O207" t="b">
        <v>1</v>
      </c>
      <c r="P207" t="b">
        <v>0</v>
      </c>
      <c r="Q207" t="b">
        <v>1</v>
      </c>
      <c r="R207" t="b">
        <v>0</v>
      </c>
      <c r="S207" t="b">
        <v>1</v>
      </c>
      <c r="T207" t="b">
        <v>1</v>
      </c>
      <c r="U207" t="b">
        <v>1</v>
      </c>
      <c r="V207" t="b">
        <v>0</v>
      </c>
      <c r="W207" t="b">
        <v>0</v>
      </c>
      <c r="X207" t="b">
        <v>0</v>
      </c>
      <c r="Y207" t="b">
        <v>0</v>
      </c>
      <c r="Z207" t="b">
        <v>1</v>
      </c>
      <c r="AA207" t="b">
        <v>1</v>
      </c>
      <c r="AB207" t="s">
        <v>7093</v>
      </c>
      <c r="AC207" t="s">
        <v>7738</v>
      </c>
    </row>
    <row r="208" spans="1:29" x14ac:dyDescent="0.3">
      <c r="A208">
        <v>-73.97796864</v>
      </c>
      <c r="B208">
        <v>40.788968029999999</v>
      </c>
      <c r="C208" t="s">
        <v>3796</v>
      </c>
      <c r="D208" t="s">
        <v>38</v>
      </c>
      <c r="E208" s="58">
        <v>43383</v>
      </c>
      <c r="F208">
        <v>22</v>
      </c>
      <c r="G208" t="s">
        <v>3842</v>
      </c>
      <c r="H208" t="s">
        <v>42</v>
      </c>
      <c r="I208" t="s">
        <v>176</v>
      </c>
      <c r="J208" t="s">
        <v>619</v>
      </c>
      <c r="K208" t="s">
        <v>2503</v>
      </c>
      <c r="L208" t="s">
        <v>44</v>
      </c>
      <c r="M208">
        <v>40</v>
      </c>
      <c r="N208" t="s">
        <v>6814</v>
      </c>
      <c r="O208" t="b">
        <v>0</v>
      </c>
      <c r="P208" t="b">
        <v>0</v>
      </c>
      <c r="Q208" t="b">
        <v>0</v>
      </c>
      <c r="R208" t="b">
        <v>0</v>
      </c>
      <c r="S208" t="b">
        <v>1</v>
      </c>
      <c r="T208" t="b">
        <v>0</v>
      </c>
      <c r="U208" t="b">
        <v>1</v>
      </c>
      <c r="V208" t="b">
        <v>0</v>
      </c>
      <c r="W208" t="b">
        <v>1</v>
      </c>
      <c r="X208" t="b">
        <v>0</v>
      </c>
      <c r="Y208" t="b">
        <v>1</v>
      </c>
      <c r="Z208" t="b">
        <v>0</v>
      </c>
      <c r="AA208" t="b">
        <v>0</v>
      </c>
      <c r="AB208" t="s">
        <v>75</v>
      </c>
      <c r="AC208" t="s">
        <v>7739</v>
      </c>
    </row>
    <row r="209" spans="1:29" x14ac:dyDescent="0.3">
      <c r="A209">
        <v>-73.960300200000006</v>
      </c>
      <c r="B209">
        <v>40.780609939999998</v>
      </c>
      <c r="C209" t="s">
        <v>517</v>
      </c>
      <c r="D209" t="s">
        <v>38</v>
      </c>
      <c r="E209" s="58">
        <v>43393</v>
      </c>
      <c r="F209">
        <v>16</v>
      </c>
      <c r="G209" t="s">
        <v>48</v>
      </c>
      <c r="H209" t="s">
        <v>42</v>
      </c>
      <c r="I209" t="s">
        <v>1921</v>
      </c>
      <c r="J209" t="s">
        <v>705</v>
      </c>
      <c r="K209" t="s">
        <v>6166</v>
      </c>
      <c r="L209" t="s">
        <v>65</v>
      </c>
      <c r="M209" t="b">
        <v>0</v>
      </c>
      <c r="N209" t="s">
        <v>6452</v>
      </c>
      <c r="O209" t="b">
        <v>1</v>
      </c>
      <c r="P209" t="b">
        <v>0</v>
      </c>
      <c r="Q209" t="b">
        <v>0</v>
      </c>
      <c r="R209" t="b">
        <v>1</v>
      </c>
      <c r="S209" t="b">
        <v>0</v>
      </c>
      <c r="T209" t="b">
        <v>1</v>
      </c>
      <c r="U209" t="b">
        <v>1</v>
      </c>
      <c r="V209" t="b">
        <v>1</v>
      </c>
      <c r="W209" t="b">
        <v>0</v>
      </c>
      <c r="X209" t="b">
        <v>0</v>
      </c>
      <c r="Y209" t="b">
        <v>1</v>
      </c>
      <c r="Z209" t="b">
        <v>0</v>
      </c>
      <c r="AA209" t="b">
        <v>1</v>
      </c>
      <c r="AB209" t="s">
        <v>7114</v>
      </c>
      <c r="AC209" t="s">
        <v>7740</v>
      </c>
    </row>
    <row r="210" spans="1:29" x14ac:dyDescent="0.3">
      <c r="A210">
        <v>-73.980999460000007</v>
      </c>
      <c r="B210">
        <v>40.774544470000002</v>
      </c>
      <c r="C210" t="s">
        <v>709</v>
      </c>
      <c r="D210" t="s">
        <v>33</v>
      </c>
      <c r="E210" s="58">
        <v>43384</v>
      </c>
      <c r="F210">
        <v>23</v>
      </c>
      <c r="G210" t="s">
        <v>48</v>
      </c>
      <c r="H210" t="s">
        <v>53</v>
      </c>
      <c r="I210" t="s">
        <v>59</v>
      </c>
      <c r="J210" t="s">
        <v>54</v>
      </c>
      <c r="K210" t="s">
        <v>6299</v>
      </c>
      <c r="L210" t="s">
        <v>44</v>
      </c>
      <c r="M210">
        <v>15</v>
      </c>
      <c r="N210" t="s">
        <v>3166</v>
      </c>
      <c r="O210" t="b">
        <v>1</v>
      </c>
      <c r="P210" t="b">
        <v>0</v>
      </c>
      <c r="Q210" t="b">
        <v>0</v>
      </c>
      <c r="R210" t="b">
        <v>1</v>
      </c>
      <c r="S210" t="b">
        <v>0</v>
      </c>
      <c r="T210" t="b">
        <v>1</v>
      </c>
      <c r="U210" t="b">
        <v>0</v>
      </c>
      <c r="V210" t="b">
        <v>0</v>
      </c>
      <c r="W210" t="b">
        <v>0</v>
      </c>
      <c r="X210" t="b">
        <v>1</v>
      </c>
      <c r="Y210" t="b">
        <v>1</v>
      </c>
      <c r="Z210" t="b">
        <v>1</v>
      </c>
      <c r="AA210" t="b">
        <v>1</v>
      </c>
      <c r="AB210" t="s">
        <v>436</v>
      </c>
      <c r="AC210" t="s">
        <v>7741</v>
      </c>
    </row>
    <row r="211" spans="1:29" x14ac:dyDescent="0.3">
      <c r="A211">
        <v>-73.976103289999998</v>
      </c>
      <c r="B211">
        <v>40.800017279999999</v>
      </c>
      <c r="C211" t="s">
        <v>1882</v>
      </c>
      <c r="D211" t="s">
        <v>33</v>
      </c>
      <c r="E211" s="58">
        <v>43384</v>
      </c>
      <c r="F211">
        <v>11</v>
      </c>
      <c r="G211" t="s">
        <v>48</v>
      </c>
      <c r="H211" t="s">
        <v>53</v>
      </c>
      <c r="I211" t="s">
        <v>148</v>
      </c>
      <c r="J211" t="s">
        <v>738</v>
      </c>
      <c r="K211" t="s">
        <v>1754</v>
      </c>
      <c r="L211" t="s">
        <v>65</v>
      </c>
      <c r="M211" t="b">
        <v>0</v>
      </c>
      <c r="N211" t="s">
        <v>4541</v>
      </c>
      <c r="O211" t="b">
        <v>1</v>
      </c>
      <c r="P211" t="b">
        <v>1</v>
      </c>
      <c r="Q211" t="b">
        <v>1</v>
      </c>
      <c r="R211" t="b">
        <v>1</v>
      </c>
      <c r="S211" t="b">
        <v>1</v>
      </c>
      <c r="T211" t="b">
        <v>0</v>
      </c>
      <c r="U211" t="b">
        <v>0</v>
      </c>
      <c r="V211" t="b">
        <v>0</v>
      </c>
      <c r="W211" t="b">
        <v>1</v>
      </c>
      <c r="X211" t="b">
        <v>1</v>
      </c>
      <c r="Y211" t="b">
        <v>1</v>
      </c>
      <c r="Z211" t="b">
        <v>1</v>
      </c>
      <c r="AA211" t="b">
        <v>0</v>
      </c>
      <c r="AB211" t="s">
        <v>635</v>
      </c>
      <c r="AC211" t="s">
        <v>7742</v>
      </c>
    </row>
    <row r="212" spans="1:29" x14ac:dyDescent="0.3">
      <c r="A212">
        <v>-73.963908140000001</v>
      </c>
      <c r="B212">
        <v>40.779915600000002</v>
      </c>
      <c r="C212" t="s">
        <v>2203</v>
      </c>
      <c r="D212" t="s">
        <v>38</v>
      </c>
      <c r="E212" s="58">
        <v>43391</v>
      </c>
      <c r="F212">
        <v>13</v>
      </c>
      <c r="G212" t="s">
        <v>3842</v>
      </c>
      <c r="H212" t="s">
        <v>176</v>
      </c>
      <c r="I212" t="s">
        <v>1921</v>
      </c>
      <c r="J212" t="s">
        <v>2942</v>
      </c>
      <c r="K212" t="s">
        <v>2282</v>
      </c>
      <c r="L212" t="s">
        <v>65</v>
      </c>
      <c r="M212" t="b">
        <v>0</v>
      </c>
      <c r="N212" t="s">
        <v>6098</v>
      </c>
      <c r="O212" t="b">
        <v>0</v>
      </c>
      <c r="P212" t="b">
        <v>0</v>
      </c>
      <c r="Q212" t="b">
        <v>0</v>
      </c>
      <c r="R212" t="b">
        <v>0</v>
      </c>
      <c r="S212" t="b">
        <v>1</v>
      </c>
      <c r="T212" t="b">
        <v>1</v>
      </c>
      <c r="U212" t="b">
        <v>0</v>
      </c>
      <c r="V212" t="b">
        <v>0</v>
      </c>
      <c r="W212" t="b">
        <v>1</v>
      </c>
      <c r="X212" t="b">
        <v>0</v>
      </c>
      <c r="Y212" t="b">
        <v>1</v>
      </c>
      <c r="Z212" t="b">
        <v>0</v>
      </c>
      <c r="AA212" t="b">
        <v>0</v>
      </c>
      <c r="AB212" t="s">
        <v>3595</v>
      </c>
      <c r="AC212" t="s">
        <v>7743</v>
      </c>
    </row>
    <row r="213" spans="1:29" x14ac:dyDescent="0.3">
      <c r="A213">
        <v>-73.959407600000006</v>
      </c>
      <c r="B213">
        <v>40.780803030000001</v>
      </c>
      <c r="C213" t="s">
        <v>1206</v>
      </c>
      <c r="D213" t="s">
        <v>38</v>
      </c>
      <c r="E213" s="58">
        <v>43383</v>
      </c>
      <c r="F213">
        <v>27</v>
      </c>
      <c r="G213" t="s">
        <v>3842</v>
      </c>
      <c r="H213" t="s">
        <v>42</v>
      </c>
      <c r="I213" t="s">
        <v>59</v>
      </c>
      <c r="J213" t="s">
        <v>1233</v>
      </c>
      <c r="K213" t="s">
        <v>2685</v>
      </c>
      <c r="L213" t="s">
        <v>65</v>
      </c>
      <c r="M213" t="b">
        <v>0</v>
      </c>
      <c r="N213" t="s">
        <v>3013</v>
      </c>
      <c r="O213" t="b">
        <v>0</v>
      </c>
      <c r="P213" t="b">
        <v>0</v>
      </c>
      <c r="Q213" t="b">
        <v>1</v>
      </c>
      <c r="R213" t="b">
        <v>1</v>
      </c>
      <c r="S213" t="b">
        <v>0</v>
      </c>
      <c r="T213" t="b">
        <v>0</v>
      </c>
      <c r="U213" t="b">
        <v>0</v>
      </c>
      <c r="V213" t="b">
        <v>0</v>
      </c>
      <c r="W213" t="b">
        <v>1</v>
      </c>
      <c r="X213" t="b">
        <v>0</v>
      </c>
      <c r="Y213" t="b">
        <v>0</v>
      </c>
      <c r="Z213" t="b">
        <v>1</v>
      </c>
      <c r="AA213" t="b">
        <v>1</v>
      </c>
      <c r="AB213" t="s">
        <v>511</v>
      </c>
      <c r="AC213" t="s">
        <v>7744</v>
      </c>
    </row>
    <row r="214" spans="1:29" x14ac:dyDescent="0.3">
      <c r="A214">
        <v>-73.960662999999997</v>
      </c>
      <c r="B214">
        <v>40.77067151</v>
      </c>
      <c r="C214" t="s">
        <v>1899</v>
      </c>
      <c r="D214" t="s">
        <v>33</v>
      </c>
      <c r="E214" s="58">
        <v>43381</v>
      </c>
      <c r="F214">
        <v>10</v>
      </c>
      <c r="G214" t="s">
        <v>3842</v>
      </c>
      <c r="H214" t="s">
        <v>176</v>
      </c>
      <c r="I214" t="s">
        <v>59</v>
      </c>
      <c r="J214" t="s">
        <v>54</v>
      </c>
      <c r="K214" t="s">
        <v>6214</v>
      </c>
      <c r="L214" t="s">
        <v>44</v>
      </c>
      <c r="M214">
        <v>4</v>
      </c>
      <c r="N214" t="s">
        <v>2003</v>
      </c>
      <c r="O214" t="b">
        <v>1</v>
      </c>
      <c r="P214" t="b">
        <v>0</v>
      </c>
      <c r="Q214" t="b">
        <v>0</v>
      </c>
      <c r="R214" t="b">
        <v>1</v>
      </c>
      <c r="S214" t="b">
        <v>1</v>
      </c>
      <c r="T214" t="b">
        <v>1</v>
      </c>
      <c r="U214" t="b">
        <v>1</v>
      </c>
      <c r="V214" t="b">
        <v>0</v>
      </c>
      <c r="W214" t="b">
        <v>1</v>
      </c>
      <c r="X214" t="b">
        <v>1</v>
      </c>
      <c r="Y214" t="b">
        <v>1</v>
      </c>
      <c r="Z214" t="b">
        <v>1</v>
      </c>
      <c r="AA214" t="b">
        <v>0</v>
      </c>
      <c r="AB214" t="s">
        <v>2824</v>
      </c>
      <c r="AC214" t="s">
        <v>7745</v>
      </c>
    </row>
    <row r="215" spans="1:29" x14ac:dyDescent="0.3">
      <c r="A215">
        <v>-73.974108270000002</v>
      </c>
      <c r="B215">
        <v>40.792894199999999</v>
      </c>
      <c r="C215" t="s">
        <v>304</v>
      </c>
      <c r="D215" t="s">
        <v>38</v>
      </c>
      <c r="E215" s="58">
        <v>43393</v>
      </c>
      <c r="F215">
        <v>3</v>
      </c>
      <c r="G215" t="s">
        <v>48</v>
      </c>
      <c r="H215" t="s">
        <v>53</v>
      </c>
      <c r="I215" t="s">
        <v>115</v>
      </c>
      <c r="J215" t="s">
        <v>1142</v>
      </c>
      <c r="K215" t="s">
        <v>2136</v>
      </c>
      <c r="L215" t="s">
        <v>65</v>
      </c>
      <c r="M215" t="b">
        <v>0</v>
      </c>
      <c r="N215" t="s">
        <v>5039</v>
      </c>
      <c r="O215" t="b">
        <v>1</v>
      </c>
      <c r="P215" t="b">
        <v>1</v>
      </c>
      <c r="Q215" t="b">
        <v>1</v>
      </c>
      <c r="R215" t="b">
        <v>0</v>
      </c>
      <c r="S215" t="b">
        <v>0</v>
      </c>
      <c r="T215" t="b">
        <v>1</v>
      </c>
      <c r="U215" t="b">
        <v>1</v>
      </c>
      <c r="V215" t="b">
        <v>0</v>
      </c>
      <c r="W215" t="b">
        <v>1</v>
      </c>
      <c r="X215" t="b">
        <v>0</v>
      </c>
      <c r="Y215" t="b">
        <v>1</v>
      </c>
      <c r="Z215" t="b">
        <v>0</v>
      </c>
      <c r="AA215" t="b">
        <v>1</v>
      </c>
      <c r="AB215" t="s">
        <v>6045</v>
      </c>
      <c r="AC215" t="s">
        <v>7746</v>
      </c>
    </row>
    <row r="216" spans="1:29" x14ac:dyDescent="0.3">
      <c r="A216">
        <v>-73.958769939999996</v>
      </c>
      <c r="B216">
        <v>40.789333730000003</v>
      </c>
      <c r="C216" t="s">
        <v>1544</v>
      </c>
      <c r="D216" t="s">
        <v>38</v>
      </c>
      <c r="E216" s="58">
        <v>43383</v>
      </c>
      <c r="F216">
        <v>9</v>
      </c>
      <c r="G216" t="s">
        <v>105</v>
      </c>
      <c r="H216" t="s">
        <v>53</v>
      </c>
      <c r="I216" t="s">
        <v>5105</v>
      </c>
      <c r="J216" t="s">
        <v>705</v>
      </c>
      <c r="K216" t="s">
        <v>7307</v>
      </c>
      <c r="L216" t="s">
        <v>65</v>
      </c>
      <c r="M216" t="b">
        <v>0</v>
      </c>
      <c r="N216" t="s">
        <v>4282</v>
      </c>
      <c r="O216" t="b">
        <v>0</v>
      </c>
      <c r="P216" t="b">
        <v>1</v>
      </c>
      <c r="Q216" t="b">
        <v>1</v>
      </c>
      <c r="R216" t="b">
        <v>1</v>
      </c>
      <c r="S216" t="b">
        <v>0</v>
      </c>
      <c r="T216" t="b">
        <v>1</v>
      </c>
      <c r="U216" t="b">
        <v>1</v>
      </c>
      <c r="V216" t="b">
        <v>1</v>
      </c>
      <c r="W216" t="b">
        <v>1</v>
      </c>
      <c r="X216" t="b">
        <v>1</v>
      </c>
      <c r="Y216" t="b">
        <v>1</v>
      </c>
      <c r="Z216" t="b">
        <v>0</v>
      </c>
      <c r="AA216" t="b">
        <v>0</v>
      </c>
      <c r="AB216" t="s">
        <v>4727</v>
      </c>
      <c r="AC216" t="s">
        <v>7747</v>
      </c>
    </row>
    <row r="217" spans="1:29" x14ac:dyDescent="0.3">
      <c r="A217">
        <v>-73.973700230000006</v>
      </c>
      <c r="B217">
        <v>40.772683489999999</v>
      </c>
      <c r="C217" t="s">
        <v>827</v>
      </c>
      <c r="D217" t="s">
        <v>33</v>
      </c>
      <c r="E217" s="58">
        <v>43390</v>
      </c>
      <c r="F217">
        <v>28</v>
      </c>
      <c r="G217" t="s">
        <v>3842</v>
      </c>
      <c r="H217" t="s">
        <v>176</v>
      </c>
      <c r="I217" t="s">
        <v>5105</v>
      </c>
      <c r="J217" t="s">
        <v>339</v>
      </c>
      <c r="K217" t="s">
        <v>4237</v>
      </c>
      <c r="L217" t="s">
        <v>44</v>
      </c>
      <c r="M217">
        <v>7</v>
      </c>
      <c r="N217" t="s">
        <v>7258</v>
      </c>
      <c r="O217" t="b">
        <v>0</v>
      </c>
      <c r="P217" t="b">
        <v>0</v>
      </c>
      <c r="Q217" t="b">
        <v>0</v>
      </c>
      <c r="R217" t="b">
        <v>0</v>
      </c>
      <c r="S217" t="b">
        <v>1</v>
      </c>
      <c r="T217" t="b">
        <v>1</v>
      </c>
      <c r="U217" t="b">
        <v>1</v>
      </c>
      <c r="V217" t="b">
        <v>1</v>
      </c>
      <c r="W217" t="b">
        <v>1</v>
      </c>
      <c r="X217" t="b">
        <v>1</v>
      </c>
      <c r="Y217" t="b">
        <v>0</v>
      </c>
      <c r="Z217" t="b">
        <v>0</v>
      </c>
      <c r="AA217" t="b">
        <v>0</v>
      </c>
      <c r="AB217" t="s">
        <v>3437</v>
      </c>
      <c r="AC217" t="s">
        <v>7748</v>
      </c>
    </row>
    <row r="218" spans="1:29" x14ac:dyDescent="0.3">
      <c r="A218">
        <v>-73.970929049999995</v>
      </c>
      <c r="B218">
        <v>40.767811129999998</v>
      </c>
      <c r="C218" t="s">
        <v>221</v>
      </c>
      <c r="D218" t="s">
        <v>38</v>
      </c>
      <c r="E218" s="58">
        <v>43386</v>
      </c>
      <c r="F218">
        <v>12</v>
      </c>
      <c r="G218" t="s">
        <v>3842</v>
      </c>
      <c r="H218" t="s">
        <v>53</v>
      </c>
      <c r="I218" t="s">
        <v>5105</v>
      </c>
      <c r="J218" t="s">
        <v>339</v>
      </c>
      <c r="K218" t="s">
        <v>4237</v>
      </c>
      <c r="L218" t="s">
        <v>44</v>
      </c>
      <c r="M218">
        <v>30</v>
      </c>
      <c r="N218" t="s">
        <v>2563</v>
      </c>
      <c r="O218" t="b">
        <v>1</v>
      </c>
      <c r="P218" t="b">
        <v>1</v>
      </c>
      <c r="Q218" t="b">
        <v>1</v>
      </c>
      <c r="R218" t="b">
        <v>0</v>
      </c>
      <c r="S218" t="b">
        <v>0</v>
      </c>
      <c r="T218" t="b">
        <v>0</v>
      </c>
      <c r="U218" t="b">
        <v>0</v>
      </c>
      <c r="V218" t="b">
        <v>1</v>
      </c>
      <c r="W218" t="b">
        <v>0</v>
      </c>
      <c r="X218" t="b">
        <v>0</v>
      </c>
      <c r="Y218" t="b">
        <v>0</v>
      </c>
      <c r="Z218" t="b">
        <v>1</v>
      </c>
      <c r="AA218" t="b">
        <v>1</v>
      </c>
      <c r="AB218" t="s">
        <v>511</v>
      </c>
      <c r="AC218" t="s">
        <v>7749</v>
      </c>
    </row>
    <row r="219" spans="1:29" x14ac:dyDescent="0.3">
      <c r="A219">
        <v>-73.957691269999998</v>
      </c>
      <c r="B219">
        <v>40.788869589999997</v>
      </c>
      <c r="C219" t="s">
        <v>1115</v>
      </c>
      <c r="D219" t="s">
        <v>38</v>
      </c>
      <c r="E219" s="58">
        <v>43392</v>
      </c>
      <c r="F219">
        <v>23</v>
      </c>
      <c r="G219" t="s">
        <v>3842</v>
      </c>
      <c r="H219" t="s">
        <v>42</v>
      </c>
      <c r="I219" t="s">
        <v>737</v>
      </c>
      <c r="J219" t="s">
        <v>177</v>
      </c>
      <c r="K219" t="s">
        <v>6725</v>
      </c>
      <c r="L219" t="s">
        <v>65</v>
      </c>
      <c r="M219" t="b">
        <v>0</v>
      </c>
      <c r="N219" t="s">
        <v>190</v>
      </c>
      <c r="O219" t="b">
        <v>0</v>
      </c>
      <c r="P219" t="b">
        <v>0</v>
      </c>
      <c r="Q219" t="b">
        <v>1</v>
      </c>
      <c r="R219" t="b">
        <v>1</v>
      </c>
      <c r="S219" t="b">
        <v>1</v>
      </c>
      <c r="T219" t="b">
        <v>1</v>
      </c>
      <c r="U219" t="b">
        <v>1</v>
      </c>
      <c r="V219" t="b">
        <v>1</v>
      </c>
      <c r="W219" t="b">
        <v>1</v>
      </c>
      <c r="X219" t="b">
        <v>0</v>
      </c>
      <c r="Y219" t="b">
        <v>1</v>
      </c>
      <c r="Z219" t="b">
        <v>0</v>
      </c>
      <c r="AA219" t="b">
        <v>1</v>
      </c>
      <c r="AB219" t="s">
        <v>2182</v>
      </c>
      <c r="AC219" t="s">
        <v>7750</v>
      </c>
    </row>
    <row r="220" spans="1:29" x14ac:dyDescent="0.3">
      <c r="A220">
        <v>-73.960736190000006</v>
      </c>
      <c r="B220">
        <v>40.787954599999999</v>
      </c>
      <c r="C220" t="s">
        <v>767</v>
      </c>
      <c r="D220" t="s">
        <v>33</v>
      </c>
      <c r="E220" s="58">
        <v>43380</v>
      </c>
      <c r="F220">
        <v>14</v>
      </c>
      <c r="G220" t="s">
        <v>105</v>
      </c>
      <c r="H220" t="s">
        <v>176</v>
      </c>
      <c r="I220" t="s">
        <v>1921</v>
      </c>
      <c r="J220" t="s">
        <v>1233</v>
      </c>
      <c r="K220" t="s">
        <v>6737</v>
      </c>
      <c r="L220" t="s">
        <v>65</v>
      </c>
      <c r="M220" t="b">
        <v>0</v>
      </c>
      <c r="N220" t="s">
        <v>5548</v>
      </c>
      <c r="O220" t="b">
        <v>1</v>
      </c>
      <c r="P220" t="b">
        <v>0</v>
      </c>
      <c r="Q220" t="b">
        <v>0</v>
      </c>
      <c r="R220" t="b">
        <v>1</v>
      </c>
      <c r="S220" t="b">
        <v>0</v>
      </c>
      <c r="T220" t="b">
        <v>0</v>
      </c>
      <c r="U220" t="b">
        <v>1</v>
      </c>
      <c r="V220" t="b">
        <v>0</v>
      </c>
      <c r="W220" t="b">
        <v>1</v>
      </c>
      <c r="X220" t="b">
        <v>1</v>
      </c>
      <c r="Y220" t="b">
        <v>1</v>
      </c>
      <c r="Z220" t="b">
        <v>0</v>
      </c>
      <c r="AA220" t="b">
        <v>0</v>
      </c>
      <c r="AB220" t="s">
        <v>7278</v>
      </c>
      <c r="AC220" t="s">
        <v>7751</v>
      </c>
    </row>
    <row r="221" spans="1:29" x14ac:dyDescent="0.3">
      <c r="A221">
        <v>-73.954461699999996</v>
      </c>
      <c r="B221">
        <v>40.774531549999999</v>
      </c>
      <c r="C221" t="s">
        <v>607</v>
      </c>
      <c r="D221" t="s">
        <v>33</v>
      </c>
      <c r="E221" s="58">
        <v>43384</v>
      </c>
      <c r="F221">
        <v>1</v>
      </c>
      <c r="G221" t="s">
        <v>3842</v>
      </c>
      <c r="H221" t="s">
        <v>42</v>
      </c>
      <c r="I221" t="s">
        <v>59</v>
      </c>
      <c r="J221" t="s">
        <v>116</v>
      </c>
      <c r="K221" t="s">
        <v>4243</v>
      </c>
      <c r="L221" t="s">
        <v>44</v>
      </c>
      <c r="M221">
        <v>8</v>
      </c>
      <c r="N221" t="s">
        <v>424</v>
      </c>
      <c r="O221" t="b">
        <v>0</v>
      </c>
      <c r="P221" t="b">
        <v>1</v>
      </c>
      <c r="Q221" t="b">
        <v>1</v>
      </c>
      <c r="R221" t="b">
        <v>1</v>
      </c>
      <c r="S221" t="b">
        <v>0</v>
      </c>
      <c r="T221" t="b">
        <v>0</v>
      </c>
      <c r="U221" t="b">
        <v>1</v>
      </c>
      <c r="V221" t="b">
        <v>1</v>
      </c>
      <c r="W221" t="b">
        <v>1</v>
      </c>
      <c r="X221" t="b">
        <v>1</v>
      </c>
      <c r="Y221" t="b">
        <v>0</v>
      </c>
      <c r="Z221" t="b">
        <v>0</v>
      </c>
      <c r="AA221" t="b">
        <v>1</v>
      </c>
      <c r="AB221" t="s">
        <v>5062</v>
      </c>
      <c r="AC221" t="s">
        <v>7752</v>
      </c>
    </row>
    <row r="222" spans="1:29" x14ac:dyDescent="0.3">
      <c r="A222">
        <v>-73.960485329999997</v>
      </c>
      <c r="B222">
        <v>40.798388529999997</v>
      </c>
      <c r="C222" t="s">
        <v>32</v>
      </c>
      <c r="D222" t="s">
        <v>38</v>
      </c>
      <c r="E222" s="58">
        <v>43387</v>
      </c>
      <c r="F222">
        <v>18</v>
      </c>
      <c r="G222" t="s">
        <v>105</v>
      </c>
      <c r="H222" t="s">
        <v>42</v>
      </c>
      <c r="I222" t="s">
        <v>115</v>
      </c>
      <c r="J222" t="s">
        <v>1233</v>
      </c>
      <c r="K222" t="s">
        <v>6623</v>
      </c>
      <c r="L222" t="s">
        <v>65</v>
      </c>
      <c r="M222" t="b">
        <v>0</v>
      </c>
      <c r="N222" t="s">
        <v>3176</v>
      </c>
      <c r="O222" t="b">
        <v>1</v>
      </c>
      <c r="P222" t="b">
        <v>0</v>
      </c>
      <c r="Q222" t="b">
        <v>0</v>
      </c>
      <c r="R222" t="b">
        <v>0</v>
      </c>
      <c r="S222" t="b">
        <v>1</v>
      </c>
      <c r="T222" t="b">
        <v>1</v>
      </c>
      <c r="U222" t="b">
        <v>1</v>
      </c>
      <c r="V222" t="b">
        <v>1</v>
      </c>
      <c r="W222" t="b">
        <v>1</v>
      </c>
      <c r="X222" t="b">
        <v>0</v>
      </c>
      <c r="Y222" t="b">
        <v>0</v>
      </c>
      <c r="Z222" t="b">
        <v>0</v>
      </c>
      <c r="AA222" t="b">
        <v>0</v>
      </c>
      <c r="AB222" t="s">
        <v>5896</v>
      </c>
      <c r="AC222" t="s">
        <v>7753</v>
      </c>
    </row>
    <row r="223" spans="1:29" x14ac:dyDescent="0.3">
      <c r="A223">
        <v>-73.963292769999995</v>
      </c>
      <c r="B223">
        <v>40.770229090000001</v>
      </c>
      <c r="C223" t="s">
        <v>1525</v>
      </c>
      <c r="D223" t="s">
        <v>33</v>
      </c>
      <c r="E223" s="58">
        <v>43386</v>
      </c>
      <c r="F223">
        <v>17</v>
      </c>
      <c r="G223" t="s">
        <v>3842</v>
      </c>
      <c r="H223" t="s">
        <v>42</v>
      </c>
      <c r="I223" t="s">
        <v>176</v>
      </c>
      <c r="J223" t="s">
        <v>3580</v>
      </c>
      <c r="K223" t="s">
        <v>3261</v>
      </c>
      <c r="L223" t="s">
        <v>65</v>
      </c>
      <c r="M223" t="b">
        <v>0</v>
      </c>
      <c r="N223" t="s">
        <v>2760</v>
      </c>
      <c r="O223" t="b">
        <v>1</v>
      </c>
      <c r="P223" t="b">
        <v>1</v>
      </c>
      <c r="Q223" t="b">
        <v>1</v>
      </c>
      <c r="R223" t="b">
        <v>0</v>
      </c>
      <c r="S223" t="b">
        <v>0</v>
      </c>
      <c r="T223" t="b">
        <v>1</v>
      </c>
      <c r="U223" t="b">
        <v>0</v>
      </c>
      <c r="V223" t="b">
        <v>1</v>
      </c>
      <c r="W223" t="b">
        <v>1</v>
      </c>
      <c r="X223" t="b">
        <v>0</v>
      </c>
      <c r="Y223" t="b">
        <v>1</v>
      </c>
      <c r="Z223" t="b">
        <v>0</v>
      </c>
      <c r="AA223" t="b">
        <v>0</v>
      </c>
      <c r="AB223" t="s">
        <v>3844</v>
      </c>
      <c r="AC223" t="s">
        <v>7754</v>
      </c>
    </row>
    <row r="224" spans="1:29" x14ac:dyDescent="0.3">
      <c r="A224">
        <v>-73.978213740000001</v>
      </c>
      <c r="B224">
        <v>40.780132250000001</v>
      </c>
      <c r="C224" t="s">
        <v>642</v>
      </c>
      <c r="D224" t="s">
        <v>38</v>
      </c>
      <c r="E224" s="58">
        <v>43392</v>
      </c>
      <c r="F224">
        <v>27</v>
      </c>
      <c r="G224" t="s">
        <v>105</v>
      </c>
      <c r="H224" t="s">
        <v>176</v>
      </c>
      <c r="I224" t="s">
        <v>148</v>
      </c>
      <c r="J224" t="s">
        <v>3228</v>
      </c>
      <c r="K224" t="s">
        <v>3407</v>
      </c>
      <c r="L224" t="s">
        <v>65</v>
      </c>
      <c r="M224" t="b">
        <v>0</v>
      </c>
      <c r="N224" t="s">
        <v>2700</v>
      </c>
      <c r="O224" t="b">
        <v>0</v>
      </c>
      <c r="P224" t="b">
        <v>1</v>
      </c>
      <c r="Q224" t="b">
        <v>1</v>
      </c>
      <c r="R224" t="b">
        <v>0</v>
      </c>
      <c r="S224" t="b">
        <v>1</v>
      </c>
      <c r="T224" t="b">
        <v>0</v>
      </c>
      <c r="U224" t="b">
        <v>1</v>
      </c>
      <c r="V224" t="b">
        <v>1</v>
      </c>
      <c r="W224" t="b">
        <v>1</v>
      </c>
      <c r="X224" t="b">
        <v>1</v>
      </c>
      <c r="Y224" t="b">
        <v>0</v>
      </c>
      <c r="Z224" t="b">
        <v>0</v>
      </c>
      <c r="AA224" t="b">
        <v>1</v>
      </c>
      <c r="AB224" t="s">
        <v>5924</v>
      </c>
      <c r="AC224" t="s">
        <v>7755</v>
      </c>
    </row>
    <row r="225" spans="1:29" x14ac:dyDescent="0.3">
      <c r="A225">
        <v>-73.969598770000005</v>
      </c>
      <c r="B225">
        <v>40.798133360000001</v>
      </c>
      <c r="C225" t="s">
        <v>1056</v>
      </c>
      <c r="D225" t="s">
        <v>33</v>
      </c>
      <c r="E225" s="58">
        <v>43389</v>
      </c>
      <c r="F225">
        <v>9</v>
      </c>
      <c r="G225" t="s">
        <v>3842</v>
      </c>
      <c r="H225" t="s">
        <v>53</v>
      </c>
      <c r="I225" t="s">
        <v>148</v>
      </c>
      <c r="J225" t="s">
        <v>177</v>
      </c>
      <c r="K225" t="s">
        <v>5413</v>
      </c>
      <c r="L225" t="s">
        <v>65</v>
      </c>
      <c r="M225" t="b">
        <v>0</v>
      </c>
      <c r="N225" t="s">
        <v>3085</v>
      </c>
      <c r="O225" t="b">
        <v>1</v>
      </c>
      <c r="P225" t="b">
        <v>1</v>
      </c>
      <c r="Q225" t="b">
        <v>1</v>
      </c>
      <c r="R225" t="b">
        <v>1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1</v>
      </c>
      <c r="Y225" t="b">
        <v>1</v>
      </c>
      <c r="Z225" t="b">
        <v>0</v>
      </c>
      <c r="AA225" t="b">
        <v>0</v>
      </c>
      <c r="AB225" t="s">
        <v>1029</v>
      </c>
      <c r="AC225" t="s">
        <v>7756</v>
      </c>
    </row>
    <row r="226" spans="1:29" x14ac:dyDescent="0.3">
      <c r="A226">
        <v>-73.972821460000006</v>
      </c>
      <c r="B226">
        <v>40.779688360000002</v>
      </c>
      <c r="C226" t="s">
        <v>311</v>
      </c>
      <c r="D226" t="s">
        <v>38</v>
      </c>
      <c r="E226" s="58">
        <v>43386</v>
      </c>
      <c r="F226">
        <v>9</v>
      </c>
      <c r="G226" t="s">
        <v>48</v>
      </c>
      <c r="H226" t="s">
        <v>42</v>
      </c>
      <c r="I226" t="s">
        <v>176</v>
      </c>
      <c r="J226" t="s">
        <v>43</v>
      </c>
      <c r="K226" t="s">
        <v>3461</v>
      </c>
      <c r="L226" t="s">
        <v>44</v>
      </c>
      <c r="M226">
        <v>8</v>
      </c>
      <c r="N226" t="s">
        <v>6618</v>
      </c>
      <c r="O226" t="b">
        <v>0</v>
      </c>
      <c r="P226" t="b">
        <v>0</v>
      </c>
      <c r="Q226" t="b">
        <v>1</v>
      </c>
      <c r="R226" t="b">
        <v>1</v>
      </c>
      <c r="S226" t="b">
        <v>0</v>
      </c>
      <c r="T226" t="b">
        <v>1</v>
      </c>
      <c r="U226" t="b">
        <v>1</v>
      </c>
      <c r="V226" t="b">
        <v>0</v>
      </c>
      <c r="W226" t="b">
        <v>1</v>
      </c>
      <c r="X226" t="b">
        <v>1</v>
      </c>
      <c r="Y226" t="b">
        <v>1</v>
      </c>
      <c r="Z226" t="b">
        <v>1</v>
      </c>
      <c r="AA226" t="b">
        <v>1</v>
      </c>
      <c r="AB226" t="s">
        <v>251</v>
      </c>
      <c r="AC226" t="s">
        <v>7757</v>
      </c>
    </row>
    <row r="227" spans="1:29" x14ac:dyDescent="0.3">
      <c r="A227">
        <v>-73.973488320000001</v>
      </c>
      <c r="B227">
        <v>40.787391790000001</v>
      </c>
      <c r="C227" t="s">
        <v>47</v>
      </c>
      <c r="D227" t="s">
        <v>33</v>
      </c>
      <c r="E227" s="58">
        <v>43386</v>
      </c>
      <c r="F227">
        <v>23</v>
      </c>
      <c r="G227" t="s">
        <v>48</v>
      </c>
      <c r="H227" t="s">
        <v>42</v>
      </c>
      <c r="I227" t="s">
        <v>42</v>
      </c>
      <c r="J227" t="s">
        <v>155</v>
      </c>
      <c r="K227" t="s">
        <v>4463</v>
      </c>
      <c r="L227" t="s">
        <v>65</v>
      </c>
      <c r="M227" t="b">
        <v>0</v>
      </c>
      <c r="N227" t="s">
        <v>3176</v>
      </c>
      <c r="O227" t="b">
        <v>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  <c r="U227" t="b">
        <v>1</v>
      </c>
      <c r="V227" t="b">
        <v>1</v>
      </c>
      <c r="W227" t="b">
        <v>0</v>
      </c>
      <c r="X227" t="b">
        <v>0</v>
      </c>
      <c r="Y227" t="b">
        <v>1</v>
      </c>
      <c r="Z227" t="b">
        <v>0</v>
      </c>
      <c r="AA227" t="b">
        <v>1</v>
      </c>
      <c r="AB227" t="s">
        <v>144</v>
      </c>
      <c r="AC227" t="s">
        <v>7758</v>
      </c>
    </row>
    <row r="228" spans="1:29" x14ac:dyDescent="0.3">
      <c r="A228">
        <v>-73.950570229999997</v>
      </c>
      <c r="B228">
        <v>40.778909110000001</v>
      </c>
      <c r="C228" t="s">
        <v>2593</v>
      </c>
      <c r="D228" t="s">
        <v>38</v>
      </c>
      <c r="E228" s="58">
        <v>43393</v>
      </c>
      <c r="F228">
        <v>10</v>
      </c>
      <c r="G228" t="s">
        <v>48</v>
      </c>
      <c r="H228" t="s">
        <v>42</v>
      </c>
      <c r="I228" t="s">
        <v>42</v>
      </c>
      <c r="J228" t="s">
        <v>155</v>
      </c>
      <c r="K228" t="s">
        <v>6764</v>
      </c>
      <c r="L228" t="s">
        <v>44</v>
      </c>
      <c r="M228">
        <v>3</v>
      </c>
      <c r="N228" t="s">
        <v>2337</v>
      </c>
      <c r="O228" t="b">
        <v>0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  <c r="U228" t="b">
        <v>1</v>
      </c>
      <c r="V228" t="b">
        <v>1</v>
      </c>
      <c r="W228" t="b">
        <v>1</v>
      </c>
      <c r="X228" t="b">
        <v>0</v>
      </c>
      <c r="Y228" t="b">
        <v>0</v>
      </c>
      <c r="Z228" t="b">
        <v>1</v>
      </c>
      <c r="AA228" t="b">
        <v>0</v>
      </c>
      <c r="AB228" t="s">
        <v>2552</v>
      </c>
      <c r="AC228" t="s">
        <v>7759</v>
      </c>
    </row>
    <row r="229" spans="1:29" x14ac:dyDescent="0.3">
      <c r="A229">
        <v>-73.96880084</v>
      </c>
      <c r="B229">
        <v>40.774565199999998</v>
      </c>
      <c r="C229" t="s">
        <v>2372</v>
      </c>
      <c r="D229" t="s">
        <v>38</v>
      </c>
      <c r="E229" s="58">
        <v>43391</v>
      </c>
      <c r="F229">
        <v>19</v>
      </c>
      <c r="G229" t="s">
        <v>48</v>
      </c>
      <c r="H229" t="s">
        <v>53</v>
      </c>
      <c r="I229" t="s">
        <v>5105</v>
      </c>
      <c r="J229" t="s">
        <v>177</v>
      </c>
      <c r="K229" t="s">
        <v>64</v>
      </c>
      <c r="L229" t="s">
        <v>65</v>
      </c>
      <c r="M229" t="b">
        <v>0</v>
      </c>
      <c r="N229" t="s">
        <v>2488</v>
      </c>
      <c r="O229" t="b">
        <v>1</v>
      </c>
      <c r="P229" t="b">
        <v>0</v>
      </c>
      <c r="Q229" t="b">
        <v>0</v>
      </c>
      <c r="R229" t="b">
        <v>1</v>
      </c>
      <c r="S229" t="b">
        <v>1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1</v>
      </c>
      <c r="Z229" t="b">
        <v>1</v>
      </c>
      <c r="AA229" t="b">
        <v>1</v>
      </c>
      <c r="AB229" t="s">
        <v>6185</v>
      </c>
      <c r="AC229" t="s">
        <v>7760</v>
      </c>
    </row>
    <row r="230" spans="1:29" x14ac:dyDescent="0.3">
      <c r="A230">
        <v>-73.953115479999994</v>
      </c>
      <c r="B230">
        <v>40.799554409999999</v>
      </c>
      <c r="C230" t="s">
        <v>736</v>
      </c>
      <c r="D230" t="s">
        <v>38</v>
      </c>
      <c r="E230" s="58">
        <v>43385</v>
      </c>
      <c r="F230">
        <v>29</v>
      </c>
      <c r="G230" t="s">
        <v>3842</v>
      </c>
      <c r="H230" t="s">
        <v>53</v>
      </c>
      <c r="I230" t="s">
        <v>1921</v>
      </c>
      <c r="J230" t="s">
        <v>89</v>
      </c>
      <c r="K230" t="s">
        <v>5787</v>
      </c>
      <c r="L230" t="s">
        <v>44</v>
      </c>
      <c r="M230">
        <v>40</v>
      </c>
      <c r="N230" t="s">
        <v>4120</v>
      </c>
      <c r="O230" t="b">
        <v>1</v>
      </c>
      <c r="P230" t="b">
        <v>0</v>
      </c>
      <c r="Q230" t="b">
        <v>1</v>
      </c>
      <c r="R230" t="b">
        <v>1</v>
      </c>
      <c r="S230" t="b">
        <v>0</v>
      </c>
      <c r="T230" t="b">
        <v>1</v>
      </c>
      <c r="U230" t="b">
        <v>1</v>
      </c>
      <c r="V230" t="b">
        <v>0</v>
      </c>
      <c r="W230" t="b">
        <v>0</v>
      </c>
      <c r="X230" t="b">
        <v>1</v>
      </c>
      <c r="Y230" t="b">
        <v>1</v>
      </c>
      <c r="Z230" t="b">
        <v>0</v>
      </c>
      <c r="AA230" t="b">
        <v>0</v>
      </c>
      <c r="AB230" t="s">
        <v>3888</v>
      </c>
      <c r="AC230" t="s">
        <v>7761</v>
      </c>
    </row>
    <row r="231" spans="1:29" x14ac:dyDescent="0.3">
      <c r="A231">
        <v>-73.961317589999993</v>
      </c>
      <c r="B231">
        <v>40.779322440000001</v>
      </c>
      <c r="C231" t="s">
        <v>1056</v>
      </c>
      <c r="D231" t="s">
        <v>33</v>
      </c>
      <c r="E231" s="58">
        <v>43386</v>
      </c>
      <c r="F231">
        <v>15</v>
      </c>
      <c r="G231" t="s">
        <v>48</v>
      </c>
      <c r="H231" t="s">
        <v>176</v>
      </c>
      <c r="I231" t="s">
        <v>737</v>
      </c>
      <c r="J231" t="s">
        <v>60</v>
      </c>
      <c r="K231" t="s">
        <v>5957</v>
      </c>
      <c r="L231" t="s">
        <v>65</v>
      </c>
      <c r="M231" t="b">
        <v>0</v>
      </c>
      <c r="N231" t="s">
        <v>1241</v>
      </c>
      <c r="O231" t="b">
        <v>1</v>
      </c>
      <c r="P231" t="b">
        <v>0</v>
      </c>
      <c r="Q231" t="b">
        <v>1</v>
      </c>
      <c r="R231" t="b">
        <v>0</v>
      </c>
      <c r="S231" t="b">
        <v>0</v>
      </c>
      <c r="T231" t="b">
        <v>0</v>
      </c>
      <c r="U231" t="b">
        <v>1</v>
      </c>
      <c r="V231" t="b">
        <v>1</v>
      </c>
      <c r="W231" t="b">
        <v>0</v>
      </c>
      <c r="X231" t="b">
        <v>1</v>
      </c>
      <c r="Y231" t="b">
        <v>0</v>
      </c>
      <c r="Z231" t="b">
        <v>1</v>
      </c>
      <c r="AA231" t="b">
        <v>0</v>
      </c>
      <c r="AB231" t="s">
        <v>5110</v>
      </c>
      <c r="AC231" t="s">
        <v>7762</v>
      </c>
    </row>
    <row r="232" spans="1:29" x14ac:dyDescent="0.3">
      <c r="A232">
        <v>-73.956172249999995</v>
      </c>
      <c r="B232">
        <v>40.796389980000001</v>
      </c>
      <c r="C232" t="s">
        <v>119</v>
      </c>
      <c r="D232" t="s">
        <v>33</v>
      </c>
      <c r="E232" s="58">
        <v>43391</v>
      </c>
      <c r="F232">
        <v>5</v>
      </c>
      <c r="G232" t="s">
        <v>105</v>
      </c>
      <c r="H232" t="s">
        <v>53</v>
      </c>
      <c r="I232" t="s">
        <v>115</v>
      </c>
      <c r="J232" t="s">
        <v>339</v>
      </c>
      <c r="K232" t="s">
        <v>3887</v>
      </c>
      <c r="L232" t="s">
        <v>44</v>
      </c>
      <c r="M232">
        <v>4</v>
      </c>
      <c r="N232" t="s">
        <v>5858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1</v>
      </c>
      <c r="V232" t="b">
        <v>0</v>
      </c>
      <c r="W232" t="b">
        <v>1</v>
      </c>
      <c r="X232" t="b">
        <v>0</v>
      </c>
      <c r="Y232" t="b">
        <v>1</v>
      </c>
      <c r="Z232" t="b">
        <v>0</v>
      </c>
      <c r="AA232" t="b">
        <v>1</v>
      </c>
      <c r="AB232" t="s">
        <v>4589</v>
      </c>
      <c r="AC232" t="s">
        <v>7763</v>
      </c>
    </row>
    <row r="233" spans="1:29" x14ac:dyDescent="0.3">
      <c r="A233">
        <v>-73.965357269999998</v>
      </c>
      <c r="B233">
        <v>40.773006879999997</v>
      </c>
      <c r="C233" t="s">
        <v>1320</v>
      </c>
      <c r="D233" t="s">
        <v>38</v>
      </c>
      <c r="E233" s="58">
        <v>43384</v>
      </c>
      <c r="F233">
        <v>15</v>
      </c>
      <c r="G233" t="s">
        <v>48</v>
      </c>
      <c r="H233" t="s">
        <v>176</v>
      </c>
      <c r="I233" t="s">
        <v>148</v>
      </c>
      <c r="J233" t="s">
        <v>177</v>
      </c>
      <c r="K233" t="s">
        <v>6869</v>
      </c>
      <c r="L233" t="s">
        <v>65</v>
      </c>
      <c r="M233" t="b">
        <v>0</v>
      </c>
      <c r="N233" t="s">
        <v>3140</v>
      </c>
      <c r="O233" t="b">
        <v>1</v>
      </c>
      <c r="P233" t="b">
        <v>1</v>
      </c>
      <c r="Q233" t="b">
        <v>0</v>
      </c>
      <c r="R233" t="b">
        <v>0</v>
      </c>
      <c r="S233" t="b">
        <v>1</v>
      </c>
      <c r="T233" t="b">
        <v>0</v>
      </c>
      <c r="U233" t="b">
        <v>0</v>
      </c>
      <c r="V233" t="b">
        <v>0</v>
      </c>
      <c r="W233" t="b">
        <v>1</v>
      </c>
      <c r="X233" t="b">
        <v>1</v>
      </c>
      <c r="Y233" t="b">
        <v>1</v>
      </c>
      <c r="Z233" t="b">
        <v>1</v>
      </c>
      <c r="AA233" t="b">
        <v>1</v>
      </c>
      <c r="AB233" t="s">
        <v>418</v>
      </c>
      <c r="AC233" t="s">
        <v>7764</v>
      </c>
    </row>
    <row r="234" spans="1:29" x14ac:dyDescent="0.3">
      <c r="A234">
        <v>-73.963022559999999</v>
      </c>
      <c r="B234">
        <v>40.772413630000003</v>
      </c>
      <c r="C234" t="s">
        <v>3049</v>
      </c>
      <c r="D234" t="s">
        <v>38</v>
      </c>
      <c r="E234" s="58">
        <v>43380</v>
      </c>
      <c r="F234">
        <v>20</v>
      </c>
      <c r="G234" t="s">
        <v>48</v>
      </c>
      <c r="H234" t="s">
        <v>176</v>
      </c>
      <c r="I234" t="s">
        <v>5105</v>
      </c>
      <c r="J234" t="s">
        <v>619</v>
      </c>
      <c r="K234" t="s">
        <v>3248</v>
      </c>
      <c r="L234" t="s">
        <v>44</v>
      </c>
      <c r="M234">
        <v>25</v>
      </c>
      <c r="N234" t="s">
        <v>3389</v>
      </c>
      <c r="O234" t="b">
        <v>1</v>
      </c>
      <c r="P234" t="b">
        <v>0</v>
      </c>
      <c r="Q234" t="b">
        <v>0</v>
      </c>
      <c r="R234" t="b">
        <v>1</v>
      </c>
      <c r="S234" t="b">
        <v>1</v>
      </c>
      <c r="T234" t="b">
        <v>0</v>
      </c>
      <c r="U234" t="b">
        <v>0</v>
      </c>
      <c r="V234" t="b">
        <v>1</v>
      </c>
      <c r="W234" t="b">
        <v>1</v>
      </c>
      <c r="X234" t="b">
        <v>1</v>
      </c>
      <c r="Y234" t="b">
        <v>1</v>
      </c>
      <c r="Z234" t="b">
        <v>0</v>
      </c>
      <c r="AA234" t="b">
        <v>0</v>
      </c>
      <c r="AB234" t="s">
        <v>3835</v>
      </c>
      <c r="AC234" t="s">
        <v>7765</v>
      </c>
    </row>
    <row r="235" spans="1:29" x14ac:dyDescent="0.3">
      <c r="A235">
        <v>-73.965675390000001</v>
      </c>
      <c r="B235">
        <v>40.766006830000002</v>
      </c>
      <c r="C235" t="s">
        <v>571</v>
      </c>
      <c r="D235" t="s">
        <v>33</v>
      </c>
      <c r="E235" s="58">
        <v>43380</v>
      </c>
      <c r="F235">
        <v>23</v>
      </c>
      <c r="G235" t="s">
        <v>48</v>
      </c>
      <c r="H235" t="s">
        <v>176</v>
      </c>
      <c r="I235" t="s">
        <v>53</v>
      </c>
      <c r="J235" t="s">
        <v>79</v>
      </c>
      <c r="K235" t="s">
        <v>4243</v>
      </c>
      <c r="L235" t="s">
        <v>65</v>
      </c>
      <c r="M235" t="b">
        <v>0</v>
      </c>
      <c r="N235" t="s">
        <v>2584</v>
      </c>
      <c r="O235" t="b">
        <v>1</v>
      </c>
      <c r="P235" t="b">
        <v>0</v>
      </c>
      <c r="Q235" t="b">
        <v>0</v>
      </c>
      <c r="R235" t="b">
        <v>0</v>
      </c>
      <c r="S235" t="b">
        <v>1</v>
      </c>
      <c r="T235" t="b">
        <v>1</v>
      </c>
      <c r="U235" t="b">
        <v>1</v>
      </c>
      <c r="V235" t="b">
        <v>0</v>
      </c>
      <c r="W235" t="b">
        <v>1</v>
      </c>
      <c r="X235" t="b">
        <v>1</v>
      </c>
      <c r="Y235" t="b">
        <v>0</v>
      </c>
      <c r="Z235" t="b">
        <v>1</v>
      </c>
      <c r="AA235" t="b">
        <v>1</v>
      </c>
      <c r="AB235" t="s">
        <v>2274</v>
      </c>
      <c r="AC235" t="s">
        <v>7766</v>
      </c>
    </row>
    <row r="236" spans="1:29" x14ac:dyDescent="0.3">
      <c r="A236">
        <v>-73.975020760000007</v>
      </c>
      <c r="B236">
        <v>40.787854459999998</v>
      </c>
      <c r="C236" t="s">
        <v>2577</v>
      </c>
      <c r="D236" t="s">
        <v>33</v>
      </c>
      <c r="E236" s="58">
        <v>43386</v>
      </c>
      <c r="F236">
        <v>30</v>
      </c>
      <c r="G236" t="s">
        <v>3842</v>
      </c>
      <c r="H236" t="s">
        <v>176</v>
      </c>
      <c r="I236" t="s">
        <v>5105</v>
      </c>
      <c r="J236" t="s">
        <v>89</v>
      </c>
      <c r="K236" t="s">
        <v>1381</v>
      </c>
      <c r="L236" t="s">
        <v>65</v>
      </c>
      <c r="M236" t="b">
        <v>0</v>
      </c>
      <c r="N236" t="s">
        <v>1518</v>
      </c>
      <c r="O236" t="b">
        <v>1</v>
      </c>
      <c r="P236" t="b">
        <v>0</v>
      </c>
      <c r="Q236" t="b">
        <v>1</v>
      </c>
      <c r="R236" t="b">
        <v>0</v>
      </c>
      <c r="S236" t="b">
        <v>1</v>
      </c>
      <c r="T236" t="b">
        <v>1</v>
      </c>
      <c r="U236" t="b">
        <v>0</v>
      </c>
      <c r="V236" t="b">
        <v>1</v>
      </c>
      <c r="W236" t="b">
        <v>1</v>
      </c>
      <c r="X236" t="b">
        <v>1</v>
      </c>
      <c r="Y236" t="b">
        <v>0</v>
      </c>
      <c r="Z236" t="b">
        <v>0</v>
      </c>
      <c r="AA236" t="b">
        <v>0</v>
      </c>
      <c r="AB236" t="s">
        <v>1109</v>
      </c>
      <c r="AC236" t="s">
        <v>7767</v>
      </c>
    </row>
    <row r="237" spans="1:29" x14ac:dyDescent="0.3">
      <c r="A237">
        <v>-73.958446989999999</v>
      </c>
      <c r="B237">
        <v>40.777885689999998</v>
      </c>
      <c r="C237" t="s">
        <v>729</v>
      </c>
      <c r="D237" t="s">
        <v>33</v>
      </c>
      <c r="E237" s="58">
        <v>43389</v>
      </c>
      <c r="F237">
        <v>25</v>
      </c>
      <c r="G237" t="s">
        <v>48</v>
      </c>
      <c r="H237" t="s">
        <v>176</v>
      </c>
      <c r="I237" t="s">
        <v>53</v>
      </c>
      <c r="J237" t="s">
        <v>34</v>
      </c>
      <c r="K237" t="s">
        <v>565</v>
      </c>
      <c r="L237" t="s">
        <v>44</v>
      </c>
      <c r="M237">
        <v>15</v>
      </c>
      <c r="N237" t="s">
        <v>2032</v>
      </c>
      <c r="O237" t="b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1</v>
      </c>
      <c r="V237" t="b">
        <v>1</v>
      </c>
      <c r="W237" t="b">
        <v>1</v>
      </c>
      <c r="X237" t="b">
        <v>1</v>
      </c>
      <c r="Y237" t="b">
        <v>1</v>
      </c>
      <c r="Z237" t="b">
        <v>0</v>
      </c>
      <c r="AA237" t="b">
        <v>0</v>
      </c>
      <c r="AB237" t="s">
        <v>1801</v>
      </c>
      <c r="AC237" t="s">
        <v>7768</v>
      </c>
    </row>
    <row r="238" spans="1:29" x14ac:dyDescent="0.3">
      <c r="A238">
        <v>-73.972331990000001</v>
      </c>
      <c r="B238">
        <v>40.795342859999998</v>
      </c>
      <c r="C238" t="s">
        <v>189</v>
      </c>
      <c r="D238" t="s">
        <v>33</v>
      </c>
      <c r="E238" s="58">
        <v>43379</v>
      </c>
      <c r="F238">
        <v>28</v>
      </c>
      <c r="G238" t="s">
        <v>105</v>
      </c>
      <c r="H238" t="s">
        <v>42</v>
      </c>
      <c r="I238" t="s">
        <v>96</v>
      </c>
      <c r="J238" t="s">
        <v>89</v>
      </c>
      <c r="K238" t="s">
        <v>3157</v>
      </c>
      <c r="L238" t="s">
        <v>44</v>
      </c>
      <c r="M238">
        <v>15</v>
      </c>
      <c r="N238" t="s">
        <v>3536</v>
      </c>
      <c r="O238" t="b">
        <v>1</v>
      </c>
      <c r="P238" t="b">
        <v>1</v>
      </c>
      <c r="Q238" t="b">
        <v>1</v>
      </c>
      <c r="R238" t="b">
        <v>1</v>
      </c>
      <c r="S238" t="b">
        <v>0</v>
      </c>
      <c r="T238" t="b">
        <v>0</v>
      </c>
      <c r="U238" t="b">
        <v>1</v>
      </c>
      <c r="V238" t="b">
        <v>0</v>
      </c>
      <c r="W238" t="b">
        <v>0</v>
      </c>
      <c r="X238" t="b">
        <v>0</v>
      </c>
      <c r="Y238" t="b">
        <v>0</v>
      </c>
      <c r="Z238" t="b">
        <v>1</v>
      </c>
      <c r="AA238" t="b">
        <v>0</v>
      </c>
      <c r="AB238" t="s">
        <v>5918</v>
      </c>
      <c r="AC238" t="s">
        <v>7769</v>
      </c>
    </row>
    <row r="239" spans="1:29" x14ac:dyDescent="0.3">
      <c r="A239">
        <v>-73.980394160000003</v>
      </c>
      <c r="B239">
        <v>40.781571370000002</v>
      </c>
      <c r="C239" t="s">
        <v>1595</v>
      </c>
      <c r="D239" t="s">
        <v>33</v>
      </c>
      <c r="E239" s="58">
        <v>43384</v>
      </c>
      <c r="F239">
        <v>2</v>
      </c>
      <c r="G239" t="s">
        <v>48</v>
      </c>
      <c r="H239" t="s">
        <v>53</v>
      </c>
      <c r="I239" t="s">
        <v>59</v>
      </c>
      <c r="J239" t="s">
        <v>1922</v>
      </c>
      <c r="K239" t="s">
        <v>5649</v>
      </c>
      <c r="L239" t="s">
        <v>44</v>
      </c>
      <c r="M239">
        <v>5</v>
      </c>
      <c r="N239" t="s">
        <v>7090</v>
      </c>
      <c r="O239" t="b">
        <v>0</v>
      </c>
      <c r="P239" t="b">
        <v>1</v>
      </c>
      <c r="Q239" t="b">
        <v>0</v>
      </c>
      <c r="R239" t="b">
        <v>1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1</v>
      </c>
      <c r="Z239" t="b">
        <v>1</v>
      </c>
      <c r="AA239" t="b">
        <v>0</v>
      </c>
      <c r="AB239" t="s">
        <v>3799</v>
      </c>
      <c r="AC239" t="s">
        <v>7770</v>
      </c>
    </row>
    <row r="240" spans="1:29" x14ac:dyDescent="0.3">
      <c r="A240">
        <v>-73.96086699</v>
      </c>
      <c r="B240">
        <v>40.798998679999997</v>
      </c>
      <c r="C240" t="s">
        <v>5232</v>
      </c>
      <c r="D240" t="s">
        <v>33</v>
      </c>
      <c r="E240" s="58">
        <v>43391</v>
      </c>
      <c r="F240">
        <v>13</v>
      </c>
      <c r="G240" t="s">
        <v>48</v>
      </c>
      <c r="H240" t="s">
        <v>42</v>
      </c>
      <c r="I240" t="s">
        <v>176</v>
      </c>
      <c r="J240" t="s">
        <v>5106</v>
      </c>
      <c r="K240" t="s">
        <v>4477</v>
      </c>
      <c r="L240" t="s">
        <v>44</v>
      </c>
      <c r="M240">
        <v>8</v>
      </c>
      <c r="N240" t="s">
        <v>3166</v>
      </c>
      <c r="O240" t="b">
        <v>0</v>
      </c>
      <c r="P240" t="b">
        <v>0</v>
      </c>
      <c r="Q240" t="b">
        <v>1</v>
      </c>
      <c r="R240" t="b">
        <v>0</v>
      </c>
      <c r="S240" t="b">
        <v>1</v>
      </c>
      <c r="T240" t="b">
        <v>1</v>
      </c>
      <c r="U240" t="b">
        <v>1</v>
      </c>
      <c r="V240" t="b">
        <v>0</v>
      </c>
      <c r="W240" t="b">
        <v>0</v>
      </c>
      <c r="X240" t="b">
        <v>0</v>
      </c>
      <c r="Y240" t="b">
        <v>1</v>
      </c>
      <c r="Z240" t="b">
        <v>0</v>
      </c>
      <c r="AA240" t="b">
        <v>0</v>
      </c>
      <c r="AB240" t="s">
        <v>3823</v>
      </c>
      <c r="AC240" t="s">
        <v>7771</v>
      </c>
    </row>
    <row r="241" spans="1:29" x14ac:dyDescent="0.3">
      <c r="A241">
        <v>-73.975590789999998</v>
      </c>
      <c r="B241">
        <v>40.771442620000002</v>
      </c>
      <c r="C241" t="s">
        <v>1165</v>
      </c>
      <c r="D241" t="s">
        <v>38</v>
      </c>
      <c r="E241" s="58">
        <v>43384</v>
      </c>
      <c r="F241">
        <v>24</v>
      </c>
      <c r="G241" t="s">
        <v>48</v>
      </c>
      <c r="H241" t="s">
        <v>176</v>
      </c>
      <c r="I241" t="s">
        <v>59</v>
      </c>
      <c r="J241" t="s">
        <v>149</v>
      </c>
      <c r="K241" t="s">
        <v>4308</v>
      </c>
      <c r="L241" t="s">
        <v>44</v>
      </c>
      <c r="M241">
        <v>3</v>
      </c>
      <c r="N241" t="s">
        <v>120</v>
      </c>
      <c r="O241" t="b">
        <v>0</v>
      </c>
      <c r="P241" t="b">
        <v>1</v>
      </c>
      <c r="Q241" t="b">
        <v>0</v>
      </c>
      <c r="R241" t="b">
        <v>1</v>
      </c>
      <c r="S241" t="b">
        <v>1</v>
      </c>
      <c r="T241" t="b">
        <v>1</v>
      </c>
      <c r="U241" t="b">
        <v>1</v>
      </c>
      <c r="V241" t="b">
        <v>0</v>
      </c>
      <c r="W241" t="b">
        <v>1</v>
      </c>
      <c r="X241" t="b">
        <v>0</v>
      </c>
      <c r="Y241" t="b">
        <v>0</v>
      </c>
      <c r="Z241" t="b">
        <v>1</v>
      </c>
      <c r="AA241" t="b">
        <v>1</v>
      </c>
      <c r="AB241" t="s">
        <v>1751</v>
      </c>
      <c r="AC241" t="s">
        <v>7772</v>
      </c>
    </row>
    <row r="242" spans="1:29" x14ac:dyDescent="0.3">
      <c r="A242">
        <v>-73.951593560000006</v>
      </c>
      <c r="B242">
        <v>40.795493020000002</v>
      </c>
      <c r="C242" t="s">
        <v>1199</v>
      </c>
      <c r="D242" t="s">
        <v>33</v>
      </c>
      <c r="E242" s="58">
        <v>43389</v>
      </c>
      <c r="F242">
        <v>16</v>
      </c>
      <c r="G242" t="s">
        <v>105</v>
      </c>
      <c r="H242" t="s">
        <v>53</v>
      </c>
      <c r="I242" t="s">
        <v>5105</v>
      </c>
      <c r="J242" t="s">
        <v>738</v>
      </c>
      <c r="K242" t="s">
        <v>3347</v>
      </c>
      <c r="L242" t="s">
        <v>65</v>
      </c>
      <c r="M242" t="b">
        <v>0</v>
      </c>
      <c r="N242" t="s">
        <v>3176</v>
      </c>
      <c r="O242" t="b">
        <v>0</v>
      </c>
      <c r="P242" t="b">
        <v>1</v>
      </c>
      <c r="Q242" t="b">
        <v>0</v>
      </c>
      <c r="R242" t="b">
        <v>1</v>
      </c>
      <c r="S242" t="b">
        <v>0</v>
      </c>
      <c r="T242" t="b">
        <v>0</v>
      </c>
      <c r="U242" t="b">
        <v>0</v>
      </c>
      <c r="V242" t="b">
        <v>0</v>
      </c>
      <c r="W242" t="b">
        <v>1</v>
      </c>
      <c r="X242" t="b">
        <v>0</v>
      </c>
      <c r="Y242" t="b">
        <v>0</v>
      </c>
      <c r="Z242" t="b">
        <v>0</v>
      </c>
      <c r="AA242" t="b">
        <v>0</v>
      </c>
      <c r="AB242" t="s">
        <v>4495</v>
      </c>
      <c r="AC242" t="s">
        <v>7773</v>
      </c>
    </row>
    <row r="243" spans="1:29" x14ac:dyDescent="0.3">
      <c r="A243">
        <v>-73.951170110000007</v>
      </c>
      <c r="B243">
        <v>40.79225297</v>
      </c>
      <c r="C243" t="s">
        <v>549</v>
      </c>
      <c r="D243" t="s">
        <v>38</v>
      </c>
      <c r="E243" s="58">
        <v>43382</v>
      </c>
      <c r="F243">
        <v>15</v>
      </c>
      <c r="G243" t="s">
        <v>48</v>
      </c>
      <c r="H243" t="s">
        <v>42</v>
      </c>
      <c r="I243" t="s">
        <v>59</v>
      </c>
      <c r="J243" t="s">
        <v>116</v>
      </c>
      <c r="K243" t="s">
        <v>4572</v>
      </c>
      <c r="L243" t="s">
        <v>44</v>
      </c>
      <c r="M243">
        <v>4</v>
      </c>
      <c r="N243" t="s">
        <v>1374</v>
      </c>
      <c r="O243" t="b">
        <v>1</v>
      </c>
      <c r="P243" t="b">
        <v>0</v>
      </c>
      <c r="Q243" t="b">
        <v>1</v>
      </c>
      <c r="R243" t="b">
        <v>1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1</v>
      </c>
      <c r="Y243" t="b">
        <v>1</v>
      </c>
      <c r="Z243" t="b">
        <v>1</v>
      </c>
      <c r="AA243" t="b">
        <v>0</v>
      </c>
      <c r="AB243" t="s">
        <v>1893</v>
      </c>
      <c r="AC243" t="s">
        <v>7774</v>
      </c>
    </row>
    <row r="244" spans="1:29" x14ac:dyDescent="0.3">
      <c r="A244">
        <v>-73.952398160000001</v>
      </c>
      <c r="B244">
        <v>40.792053170000003</v>
      </c>
      <c r="C244" t="s">
        <v>1301</v>
      </c>
      <c r="D244" t="s">
        <v>33</v>
      </c>
      <c r="E244" s="58">
        <v>43390</v>
      </c>
      <c r="F244">
        <v>25</v>
      </c>
      <c r="G244" t="s">
        <v>105</v>
      </c>
      <c r="H244" t="s">
        <v>42</v>
      </c>
      <c r="I244" t="s">
        <v>115</v>
      </c>
      <c r="J244" t="s">
        <v>2942</v>
      </c>
      <c r="K244" t="s">
        <v>64</v>
      </c>
      <c r="L244" t="s">
        <v>44</v>
      </c>
      <c r="M244">
        <v>8</v>
      </c>
      <c r="N244" t="s">
        <v>1494</v>
      </c>
      <c r="O244" t="b">
        <v>1</v>
      </c>
      <c r="P244" t="b">
        <v>0</v>
      </c>
      <c r="Q244" t="b">
        <v>1</v>
      </c>
      <c r="R244" t="b">
        <v>1</v>
      </c>
      <c r="S244" t="b">
        <v>0</v>
      </c>
      <c r="T244" t="b">
        <v>1</v>
      </c>
      <c r="U244" t="b">
        <v>0</v>
      </c>
      <c r="V244" t="b">
        <v>1</v>
      </c>
      <c r="W244" t="b">
        <v>1</v>
      </c>
      <c r="X244" t="b">
        <v>1</v>
      </c>
      <c r="Y244" t="b">
        <v>0</v>
      </c>
      <c r="Z244" t="b">
        <v>0</v>
      </c>
      <c r="AA244" t="b">
        <v>0</v>
      </c>
      <c r="AB244" t="s">
        <v>1854</v>
      </c>
      <c r="AC244" t="s">
        <v>7775</v>
      </c>
    </row>
    <row r="245" spans="1:29" x14ac:dyDescent="0.3">
      <c r="A245">
        <v>-73.969521970000002</v>
      </c>
      <c r="B245">
        <v>40.794653670000002</v>
      </c>
      <c r="C245" t="s">
        <v>677</v>
      </c>
      <c r="D245" t="s">
        <v>33</v>
      </c>
      <c r="E245" s="58">
        <v>43389</v>
      </c>
      <c r="F245">
        <v>10</v>
      </c>
      <c r="G245" t="s">
        <v>105</v>
      </c>
      <c r="H245" t="s">
        <v>176</v>
      </c>
      <c r="I245" t="s">
        <v>96</v>
      </c>
      <c r="J245" t="s">
        <v>1142</v>
      </c>
      <c r="K245" t="s">
        <v>1843</v>
      </c>
      <c r="L245" t="s">
        <v>65</v>
      </c>
      <c r="M245" t="b">
        <v>0</v>
      </c>
      <c r="N245" t="s">
        <v>2612</v>
      </c>
      <c r="O245" t="b">
        <v>1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b">
        <v>0</v>
      </c>
      <c r="V245" t="b">
        <v>0</v>
      </c>
      <c r="W245" t="b">
        <v>1</v>
      </c>
      <c r="X245" t="b">
        <v>1</v>
      </c>
      <c r="Y245" t="b">
        <v>0</v>
      </c>
      <c r="Z245" t="b">
        <v>1</v>
      </c>
      <c r="AA245" t="b">
        <v>0</v>
      </c>
      <c r="AB245" t="s">
        <v>2742</v>
      </c>
      <c r="AC245" t="s">
        <v>7776</v>
      </c>
    </row>
    <row r="246" spans="1:29" x14ac:dyDescent="0.3">
      <c r="A246">
        <v>-73.980672670000004</v>
      </c>
      <c r="B246">
        <v>40.791704690000003</v>
      </c>
      <c r="C246" t="s">
        <v>1581</v>
      </c>
      <c r="D246" t="s">
        <v>38</v>
      </c>
      <c r="E246" s="58">
        <v>43391</v>
      </c>
      <c r="F246">
        <v>14</v>
      </c>
      <c r="G246" t="s">
        <v>48</v>
      </c>
      <c r="H246" t="s">
        <v>42</v>
      </c>
      <c r="I246" t="s">
        <v>737</v>
      </c>
      <c r="J246" t="s">
        <v>89</v>
      </c>
      <c r="K246" t="s">
        <v>1934</v>
      </c>
      <c r="L246" t="s">
        <v>44</v>
      </c>
      <c r="M246">
        <v>8</v>
      </c>
      <c r="N246" t="s">
        <v>2304</v>
      </c>
      <c r="O246" t="b">
        <v>0</v>
      </c>
      <c r="P246" t="b">
        <v>1</v>
      </c>
      <c r="Q246" t="b">
        <v>1</v>
      </c>
      <c r="R246" t="b">
        <v>1</v>
      </c>
      <c r="S246" t="b">
        <v>0</v>
      </c>
      <c r="T246" t="b">
        <v>0</v>
      </c>
      <c r="U246" t="b">
        <v>1</v>
      </c>
      <c r="V246" t="b">
        <v>1</v>
      </c>
      <c r="W246" t="b">
        <v>1</v>
      </c>
      <c r="X246" t="b">
        <v>0</v>
      </c>
      <c r="Y246" t="b">
        <v>0</v>
      </c>
      <c r="Z246" t="b">
        <v>0</v>
      </c>
      <c r="AA246" t="b">
        <v>0</v>
      </c>
      <c r="AB246" t="s">
        <v>3549</v>
      </c>
      <c r="AC246" t="s">
        <v>7777</v>
      </c>
    </row>
    <row r="247" spans="1:29" x14ac:dyDescent="0.3">
      <c r="A247">
        <v>-73.951975200000007</v>
      </c>
      <c r="B247">
        <v>40.786958540000001</v>
      </c>
      <c r="C247" t="s">
        <v>1254</v>
      </c>
      <c r="D247" t="s">
        <v>38</v>
      </c>
      <c r="E247" s="58">
        <v>43393</v>
      </c>
      <c r="F247">
        <v>10</v>
      </c>
      <c r="G247" t="s">
        <v>105</v>
      </c>
      <c r="H247" t="s">
        <v>42</v>
      </c>
      <c r="I247" t="s">
        <v>96</v>
      </c>
      <c r="J247" t="s">
        <v>89</v>
      </c>
      <c r="K247" t="s">
        <v>4237</v>
      </c>
      <c r="L247" t="s">
        <v>44</v>
      </c>
      <c r="M247">
        <v>15</v>
      </c>
      <c r="N247" t="s">
        <v>5666</v>
      </c>
      <c r="O247" t="b">
        <v>1</v>
      </c>
      <c r="P247" t="b">
        <v>0</v>
      </c>
      <c r="Q247" t="b">
        <v>0</v>
      </c>
      <c r="R247" t="b">
        <v>0</v>
      </c>
      <c r="S247" t="b">
        <v>0</v>
      </c>
      <c r="T247" t="b">
        <v>1</v>
      </c>
      <c r="U247" t="b">
        <v>1</v>
      </c>
      <c r="V247" t="b">
        <v>0</v>
      </c>
      <c r="W247" t="b">
        <v>0</v>
      </c>
      <c r="X247" t="b">
        <v>1</v>
      </c>
      <c r="Y247" t="b">
        <v>1</v>
      </c>
      <c r="Z247" t="b">
        <v>1</v>
      </c>
      <c r="AA247" t="b">
        <v>0</v>
      </c>
      <c r="AB247" t="s">
        <v>4165</v>
      </c>
      <c r="AC247" t="s">
        <v>7778</v>
      </c>
    </row>
    <row r="248" spans="1:29" x14ac:dyDescent="0.3">
      <c r="A248">
        <v>-73.96769784</v>
      </c>
      <c r="B248">
        <v>40.769531520000001</v>
      </c>
      <c r="C248" t="s">
        <v>431</v>
      </c>
      <c r="D248" t="s">
        <v>33</v>
      </c>
      <c r="E248" s="58">
        <v>43389</v>
      </c>
      <c r="F248">
        <v>25</v>
      </c>
      <c r="G248" t="s">
        <v>3842</v>
      </c>
      <c r="H248" t="s">
        <v>42</v>
      </c>
      <c r="I248" t="s">
        <v>148</v>
      </c>
      <c r="J248" t="s">
        <v>5106</v>
      </c>
      <c r="K248" t="s">
        <v>820</v>
      </c>
      <c r="L248" t="s">
        <v>44</v>
      </c>
      <c r="M248">
        <v>4</v>
      </c>
      <c r="N248" t="s">
        <v>1929</v>
      </c>
      <c r="O248" t="b">
        <v>0</v>
      </c>
      <c r="P248" t="b">
        <v>0</v>
      </c>
      <c r="Q248" t="b">
        <v>1</v>
      </c>
      <c r="R248" t="b">
        <v>0</v>
      </c>
      <c r="S248" t="b">
        <v>1</v>
      </c>
      <c r="T248" t="b">
        <v>1</v>
      </c>
      <c r="U248" t="b">
        <v>1</v>
      </c>
      <c r="V248" t="b">
        <v>0</v>
      </c>
      <c r="W248" t="b">
        <v>0</v>
      </c>
      <c r="X248" t="b">
        <v>1</v>
      </c>
      <c r="Y248" t="b">
        <v>1</v>
      </c>
      <c r="Z248" t="b">
        <v>0</v>
      </c>
      <c r="AA248" t="b">
        <v>1</v>
      </c>
      <c r="AB248" t="s">
        <v>4165</v>
      </c>
      <c r="AC248" t="s">
        <v>7779</v>
      </c>
    </row>
    <row r="249" spans="1:29" x14ac:dyDescent="0.3">
      <c r="A249">
        <v>-73.950770030000001</v>
      </c>
      <c r="B249">
        <v>40.76605584</v>
      </c>
      <c r="C249" t="s">
        <v>218</v>
      </c>
      <c r="D249" t="s">
        <v>38</v>
      </c>
      <c r="E249" s="58">
        <v>43391</v>
      </c>
      <c r="F249">
        <v>14</v>
      </c>
      <c r="G249" t="s">
        <v>48</v>
      </c>
      <c r="H249" t="s">
        <v>42</v>
      </c>
      <c r="I249" t="s">
        <v>115</v>
      </c>
      <c r="J249" t="s">
        <v>54</v>
      </c>
      <c r="K249" t="s">
        <v>7046</v>
      </c>
      <c r="L249" t="s">
        <v>65</v>
      </c>
      <c r="M249" t="b">
        <v>0</v>
      </c>
      <c r="N249" t="s">
        <v>6452</v>
      </c>
      <c r="O249" t="b">
        <v>1</v>
      </c>
      <c r="P249" t="b">
        <v>0</v>
      </c>
      <c r="Q249" t="b">
        <v>0</v>
      </c>
      <c r="R249" t="b">
        <v>1</v>
      </c>
      <c r="S249" t="b">
        <v>1</v>
      </c>
      <c r="T249" t="b">
        <v>1</v>
      </c>
      <c r="U249" t="b">
        <v>1</v>
      </c>
      <c r="V249" t="b">
        <v>0</v>
      </c>
      <c r="W249" t="b">
        <v>1</v>
      </c>
      <c r="X249" t="b">
        <v>1</v>
      </c>
      <c r="Y249" t="b">
        <v>0</v>
      </c>
      <c r="Z249" t="b">
        <v>1</v>
      </c>
      <c r="AA249" t="b">
        <v>1</v>
      </c>
      <c r="AB249" t="s">
        <v>6045</v>
      </c>
      <c r="AC249" t="s">
        <v>7780</v>
      </c>
    </row>
    <row r="250" spans="1:29" x14ac:dyDescent="0.3">
      <c r="A250">
        <v>-73.950865440000001</v>
      </c>
      <c r="B250">
        <v>40.797331739999997</v>
      </c>
      <c r="C250" t="s">
        <v>186</v>
      </c>
      <c r="D250" t="s">
        <v>38</v>
      </c>
      <c r="E250" s="58">
        <v>43388</v>
      </c>
      <c r="F250">
        <v>26</v>
      </c>
      <c r="G250" t="s">
        <v>48</v>
      </c>
      <c r="H250" t="s">
        <v>42</v>
      </c>
      <c r="I250" t="s">
        <v>59</v>
      </c>
      <c r="J250" t="s">
        <v>155</v>
      </c>
      <c r="K250" t="s">
        <v>7370</v>
      </c>
      <c r="L250" t="s">
        <v>44</v>
      </c>
      <c r="M250">
        <v>25</v>
      </c>
      <c r="N250" t="s">
        <v>2119</v>
      </c>
      <c r="O250" t="b">
        <v>1</v>
      </c>
      <c r="P250" t="b">
        <v>0</v>
      </c>
      <c r="Q250" t="b">
        <v>0</v>
      </c>
      <c r="R250" t="b">
        <v>1</v>
      </c>
      <c r="S250" t="b">
        <v>0</v>
      </c>
      <c r="T250" t="b">
        <v>1</v>
      </c>
      <c r="U250" t="b">
        <v>1</v>
      </c>
      <c r="V250" t="b">
        <v>0</v>
      </c>
      <c r="W250" t="b">
        <v>0</v>
      </c>
      <c r="X250" t="b">
        <v>0</v>
      </c>
      <c r="Y250" t="b">
        <v>1</v>
      </c>
      <c r="Z250" t="b">
        <v>0</v>
      </c>
      <c r="AA250" t="b">
        <v>0</v>
      </c>
      <c r="AB250" t="s">
        <v>914</v>
      </c>
      <c r="AC250" t="s">
        <v>7781</v>
      </c>
    </row>
    <row r="251" spans="1:29" x14ac:dyDescent="0.3">
      <c r="A251">
        <v>-73.954342679999996</v>
      </c>
      <c r="B251">
        <v>40.786621599999997</v>
      </c>
      <c r="C251" t="s">
        <v>729</v>
      </c>
      <c r="D251" t="s">
        <v>38</v>
      </c>
      <c r="E251" s="58">
        <v>43381</v>
      </c>
      <c r="F251">
        <v>30</v>
      </c>
      <c r="G251" t="s">
        <v>105</v>
      </c>
      <c r="H251" t="s">
        <v>176</v>
      </c>
      <c r="I251" t="s">
        <v>737</v>
      </c>
      <c r="J251" t="s">
        <v>34</v>
      </c>
      <c r="K251" t="s">
        <v>7046</v>
      </c>
      <c r="L251" t="s">
        <v>65</v>
      </c>
      <c r="M251" t="b">
        <v>0</v>
      </c>
      <c r="N251" t="s">
        <v>2349</v>
      </c>
      <c r="O251" t="b">
        <v>1</v>
      </c>
      <c r="P251" t="b">
        <v>0</v>
      </c>
      <c r="Q251" t="b">
        <v>0</v>
      </c>
      <c r="R251" t="b">
        <v>1</v>
      </c>
      <c r="S251" t="b">
        <v>1</v>
      </c>
      <c r="T251" t="b">
        <v>1</v>
      </c>
      <c r="U251" t="b">
        <v>1</v>
      </c>
      <c r="V251" t="b">
        <v>0</v>
      </c>
      <c r="W251" t="b">
        <v>0</v>
      </c>
      <c r="X251" t="b">
        <v>1</v>
      </c>
      <c r="Y251" t="b">
        <v>1</v>
      </c>
      <c r="Z251" t="b">
        <v>1</v>
      </c>
      <c r="AA251" t="b">
        <v>0</v>
      </c>
      <c r="AB251" t="s">
        <v>3173</v>
      </c>
      <c r="AC251" t="s">
        <v>7782</v>
      </c>
    </row>
    <row r="252" spans="1:29" x14ac:dyDescent="0.3">
      <c r="A252">
        <v>-73.971902049999997</v>
      </c>
      <c r="B252">
        <v>40.792955030000002</v>
      </c>
      <c r="C252" t="s">
        <v>478</v>
      </c>
      <c r="D252" t="s">
        <v>38</v>
      </c>
      <c r="E252" s="58">
        <v>43391</v>
      </c>
      <c r="F252">
        <v>23</v>
      </c>
      <c r="G252" t="s">
        <v>105</v>
      </c>
      <c r="H252" t="s">
        <v>176</v>
      </c>
      <c r="I252" t="s">
        <v>59</v>
      </c>
      <c r="J252" t="s">
        <v>705</v>
      </c>
      <c r="K252" t="s">
        <v>1843</v>
      </c>
      <c r="L252" t="s">
        <v>65</v>
      </c>
      <c r="M252" t="b">
        <v>0</v>
      </c>
      <c r="N252" t="s">
        <v>7271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1</v>
      </c>
      <c r="V252" t="b">
        <v>1</v>
      </c>
      <c r="W252" t="b">
        <v>1</v>
      </c>
      <c r="X252" t="b">
        <v>1</v>
      </c>
      <c r="Y252" t="b">
        <v>0</v>
      </c>
      <c r="Z252" t="b">
        <v>1</v>
      </c>
      <c r="AA252" t="b">
        <v>0</v>
      </c>
      <c r="AB252" t="s">
        <v>380</v>
      </c>
      <c r="AC252" t="s">
        <v>7783</v>
      </c>
    </row>
    <row r="253" spans="1:29" x14ac:dyDescent="0.3">
      <c r="A253">
        <v>-73.969052340000005</v>
      </c>
      <c r="B253">
        <v>40.781864030000001</v>
      </c>
      <c r="C253" t="s">
        <v>4236</v>
      </c>
      <c r="D253" t="s">
        <v>33</v>
      </c>
      <c r="E253" s="58">
        <v>43389</v>
      </c>
      <c r="F253">
        <v>9</v>
      </c>
      <c r="G253" t="s">
        <v>48</v>
      </c>
      <c r="H253" t="s">
        <v>42</v>
      </c>
      <c r="I253" t="s">
        <v>1921</v>
      </c>
      <c r="J253" t="s">
        <v>60</v>
      </c>
      <c r="K253" t="s">
        <v>6869</v>
      </c>
      <c r="L253" t="s">
        <v>44</v>
      </c>
      <c r="M253">
        <v>2</v>
      </c>
      <c r="N253" t="s">
        <v>1346</v>
      </c>
      <c r="O253" t="b">
        <v>1</v>
      </c>
      <c r="P253" t="b">
        <v>1</v>
      </c>
      <c r="Q253" t="b">
        <v>0</v>
      </c>
      <c r="R253" t="b">
        <v>0</v>
      </c>
      <c r="S253" t="b">
        <v>0</v>
      </c>
      <c r="T253" t="b">
        <v>1</v>
      </c>
      <c r="U253" t="b">
        <v>1</v>
      </c>
      <c r="V253" t="b">
        <v>1</v>
      </c>
      <c r="W253" t="b">
        <v>1</v>
      </c>
      <c r="X253" t="b">
        <v>0</v>
      </c>
      <c r="Y253" t="b">
        <v>1</v>
      </c>
      <c r="Z253" t="b">
        <v>0</v>
      </c>
      <c r="AA253" t="b">
        <v>1</v>
      </c>
      <c r="AB253" t="s">
        <v>1455</v>
      </c>
      <c r="AC253" t="s">
        <v>7784</v>
      </c>
    </row>
    <row r="254" spans="1:29" x14ac:dyDescent="0.3">
      <c r="A254">
        <v>-73.954401559999994</v>
      </c>
      <c r="B254">
        <v>40.769040840000002</v>
      </c>
      <c r="C254" t="s">
        <v>1049</v>
      </c>
      <c r="D254" t="s">
        <v>38</v>
      </c>
      <c r="E254" s="58">
        <v>43381</v>
      </c>
      <c r="F254">
        <v>25</v>
      </c>
      <c r="G254" t="s">
        <v>3842</v>
      </c>
      <c r="H254" t="s">
        <v>176</v>
      </c>
      <c r="I254" t="s">
        <v>1921</v>
      </c>
      <c r="J254" t="s">
        <v>339</v>
      </c>
      <c r="K254" t="s">
        <v>2823</v>
      </c>
      <c r="L254" t="s">
        <v>65</v>
      </c>
      <c r="M254" t="b">
        <v>0</v>
      </c>
      <c r="N254" t="s">
        <v>7207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1</v>
      </c>
      <c r="U254" t="b">
        <v>0</v>
      </c>
      <c r="V254" t="b">
        <v>1</v>
      </c>
      <c r="W254" t="b">
        <v>0</v>
      </c>
      <c r="X254" t="b">
        <v>0</v>
      </c>
      <c r="Y254" t="b">
        <v>0</v>
      </c>
      <c r="Z254" t="b">
        <v>1</v>
      </c>
      <c r="AA254" t="b">
        <v>0</v>
      </c>
      <c r="AB254" t="s">
        <v>5330</v>
      </c>
      <c r="AC254" t="s">
        <v>7785</v>
      </c>
    </row>
    <row r="255" spans="1:29" x14ac:dyDescent="0.3">
      <c r="A255">
        <v>-73.971195559999998</v>
      </c>
      <c r="B255">
        <v>40.76931819</v>
      </c>
      <c r="C255" t="s">
        <v>175</v>
      </c>
      <c r="D255" t="s">
        <v>33</v>
      </c>
      <c r="E255" s="58">
        <v>43393</v>
      </c>
      <c r="F255">
        <v>14</v>
      </c>
      <c r="G255" t="s">
        <v>105</v>
      </c>
      <c r="H255" t="s">
        <v>176</v>
      </c>
      <c r="I255" t="s">
        <v>42</v>
      </c>
      <c r="J255" t="s">
        <v>89</v>
      </c>
      <c r="K255" t="s">
        <v>5933</v>
      </c>
      <c r="L255" t="s">
        <v>44</v>
      </c>
      <c r="M255">
        <v>25</v>
      </c>
      <c r="N255" t="s">
        <v>2905</v>
      </c>
      <c r="O255" t="b">
        <v>0</v>
      </c>
      <c r="P255" t="b">
        <v>1</v>
      </c>
      <c r="Q255" t="b">
        <v>0</v>
      </c>
      <c r="R255" t="b">
        <v>0</v>
      </c>
      <c r="S255" t="b">
        <v>0</v>
      </c>
      <c r="T255" t="b">
        <v>1</v>
      </c>
      <c r="U255" t="b">
        <v>1</v>
      </c>
      <c r="V255" t="b">
        <v>0</v>
      </c>
      <c r="W255" t="b">
        <v>0</v>
      </c>
      <c r="X255" t="b">
        <v>1</v>
      </c>
      <c r="Y255" t="b">
        <v>1</v>
      </c>
      <c r="Z255" t="b">
        <v>1</v>
      </c>
      <c r="AA255" t="b">
        <v>0</v>
      </c>
      <c r="AB255" t="s">
        <v>2916</v>
      </c>
      <c r="AC255" t="s">
        <v>7786</v>
      </c>
    </row>
    <row r="256" spans="1:29" x14ac:dyDescent="0.3">
      <c r="A256">
        <v>-73.975830270000003</v>
      </c>
      <c r="B256">
        <v>40.789047949999997</v>
      </c>
      <c r="C256" t="s">
        <v>764</v>
      </c>
      <c r="D256" t="s">
        <v>33</v>
      </c>
      <c r="E256" s="58">
        <v>43393</v>
      </c>
      <c r="F256">
        <v>3</v>
      </c>
      <c r="G256" t="s">
        <v>105</v>
      </c>
      <c r="H256" t="s">
        <v>53</v>
      </c>
      <c r="I256" t="s">
        <v>96</v>
      </c>
      <c r="J256" t="s">
        <v>177</v>
      </c>
      <c r="K256" t="s">
        <v>1381</v>
      </c>
      <c r="L256" t="s">
        <v>44</v>
      </c>
      <c r="M256">
        <v>4</v>
      </c>
      <c r="N256" t="s">
        <v>1192</v>
      </c>
      <c r="O256" t="b">
        <v>0</v>
      </c>
      <c r="P256" t="b">
        <v>1</v>
      </c>
      <c r="Q256" t="b">
        <v>0</v>
      </c>
      <c r="R256" t="b">
        <v>0</v>
      </c>
      <c r="S256" t="b">
        <v>1</v>
      </c>
      <c r="T256" t="b">
        <v>1</v>
      </c>
      <c r="U256" t="b">
        <v>1</v>
      </c>
      <c r="V256" t="b">
        <v>0</v>
      </c>
      <c r="W256" t="b">
        <v>1</v>
      </c>
      <c r="X256" t="b">
        <v>0</v>
      </c>
      <c r="Y256" t="b">
        <v>1</v>
      </c>
      <c r="Z256" t="b">
        <v>0</v>
      </c>
      <c r="AA256" t="b">
        <v>0</v>
      </c>
      <c r="AB256" t="s">
        <v>974</v>
      </c>
      <c r="AC256" t="s">
        <v>7787</v>
      </c>
    </row>
    <row r="257" spans="1:29" x14ac:dyDescent="0.3">
      <c r="A257">
        <v>-73.963654520000006</v>
      </c>
      <c r="B257">
        <v>40.780060810000002</v>
      </c>
      <c r="C257" t="s">
        <v>154</v>
      </c>
      <c r="D257" t="s">
        <v>33</v>
      </c>
      <c r="E257" s="58">
        <v>43391</v>
      </c>
      <c r="F257">
        <v>20</v>
      </c>
      <c r="G257" t="s">
        <v>3842</v>
      </c>
      <c r="H257" t="s">
        <v>42</v>
      </c>
      <c r="I257" t="s">
        <v>737</v>
      </c>
      <c r="J257" t="s">
        <v>339</v>
      </c>
      <c r="K257" t="s">
        <v>4243</v>
      </c>
      <c r="L257" t="s">
        <v>44</v>
      </c>
      <c r="M257">
        <v>6</v>
      </c>
      <c r="N257" t="s">
        <v>2220</v>
      </c>
      <c r="O257" t="b">
        <v>1</v>
      </c>
      <c r="P257" t="b">
        <v>0</v>
      </c>
      <c r="Q257" t="b">
        <v>1</v>
      </c>
      <c r="R257" t="b">
        <v>0</v>
      </c>
      <c r="S257" t="b">
        <v>1</v>
      </c>
      <c r="T257" t="b">
        <v>1</v>
      </c>
      <c r="U257" t="b">
        <v>1</v>
      </c>
      <c r="V257" t="b">
        <v>0</v>
      </c>
      <c r="W257" t="b">
        <v>1</v>
      </c>
      <c r="X257" t="b">
        <v>1</v>
      </c>
      <c r="Y257" t="b">
        <v>0</v>
      </c>
      <c r="Z257" t="b">
        <v>0</v>
      </c>
      <c r="AA257" t="b">
        <v>0</v>
      </c>
      <c r="AB257" t="s">
        <v>6346</v>
      </c>
      <c r="AC257" t="s">
        <v>7788</v>
      </c>
    </row>
    <row r="258" spans="1:29" x14ac:dyDescent="0.3">
      <c r="A258">
        <v>-73.951728860000003</v>
      </c>
      <c r="B258">
        <v>40.771970709999998</v>
      </c>
      <c r="C258" t="s">
        <v>5624</v>
      </c>
      <c r="D258" t="s">
        <v>33</v>
      </c>
      <c r="E258" s="58">
        <v>43391</v>
      </c>
      <c r="F258">
        <v>16</v>
      </c>
      <c r="G258" t="s">
        <v>3842</v>
      </c>
      <c r="H258" t="s">
        <v>176</v>
      </c>
      <c r="I258" t="s">
        <v>1921</v>
      </c>
      <c r="J258" t="s">
        <v>155</v>
      </c>
      <c r="K258" t="s">
        <v>6764</v>
      </c>
      <c r="L258" t="s">
        <v>44</v>
      </c>
      <c r="M258">
        <v>8</v>
      </c>
      <c r="N258" t="s">
        <v>7258</v>
      </c>
      <c r="O258" t="b">
        <v>1</v>
      </c>
      <c r="P258" t="b">
        <v>1</v>
      </c>
      <c r="Q258" t="b">
        <v>1</v>
      </c>
      <c r="R258" t="b">
        <v>0</v>
      </c>
      <c r="S258" t="b">
        <v>1</v>
      </c>
      <c r="T258" t="b">
        <v>1</v>
      </c>
      <c r="U258" t="b">
        <v>1</v>
      </c>
      <c r="V258" t="b">
        <v>1</v>
      </c>
      <c r="W258" t="b">
        <v>1</v>
      </c>
      <c r="X258" t="b">
        <v>0</v>
      </c>
      <c r="Y258" t="b">
        <v>1</v>
      </c>
      <c r="Z258" t="b">
        <v>0</v>
      </c>
      <c r="AA258" t="b">
        <v>0</v>
      </c>
      <c r="AB258" t="s">
        <v>2182</v>
      </c>
      <c r="AC258" t="s">
        <v>7789</v>
      </c>
    </row>
    <row r="259" spans="1:29" x14ac:dyDescent="0.3">
      <c r="A259">
        <v>-73.959277619999995</v>
      </c>
      <c r="B259">
        <v>40.782218659999998</v>
      </c>
      <c r="C259" t="s">
        <v>398</v>
      </c>
      <c r="D259" t="s">
        <v>38</v>
      </c>
      <c r="E259" s="58">
        <v>43379</v>
      </c>
      <c r="F259">
        <v>2</v>
      </c>
      <c r="G259" t="s">
        <v>48</v>
      </c>
      <c r="H259" t="s">
        <v>176</v>
      </c>
      <c r="I259" t="s">
        <v>42</v>
      </c>
      <c r="J259" t="s">
        <v>1922</v>
      </c>
      <c r="K259" t="s">
        <v>7365</v>
      </c>
      <c r="L259" t="s">
        <v>44</v>
      </c>
      <c r="M259">
        <v>5</v>
      </c>
      <c r="N259" t="s">
        <v>6242</v>
      </c>
      <c r="O259" t="b">
        <v>0</v>
      </c>
      <c r="P259" t="b">
        <v>1</v>
      </c>
      <c r="Q259" t="b">
        <v>1</v>
      </c>
      <c r="R259" t="b">
        <v>1</v>
      </c>
      <c r="S259" t="b">
        <v>0</v>
      </c>
      <c r="T259" t="b">
        <v>0</v>
      </c>
      <c r="U259" t="b">
        <v>1</v>
      </c>
      <c r="V259" t="b">
        <v>1</v>
      </c>
      <c r="W259" t="b">
        <v>0</v>
      </c>
      <c r="X259" t="b">
        <v>1</v>
      </c>
      <c r="Y259" t="b">
        <v>0</v>
      </c>
      <c r="Z259" t="b">
        <v>0</v>
      </c>
      <c r="AA259" t="b">
        <v>0</v>
      </c>
      <c r="AB259" t="s">
        <v>1288</v>
      </c>
      <c r="AC259" t="s">
        <v>7790</v>
      </c>
    </row>
    <row r="260" spans="1:29" x14ac:dyDescent="0.3">
      <c r="A260">
        <v>-73.963237669999998</v>
      </c>
      <c r="B260">
        <v>40.767171329999996</v>
      </c>
      <c r="C260" t="s">
        <v>2046</v>
      </c>
      <c r="D260" t="s">
        <v>38</v>
      </c>
      <c r="E260" s="58">
        <v>43381</v>
      </c>
      <c r="F260">
        <v>10</v>
      </c>
      <c r="G260" t="s">
        <v>3842</v>
      </c>
      <c r="H260" t="s">
        <v>42</v>
      </c>
      <c r="I260" t="s">
        <v>115</v>
      </c>
      <c r="J260" t="s">
        <v>97</v>
      </c>
      <c r="K260" t="s">
        <v>5933</v>
      </c>
      <c r="L260" t="s">
        <v>65</v>
      </c>
      <c r="M260" t="b">
        <v>0</v>
      </c>
      <c r="N260" t="s">
        <v>6024</v>
      </c>
      <c r="O260" t="b">
        <v>0</v>
      </c>
      <c r="P260" t="b">
        <v>1</v>
      </c>
      <c r="Q260" t="b">
        <v>0</v>
      </c>
      <c r="R260" t="b">
        <v>0</v>
      </c>
      <c r="S260" t="b">
        <v>0</v>
      </c>
      <c r="T260" t="b">
        <v>1</v>
      </c>
      <c r="U260" t="b">
        <v>0</v>
      </c>
      <c r="V260" t="b">
        <v>0</v>
      </c>
      <c r="W260" t="b">
        <v>0</v>
      </c>
      <c r="X260" t="b">
        <v>1</v>
      </c>
      <c r="Y260" t="b">
        <v>1</v>
      </c>
      <c r="Z260" t="b">
        <v>1</v>
      </c>
      <c r="AA260" t="b">
        <v>1</v>
      </c>
      <c r="AB260" t="s">
        <v>7235</v>
      </c>
      <c r="AC260" t="s">
        <v>7791</v>
      </c>
    </row>
    <row r="261" spans="1:29" x14ac:dyDescent="0.3">
      <c r="A261">
        <v>-73.978103660000002</v>
      </c>
      <c r="B261">
        <v>40.785400629999998</v>
      </c>
      <c r="C261" t="s">
        <v>1874</v>
      </c>
      <c r="D261" t="s">
        <v>33</v>
      </c>
      <c r="E261" s="58">
        <v>43382</v>
      </c>
      <c r="F261">
        <v>3</v>
      </c>
      <c r="G261" t="s">
        <v>48</v>
      </c>
      <c r="H261" t="s">
        <v>53</v>
      </c>
      <c r="I261" t="s">
        <v>737</v>
      </c>
      <c r="J261" t="s">
        <v>97</v>
      </c>
      <c r="K261" t="s">
        <v>2943</v>
      </c>
      <c r="L261" t="s">
        <v>65</v>
      </c>
      <c r="M261" t="b">
        <v>0</v>
      </c>
      <c r="N261" t="s">
        <v>4927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1</v>
      </c>
      <c r="W261" t="b">
        <v>1</v>
      </c>
      <c r="X261" t="b">
        <v>0</v>
      </c>
      <c r="Y261" t="b">
        <v>1</v>
      </c>
      <c r="Z261" t="b">
        <v>1</v>
      </c>
      <c r="AA261" t="b">
        <v>0</v>
      </c>
      <c r="AB261" t="s">
        <v>369</v>
      </c>
      <c r="AC261" t="s">
        <v>7792</v>
      </c>
    </row>
    <row r="262" spans="1:29" x14ac:dyDescent="0.3">
      <c r="A262">
        <v>-73.961824710000002</v>
      </c>
      <c r="B262">
        <v>40.774381349999999</v>
      </c>
      <c r="C262" t="s">
        <v>796</v>
      </c>
      <c r="D262" t="s">
        <v>33</v>
      </c>
      <c r="E262" s="58">
        <v>43389</v>
      </c>
      <c r="F262">
        <v>11</v>
      </c>
      <c r="G262" t="s">
        <v>3842</v>
      </c>
      <c r="H262" t="s">
        <v>42</v>
      </c>
      <c r="I262" t="s">
        <v>42</v>
      </c>
      <c r="J262" t="s">
        <v>177</v>
      </c>
      <c r="K262" t="s">
        <v>3942</v>
      </c>
      <c r="L262" t="s">
        <v>65</v>
      </c>
      <c r="M262" t="b">
        <v>0</v>
      </c>
      <c r="N262" t="s">
        <v>3536</v>
      </c>
      <c r="O262" t="b">
        <v>0</v>
      </c>
      <c r="P262" t="b">
        <v>1</v>
      </c>
      <c r="Q262" t="b">
        <v>0</v>
      </c>
      <c r="R262" t="b">
        <v>0</v>
      </c>
      <c r="S262" t="b">
        <v>1</v>
      </c>
      <c r="T262" t="b">
        <v>0</v>
      </c>
      <c r="U262" t="b">
        <v>0</v>
      </c>
      <c r="V262" t="b">
        <v>0</v>
      </c>
      <c r="W262" t="b">
        <v>1</v>
      </c>
      <c r="X262" t="b">
        <v>0</v>
      </c>
      <c r="Y262" t="b">
        <v>1</v>
      </c>
      <c r="Z262" t="b">
        <v>1</v>
      </c>
      <c r="AA262" t="b">
        <v>0</v>
      </c>
      <c r="AB262" t="s">
        <v>2643</v>
      </c>
      <c r="AC262" t="s">
        <v>7793</v>
      </c>
    </row>
    <row r="263" spans="1:29" x14ac:dyDescent="0.3">
      <c r="A263">
        <v>-73.950034439999996</v>
      </c>
      <c r="B263">
        <v>40.792991010000001</v>
      </c>
      <c r="C263" t="s">
        <v>486</v>
      </c>
      <c r="D263" t="s">
        <v>33</v>
      </c>
      <c r="E263" s="58">
        <v>43389</v>
      </c>
      <c r="F263">
        <v>11</v>
      </c>
      <c r="G263" t="s">
        <v>105</v>
      </c>
      <c r="H263" t="s">
        <v>53</v>
      </c>
      <c r="I263" t="s">
        <v>176</v>
      </c>
      <c r="J263" t="s">
        <v>60</v>
      </c>
      <c r="K263" t="s">
        <v>2973</v>
      </c>
      <c r="L263" t="s">
        <v>65</v>
      </c>
      <c r="M263" t="b">
        <v>0</v>
      </c>
      <c r="N263" t="s">
        <v>3334</v>
      </c>
      <c r="O263" t="b">
        <v>0</v>
      </c>
      <c r="P263" t="b">
        <v>1</v>
      </c>
      <c r="Q263" t="b">
        <v>1</v>
      </c>
      <c r="R263" t="b">
        <v>0</v>
      </c>
      <c r="S263" t="b">
        <v>1</v>
      </c>
      <c r="T263" t="b">
        <v>1</v>
      </c>
      <c r="U263" t="b">
        <v>1</v>
      </c>
      <c r="V263" t="b">
        <v>0</v>
      </c>
      <c r="W263" t="b">
        <v>1</v>
      </c>
      <c r="X263" t="b">
        <v>0</v>
      </c>
      <c r="Y263" t="b">
        <v>0</v>
      </c>
      <c r="Z263" t="b">
        <v>0</v>
      </c>
      <c r="AA263" t="b">
        <v>0</v>
      </c>
      <c r="AB263" t="s">
        <v>3468</v>
      </c>
      <c r="AC263" t="s">
        <v>7794</v>
      </c>
    </row>
    <row r="264" spans="1:29" x14ac:dyDescent="0.3">
      <c r="A264">
        <v>-73.976754790000001</v>
      </c>
      <c r="B264">
        <v>40.775837850000002</v>
      </c>
      <c r="C264" t="s">
        <v>1232</v>
      </c>
      <c r="D264" t="s">
        <v>33</v>
      </c>
      <c r="E264" s="58">
        <v>43383</v>
      </c>
      <c r="F264">
        <v>21</v>
      </c>
      <c r="G264" t="s">
        <v>48</v>
      </c>
      <c r="H264" t="s">
        <v>42</v>
      </c>
      <c r="I264" t="s">
        <v>737</v>
      </c>
      <c r="J264" t="s">
        <v>3228</v>
      </c>
      <c r="K264" t="s">
        <v>4243</v>
      </c>
      <c r="L264" t="s">
        <v>44</v>
      </c>
      <c r="M264">
        <v>30</v>
      </c>
      <c r="N264" t="s">
        <v>3496</v>
      </c>
      <c r="O264" t="b">
        <v>1</v>
      </c>
      <c r="P264" t="b">
        <v>1</v>
      </c>
      <c r="Q264" t="b">
        <v>1</v>
      </c>
      <c r="R264" t="b">
        <v>1</v>
      </c>
      <c r="S264" t="b">
        <v>0</v>
      </c>
      <c r="T264" t="b">
        <v>1</v>
      </c>
      <c r="U264" t="b">
        <v>1</v>
      </c>
      <c r="V264" t="b">
        <v>1</v>
      </c>
      <c r="W264" t="b">
        <v>1</v>
      </c>
      <c r="X264" t="b">
        <v>0</v>
      </c>
      <c r="Y264" t="b">
        <v>1</v>
      </c>
      <c r="Z264" t="b">
        <v>1</v>
      </c>
      <c r="AA264" t="b">
        <v>0</v>
      </c>
      <c r="AB264" t="s">
        <v>2643</v>
      </c>
      <c r="AC264" t="s">
        <v>7795</v>
      </c>
    </row>
    <row r="265" spans="1:29" x14ac:dyDescent="0.3">
      <c r="A265">
        <v>-73.964863949999994</v>
      </c>
      <c r="B265">
        <v>40.780937989999998</v>
      </c>
      <c r="C265" t="s">
        <v>782</v>
      </c>
      <c r="D265" t="s">
        <v>38</v>
      </c>
      <c r="E265" s="58">
        <v>43381</v>
      </c>
      <c r="F265">
        <v>21</v>
      </c>
      <c r="G265" t="s">
        <v>48</v>
      </c>
      <c r="H265" t="s">
        <v>42</v>
      </c>
      <c r="I265" t="s">
        <v>5105</v>
      </c>
      <c r="J265" t="s">
        <v>34</v>
      </c>
      <c r="K265" t="s">
        <v>5038</v>
      </c>
      <c r="L265" t="s">
        <v>44</v>
      </c>
      <c r="M265">
        <v>30</v>
      </c>
      <c r="N265" t="s">
        <v>4504</v>
      </c>
      <c r="O265" t="b">
        <v>1</v>
      </c>
      <c r="P265" t="b">
        <v>1</v>
      </c>
      <c r="Q265" t="b">
        <v>1</v>
      </c>
      <c r="R265" t="b">
        <v>0</v>
      </c>
      <c r="S265" t="b">
        <v>1</v>
      </c>
      <c r="T265" t="b">
        <v>0</v>
      </c>
      <c r="U265" t="b">
        <v>1</v>
      </c>
      <c r="V265" t="b">
        <v>1</v>
      </c>
      <c r="W265" t="b">
        <v>0</v>
      </c>
      <c r="X265" t="b">
        <v>1</v>
      </c>
      <c r="Y265" t="b">
        <v>1</v>
      </c>
      <c r="Z265" t="b">
        <v>1</v>
      </c>
      <c r="AA265" t="b">
        <v>0</v>
      </c>
      <c r="AB265" t="s">
        <v>499</v>
      </c>
      <c r="AC265" t="s">
        <v>7796</v>
      </c>
    </row>
    <row r="266" spans="1:29" x14ac:dyDescent="0.3">
      <c r="A266">
        <v>-73.953576769999998</v>
      </c>
      <c r="B266">
        <v>40.7653198</v>
      </c>
      <c r="C266" t="s">
        <v>394</v>
      </c>
      <c r="D266" t="s">
        <v>33</v>
      </c>
      <c r="E266" s="58">
        <v>43384</v>
      </c>
      <c r="F266">
        <v>22</v>
      </c>
      <c r="G266" t="s">
        <v>48</v>
      </c>
      <c r="H266" t="s">
        <v>42</v>
      </c>
      <c r="I266" t="s">
        <v>42</v>
      </c>
      <c r="J266" t="s">
        <v>619</v>
      </c>
      <c r="K266" t="s">
        <v>894</v>
      </c>
      <c r="L266" t="s">
        <v>65</v>
      </c>
      <c r="M266" t="b">
        <v>0</v>
      </c>
      <c r="N266" t="s">
        <v>6409</v>
      </c>
      <c r="O266" t="b">
        <v>1</v>
      </c>
      <c r="P266" t="b">
        <v>0</v>
      </c>
      <c r="Q266" t="b">
        <v>1</v>
      </c>
      <c r="R266" t="b">
        <v>0</v>
      </c>
      <c r="S266" t="b">
        <v>1</v>
      </c>
      <c r="T266" t="b">
        <v>0</v>
      </c>
      <c r="U266" t="b">
        <v>1</v>
      </c>
      <c r="V266" t="b">
        <v>1</v>
      </c>
      <c r="W266" t="b">
        <v>1</v>
      </c>
      <c r="X266" t="b">
        <v>0</v>
      </c>
      <c r="Y266" t="b">
        <v>0</v>
      </c>
      <c r="Z266" t="b">
        <v>0</v>
      </c>
      <c r="AA266" t="b">
        <v>0</v>
      </c>
      <c r="AB266" t="s">
        <v>867</v>
      </c>
      <c r="AC266" t="s">
        <v>7797</v>
      </c>
    </row>
    <row r="267" spans="1:29" x14ac:dyDescent="0.3">
      <c r="A267">
        <v>-73.957871179999998</v>
      </c>
      <c r="B267">
        <v>40.767461369999999</v>
      </c>
      <c r="C267" t="s">
        <v>523</v>
      </c>
      <c r="D267" t="s">
        <v>38</v>
      </c>
      <c r="E267" s="58">
        <v>43389</v>
      </c>
      <c r="F267">
        <v>13</v>
      </c>
      <c r="G267" t="s">
        <v>3842</v>
      </c>
      <c r="H267" t="s">
        <v>42</v>
      </c>
      <c r="I267" t="s">
        <v>59</v>
      </c>
      <c r="J267" t="s">
        <v>1922</v>
      </c>
      <c r="K267" t="s">
        <v>1636</v>
      </c>
      <c r="L267" t="s">
        <v>44</v>
      </c>
      <c r="M267">
        <v>20</v>
      </c>
      <c r="N267" t="s">
        <v>2970</v>
      </c>
      <c r="O267" t="b">
        <v>0</v>
      </c>
      <c r="P267" t="b">
        <v>0</v>
      </c>
      <c r="Q267" t="b">
        <v>1</v>
      </c>
      <c r="R267" t="b">
        <v>1</v>
      </c>
      <c r="S267" t="b">
        <v>1</v>
      </c>
      <c r="T267" t="b">
        <v>0</v>
      </c>
      <c r="U267" t="b">
        <v>0</v>
      </c>
      <c r="V267" t="b">
        <v>1</v>
      </c>
      <c r="W267" t="b">
        <v>1</v>
      </c>
      <c r="X267" t="b">
        <v>1</v>
      </c>
      <c r="Y267" t="b">
        <v>0</v>
      </c>
      <c r="Z267" t="b">
        <v>1</v>
      </c>
      <c r="AA267" t="b">
        <v>0</v>
      </c>
      <c r="AB267" t="s">
        <v>1109</v>
      </c>
      <c r="AC267" t="s">
        <v>7798</v>
      </c>
    </row>
    <row r="268" spans="1:29" x14ac:dyDescent="0.3">
      <c r="A268">
        <v>-73.959246629999996</v>
      </c>
      <c r="B268">
        <v>40.778729519999999</v>
      </c>
      <c r="C268" t="s">
        <v>1920</v>
      </c>
      <c r="D268" t="s">
        <v>33</v>
      </c>
      <c r="E268" s="58">
        <v>43392</v>
      </c>
      <c r="F268">
        <v>7</v>
      </c>
      <c r="G268" t="s">
        <v>105</v>
      </c>
      <c r="H268" t="s">
        <v>53</v>
      </c>
      <c r="I268" t="s">
        <v>5105</v>
      </c>
      <c r="J268" t="s">
        <v>149</v>
      </c>
      <c r="K268" t="s">
        <v>3157</v>
      </c>
      <c r="L268" t="s">
        <v>65</v>
      </c>
      <c r="M268" t="b">
        <v>0</v>
      </c>
      <c r="N268" t="s">
        <v>5673</v>
      </c>
      <c r="O268" t="b">
        <v>0</v>
      </c>
      <c r="P268" t="b">
        <v>1</v>
      </c>
      <c r="Q268" t="b">
        <v>0</v>
      </c>
      <c r="R268" t="b">
        <v>1</v>
      </c>
      <c r="S268" t="b">
        <v>1</v>
      </c>
      <c r="T268" t="b">
        <v>1</v>
      </c>
      <c r="U268" t="b">
        <v>0</v>
      </c>
      <c r="V268" t="b">
        <v>0</v>
      </c>
      <c r="W268" t="b">
        <v>0</v>
      </c>
      <c r="X268" t="b">
        <v>1</v>
      </c>
      <c r="Y268" t="b">
        <v>1</v>
      </c>
      <c r="Z268" t="b">
        <v>1</v>
      </c>
      <c r="AA268" t="b">
        <v>0</v>
      </c>
      <c r="AB268" t="s">
        <v>669</v>
      </c>
      <c r="AC268" t="s">
        <v>7799</v>
      </c>
    </row>
    <row r="269" spans="1:29" x14ac:dyDescent="0.3">
      <c r="A269">
        <v>-73.959074720000004</v>
      </c>
      <c r="B269">
        <v>40.78180828</v>
      </c>
      <c r="C269" t="s">
        <v>1115</v>
      </c>
      <c r="D269" t="s">
        <v>33</v>
      </c>
      <c r="E269" s="58">
        <v>43393</v>
      </c>
      <c r="F269">
        <v>23</v>
      </c>
      <c r="G269" t="s">
        <v>48</v>
      </c>
      <c r="H269" t="s">
        <v>53</v>
      </c>
      <c r="I269" t="s">
        <v>176</v>
      </c>
      <c r="J269" t="s">
        <v>149</v>
      </c>
      <c r="K269" t="s">
        <v>6582</v>
      </c>
      <c r="L269" t="s">
        <v>65</v>
      </c>
      <c r="M269" t="b">
        <v>0</v>
      </c>
      <c r="N269" t="s">
        <v>1192</v>
      </c>
      <c r="O269" t="b">
        <v>1</v>
      </c>
      <c r="P269" t="b">
        <v>0</v>
      </c>
      <c r="Q269" t="b">
        <v>1</v>
      </c>
      <c r="R269" t="b">
        <v>0</v>
      </c>
      <c r="S269" t="b">
        <v>0</v>
      </c>
      <c r="T269" t="b">
        <v>0</v>
      </c>
      <c r="U269" t="b">
        <v>1</v>
      </c>
      <c r="V269" t="b">
        <v>0</v>
      </c>
      <c r="W269" t="b">
        <v>1</v>
      </c>
      <c r="X269" t="b">
        <v>1</v>
      </c>
      <c r="Y269" t="b">
        <v>0</v>
      </c>
      <c r="Z269" t="b">
        <v>0</v>
      </c>
      <c r="AA269" t="b">
        <v>0</v>
      </c>
      <c r="AB269" t="s">
        <v>5960</v>
      </c>
      <c r="AC269" t="s">
        <v>7800</v>
      </c>
    </row>
    <row r="270" spans="1:29" x14ac:dyDescent="0.3">
      <c r="A270">
        <v>-73.969857320000003</v>
      </c>
      <c r="B270">
        <v>40.786036099999997</v>
      </c>
      <c r="C270" t="s">
        <v>2077</v>
      </c>
      <c r="D270" t="s">
        <v>33</v>
      </c>
      <c r="E270" s="58">
        <v>43390</v>
      </c>
      <c r="F270">
        <v>17</v>
      </c>
      <c r="G270" t="s">
        <v>48</v>
      </c>
      <c r="H270" t="s">
        <v>176</v>
      </c>
      <c r="I270" t="s">
        <v>1921</v>
      </c>
      <c r="J270" t="s">
        <v>149</v>
      </c>
      <c r="K270" t="s">
        <v>3318</v>
      </c>
      <c r="L270" t="s">
        <v>65</v>
      </c>
      <c r="M270" t="b">
        <v>0</v>
      </c>
      <c r="N270" t="s">
        <v>4573</v>
      </c>
      <c r="O270" t="b">
        <v>1</v>
      </c>
      <c r="P270" t="b">
        <v>0</v>
      </c>
      <c r="Q270" t="b">
        <v>0</v>
      </c>
      <c r="R270" t="b">
        <v>0</v>
      </c>
      <c r="S270" t="b">
        <v>1</v>
      </c>
      <c r="T270" t="b">
        <v>1</v>
      </c>
      <c r="U270" t="b">
        <v>1</v>
      </c>
      <c r="V270" t="b">
        <v>1</v>
      </c>
      <c r="W270" t="b">
        <v>0</v>
      </c>
      <c r="X270" t="b">
        <v>0</v>
      </c>
      <c r="Y270" t="b">
        <v>0</v>
      </c>
      <c r="Z270" t="b">
        <v>1</v>
      </c>
      <c r="AA270" t="b">
        <v>1</v>
      </c>
      <c r="AB270" t="s">
        <v>144</v>
      </c>
      <c r="AC270" t="s">
        <v>7801</v>
      </c>
    </row>
    <row r="271" spans="1:29" x14ac:dyDescent="0.3">
      <c r="A271">
        <v>-73.971928989999995</v>
      </c>
      <c r="B271">
        <v>40.775179479999998</v>
      </c>
      <c r="C271" t="s">
        <v>928</v>
      </c>
      <c r="D271" t="s">
        <v>33</v>
      </c>
      <c r="E271" s="58">
        <v>43383</v>
      </c>
      <c r="F271">
        <v>30</v>
      </c>
      <c r="G271" t="s">
        <v>48</v>
      </c>
      <c r="H271" t="s">
        <v>42</v>
      </c>
      <c r="I271" t="s">
        <v>53</v>
      </c>
      <c r="J271" t="s">
        <v>155</v>
      </c>
      <c r="K271" t="s">
        <v>150</v>
      </c>
      <c r="L271" t="s">
        <v>65</v>
      </c>
      <c r="M271" t="b">
        <v>0</v>
      </c>
      <c r="N271" t="s">
        <v>368</v>
      </c>
      <c r="O271" t="b">
        <v>0</v>
      </c>
      <c r="P271" t="b">
        <v>1</v>
      </c>
      <c r="Q271" t="b">
        <v>0</v>
      </c>
      <c r="R271" t="b">
        <v>0</v>
      </c>
      <c r="S271" t="b">
        <v>0</v>
      </c>
      <c r="T271" t="b">
        <v>1</v>
      </c>
      <c r="U271" t="b">
        <v>0</v>
      </c>
      <c r="V271" t="b">
        <v>1</v>
      </c>
      <c r="W271" t="b">
        <v>0</v>
      </c>
      <c r="X271" t="b">
        <v>1</v>
      </c>
      <c r="Y271" t="b">
        <v>0</v>
      </c>
      <c r="Z271" t="b">
        <v>0</v>
      </c>
      <c r="AA271" t="b">
        <v>1</v>
      </c>
      <c r="AB271" t="s">
        <v>445</v>
      </c>
      <c r="AC271" t="s">
        <v>7802</v>
      </c>
    </row>
    <row r="272" spans="1:29" x14ac:dyDescent="0.3">
      <c r="A272">
        <v>-73.955714850000007</v>
      </c>
      <c r="B272">
        <v>40.789379490000002</v>
      </c>
      <c r="C272" t="s">
        <v>3964</v>
      </c>
      <c r="D272" t="s">
        <v>38</v>
      </c>
      <c r="E272" s="58">
        <v>43381</v>
      </c>
      <c r="F272">
        <v>2</v>
      </c>
      <c r="G272" t="s">
        <v>48</v>
      </c>
      <c r="H272" t="s">
        <v>53</v>
      </c>
      <c r="I272" t="s">
        <v>42</v>
      </c>
      <c r="J272" t="s">
        <v>43</v>
      </c>
      <c r="K272" t="s">
        <v>3261</v>
      </c>
      <c r="L272" t="s">
        <v>44</v>
      </c>
      <c r="M272">
        <v>20</v>
      </c>
      <c r="N272" t="s">
        <v>1432</v>
      </c>
      <c r="O272" t="b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b">
        <v>1</v>
      </c>
      <c r="W272" t="b">
        <v>0</v>
      </c>
      <c r="X272" t="b">
        <v>1</v>
      </c>
      <c r="Y272" t="b">
        <v>0</v>
      </c>
      <c r="Z272" t="b">
        <v>0</v>
      </c>
      <c r="AA272" t="b">
        <v>1</v>
      </c>
      <c r="AB272" t="s">
        <v>5913</v>
      </c>
      <c r="AC272" t="s">
        <v>7803</v>
      </c>
    </row>
    <row r="273" spans="1:29" x14ac:dyDescent="0.3">
      <c r="A273">
        <v>-73.955691200000004</v>
      </c>
      <c r="B273">
        <v>40.795193730000001</v>
      </c>
      <c r="C273" t="s">
        <v>1145</v>
      </c>
      <c r="D273" t="s">
        <v>38</v>
      </c>
      <c r="E273" s="58">
        <v>43384</v>
      </c>
      <c r="F273">
        <v>12</v>
      </c>
      <c r="G273" t="s">
        <v>105</v>
      </c>
      <c r="H273" t="s">
        <v>53</v>
      </c>
      <c r="I273" t="s">
        <v>115</v>
      </c>
      <c r="J273" t="s">
        <v>89</v>
      </c>
      <c r="K273" t="s">
        <v>3248</v>
      </c>
      <c r="L273" t="s">
        <v>44</v>
      </c>
      <c r="M273">
        <v>2</v>
      </c>
      <c r="N273" t="s">
        <v>2865</v>
      </c>
      <c r="O273" t="b">
        <v>0</v>
      </c>
      <c r="P273" t="b">
        <v>0</v>
      </c>
      <c r="Q273" t="b">
        <v>1</v>
      </c>
      <c r="R273" t="b">
        <v>0</v>
      </c>
      <c r="S273" t="b">
        <v>0</v>
      </c>
      <c r="T273" t="b">
        <v>1</v>
      </c>
      <c r="U273" t="b">
        <v>0</v>
      </c>
      <c r="V273" t="b">
        <v>1</v>
      </c>
      <c r="W273" t="b">
        <v>1</v>
      </c>
      <c r="X273" t="b">
        <v>0</v>
      </c>
      <c r="Y273" t="b">
        <v>1</v>
      </c>
      <c r="Z273" t="b">
        <v>1</v>
      </c>
      <c r="AA273" t="b">
        <v>0</v>
      </c>
      <c r="AB273" t="s">
        <v>5356</v>
      </c>
      <c r="AC273" t="s">
        <v>7804</v>
      </c>
    </row>
    <row r="274" spans="1:29" x14ac:dyDescent="0.3">
      <c r="A274">
        <v>-73.953900590000003</v>
      </c>
      <c r="B274">
        <v>40.792367540000001</v>
      </c>
      <c r="C274" t="s">
        <v>289</v>
      </c>
      <c r="D274" t="s">
        <v>38</v>
      </c>
      <c r="E274" s="58">
        <v>43384</v>
      </c>
      <c r="F274">
        <v>25</v>
      </c>
      <c r="G274" t="s">
        <v>3842</v>
      </c>
      <c r="H274" t="s">
        <v>53</v>
      </c>
      <c r="I274" t="s">
        <v>42</v>
      </c>
      <c r="J274" t="s">
        <v>738</v>
      </c>
      <c r="K274" t="s">
        <v>4742</v>
      </c>
      <c r="L274" t="s">
        <v>65</v>
      </c>
      <c r="M274" t="b">
        <v>0</v>
      </c>
      <c r="N274" t="s">
        <v>4120</v>
      </c>
      <c r="O274" t="b">
        <v>1</v>
      </c>
      <c r="P274" t="b">
        <v>1</v>
      </c>
      <c r="Q274" t="b">
        <v>1</v>
      </c>
      <c r="R274" t="b">
        <v>0</v>
      </c>
      <c r="S274" t="b">
        <v>0</v>
      </c>
      <c r="T274" t="b">
        <v>1</v>
      </c>
      <c r="U274" t="b">
        <v>0</v>
      </c>
      <c r="V274" t="b">
        <v>0</v>
      </c>
      <c r="W274" t="b">
        <v>0</v>
      </c>
      <c r="X274" t="b">
        <v>1</v>
      </c>
      <c r="Y274" t="b">
        <v>0</v>
      </c>
      <c r="Z274" t="b">
        <v>1</v>
      </c>
      <c r="AA274" t="b">
        <v>1</v>
      </c>
      <c r="AB274" t="s">
        <v>456</v>
      </c>
      <c r="AC274" t="s">
        <v>7805</v>
      </c>
    </row>
    <row r="275" spans="1:29" x14ac:dyDescent="0.3">
      <c r="A275">
        <v>-73.952449209999997</v>
      </c>
      <c r="B275">
        <v>40.766305559999999</v>
      </c>
      <c r="C275" t="s">
        <v>335</v>
      </c>
      <c r="D275" t="s">
        <v>33</v>
      </c>
      <c r="E275" s="58">
        <v>43393</v>
      </c>
      <c r="F275">
        <v>10</v>
      </c>
      <c r="G275" t="s">
        <v>105</v>
      </c>
      <c r="H275" t="s">
        <v>42</v>
      </c>
      <c r="I275" t="s">
        <v>53</v>
      </c>
      <c r="J275" t="s">
        <v>54</v>
      </c>
      <c r="K275" t="s">
        <v>3182</v>
      </c>
      <c r="L275" t="s">
        <v>65</v>
      </c>
      <c r="M275" t="b">
        <v>0</v>
      </c>
      <c r="N275" t="s">
        <v>2970</v>
      </c>
      <c r="O275" t="b">
        <v>0</v>
      </c>
      <c r="P275" t="b">
        <v>1</v>
      </c>
      <c r="Q275" t="b">
        <v>0</v>
      </c>
      <c r="R275" t="b">
        <v>1</v>
      </c>
      <c r="S275" t="b">
        <v>1</v>
      </c>
      <c r="T275" t="b">
        <v>0</v>
      </c>
      <c r="U275" t="b">
        <v>0</v>
      </c>
      <c r="V275" t="b">
        <v>0</v>
      </c>
      <c r="W275" t="b">
        <v>1</v>
      </c>
      <c r="X275" t="b">
        <v>1</v>
      </c>
      <c r="Y275" t="b">
        <v>1</v>
      </c>
      <c r="Z275" t="b">
        <v>1</v>
      </c>
      <c r="AA275" t="b">
        <v>1</v>
      </c>
      <c r="AB275" t="s">
        <v>6346</v>
      </c>
      <c r="AC275" t="s">
        <v>7806</v>
      </c>
    </row>
    <row r="276" spans="1:29" x14ac:dyDescent="0.3">
      <c r="A276">
        <v>-73.965083609999994</v>
      </c>
      <c r="B276">
        <v>40.781828279999999</v>
      </c>
      <c r="C276" t="s">
        <v>1581</v>
      </c>
      <c r="D276" t="s">
        <v>33</v>
      </c>
      <c r="E276" s="58">
        <v>43392</v>
      </c>
      <c r="F276">
        <v>18</v>
      </c>
      <c r="G276" t="s">
        <v>48</v>
      </c>
      <c r="H276" t="s">
        <v>176</v>
      </c>
      <c r="I276" t="s">
        <v>176</v>
      </c>
      <c r="J276" t="s">
        <v>177</v>
      </c>
      <c r="K276" t="s">
        <v>2637</v>
      </c>
      <c r="L276" t="s">
        <v>65</v>
      </c>
      <c r="M276" t="b">
        <v>0</v>
      </c>
      <c r="N276" t="s">
        <v>3705</v>
      </c>
      <c r="O276" t="b">
        <v>0</v>
      </c>
      <c r="P276" t="b">
        <v>0</v>
      </c>
      <c r="Q276" t="b">
        <v>1</v>
      </c>
      <c r="R276" t="b">
        <v>1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1</v>
      </c>
      <c r="Y276" t="b">
        <v>1</v>
      </c>
      <c r="Z276" t="b">
        <v>0</v>
      </c>
      <c r="AA276" t="b">
        <v>1</v>
      </c>
      <c r="AB276" t="s">
        <v>7288</v>
      </c>
      <c r="AC276" t="s">
        <v>7807</v>
      </c>
    </row>
    <row r="277" spans="1:29" x14ac:dyDescent="0.3">
      <c r="A277">
        <v>-73.965392510000001</v>
      </c>
      <c r="B277">
        <v>40.768605030000003</v>
      </c>
      <c r="C277" t="s">
        <v>607</v>
      </c>
      <c r="D277" t="s">
        <v>38</v>
      </c>
      <c r="E277" s="58">
        <v>43386</v>
      </c>
      <c r="F277">
        <v>22</v>
      </c>
      <c r="G277" t="s">
        <v>105</v>
      </c>
      <c r="H277" t="s">
        <v>53</v>
      </c>
      <c r="I277" t="s">
        <v>176</v>
      </c>
      <c r="J277" t="s">
        <v>89</v>
      </c>
      <c r="K277" t="s">
        <v>49</v>
      </c>
      <c r="L277" t="s">
        <v>65</v>
      </c>
      <c r="M277" t="b">
        <v>0</v>
      </c>
      <c r="N277" t="s">
        <v>2017</v>
      </c>
      <c r="O277" t="b">
        <v>0</v>
      </c>
      <c r="P277" t="b">
        <v>0</v>
      </c>
      <c r="Q277" t="b">
        <v>1</v>
      </c>
      <c r="R277" t="b">
        <v>0</v>
      </c>
      <c r="S277" t="b">
        <v>0</v>
      </c>
      <c r="T277" t="b">
        <v>1</v>
      </c>
      <c r="U277" t="b">
        <v>0</v>
      </c>
      <c r="V277" t="b">
        <v>0</v>
      </c>
      <c r="W277" t="b">
        <v>0</v>
      </c>
      <c r="X277" t="b">
        <v>0</v>
      </c>
      <c r="Y277" t="b">
        <v>1</v>
      </c>
      <c r="Z277" t="b">
        <v>0</v>
      </c>
      <c r="AA277" t="b">
        <v>1</v>
      </c>
      <c r="AB277" t="s">
        <v>803</v>
      </c>
      <c r="AC277" t="s">
        <v>7808</v>
      </c>
    </row>
    <row r="278" spans="1:29" x14ac:dyDescent="0.3">
      <c r="A278">
        <v>-73.956062720000006</v>
      </c>
      <c r="B278">
        <v>40.773432550000003</v>
      </c>
      <c r="C278" t="s">
        <v>585</v>
      </c>
      <c r="D278" t="s">
        <v>38</v>
      </c>
      <c r="E278" s="58">
        <v>43380</v>
      </c>
      <c r="F278">
        <v>27</v>
      </c>
      <c r="G278" t="s">
        <v>48</v>
      </c>
      <c r="H278" t="s">
        <v>42</v>
      </c>
      <c r="I278" t="s">
        <v>5105</v>
      </c>
      <c r="J278" t="s">
        <v>54</v>
      </c>
      <c r="K278" t="s">
        <v>1472</v>
      </c>
      <c r="L278" t="s">
        <v>65</v>
      </c>
      <c r="M278" t="b">
        <v>0</v>
      </c>
      <c r="N278" t="s">
        <v>3632</v>
      </c>
      <c r="O278" t="b">
        <v>1</v>
      </c>
      <c r="P278" t="b">
        <v>0</v>
      </c>
      <c r="Q278" t="b">
        <v>0</v>
      </c>
      <c r="R278" t="b">
        <v>0</v>
      </c>
      <c r="S278" t="b">
        <v>1</v>
      </c>
      <c r="T278" t="b">
        <v>0</v>
      </c>
      <c r="U278" t="b">
        <v>1</v>
      </c>
      <c r="V278" t="b">
        <v>0</v>
      </c>
      <c r="W278" t="b">
        <v>0</v>
      </c>
      <c r="X278" t="b">
        <v>1</v>
      </c>
      <c r="Y278" t="b">
        <v>0</v>
      </c>
      <c r="Z278" t="b">
        <v>1</v>
      </c>
      <c r="AA278" t="b">
        <v>0</v>
      </c>
      <c r="AB278" t="s">
        <v>445</v>
      </c>
      <c r="AC278" t="s">
        <v>7809</v>
      </c>
    </row>
    <row r="279" spans="1:29" x14ac:dyDescent="0.3">
      <c r="A279">
        <v>-73.960725789999998</v>
      </c>
      <c r="B279">
        <v>40.799648939999997</v>
      </c>
      <c r="C279" t="s">
        <v>1920</v>
      </c>
      <c r="D279" t="s">
        <v>33</v>
      </c>
      <c r="E279" s="58">
        <v>43379</v>
      </c>
      <c r="F279">
        <v>11</v>
      </c>
      <c r="G279" t="s">
        <v>3842</v>
      </c>
      <c r="H279" t="s">
        <v>53</v>
      </c>
      <c r="I279" t="s">
        <v>737</v>
      </c>
      <c r="J279" t="s">
        <v>177</v>
      </c>
      <c r="K279" t="s">
        <v>1472</v>
      </c>
      <c r="L279" t="s">
        <v>44</v>
      </c>
      <c r="M279">
        <v>7</v>
      </c>
      <c r="N279" t="s">
        <v>3188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1</v>
      </c>
      <c r="U279" t="b">
        <v>1</v>
      </c>
      <c r="V279" t="b">
        <v>0</v>
      </c>
      <c r="W279" t="b">
        <v>1</v>
      </c>
      <c r="X279" t="b">
        <v>1</v>
      </c>
      <c r="Y279" t="b">
        <v>0</v>
      </c>
      <c r="Z279" t="b">
        <v>1</v>
      </c>
      <c r="AA279" t="b">
        <v>1</v>
      </c>
      <c r="AB279" t="s">
        <v>205</v>
      </c>
      <c r="AC279" t="s">
        <v>7810</v>
      </c>
    </row>
    <row r="280" spans="1:29" x14ac:dyDescent="0.3">
      <c r="A280">
        <v>-73.959090979999999</v>
      </c>
      <c r="B280">
        <v>40.769927629999998</v>
      </c>
      <c r="C280" t="s">
        <v>582</v>
      </c>
      <c r="D280" t="s">
        <v>33</v>
      </c>
      <c r="E280" s="58">
        <v>43382</v>
      </c>
      <c r="F280">
        <v>16</v>
      </c>
      <c r="G280" t="s">
        <v>3842</v>
      </c>
      <c r="H280" t="s">
        <v>53</v>
      </c>
      <c r="I280" t="s">
        <v>115</v>
      </c>
      <c r="J280" t="s">
        <v>738</v>
      </c>
      <c r="K280" t="s">
        <v>3050</v>
      </c>
      <c r="L280" t="s">
        <v>65</v>
      </c>
      <c r="M280" t="b">
        <v>0</v>
      </c>
      <c r="N280" t="s">
        <v>4012</v>
      </c>
      <c r="O280" t="b">
        <v>1</v>
      </c>
      <c r="P280" t="b">
        <v>1</v>
      </c>
      <c r="Q280" t="b">
        <v>0</v>
      </c>
      <c r="R280" t="b">
        <v>1</v>
      </c>
      <c r="S280" t="b">
        <v>1</v>
      </c>
      <c r="T280" t="b">
        <v>0</v>
      </c>
      <c r="U280" t="b">
        <v>0</v>
      </c>
      <c r="V280" t="b">
        <v>0</v>
      </c>
      <c r="W280" t="b">
        <v>1</v>
      </c>
      <c r="X280" t="b">
        <v>1</v>
      </c>
      <c r="Y280" t="b">
        <v>1</v>
      </c>
      <c r="Z280" t="b">
        <v>0</v>
      </c>
      <c r="AA280" t="b">
        <v>1</v>
      </c>
      <c r="AB280" t="s">
        <v>5392</v>
      </c>
      <c r="AC280" t="s">
        <v>7811</v>
      </c>
    </row>
    <row r="281" spans="1:29" x14ac:dyDescent="0.3">
      <c r="A281">
        <v>-73.956141400000007</v>
      </c>
      <c r="B281">
        <v>40.78247545</v>
      </c>
      <c r="C281" t="s">
        <v>3109</v>
      </c>
      <c r="D281" t="s">
        <v>38</v>
      </c>
      <c r="E281" s="58">
        <v>43385</v>
      </c>
      <c r="F281">
        <v>17</v>
      </c>
      <c r="G281" t="s">
        <v>3842</v>
      </c>
      <c r="H281" t="s">
        <v>176</v>
      </c>
      <c r="I281" t="s">
        <v>5105</v>
      </c>
      <c r="J281" t="s">
        <v>619</v>
      </c>
      <c r="K281" t="s">
        <v>4308</v>
      </c>
      <c r="L281" t="s">
        <v>65</v>
      </c>
      <c r="M281" t="b">
        <v>0</v>
      </c>
      <c r="N281" t="s">
        <v>5529</v>
      </c>
      <c r="O281" t="b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1</v>
      </c>
      <c r="V281" t="b">
        <v>1</v>
      </c>
      <c r="W281" t="b">
        <v>0</v>
      </c>
      <c r="X281" t="b">
        <v>0</v>
      </c>
      <c r="Y281" t="b">
        <v>1</v>
      </c>
      <c r="Z281" t="b">
        <v>1</v>
      </c>
      <c r="AA281" t="b">
        <v>0</v>
      </c>
      <c r="AB281" t="s">
        <v>4410</v>
      </c>
      <c r="AC281" t="s">
        <v>7812</v>
      </c>
    </row>
    <row r="282" spans="1:29" x14ac:dyDescent="0.3">
      <c r="A282">
        <v>-73.953179649999996</v>
      </c>
      <c r="B282">
        <v>40.786674599999998</v>
      </c>
      <c r="C282" t="s">
        <v>873</v>
      </c>
      <c r="D282" t="s">
        <v>33</v>
      </c>
      <c r="E282" s="58">
        <v>43393</v>
      </c>
      <c r="F282">
        <v>19</v>
      </c>
      <c r="G282" t="s">
        <v>48</v>
      </c>
      <c r="H282" t="s">
        <v>53</v>
      </c>
      <c r="I282" t="s">
        <v>115</v>
      </c>
      <c r="J282" t="s">
        <v>3228</v>
      </c>
      <c r="K282" t="s">
        <v>3471</v>
      </c>
      <c r="L282" t="s">
        <v>44</v>
      </c>
      <c r="M282">
        <v>3</v>
      </c>
      <c r="N282" t="s">
        <v>7271</v>
      </c>
      <c r="O282" t="b">
        <v>0</v>
      </c>
      <c r="P282" t="b">
        <v>1</v>
      </c>
      <c r="Q282" t="b">
        <v>0</v>
      </c>
      <c r="R282" t="b">
        <v>1</v>
      </c>
      <c r="S282" t="b">
        <v>1</v>
      </c>
      <c r="T282" t="b">
        <v>0</v>
      </c>
      <c r="U282" t="b">
        <v>0</v>
      </c>
      <c r="V282" t="b">
        <v>0</v>
      </c>
      <c r="W282" t="b">
        <v>1</v>
      </c>
      <c r="X282" t="b">
        <v>0</v>
      </c>
      <c r="Y282" t="b">
        <v>0</v>
      </c>
      <c r="Z282" t="b">
        <v>1</v>
      </c>
      <c r="AA282" t="b">
        <v>1</v>
      </c>
      <c r="AB282" t="s">
        <v>2038</v>
      </c>
      <c r="AC282" t="s">
        <v>7813</v>
      </c>
    </row>
    <row r="283" spans="1:29" x14ac:dyDescent="0.3">
      <c r="A283">
        <v>-73.970533090000004</v>
      </c>
      <c r="B283">
        <v>40.789642950000001</v>
      </c>
      <c r="C283" t="s">
        <v>2085</v>
      </c>
      <c r="D283" t="s">
        <v>33</v>
      </c>
      <c r="E283" s="58">
        <v>43389</v>
      </c>
      <c r="F283">
        <v>18</v>
      </c>
      <c r="G283" t="s">
        <v>105</v>
      </c>
      <c r="H283" t="s">
        <v>53</v>
      </c>
      <c r="I283" t="s">
        <v>115</v>
      </c>
      <c r="J283" t="s">
        <v>155</v>
      </c>
      <c r="K283" t="s">
        <v>6214</v>
      </c>
      <c r="L283" t="s">
        <v>44</v>
      </c>
      <c r="M283">
        <v>25</v>
      </c>
      <c r="N283" t="s">
        <v>6728</v>
      </c>
      <c r="O283" t="b">
        <v>1</v>
      </c>
      <c r="P283" t="b">
        <v>1</v>
      </c>
      <c r="Q283" t="b">
        <v>1</v>
      </c>
      <c r="R283" t="b">
        <v>1</v>
      </c>
      <c r="S283" t="b">
        <v>1</v>
      </c>
      <c r="T283" t="b">
        <v>0</v>
      </c>
      <c r="U283" t="b">
        <v>1</v>
      </c>
      <c r="V283" t="b">
        <v>1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s">
        <v>1660</v>
      </c>
      <c r="AC283" t="s">
        <v>7814</v>
      </c>
    </row>
    <row r="284" spans="1:29" x14ac:dyDescent="0.3">
      <c r="A284">
        <v>-73.969351450000005</v>
      </c>
      <c r="B284">
        <v>40.784614699999999</v>
      </c>
      <c r="C284" t="s">
        <v>1780</v>
      </c>
      <c r="D284" t="s">
        <v>38</v>
      </c>
      <c r="E284" s="58">
        <v>43388</v>
      </c>
      <c r="F284">
        <v>3</v>
      </c>
      <c r="G284" t="s">
        <v>3842</v>
      </c>
      <c r="H284" t="s">
        <v>42</v>
      </c>
      <c r="I284" t="s">
        <v>53</v>
      </c>
      <c r="J284" t="s">
        <v>89</v>
      </c>
      <c r="K284" t="s">
        <v>2517</v>
      </c>
      <c r="L284" t="s">
        <v>44</v>
      </c>
      <c r="M284">
        <v>4</v>
      </c>
      <c r="N284" t="s">
        <v>535</v>
      </c>
      <c r="O284" t="b">
        <v>0</v>
      </c>
      <c r="P284" t="b">
        <v>1</v>
      </c>
      <c r="Q284" t="b">
        <v>0</v>
      </c>
      <c r="R284" t="b">
        <v>0</v>
      </c>
      <c r="S284" t="b">
        <v>1</v>
      </c>
      <c r="T284" t="b">
        <v>1</v>
      </c>
      <c r="U284" t="b">
        <v>0</v>
      </c>
      <c r="V284" t="b">
        <v>1</v>
      </c>
      <c r="W284" t="b">
        <v>0</v>
      </c>
      <c r="X284" t="b">
        <v>1</v>
      </c>
      <c r="Y284" t="b">
        <v>1</v>
      </c>
      <c r="Z284" t="b">
        <v>1</v>
      </c>
      <c r="AA284" t="b">
        <v>1</v>
      </c>
      <c r="AB284" t="s">
        <v>1849</v>
      </c>
      <c r="AC284" t="s">
        <v>7815</v>
      </c>
    </row>
    <row r="285" spans="1:29" x14ac:dyDescent="0.3">
      <c r="A285">
        <v>-73.978204090000006</v>
      </c>
      <c r="B285">
        <v>40.765254679999998</v>
      </c>
      <c r="C285" t="s">
        <v>3400</v>
      </c>
      <c r="D285" t="s">
        <v>33</v>
      </c>
      <c r="E285" s="58">
        <v>43381</v>
      </c>
      <c r="F285">
        <v>21</v>
      </c>
      <c r="G285" t="s">
        <v>48</v>
      </c>
      <c r="H285" t="s">
        <v>42</v>
      </c>
      <c r="I285" t="s">
        <v>5105</v>
      </c>
      <c r="J285" t="s">
        <v>738</v>
      </c>
      <c r="K285" t="s">
        <v>809</v>
      </c>
      <c r="L285" t="s">
        <v>44</v>
      </c>
      <c r="M285">
        <v>5</v>
      </c>
      <c r="N285" t="s">
        <v>1311</v>
      </c>
      <c r="O285" t="b">
        <v>1</v>
      </c>
      <c r="P285" t="b">
        <v>0</v>
      </c>
      <c r="Q285" t="b">
        <v>1</v>
      </c>
      <c r="R285" t="b">
        <v>1</v>
      </c>
      <c r="S285" t="b">
        <v>1</v>
      </c>
      <c r="T285" t="b">
        <v>0</v>
      </c>
      <c r="U285" t="b">
        <v>1</v>
      </c>
      <c r="V285" t="b">
        <v>1</v>
      </c>
      <c r="W285" t="b">
        <v>0</v>
      </c>
      <c r="X285" t="b">
        <v>1</v>
      </c>
      <c r="Y285" t="b">
        <v>0</v>
      </c>
      <c r="Z285" t="b">
        <v>1</v>
      </c>
      <c r="AA285" t="b">
        <v>1</v>
      </c>
      <c r="AB285" t="s">
        <v>4139</v>
      </c>
      <c r="AC285" t="s">
        <v>7816</v>
      </c>
    </row>
    <row r="286" spans="1:29" x14ac:dyDescent="0.3">
      <c r="A286">
        <v>-73.962979300000001</v>
      </c>
      <c r="B286">
        <v>40.776404669999998</v>
      </c>
      <c r="C286" t="s">
        <v>855</v>
      </c>
      <c r="D286" t="s">
        <v>38</v>
      </c>
      <c r="E286" s="58">
        <v>43381</v>
      </c>
      <c r="F286">
        <v>27</v>
      </c>
      <c r="G286" t="s">
        <v>48</v>
      </c>
      <c r="H286" t="s">
        <v>176</v>
      </c>
      <c r="I286" t="s">
        <v>115</v>
      </c>
      <c r="J286" t="s">
        <v>1922</v>
      </c>
      <c r="K286" t="s">
        <v>3433</v>
      </c>
      <c r="L286" t="s">
        <v>44</v>
      </c>
      <c r="M286">
        <v>7</v>
      </c>
      <c r="N286" t="s">
        <v>4455</v>
      </c>
      <c r="O286" t="b">
        <v>0</v>
      </c>
      <c r="P286" t="b">
        <v>0</v>
      </c>
      <c r="Q286" t="b">
        <v>1</v>
      </c>
      <c r="R286" t="b">
        <v>0</v>
      </c>
      <c r="S286" t="b">
        <v>1</v>
      </c>
      <c r="T286" t="b">
        <v>1</v>
      </c>
      <c r="U286" t="b">
        <v>0</v>
      </c>
      <c r="V286" t="b">
        <v>0</v>
      </c>
      <c r="W286" t="b">
        <v>0</v>
      </c>
      <c r="X286" t="b">
        <v>1</v>
      </c>
      <c r="Y286" t="b">
        <v>0</v>
      </c>
      <c r="Z286" t="b">
        <v>1</v>
      </c>
      <c r="AA286" t="b">
        <v>1</v>
      </c>
      <c r="AB286" t="s">
        <v>5733</v>
      </c>
      <c r="AC286" t="s">
        <v>7817</v>
      </c>
    </row>
    <row r="287" spans="1:29" x14ac:dyDescent="0.3">
      <c r="A287">
        <v>-73.980028669999996</v>
      </c>
      <c r="B287">
        <v>40.783138180000002</v>
      </c>
      <c r="C287" t="s">
        <v>2803</v>
      </c>
      <c r="D287" t="s">
        <v>33</v>
      </c>
      <c r="E287" s="58">
        <v>43383</v>
      </c>
      <c r="F287">
        <v>26</v>
      </c>
      <c r="G287" t="s">
        <v>105</v>
      </c>
      <c r="H287" t="s">
        <v>42</v>
      </c>
      <c r="I287" t="s">
        <v>148</v>
      </c>
      <c r="J287" t="s">
        <v>1922</v>
      </c>
      <c r="K287" t="s">
        <v>3843</v>
      </c>
      <c r="L287" t="s">
        <v>44</v>
      </c>
      <c r="M287">
        <v>7</v>
      </c>
      <c r="N287" t="s">
        <v>5784</v>
      </c>
      <c r="O287" t="b">
        <v>1</v>
      </c>
      <c r="P287" t="b">
        <v>1</v>
      </c>
      <c r="Q287" t="b">
        <v>0</v>
      </c>
      <c r="R287" t="b">
        <v>1</v>
      </c>
      <c r="S287" t="b">
        <v>0</v>
      </c>
      <c r="T287" t="b">
        <v>1</v>
      </c>
      <c r="U287" t="b">
        <v>1</v>
      </c>
      <c r="V287" t="b">
        <v>0</v>
      </c>
      <c r="W287" t="b">
        <v>1</v>
      </c>
      <c r="X287" t="b">
        <v>1</v>
      </c>
      <c r="Y287" t="b">
        <v>1</v>
      </c>
      <c r="Z287" t="b">
        <v>1</v>
      </c>
      <c r="AA287" t="b">
        <v>0</v>
      </c>
      <c r="AB287" t="s">
        <v>1284</v>
      </c>
      <c r="AC287" t="s">
        <v>7818</v>
      </c>
    </row>
    <row r="288" spans="1:29" x14ac:dyDescent="0.3">
      <c r="A288">
        <v>-73.966521659999998</v>
      </c>
      <c r="B288">
        <v>40.768004259999998</v>
      </c>
      <c r="C288" t="s">
        <v>423</v>
      </c>
      <c r="D288" t="s">
        <v>38</v>
      </c>
      <c r="E288" s="58">
        <v>43383</v>
      </c>
      <c r="F288">
        <v>16</v>
      </c>
      <c r="G288" t="s">
        <v>3842</v>
      </c>
      <c r="H288" t="s">
        <v>42</v>
      </c>
      <c r="I288" t="s">
        <v>53</v>
      </c>
      <c r="J288" t="s">
        <v>97</v>
      </c>
      <c r="K288" t="s">
        <v>3758</v>
      </c>
      <c r="L288" t="s">
        <v>44</v>
      </c>
      <c r="M288">
        <v>8</v>
      </c>
      <c r="N288" t="s">
        <v>1494</v>
      </c>
      <c r="O288" t="b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1</v>
      </c>
      <c r="V288" t="b">
        <v>0</v>
      </c>
      <c r="W288" t="b">
        <v>0</v>
      </c>
      <c r="X288" t="b">
        <v>1</v>
      </c>
      <c r="Y288" t="b">
        <v>0</v>
      </c>
      <c r="Z288" t="b">
        <v>0</v>
      </c>
      <c r="AA288" t="b">
        <v>1</v>
      </c>
      <c r="AB288" t="s">
        <v>4147</v>
      </c>
      <c r="AC288" t="s">
        <v>7819</v>
      </c>
    </row>
    <row r="289" spans="1:29" x14ac:dyDescent="0.3">
      <c r="A289">
        <v>-73.964099559999994</v>
      </c>
      <c r="B289">
        <v>40.777255490000002</v>
      </c>
      <c r="C289" t="s">
        <v>729</v>
      </c>
      <c r="D289" t="s">
        <v>33</v>
      </c>
      <c r="E289" s="58">
        <v>43391</v>
      </c>
      <c r="F289">
        <v>6</v>
      </c>
      <c r="G289" t="s">
        <v>48</v>
      </c>
      <c r="H289" t="s">
        <v>176</v>
      </c>
      <c r="I289" t="s">
        <v>176</v>
      </c>
      <c r="J289" t="s">
        <v>738</v>
      </c>
      <c r="K289" t="s">
        <v>1785</v>
      </c>
      <c r="L289" t="s">
        <v>44</v>
      </c>
      <c r="M289">
        <v>6</v>
      </c>
      <c r="N289" t="s">
        <v>424</v>
      </c>
      <c r="O289" t="b">
        <v>1</v>
      </c>
      <c r="P289" t="b">
        <v>1</v>
      </c>
      <c r="Q289" t="b">
        <v>1</v>
      </c>
      <c r="R289" t="b">
        <v>0</v>
      </c>
      <c r="S289" t="b">
        <v>1</v>
      </c>
      <c r="T289" t="b">
        <v>0</v>
      </c>
      <c r="U289" t="b">
        <v>0</v>
      </c>
      <c r="V289" t="b">
        <v>0</v>
      </c>
      <c r="W289" t="b">
        <v>1</v>
      </c>
      <c r="X289" t="b">
        <v>0</v>
      </c>
      <c r="Y289" t="b">
        <v>0</v>
      </c>
      <c r="Z289" t="b">
        <v>0</v>
      </c>
      <c r="AA289" t="b">
        <v>1</v>
      </c>
      <c r="AB289" t="s">
        <v>5656</v>
      </c>
      <c r="AC289" t="s">
        <v>7820</v>
      </c>
    </row>
    <row r="290" spans="1:29" x14ac:dyDescent="0.3">
      <c r="A290">
        <v>-73.972150639999995</v>
      </c>
      <c r="B290">
        <v>40.766079679999997</v>
      </c>
      <c r="C290" t="s">
        <v>1133</v>
      </c>
      <c r="D290" t="s">
        <v>38</v>
      </c>
      <c r="E290" s="58">
        <v>43388</v>
      </c>
      <c r="F290">
        <v>25</v>
      </c>
      <c r="G290" t="s">
        <v>105</v>
      </c>
      <c r="H290" t="s">
        <v>53</v>
      </c>
      <c r="I290" t="s">
        <v>53</v>
      </c>
      <c r="J290" t="s">
        <v>1922</v>
      </c>
      <c r="K290" t="s">
        <v>6367</v>
      </c>
      <c r="L290" t="s">
        <v>44</v>
      </c>
      <c r="M290">
        <v>8</v>
      </c>
      <c r="N290" t="s">
        <v>3176</v>
      </c>
      <c r="O290" t="b">
        <v>1</v>
      </c>
      <c r="P290" t="b">
        <v>0</v>
      </c>
      <c r="Q290" t="b">
        <v>0</v>
      </c>
      <c r="R290" t="b">
        <v>1</v>
      </c>
      <c r="S290" t="b">
        <v>0</v>
      </c>
      <c r="T290" t="b">
        <v>0</v>
      </c>
      <c r="U290" t="b">
        <v>0</v>
      </c>
      <c r="V290" t="b">
        <v>1</v>
      </c>
      <c r="W290" t="b">
        <v>0</v>
      </c>
      <c r="X290" t="b">
        <v>1</v>
      </c>
      <c r="Y290" t="b">
        <v>1</v>
      </c>
      <c r="Z290" t="b">
        <v>0</v>
      </c>
      <c r="AA290" t="b">
        <v>0</v>
      </c>
      <c r="AB290" t="s">
        <v>5023</v>
      </c>
      <c r="AC290" t="s">
        <v>7821</v>
      </c>
    </row>
    <row r="291" spans="1:29" x14ac:dyDescent="0.3">
      <c r="A291">
        <v>-73.962584669999998</v>
      </c>
      <c r="B291">
        <v>40.767677249999998</v>
      </c>
      <c r="C291" t="s">
        <v>2861</v>
      </c>
      <c r="D291" t="s">
        <v>38</v>
      </c>
      <c r="E291" s="58">
        <v>43381</v>
      </c>
      <c r="F291">
        <v>12</v>
      </c>
      <c r="G291" t="s">
        <v>3842</v>
      </c>
      <c r="H291" t="s">
        <v>176</v>
      </c>
      <c r="I291" t="s">
        <v>59</v>
      </c>
      <c r="J291" t="s">
        <v>1922</v>
      </c>
      <c r="K291" t="s">
        <v>3028</v>
      </c>
      <c r="L291" t="s">
        <v>65</v>
      </c>
      <c r="M291" t="b">
        <v>0</v>
      </c>
      <c r="N291" t="s">
        <v>2101</v>
      </c>
      <c r="O291" t="b">
        <v>0</v>
      </c>
      <c r="P291" t="b">
        <v>0</v>
      </c>
      <c r="Q291" t="b">
        <v>1</v>
      </c>
      <c r="R291" t="b">
        <v>1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1</v>
      </c>
      <c r="Y291" t="b">
        <v>0</v>
      </c>
      <c r="Z291" t="b">
        <v>0</v>
      </c>
      <c r="AA291" t="b">
        <v>1</v>
      </c>
      <c r="AB291" t="s">
        <v>2392</v>
      </c>
      <c r="AC291" t="s">
        <v>7822</v>
      </c>
    </row>
    <row r="292" spans="1:29" x14ac:dyDescent="0.3">
      <c r="A292">
        <v>-73.980199749999997</v>
      </c>
      <c r="B292">
        <v>40.77888548</v>
      </c>
      <c r="C292" t="s">
        <v>1320</v>
      </c>
      <c r="D292" t="s">
        <v>38</v>
      </c>
      <c r="E292" s="58">
        <v>43387</v>
      </c>
      <c r="F292">
        <v>11</v>
      </c>
      <c r="G292" t="s">
        <v>105</v>
      </c>
      <c r="H292" t="s">
        <v>42</v>
      </c>
      <c r="I292" t="s">
        <v>59</v>
      </c>
      <c r="J292" t="s">
        <v>3228</v>
      </c>
      <c r="K292" t="s">
        <v>242</v>
      </c>
      <c r="L292" t="s">
        <v>44</v>
      </c>
      <c r="M292">
        <v>3</v>
      </c>
      <c r="N292" t="s">
        <v>1996</v>
      </c>
      <c r="O292" t="b">
        <v>1</v>
      </c>
      <c r="P292" t="b">
        <v>0</v>
      </c>
      <c r="Q292" t="b">
        <v>0</v>
      </c>
      <c r="R292" t="b">
        <v>1</v>
      </c>
      <c r="S292" t="b">
        <v>0</v>
      </c>
      <c r="T292" t="b">
        <v>0</v>
      </c>
      <c r="U292" t="b">
        <v>1</v>
      </c>
      <c r="V292" t="b">
        <v>1</v>
      </c>
      <c r="W292" t="b">
        <v>0</v>
      </c>
      <c r="X292" t="b">
        <v>0</v>
      </c>
      <c r="Y292" t="b">
        <v>1</v>
      </c>
      <c r="Z292" t="b">
        <v>1</v>
      </c>
      <c r="AA292" t="b">
        <v>1</v>
      </c>
      <c r="AB292" t="s">
        <v>7371</v>
      </c>
      <c r="AC292" t="s">
        <v>7823</v>
      </c>
    </row>
    <row r="293" spans="1:29" x14ac:dyDescent="0.3">
      <c r="A293">
        <v>-73.979984470000005</v>
      </c>
      <c r="B293">
        <v>40.769583300000001</v>
      </c>
      <c r="C293" t="s">
        <v>5624</v>
      </c>
      <c r="D293" t="s">
        <v>38</v>
      </c>
      <c r="E293" s="58">
        <v>43382</v>
      </c>
      <c r="F293">
        <v>15</v>
      </c>
      <c r="G293" t="s">
        <v>105</v>
      </c>
      <c r="H293" t="s">
        <v>176</v>
      </c>
      <c r="I293" t="s">
        <v>115</v>
      </c>
      <c r="J293" t="s">
        <v>149</v>
      </c>
      <c r="K293" t="s">
        <v>4180</v>
      </c>
      <c r="L293" t="s">
        <v>65</v>
      </c>
      <c r="M293" t="b">
        <v>0</v>
      </c>
      <c r="N293" t="s">
        <v>5123</v>
      </c>
      <c r="O293" t="b">
        <v>0</v>
      </c>
      <c r="P293" t="b">
        <v>1</v>
      </c>
      <c r="Q293" t="b">
        <v>0</v>
      </c>
      <c r="R293" t="b">
        <v>0</v>
      </c>
      <c r="S293" t="b">
        <v>1</v>
      </c>
      <c r="T293" t="b">
        <v>1</v>
      </c>
      <c r="U293" t="b">
        <v>1</v>
      </c>
      <c r="V293" t="b">
        <v>0</v>
      </c>
      <c r="W293" t="b">
        <v>0</v>
      </c>
      <c r="X293" t="b">
        <v>0</v>
      </c>
      <c r="Y293" t="b">
        <v>0</v>
      </c>
      <c r="Z293" t="b">
        <v>1</v>
      </c>
      <c r="AA293" t="b">
        <v>1</v>
      </c>
      <c r="AB293" t="s">
        <v>650</v>
      </c>
      <c r="AC293" t="s">
        <v>7824</v>
      </c>
    </row>
    <row r="294" spans="1:29" x14ac:dyDescent="0.3">
      <c r="A294">
        <v>-73.955298639999995</v>
      </c>
      <c r="B294">
        <v>40.784892560000003</v>
      </c>
      <c r="C294" t="s">
        <v>1278</v>
      </c>
      <c r="D294" t="s">
        <v>33</v>
      </c>
      <c r="E294" s="58">
        <v>43391</v>
      </c>
      <c r="F294">
        <v>15</v>
      </c>
      <c r="G294" t="s">
        <v>48</v>
      </c>
      <c r="H294" t="s">
        <v>53</v>
      </c>
      <c r="I294" t="s">
        <v>5105</v>
      </c>
      <c r="J294" t="s">
        <v>43</v>
      </c>
      <c r="K294" t="s">
        <v>1181</v>
      </c>
      <c r="L294" t="s">
        <v>65</v>
      </c>
      <c r="M294" t="b">
        <v>0</v>
      </c>
      <c r="N294" t="s">
        <v>2724</v>
      </c>
      <c r="O294" t="b">
        <v>1</v>
      </c>
      <c r="P294" t="b">
        <v>1</v>
      </c>
      <c r="Q294" t="b">
        <v>1</v>
      </c>
      <c r="R294" t="b">
        <v>1</v>
      </c>
      <c r="S294" t="b">
        <v>1</v>
      </c>
      <c r="T294" t="b">
        <v>0</v>
      </c>
      <c r="U294" t="b">
        <v>1</v>
      </c>
      <c r="V294" t="b">
        <v>0</v>
      </c>
      <c r="W294" t="b">
        <v>0</v>
      </c>
      <c r="X294" t="b">
        <v>1</v>
      </c>
      <c r="Y294" t="b">
        <v>1</v>
      </c>
      <c r="Z294" t="b">
        <v>1</v>
      </c>
      <c r="AA294" t="b">
        <v>1</v>
      </c>
      <c r="AB294" t="s">
        <v>6518</v>
      </c>
      <c r="AC294" t="s">
        <v>7825</v>
      </c>
    </row>
    <row r="295" spans="1:29" x14ac:dyDescent="0.3">
      <c r="A295">
        <v>-73.969835329999995</v>
      </c>
      <c r="B295">
        <v>40.789185250000003</v>
      </c>
      <c r="C295" t="s">
        <v>200</v>
      </c>
      <c r="D295" t="s">
        <v>33</v>
      </c>
      <c r="E295" s="58">
        <v>43391</v>
      </c>
      <c r="F295">
        <v>16</v>
      </c>
      <c r="G295" t="s">
        <v>48</v>
      </c>
      <c r="H295" t="s">
        <v>176</v>
      </c>
      <c r="I295" t="s">
        <v>176</v>
      </c>
      <c r="J295" t="s">
        <v>116</v>
      </c>
      <c r="K295" t="s">
        <v>5957</v>
      </c>
      <c r="L295" t="s">
        <v>65</v>
      </c>
      <c r="M295" t="b">
        <v>0</v>
      </c>
      <c r="N295" t="s">
        <v>6242</v>
      </c>
      <c r="O295" t="b">
        <v>0</v>
      </c>
      <c r="P295" t="b">
        <v>1</v>
      </c>
      <c r="Q295" t="b">
        <v>1</v>
      </c>
      <c r="R295" t="b">
        <v>1</v>
      </c>
      <c r="S295" t="b">
        <v>0</v>
      </c>
      <c r="T295" t="b">
        <v>1</v>
      </c>
      <c r="U295" t="b">
        <v>1</v>
      </c>
      <c r="V295" t="b">
        <v>1</v>
      </c>
      <c r="W295" t="b">
        <v>1</v>
      </c>
      <c r="X295" t="b">
        <v>0</v>
      </c>
      <c r="Y295" t="b">
        <v>0</v>
      </c>
      <c r="Z295" t="b">
        <v>1</v>
      </c>
      <c r="AA295" t="b">
        <v>1</v>
      </c>
      <c r="AB295" t="s">
        <v>263</v>
      </c>
      <c r="AC295" t="s">
        <v>7826</v>
      </c>
    </row>
    <row r="296" spans="1:29" x14ac:dyDescent="0.3">
      <c r="A296">
        <v>-73.977164200000004</v>
      </c>
      <c r="B296">
        <v>40.793097600000003</v>
      </c>
      <c r="C296" t="s">
        <v>1090</v>
      </c>
      <c r="D296" t="s">
        <v>38</v>
      </c>
      <c r="E296" s="58">
        <v>43393</v>
      </c>
      <c r="F296">
        <v>10</v>
      </c>
      <c r="G296" t="s">
        <v>48</v>
      </c>
      <c r="H296" t="s">
        <v>42</v>
      </c>
      <c r="I296" t="s">
        <v>53</v>
      </c>
      <c r="J296" t="s">
        <v>3228</v>
      </c>
      <c r="K296" t="s">
        <v>4020</v>
      </c>
      <c r="L296" t="s">
        <v>65</v>
      </c>
      <c r="M296" t="b">
        <v>0</v>
      </c>
      <c r="N296" t="s">
        <v>5371</v>
      </c>
      <c r="O296" t="b">
        <v>0</v>
      </c>
      <c r="P296" t="b">
        <v>1</v>
      </c>
      <c r="Q296" t="b">
        <v>0</v>
      </c>
      <c r="R296" t="b">
        <v>0</v>
      </c>
      <c r="S296" t="b">
        <v>1</v>
      </c>
      <c r="T296" t="b">
        <v>1</v>
      </c>
      <c r="U296" t="b">
        <v>0</v>
      </c>
      <c r="V296" t="b">
        <v>1</v>
      </c>
      <c r="W296" t="b">
        <v>1</v>
      </c>
      <c r="X296" t="b">
        <v>0</v>
      </c>
      <c r="Y296" t="b">
        <v>1</v>
      </c>
      <c r="Z296" t="b">
        <v>0</v>
      </c>
      <c r="AA296" t="b">
        <v>0</v>
      </c>
      <c r="AB296" t="s">
        <v>432</v>
      </c>
      <c r="AC296" t="s">
        <v>7827</v>
      </c>
    </row>
    <row r="297" spans="1:29" x14ac:dyDescent="0.3">
      <c r="A297">
        <v>-73.964740919999997</v>
      </c>
      <c r="B297">
        <v>40.771957530000002</v>
      </c>
      <c r="C297" t="s">
        <v>314</v>
      </c>
      <c r="D297" t="s">
        <v>33</v>
      </c>
      <c r="E297" s="58">
        <v>43381</v>
      </c>
      <c r="F297">
        <v>12</v>
      </c>
      <c r="G297" t="s">
        <v>105</v>
      </c>
      <c r="H297" t="s">
        <v>42</v>
      </c>
      <c r="I297" t="s">
        <v>5105</v>
      </c>
      <c r="J297" t="s">
        <v>43</v>
      </c>
      <c r="K297" t="s">
        <v>1636</v>
      </c>
      <c r="L297" t="s">
        <v>65</v>
      </c>
      <c r="M297" t="b">
        <v>0</v>
      </c>
      <c r="N297" t="s">
        <v>3389</v>
      </c>
      <c r="O297" t="b">
        <v>0</v>
      </c>
      <c r="P297" t="b">
        <v>1</v>
      </c>
      <c r="Q297" t="b">
        <v>0</v>
      </c>
      <c r="R297" t="b">
        <v>0</v>
      </c>
      <c r="S297" t="b">
        <v>1</v>
      </c>
      <c r="T297" t="b">
        <v>1</v>
      </c>
      <c r="U297" t="b">
        <v>0</v>
      </c>
      <c r="V297" t="b">
        <v>1</v>
      </c>
      <c r="W297" t="b">
        <v>0</v>
      </c>
      <c r="X297" t="b">
        <v>0</v>
      </c>
      <c r="Y297" t="b">
        <v>0</v>
      </c>
      <c r="Z297" t="b">
        <v>1</v>
      </c>
      <c r="AA297" t="b">
        <v>0</v>
      </c>
      <c r="AB297" t="s">
        <v>836</v>
      </c>
      <c r="AC297" t="s">
        <v>7828</v>
      </c>
    </row>
    <row r="298" spans="1:29" x14ac:dyDescent="0.3">
      <c r="A298">
        <v>-73.956952439999995</v>
      </c>
      <c r="B298">
        <v>40.77080737</v>
      </c>
      <c r="C298" t="s">
        <v>1775</v>
      </c>
      <c r="D298" t="s">
        <v>33</v>
      </c>
      <c r="E298" s="58">
        <v>43389</v>
      </c>
      <c r="F298">
        <v>28</v>
      </c>
      <c r="G298" t="s">
        <v>48</v>
      </c>
      <c r="H298" t="s">
        <v>176</v>
      </c>
      <c r="I298" t="s">
        <v>53</v>
      </c>
      <c r="J298" t="s">
        <v>177</v>
      </c>
      <c r="K298" t="s">
        <v>1259</v>
      </c>
      <c r="L298" t="s">
        <v>65</v>
      </c>
      <c r="M298" t="b">
        <v>0</v>
      </c>
      <c r="N298" t="s">
        <v>858</v>
      </c>
      <c r="O298" t="b">
        <v>0</v>
      </c>
      <c r="P298" t="b">
        <v>0</v>
      </c>
      <c r="Q298" t="b">
        <v>0</v>
      </c>
      <c r="R298" t="b">
        <v>1</v>
      </c>
      <c r="S298" t="b">
        <v>0</v>
      </c>
      <c r="T298" t="b">
        <v>1</v>
      </c>
      <c r="U298" t="b">
        <v>1</v>
      </c>
      <c r="V298" t="b">
        <v>0</v>
      </c>
      <c r="W298" t="b">
        <v>1</v>
      </c>
      <c r="X298" t="b">
        <v>1</v>
      </c>
      <c r="Y298" t="b">
        <v>0</v>
      </c>
      <c r="Z298" t="b">
        <v>1</v>
      </c>
      <c r="AA298" t="b">
        <v>0</v>
      </c>
      <c r="AB298" t="s">
        <v>340</v>
      </c>
      <c r="AC298" t="s">
        <v>7829</v>
      </c>
    </row>
    <row r="299" spans="1:29" x14ac:dyDescent="0.3">
      <c r="A299">
        <v>-73.97437386</v>
      </c>
      <c r="B299">
        <v>40.76859228</v>
      </c>
      <c r="C299" t="s">
        <v>37</v>
      </c>
      <c r="D299" t="s">
        <v>33</v>
      </c>
      <c r="E299" s="58">
        <v>43380</v>
      </c>
      <c r="F299">
        <v>13</v>
      </c>
      <c r="G299" t="s">
        <v>105</v>
      </c>
      <c r="H299" t="s">
        <v>53</v>
      </c>
      <c r="I299" t="s">
        <v>53</v>
      </c>
      <c r="J299" t="s">
        <v>97</v>
      </c>
      <c r="K299" t="s">
        <v>7049</v>
      </c>
      <c r="L299" t="s">
        <v>65</v>
      </c>
      <c r="M299" t="b">
        <v>0</v>
      </c>
      <c r="N299" t="s">
        <v>6570</v>
      </c>
      <c r="O299" t="b">
        <v>1</v>
      </c>
      <c r="P299" t="b">
        <v>1</v>
      </c>
      <c r="Q299" t="b">
        <v>1</v>
      </c>
      <c r="R299" t="b">
        <v>1</v>
      </c>
      <c r="S299" t="b">
        <v>1</v>
      </c>
      <c r="T299" t="b">
        <v>0</v>
      </c>
      <c r="U299" t="b">
        <v>0</v>
      </c>
      <c r="V299" t="b">
        <v>0</v>
      </c>
      <c r="W299" t="b">
        <v>1</v>
      </c>
      <c r="X299" t="b">
        <v>0</v>
      </c>
      <c r="Y299" t="b">
        <v>0</v>
      </c>
      <c r="Z299" t="b">
        <v>0</v>
      </c>
      <c r="AA299" t="b">
        <v>1</v>
      </c>
      <c r="AB299" t="s">
        <v>2182</v>
      </c>
      <c r="AC299" t="s">
        <v>7830</v>
      </c>
    </row>
    <row r="300" spans="1:29" x14ac:dyDescent="0.3">
      <c r="A300">
        <v>-73.961576890000003</v>
      </c>
      <c r="B300">
        <v>40.78731801</v>
      </c>
      <c r="C300" t="s">
        <v>612</v>
      </c>
      <c r="D300" t="s">
        <v>33</v>
      </c>
      <c r="E300" s="58">
        <v>43388</v>
      </c>
      <c r="F300">
        <v>4</v>
      </c>
      <c r="G300" t="s">
        <v>105</v>
      </c>
      <c r="H300" t="s">
        <v>176</v>
      </c>
      <c r="I300" t="s">
        <v>148</v>
      </c>
      <c r="J300" t="s">
        <v>89</v>
      </c>
      <c r="K300" t="s">
        <v>2136</v>
      </c>
      <c r="L300" t="s">
        <v>65</v>
      </c>
      <c r="M300" t="b">
        <v>0</v>
      </c>
      <c r="N300" t="s">
        <v>1432</v>
      </c>
      <c r="O300" t="b">
        <v>0</v>
      </c>
      <c r="P300" t="b">
        <v>0</v>
      </c>
      <c r="Q300" t="b">
        <v>0</v>
      </c>
      <c r="R300" t="b">
        <v>1</v>
      </c>
      <c r="S300" t="b">
        <v>1</v>
      </c>
      <c r="T300" t="b">
        <v>0</v>
      </c>
      <c r="U300" t="b">
        <v>0</v>
      </c>
      <c r="V300" t="b">
        <v>1</v>
      </c>
      <c r="W300" t="b">
        <v>0</v>
      </c>
      <c r="X300" t="b">
        <v>1</v>
      </c>
      <c r="Y300" t="b">
        <v>1</v>
      </c>
      <c r="Z300" t="b">
        <v>0</v>
      </c>
      <c r="AA300" t="b">
        <v>1</v>
      </c>
      <c r="AB300" t="s">
        <v>4147</v>
      </c>
      <c r="AC300" t="s">
        <v>7831</v>
      </c>
    </row>
    <row r="301" spans="1:29" x14ac:dyDescent="0.3">
      <c r="A301">
        <v>-73.978475529999997</v>
      </c>
      <c r="B301">
        <v>40.789784160000004</v>
      </c>
      <c r="C301" t="s">
        <v>523</v>
      </c>
      <c r="D301" t="s">
        <v>33</v>
      </c>
      <c r="E301" s="58">
        <v>43391</v>
      </c>
      <c r="F301">
        <v>7</v>
      </c>
      <c r="G301" t="s">
        <v>48</v>
      </c>
      <c r="H301" t="s">
        <v>53</v>
      </c>
      <c r="I301" t="s">
        <v>59</v>
      </c>
      <c r="J301" t="s">
        <v>155</v>
      </c>
      <c r="K301" t="s">
        <v>3433</v>
      </c>
      <c r="L301" t="s">
        <v>44</v>
      </c>
      <c r="M301">
        <v>2</v>
      </c>
      <c r="N301" t="s">
        <v>3697</v>
      </c>
      <c r="O301" t="b">
        <v>0</v>
      </c>
      <c r="P301" t="b">
        <v>0</v>
      </c>
      <c r="Q301" t="b">
        <v>0</v>
      </c>
      <c r="R301" t="b">
        <v>0</v>
      </c>
      <c r="S301" t="b">
        <v>1</v>
      </c>
      <c r="T301" t="b">
        <v>1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1</v>
      </c>
      <c r="AB301" t="s">
        <v>290</v>
      </c>
      <c r="AC301" t="s">
        <v>7832</v>
      </c>
    </row>
    <row r="302" spans="1:29" x14ac:dyDescent="0.3">
      <c r="A302">
        <v>-73.979533869999997</v>
      </c>
      <c r="B302">
        <v>40.766022749999998</v>
      </c>
      <c r="C302" t="s">
        <v>408</v>
      </c>
      <c r="D302" t="s">
        <v>38</v>
      </c>
      <c r="E302" s="58">
        <v>43389</v>
      </c>
      <c r="F302">
        <v>22</v>
      </c>
      <c r="G302" t="s">
        <v>3842</v>
      </c>
      <c r="H302" t="s">
        <v>53</v>
      </c>
      <c r="I302" t="s">
        <v>53</v>
      </c>
      <c r="J302" t="s">
        <v>79</v>
      </c>
      <c r="K302" t="s">
        <v>3318</v>
      </c>
      <c r="L302" t="s">
        <v>65</v>
      </c>
      <c r="M302" t="b">
        <v>0</v>
      </c>
      <c r="N302" t="s">
        <v>2724</v>
      </c>
      <c r="O302" t="b">
        <v>0</v>
      </c>
      <c r="P302" t="b">
        <v>0</v>
      </c>
      <c r="Q302" t="b">
        <v>0</v>
      </c>
      <c r="R302" t="b">
        <v>0</v>
      </c>
      <c r="S302" t="b">
        <v>1</v>
      </c>
      <c r="T302" t="b">
        <v>1</v>
      </c>
      <c r="U302" t="b">
        <v>0</v>
      </c>
      <c r="V302" t="b">
        <v>1</v>
      </c>
      <c r="W302" t="b">
        <v>0</v>
      </c>
      <c r="X302" t="b">
        <v>1</v>
      </c>
      <c r="Y302" t="b">
        <v>1</v>
      </c>
      <c r="Z302" t="b">
        <v>1</v>
      </c>
      <c r="AA302" t="b">
        <v>1</v>
      </c>
      <c r="AB302" t="s">
        <v>6579</v>
      </c>
      <c r="AC302" t="s">
        <v>7833</v>
      </c>
    </row>
    <row r="303" spans="1:29" x14ac:dyDescent="0.3">
      <c r="A303">
        <v>-73.964454480000001</v>
      </c>
      <c r="B303">
        <v>40.797872689999998</v>
      </c>
      <c r="C303" t="s">
        <v>582</v>
      </c>
      <c r="D303" t="s">
        <v>38</v>
      </c>
      <c r="E303" s="58">
        <v>43387</v>
      </c>
      <c r="F303">
        <v>2</v>
      </c>
      <c r="G303" t="s">
        <v>3842</v>
      </c>
      <c r="H303" t="s">
        <v>176</v>
      </c>
      <c r="I303" t="s">
        <v>148</v>
      </c>
      <c r="J303" t="s">
        <v>177</v>
      </c>
      <c r="K303" t="s">
        <v>49</v>
      </c>
      <c r="L303" t="s">
        <v>65</v>
      </c>
      <c r="M303" t="b">
        <v>0</v>
      </c>
      <c r="N303" t="s">
        <v>3629</v>
      </c>
      <c r="O303" t="b">
        <v>0</v>
      </c>
      <c r="P303" t="b">
        <v>0</v>
      </c>
      <c r="Q303" t="b">
        <v>0</v>
      </c>
      <c r="R303" t="b">
        <v>1</v>
      </c>
      <c r="S303" t="b">
        <v>1</v>
      </c>
      <c r="T303" t="b">
        <v>0</v>
      </c>
      <c r="U303" t="b">
        <v>1</v>
      </c>
      <c r="V303" t="b">
        <v>0</v>
      </c>
      <c r="W303" t="b">
        <v>0</v>
      </c>
      <c r="X303" t="b">
        <v>1</v>
      </c>
      <c r="Y303" t="b">
        <v>0</v>
      </c>
      <c r="Z303" t="b">
        <v>0</v>
      </c>
      <c r="AA303" t="b">
        <v>1</v>
      </c>
      <c r="AB303" t="s">
        <v>3823</v>
      </c>
      <c r="AC303" t="s">
        <v>7834</v>
      </c>
    </row>
    <row r="304" spans="1:29" x14ac:dyDescent="0.3">
      <c r="A304">
        <v>-73.964162740000006</v>
      </c>
      <c r="B304">
        <v>40.766740460000001</v>
      </c>
      <c r="C304" t="s">
        <v>627</v>
      </c>
      <c r="D304" t="s">
        <v>38</v>
      </c>
      <c r="E304" s="58">
        <v>43382</v>
      </c>
      <c r="F304">
        <v>26</v>
      </c>
      <c r="G304" t="s">
        <v>3842</v>
      </c>
      <c r="H304" t="s">
        <v>53</v>
      </c>
      <c r="I304" t="s">
        <v>59</v>
      </c>
      <c r="J304" t="s">
        <v>34</v>
      </c>
      <c r="K304" t="s">
        <v>7178</v>
      </c>
      <c r="L304" t="s">
        <v>65</v>
      </c>
      <c r="M304" t="b">
        <v>0</v>
      </c>
      <c r="N304" t="s">
        <v>978</v>
      </c>
      <c r="O304" t="b">
        <v>0</v>
      </c>
      <c r="P304" t="b">
        <v>0</v>
      </c>
      <c r="Q304" t="b">
        <v>1</v>
      </c>
      <c r="R304" t="b">
        <v>0</v>
      </c>
      <c r="S304" t="b">
        <v>0</v>
      </c>
      <c r="T304" t="b">
        <v>1</v>
      </c>
      <c r="U304" t="b">
        <v>0</v>
      </c>
      <c r="V304" t="b">
        <v>1</v>
      </c>
      <c r="W304" t="b">
        <v>1</v>
      </c>
      <c r="X304" t="b">
        <v>1</v>
      </c>
      <c r="Y304" t="b">
        <v>0</v>
      </c>
      <c r="Z304" t="b">
        <v>1</v>
      </c>
      <c r="AA304" t="b">
        <v>0</v>
      </c>
      <c r="AB304" t="s">
        <v>2751</v>
      </c>
      <c r="AC304" t="s">
        <v>7835</v>
      </c>
    </row>
    <row r="305" spans="1:29" x14ac:dyDescent="0.3">
      <c r="A305">
        <v>-73.961119819999993</v>
      </c>
      <c r="B305">
        <v>40.783968549999997</v>
      </c>
      <c r="C305" t="s">
        <v>1632</v>
      </c>
      <c r="D305" t="s">
        <v>38</v>
      </c>
      <c r="E305" s="58">
        <v>43381</v>
      </c>
      <c r="F305">
        <v>27</v>
      </c>
      <c r="G305" t="s">
        <v>105</v>
      </c>
      <c r="H305" t="s">
        <v>42</v>
      </c>
      <c r="I305" t="s">
        <v>148</v>
      </c>
      <c r="J305" t="s">
        <v>43</v>
      </c>
      <c r="K305" t="s">
        <v>3471</v>
      </c>
      <c r="L305" t="s">
        <v>65</v>
      </c>
      <c r="M305" t="b">
        <v>0</v>
      </c>
      <c r="N305" t="s">
        <v>6263</v>
      </c>
      <c r="O305" t="b">
        <v>1</v>
      </c>
      <c r="P305" t="b">
        <v>1</v>
      </c>
      <c r="Q305" t="b">
        <v>1</v>
      </c>
      <c r="R305" t="b">
        <v>1</v>
      </c>
      <c r="S305" t="b">
        <v>1</v>
      </c>
      <c r="T305" t="b">
        <v>0</v>
      </c>
      <c r="U305" t="b">
        <v>0</v>
      </c>
      <c r="V305" t="b">
        <v>1</v>
      </c>
      <c r="W305" t="b">
        <v>1</v>
      </c>
      <c r="X305" t="b">
        <v>0</v>
      </c>
      <c r="Y305" t="b">
        <v>0</v>
      </c>
      <c r="Z305" t="b">
        <v>1</v>
      </c>
      <c r="AA305" t="b">
        <v>0</v>
      </c>
      <c r="AB305" t="s">
        <v>2090</v>
      </c>
      <c r="AC305" t="s">
        <v>7836</v>
      </c>
    </row>
    <row r="306" spans="1:29" x14ac:dyDescent="0.3">
      <c r="A306">
        <v>-73.958332580000004</v>
      </c>
      <c r="B306">
        <v>40.789875160000001</v>
      </c>
      <c r="C306" t="s">
        <v>1000</v>
      </c>
      <c r="D306" t="s">
        <v>33</v>
      </c>
      <c r="E306" s="58">
        <v>43385</v>
      </c>
      <c r="F306">
        <v>27</v>
      </c>
      <c r="G306" t="s">
        <v>105</v>
      </c>
      <c r="H306" t="s">
        <v>176</v>
      </c>
      <c r="I306" t="s">
        <v>5105</v>
      </c>
      <c r="J306" t="s">
        <v>34</v>
      </c>
      <c r="K306" t="s">
        <v>2282</v>
      </c>
      <c r="L306" t="s">
        <v>44</v>
      </c>
      <c r="M306">
        <v>25</v>
      </c>
      <c r="N306" t="s">
        <v>4805</v>
      </c>
      <c r="O306" t="b">
        <v>0</v>
      </c>
      <c r="P306" t="b">
        <v>1</v>
      </c>
      <c r="Q306" t="b">
        <v>1</v>
      </c>
      <c r="R306" t="b">
        <v>1</v>
      </c>
      <c r="S306" t="b">
        <v>1</v>
      </c>
      <c r="T306" t="b">
        <v>1</v>
      </c>
      <c r="U306" t="b">
        <v>0</v>
      </c>
      <c r="V306" t="b">
        <v>0</v>
      </c>
      <c r="W306" t="b">
        <v>1</v>
      </c>
      <c r="X306" t="b">
        <v>0</v>
      </c>
      <c r="Y306" t="b">
        <v>0</v>
      </c>
      <c r="Z306" t="b">
        <v>0</v>
      </c>
      <c r="AA306" t="b">
        <v>0</v>
      </c>
      <c r="AB306" t="s">
        <v>425</v>
      </c>
      <c r="AC306" t="s">
        <v>7837</v>
      </c>
    </row>
    <row r="307" spans="1:29" x14ac:dyDescent="0.3">
      <c r="A307">
        <v>-73.950480900000002</v>
      </c>
      <c r="B307">
        <v>40.795575620000001</v>
      </c>
      <c r="C307" t="s">
        <v>95</v>
      </c>
      <c r="D307" t="s">
        <v>33</v>
      </c>
      <c r="E307" s="58">
        <v>43386</v>
      </c>
      <c r="F307">
        <v>27</v>
      </c>
      <c r="G307" t="s">
        <v>105</v>
      </c>
      <c r="H307" t="s">
        <v>53</v>
      </c>
      <c r="I307" t="s">
        <v>737</v>
      </c>
      <c r="J307" t="s">
        <v>2942</v>
      </c>
      <c r="K307" t="s">
        <v>1813</v>
      </c>
      <c r="L307" t="s">
        <v>65</v>
      </c>
      <c r="M307" t="b">
        <v>0</v>
      </c>
      <c r="N307" t="s">
        <v>2700</v>
      </c>
      <c r="O307" t="b">
        <v>1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b">
        <v>1</v>
      </c>
      <c r="W307" t="b">
        <v>1</v>
      </c>
      <c r="X307" t="b">
        <v>0</v>
      </c>
      <c r="Y307" t="b">
        <v>0</v>
      </c>
      <c r="Z307" t="b">
        <v>0</v>
      </c>
      <c r="AA307" t="b">
        <v>1</v>
      </c>
      <c r="AB307" t="s">
        <v>369</v>
      </c>
      <c r="AC307" t="s">
        <v>7838</v>
      </c>
    </row>
    <row r="308" spans="1:29" x14ac:dyDescent="0.3">
      <c r="A308">
        <v>-73.964927739999993</v>
      </c>
      <c r="B308">
        <v>40.790052129999999</v>
      </c>
      <c r="C308" t="s">
        <v>286</v>
      </c>
      <c r="D308" t="s">
        <v>38</v>
      </c>
      <c r="E308" s="58">
        <v>43389</v>
      </c>
      <c r="F308">
        <v>15</v>
      </c>
      <c r="G308" t="s">
        <v>48</v>
      </c>
      <c r="H308" t="s">
        <v>42</v>
      </c>
      <c r="I308" t="s">
        <v>59</v>
      </c>
      <c r="J308" t="s">
        <v>43</v>
      </c>
      <c r="K308" t="s">
        <v>4660</v>
      </c>
      <c r="L308" t="s">
        <v>44</v>
      </c>
      <c r="M308">
        <v>15</v>
      </c>
      <c r="N308" t="s">
        <v>6854</v>
      </c>
      <c r="O308" t="b">
        <v>1</v>
      </c>
      <c r="P308" t="b">
        <v>0</v>
      </c>
      <c r="Q308" t="b">
        <v>0</v>
      </c>
      <c r="R308" t="b">
        <v>1</v>
      </c>
      <c r="S308" t="b">
        <v>0</v>
      </c>
      <c r="T308" t="b">
        <v>1</v>
      </c>
      <c r="U308" t="b">
        <v>0</v>
      </c>
      <c r="V308" t="b">
        <v>0</v>
      </c>
      <c r="W308" t="b">
        <v>0</v>
      </c>
      <c r="X308" t="b">
        <v>1</v>
      </c>
      <c r="Y308" t="b">
        <v>0</v>
      </c>
      <c r="Z308" t="b">
        <v>0</v>
      </c>
      <c r="AA308" t="b">
        <v>0</v>
      </c>
      <c r="AB308" t="s">
        <v>475</v>
      </c>
      <c r="AC308" t="s">
        <v>7839</v>
      </c>
    </row>
    <row r="309" spans="1:29" x14ac:dyDescent="0.3">
      <c r="A309">
        <v>-73.971005860000005</v>
      </c>
      <c r="B309">
        <v>40.793137790000003</v>
      </c>
      <c r="C309" t="s">
        <v>839</v>
      </c>
      <c r="D309" t="s">
        <v>33</v>
      </c>
      <c r="E309" s="58">
        <v>43392</v>
      </c>
      <c r="F309">
        <v>8</v>
      </c>
      <c r="G309" t="s">
        <v>105</v>
      </c>
      <c r="H309" t="s">
        <v>176</v>
      </c>
      <c r="I309" t="s">
        <v>1921</v>
      </c>
      <c r="J309" t="s">
        <v>3580</v>
      </c>
      <c r="K309" t="s">
        <v>5413</v>
      </c>
      <c r="L309" t="s">
        <v>44</v>
      </c>
      <c r="M309">
        <v>10</v>
      </c>
      <c r="N309" t="s">
        <v>3389</v>
      </c>
      <c r="O309" t="b">
        <v>0</v>
      </c>
      <c r="P309" t="b">
        <v>0</v>
      </c>
      <c r="Q309" t="b">
        <v>0</v>
      </c>
      <c r="R309" t="b">
        <v>1</v>
      </c>
      <c r="S309" t="b">
        <v>1</v>
      </c>
      <c r="T309" t="b">
        <v>1</v>
      </c>
      <c r="U309" t="b">
        <v>1</v>
      </c>
      <c r="V309" t="b">
        <v>0</v>
      </c>
      <c r="W309" t="b">
        <v>0</v>
      </c>
      <c r="X309" t="b">
        <v>0</v>
      </c>
      <c r="Y309" t="b">
        <v>1</v>
      </c>
      <c r="Z309" t="b">
        <v>1</v>
      </c>
      <c r="AA309" t="b">
        <v>0</v>
      </c>
      <c r="AB309" t="s">
        <v>1384</v>
      </c>
      <c r="AC309" t="s">
        <v>7840</v>
      </c>
    </row>
    <row r="310" spans="1:29" x14ac:dyDescent="0.3">
      <c r="A310">
        <v>-73.956160460000007</v>
      </c>
      <c r="B310">
        <v>40.77686198</v>
      </c>
      <c r="C310" t="s">
        <v>1852</v>
      </c>
      <c r="D310" t="s">
        <v>33</v>
      </c>
      <c r="E310" s="58">
        <v>43380</v>
      </c>
      <c r="F310">
        <v>7</v>
      </c>
      <c r="G310" t="s">
        <v>48</v>
      </c>
      <c r="H310" t="s">
        <v>42</v>
      </c>
      <c r="I310" t="s">
        <v>737</v>
      </c>
      <c r="J310" t="s">
        <v>3228</v>
      </c>
      <c r="K310" t="s">
        <v>6737</v>
      </c>
      <c r="L310" t="s">
        <v>65</v>
      </c>
      <c r="M310" t="b">
        <v>0</v>
      </c>
      <c r="N310" t="s">
        <v>4445</v>
      </c>
      <c r="O310" t="b">
        <v>0</v>
      </c>
      <c r="P310" t="b">
        <v>0</v>
      </c>
      <c r="Q310" t="b">
        <v>1</v>
      </c>
      <c r="R310" t="b">
        <v>0</v>
      </c>
      <c r="S310" t="b">
        <v>0</v>
      </c>
      <c r="T310" t="b">
        <v>1</v>
      </c>
      <c r="U310" t="b">
        <v>1</v>
      </c>
      <c r="V310" t="b">
        <v>1</v>
      </c>
      <c r="W310" t="b">
        <v>0</v>
      </c>
      <c r="X310" t="b">
        <v>0</v>
      </c>
      <c r="Y310" t="b">
        <v>1</v>
      </c>
      <c r="Z310" t="b">
        <v>1</v>
      </c>
      <c r="AA310" t="b">
        <v>0</v>
      </c>
      <c r="AB310" t="s">
        <v>6290</v>
      </c>
      <c r="AC310" t="s">
        <v>7841</v>
      </c>
    </row>
    <row r="311" spans="1:29" x14ac:dyDescent="0.3">
      <c r="A311">
        <v>-73.97264448</v>
      </c>
      <c r="B311">
        <v>40.79359891</v>
      </c>
      <c r="C311" t="s">
        <v>175</v>
      </c>
      <c r="D311" t="s">
        <v>38</v>
      </c>
      <c r="E311" s="58">
        <v>43385</v>
      </c>
      <c r="F311">
        <v>15</v>
      </c>
      <c r="G311" t="s">
        <v>48</v>
      </c>
      <c r="H311" t="s">
        <v>42</v>
      </c>
      <c r="I311" t="s">
        <v>5105</v>
      </c>
      <c r="J311" t="s">
        <v>3580</v>
      </c>
      <c r="K311" t="s">
        <v>4742</v>
      </c>
      <c r="L311" t="s">
        <v>65</v>
      </c>
      <c r="M311" t="b">
        <v>0</v>
      </c>
      <c r="N311" t="s">
        <v>6557</v>
      </c>
      <c r="O311" t="b">
        <v>1</v>
      </c>
      <c r="P311" t="b">
        <v>0</v>
      </c>
      <c r="Q311" t="b">
        <v>1</v>
      </c>
      <c r="R311" t="b">
        <v>1</v>
      </c>
      <c r="S311" t="b">
        <v>1</v>
      </c>
      <c r="T311" t="b">
        <v>0</v>
      </c>
      <c r="U311" t="b">
        <v>0</v>
      </c>
      <c r="V311" t="b">
        <v>1</v>
      </c>
      <c r="W311" t="b">
        <v>0</v>
      </c>
      <c r="X311" t="b">
        <v>1</v>
      </c>
      <c r="Y311" t="b">
        <v>0</v>
      </c>
      <c r="Z311" t="b">
        <v>1</v>
      </c>
      <c r="AA311" t="b">
        <v>0</v>
      </c>
      <c r="AB311" t="s">
        <v>5863</v>
      </c>
      <c r="AC311" t="s">
        <v>7842</v>
      </c>
    </row>
    <row r="312" spans="1:29" x14ac:dyDescent="0.3">
      <c r="A312">
        <v>-73.967358719999993</v>
      </c>
      <c r="B312">
        <v>40.767731339999997</v>
      </c>
      <c r="C312" t="s">
        <v>1832</v>
      </c>
      <c r="D312" t="s">
        <v>33</v>
      </c>
      <c r="E312" s="58">
        <v>43390</v>
      </c>
      <c r="F312">
        <v>23</v>
      </c>
      <c r="G312" t="s">
        <v>3842</v>
      </c>
      <c r="H312" t="s">
        <v>42</v>
      </c>
      <c r="I312" t="s">
        <v>53</v>
      </c>
      <c r="J312" t="s">
        <v>60</v>
      </c>
      <c r="K312" t="s">
        <v>7307</v>
      </c>
      <c r="L312" t="s">
        <v>44</v>
      </c>
      <c r="M312">
        <v>2</v>
      </c>
      <c r="N312" t="s">
        <v>4510</v>
      </c>
      <c r="O312" t="b">
        <v>1</v>
      </c>
      <c r="P312" t="b">
        <v>0</v>
      </c>
      <c r="Q312" t="b">
        <v>1</v>
      </c>
      <c r="R312" t="b">
        <v>1</v>
      </c>
      <c r="S312" t="b">
        <v>0</v>
      </c>
      <c r="T312" t="b">
        <v>0</v>
      </c>
      <c r="U312" t="b">
        <v>0</v>
      </c>
      <c r="V312" t="b">
        <v>0</v>
      </c>
      <c r="W312" t="b">
        <v>1</v>
      </c>
      <c r="X312" t="b">
        <v>0</v>
      </c>
      <c r="Y312" t="b">
        <v>0</v>
      </c>
      <c r="Z312" t="b">
        <v>0</v>
      </c>
      <c r="AA312" t="b">
        <v>1</v>
      </c>
      <c r="AB312" t="s">
        <v>7114</v>
      </c>
      <c r="AC312" t="s">
        <v>7843</v>
      </c>
    </row>
    <row r="313" spans="1:29" x14ac:dyDescent="0.3">
      <c r="A313">
        <v>-73.978692159999994</v>
      </c>
      <c r="B313">
        <v>40.796415240000002</v>
      </c>
      <c r="C313" t="s">
        <v>294</v>
      </c>
      <c r="D313" t="s">
        <v>38</v>
      </c>
      <c r="E313" s="58">
        <v>43383</v>
      </c>
      <c r="F313">
        <v>14</v>
      </c>
      <c r="G313" t="s">
        <v>3842</v>
      </c>
      <c r="H313" t="s">
        <v>53</v>
      </c>
      <c r="I313" t="s">
        <v>176</v>
      </c>
      <c r="J313" t="s">
        <v>339</v>
      </c>
      <c r="K313" t="s">
        <v>981</v>
      </c>
      <c r="L313" t="s">
        <v>65</v>
      </c>
      <c r="M313" t="b">
        <v>0</v>
      </c>
      <c r="N313" t="s">
        <v>848</v>
      </c>
      <c r="O313" t="b">
        <v>1</v>
      </c>
      <c r="P313" t="b">
        <v>0</v>
      </c>
      <c r="Q313" t="b">
        <v>1</v>
      </c>
      <c r="R313" t="b">
        <v>0</v>
      </c>
      <c r="S313" t="b">
        <v>1</v>
      </c>
      <c r="T313" t="b">
        <v>0</v>
      </c>
      <c r="U313" t="b">
        <v>1</v>
      </c>
      <c r="V313" t="b">
        <v>0</v>
      </c>
      <c r="W313" t="b">
        <v>1</v>
      </c>
      <c r="X313" t="b">
        <v>1</v>
      </c>
      <c r="Y313" t="b">
        <v>0</v>
      </c>
      <c r="Z313" t="b">
        <v>1</v>
      </c>
      <c r="AA313" t="b">
        <v>1</v>
      </c>
      <c r="AB313" t="s">
        <v>3274</v>
      </c>
      <c r="AC313" t="s">
        <v>7844</v>
      </c>
    </row>
    <row r="314" spans="1:29" x14ac:dyDescent="0.3">
      <c r="A314">
        <v>-73.980361630000004</v>
      </c>
      <c r="B314">
        <v>40.784190219999999</v>
      </c>
      <c r="C314" t="s">
        <v>232</v>
      </c>
      <c r="D314" t="s">
        <v>38</v>
      </c>
      <c r="E314" s="58">
        <v>43393</v>
      </c>
      <c r="F314">
        <v>8</v>
      </c>
      <c r="G314" t="s">
        <v>3842</v>
      </c>
      <c r="H314" t="s">
        <v>176</v>
      </c>
      <c r="I314" t="s">
        <v>5105</v>
      </c>
      <c r="J314" t="s">
        <v>5106</v>
      </c>
      <c r="K314" t="s">
        <v>7178</v>
      </c>
      <c r="L314" t="s">
        <v>65</v>
      </c>
      <c r="M314" t="b">
        <v>0</v>
      </c>
      <c r="N314" t="s">
        <v>6524</v>
      </c>
      <c r="O314" t="b">
        <v>0</v>
      </c>
      <c r="P314" t="b">
        <v>1</v>
      </c>
      <c r="Q314" t="b">
        <v>0</v>
      </c>
      <c r="R314" t="b">
        <v>1</v>
      </c>
      <c r="S314" t="b">
        <v>0</v>
      </c>
      <c r="T314" t="b">
        <v>1</v>
      </c>
      <c r="U314" t="b">
        <v>1</v>
      </c>
      <c r="V314" t="b">
        <v>1</v>
      </c>
      <c r="W314" t="b">
        <v>0</v>
      </c>
      <c r="X314" t="b">
        <v>0</v>
      </c>
      <c r="Y314" t="b">
        <v>0</v>
      </c>
      <c r="Z314" t="b">
        <v>1</v>
      </c>
      <c r="AA314" t="b">
        <v>0</v>
      </c>
      <c r="AB314" t="s">
        <v>6492</v>
      </c>
      <c r="AC314" t="s">
        <v>7845</v>
      </c>
    </row>
    <row r="315" spans="1:29" x14ac:dyDescent="0.3">
      <c r="A315">
        <v>-73.950895979999999</v>
      </c>
      <c r="B315">
        <v>40.793685969999999</v>
      </c>
      <c r="C315" t="s">
        <v>1632</v>
      </c>
      <c r="D315" t="s">
        <v>33</v>
      </c>
      <c r="E315" s="58">
        <v>43389</v>
      </c>
      <c r="F315">
        <v>28</v>
      </c>
      <c r="G315" t="s">
        <v>48</v>
      </c>
      <c r="H315" t="s">
        <v>176</v>
      </c>
      <c r="I315" t="s">
        <v>148</v>
      </c>
      <c r="J315" t="s">
        <v>3228</v>
      </c>
      <c r="K315" t="s">
        <v>4463</v>
      </c>
      <c r="L315" t="s">
        <v>44</v>
      </c>
      <c r="M315">
        <v>25</v>
      </c>
      <c r="N315" t="s">
        <v>4120</v>
      </c>
      <c r="O315" t="b">
        <v>1</v>
      </c>
      <c r="P315" t="b">
        <v>0</v>
      </c>
      <c r="Q315" t="b">
        <v>1</v>
      </c>
      <c r="R315" t="b">
        <v>1</v>
      </c>
      <c r="S315" t="b">
        <v>1</v>
      </c>
      <c r="T315" t="b">
        <v>1</v>
      </c>
      <c r="U315" t="b">
        <v>1</v>
      </c>
      <c r="V315" t="b">
        <v>1</v>
      </c>
      <c r="W315" t="b">
        <v>1</v>
      </c>
      <c r="X315" t="b">
        <v>1</v>
      </c>
      <c r="Y315" t="b">
        <v>0</v>
      </c>
      <c r="Z315" t="b">
        <v>1</v>
      </c>
      <c r="AA315" t="b">
        <v>0</v>
      </c>
      <c r="AB315" t="s">
        <v>5150</v>
      </c>
      <c r="AC315" t="s">
        <v>7846</v>
      </c>
    </row>
    <row r="316" spans="1:29" x14ac:dyDescent="0.3">
      <c r="A316">
        <v>-73.954878030000003</v>
      </c>
      <c r="B316">
        <v>40.78083582</v>
      </c>
      <c r="C316" t="s">
        <v>773</v>
      </c>
      <c r="D316" t="s">
        <v>33</v>
      </c>
      <c r="E316" s="58">
        <v>43383</v>
      </c>
      <c r="F316">
        <v>12</v>
      </c>
      <c r="G316" t="s">
        <v>48</v>
      </c>
      <c r="H316" t="s">
        <v>53</v>
      </c>
      <c r="I316" t="s">
        <v>148</v>
      </c>
      <c r="J316" t="s">
        <v>1922</v>
      </c>
      <c r="K316" t="s">
        <v>1472</v>
      </c>
      <c r="L316" t="s">
        <v>44</v>
      </c>
      <c r="M316">
        <v>3</v>
      </c>
      <c r="N316" t="s">
        <v>1929</v>
      </c>
      <c r="O316" t="b">
        <v>1</v>
      </c>
      <c r="P316" t="b">
        <v>0</v>
      </c>
      <c r="Q316" t="b">
        <v>1</v>
      </c>
      <c r="R316" t="b">
        <v>0</v>
      </c>
      <c r="S316" t="b">
        <v>0</v>
      </c>
      <c r="T316" t="b">
        <v>1</v>
      </c>
      <c r="U316" t="b">
        <v>1</v>
      </c>
      <c r="V316" t="b">
        <v>1</v>
      </c>
      <c r="W316" t="b">
        <v>1</v>
      </c>
      <c r="X316" t="b">
        <v>1</v>
      </c>
      <c r="Y316" t="b">
        <v>1</v>
      </c>
      <c r="Z316" t="b">
        <v>1</v>
      </c>
      <c r="AA316" t="b">
        <v>0</v>
      </c>
      <c r="AB316" t="s">
        <v>1455</v>
      </c>
      <c r="AC316" t="s">
        <v>7847</v>
      </c>
    </row>
    <row r="317" spans="1:29" x14ac:dyDescent="0.3">
      <c r="A317">
        <v>-73.959279370000004</v>
      </c>
      <c r="B317">
        <v>40.787569660000003</v>
      </c>
      <c r="C317" t="s">
        <v>3796</v>
      </c>
      <c r="D317" t="s">
        <v>38</v>
      </c>
      <c r="E317" s="58">
        <v>43381</v>
      </c>
      <c r="F317">
        <v>13</v>
      </c>
      <c r="G317" t="s">
        <v>48</v>
      </c>
      <c r="H317" t="s">
        <v>176</v>
      </c>
      <c r="I317" t="s">
        <v>148</v>
      </c>
      <c r="J317" t="s">
        <v>34</v>
      </c>
      <c r="K317" t="s">
        <v>1696</v>
      </c>
      <c r="L317" t="s">
        <v>65</v>
      </c>
      <c r="M317" t="b">
        <v>0</v>
      </c>
      <c r="N317" t="s">
        <v>858</v>
      </c>
      <c r="O317" t="b">
        <v>0</v>
      </c>
      <c r="P317" t="b">
        <v>1</v>
      </c>
      <c r="Q317" t="b">
        <v>0</v>
      </c>
      <c r="R317" t="b">
        <v>0</v>
      </c>
      <c r="S317" t="b">
        <v>1</v>
      </c>
      <c r="T317" t="b">
        <v>1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s">
        <v>2233</v>
      </c>
      <c r="AC317" t="s">
        <v>7848</v>
      </c>
    </row>
    <row r="318" spans="1:29" x14ac:dyDescent="0.3">
      <c r="A318">
        <v>-73.968302399999999</v>
      </c>
      <c r="B318">
        <v>40.783444170000003</v>
      </c>
      <c r="C318" t="s">
        <v>2654</v>
      </c>
      <c r="D318" t="s">
        <v>38</v>
      </c>
      <c r="E318" s="58">
        <v>43383</v>
      </c>
      <c r="F318">
        <v>30</v>
      </c>
      <c r="G318" t="s">
        <v>105</v>
      </c>
      <c r="H318" t="s">
        <v>42</v>
      </c>
      <c r="I318" t="s">
        <v>148</v>
      </c>
      <c r="J318" t="s">
        <v>34</v>
      </c>
      <c r="K318" t="s">
        <v>2382</v>
      </c>
      <c r="L318" t="s">
        <v>65</v>
      </c>
      <c r="M318" t="b">
        <v>0</v>
      </c>
      <c r="N318" t="s">
        <v>2204</v>
      </c>
      <c r="O318" t="b">
        <v>1</v>
      </c>
      <c r="P318" t="b">
        <v>0</v>
      </c>
      <c r="Q318" t="b">
        <v>1</v>
      </c>
      <c r="R318" t="b">
        <v>0</v>
      </c>
      <c r="S318" t="b">
        <v>1</v>
      </c>
      <c r="T318" t="b">
        <v>1</v>
      </c>
      <c r="U318" t="b">
        <v>1</v>
      </c>
      <c r="V318" t="b">
        <v>0</v>
      </c>
      <c r="W318" t="b">
        <v>1</v>
      </c>
      <c r="X318" t="b">
        <v>1</v>
      </c>
      <c r="Y318" t="b">
        <v>0</v>
      </c>
      <c r="Z318" t="b">
        <v>1</v>
      </c>
      <c r="AA318" t="b">
        <v>0</v>
      </c>
      <c r="AB318" t="s">
        <v>387</v>
      </c>
      <c r="AC318" t="s">
        <v>7849</v>
      </c>
    </row>
    <row r="319" spans="1:29" x14ac:dyDescent="0.3">
      <c r="A319">
        <v>-73.975710759999998</v>
      </c>
      <c r="B319">
        <v>40.790668359999998</v>
      </c>
      <c r="C319" t="s">
        <v>1945</v>
      </c>
      <c r="D319" t="s">
        <v>33</v>
      </c>
      <c r="E319" s="58">
        <v>43390</v>
      </c>
      <c r="F319">
        <v>11</v>
      </c>
      <c r="G319" t="s">
        <v>48</v>
      </c>
      <c r="H319" t="s">
        <v>176</v>
      </c>
      <c r="I319" t="s">
        <v>5105</v>
      </c>
      <c r="J319" t="s">
        <v>705</v>
      </c>
      <c r="K319" t="s">
        <v>6737</v>
      </c>
      <c r="L319" t="s">
        <v>65</v>
      </c>
      <c r="M319" t="b">
        <v>0</v>
      </c>
      <c r="N319" t="s">
        <v>1374</v>
      </c>
      <c r="O319" t="b">
        <v>0</v>
      </c>
      <c r="P319" t="b">
        <v>1</v>
      </c>
      <c r="Q319" t="b">
        <v>0</v>
      </c>
      <c r="R319" t="b">
        <v>1</v>
      </c>
      <c r="S319" t="b">
        <v>1</v>
      </c>
      <c r="T319" t="b">
        <v>1</v>
      </c>
      <c r="U319" t="b">
        <v>0</v>
      </c>
      <c r="V319" t="b">
        <v>0</v>
      </c>
      <c r="W319" t="b">
        <v>0</v>
      </c>
      <c r="X319" t="b">
        <v>0</v>
      </c>
      <c r="Y319" t="b">
        <v>1</v>
      </c>
      <c r="Z319" t="b">
        <v>0</v>
      </c>
      <c r="AA319" t="b">
        <v>0</v>
      </c>
      <c r="AB319" t="s">
        <v>2668</v>
      </c>
      <c r="AC319" t="s">
        <v>7850</v>
      </c>
    </row>
    <row r="320" spans="1:29" x14ac:dyDescent="0.3">
      <c r="A320">
        <v>-73.976240700000005</v>
      </c>
      <c r="B320">
        <v>40.767784679999998</v>
      </c>
      <c r="C320" t="s">
        <v>925</v>
      </c>
      <c r="D320" t="s">
        <v>38</v>
      </c>
      <c r="E320" s="58">
        <v>43380</v>
      </c>
      <c r="F320">
        <v>17</v>
      </c>
      <c r="G320" t="s">
        <v>3842</v>
      </c>
      <c r="H320" t="s">
        <v>53</v>
      </c>
      <c r="I320" t="s">
        <v>176</v>
      </c>
      <c r="J320" t="s">
        <v>60</v>
      </c>
      <c r="K320" t="s">
        <v>2311</v>
      </c>
      <c r="L320" t="s">
        <v>44</v>
      </c>
      <c r="M320">
        <v>20</v>
      </c>
      <c r="N320" t="s">
        <v>2902</v>
      </c>
      <c r="O320" t="b">
        <v>1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1</v>
      </c>
      <c r="W320" t="b">
        <v>1</v>
      </c>
      <c r="X320" t="b">
        <v>0</v>
      </c>
      <c r="Y320" t="b">
        <v>1</v>
      </c>
      <c r="Z320" t="b">
        <v>0</v>
      </c>
      <c r="AA320" t="b">
        <v>0</v>
      </c>
      <c r="AB320" t="s">
        <v>3893</v>
      </c>
      <c r="AC320" t="s">
        <v>7851</v>
      </c>
    </row>
    <row r="321" spans="1:29" x14ac:dyDescent="0.3">
      <c r="A321">
        <v>-73.973291739999993</v>
      </c>
      <c r="B321">
        <v>40.767035530000001</v>
      </c>
      <c r="C321" t="s">
        <v>1115</v>
      </c>
      <c r="D321" t="s">
        <v>38</v>
      </c>
      <c r="E321" s="58">
        <v>43382</v>
      </c>
      <c r="F321">
        <v>29</v>
      </c>
      <c r="G321" t="s">
        <v>3842</v>
      </c>
      <c r="H321" t="s">
        <v>42</v>
      </c>
      <c r="I321" t="s">
        <v>42</v>
      </c>
      <c r="J321" t="s">
        <v>79</v>
      </c>
      <c r="K321" t="s">
        <v>4594</v>
      </c>
      <c r="L321" t="s">
        <v>65</v>
      </c>
      <c r="M321" t="b">
        <v>0</v>
      </c>
      <c r="N321" t="s">
        <v>479</v>
      </c>
      <c r="O321" t="b">
        <v>0</v>
      </c>
      <c r="P321" t="b">
        <v>1</v>
      </c>
      <c r="Q321" t="b">
        <v>0</v>
      </c>
      <c r="R321" t="b">
        <v>1</v>
      </c>
      <c r="S321" t="b">
        <v>0</v>
      </c>
      <c r="T321" t="b">
        <v>0</v>
      </c>
      <c r="U321" t="b">
        <v>1</v>
      </c>
      <c r="V321" t="b">
        <v>1</v>
      </c>
      <c r="W321" t="b">
        <v>1</v>
      </c>
      <c r="X321" t="b">
        <v>0</v>
      </c>
      <c r="Y321" t="b">
        <v>1</v>
      </c>
      <c r="Z321" t="b">
        <v>1</v>
      </c>
      <c r="AA321" t="b">
        <v>0</v>
      </c>
      <c r="AB321" t="s">
        <v>3888</v>
      </c>
      <c r="AC321" t="s">
        <v>7852</v>
      </c>
    </row>
    <row r="322" spans="1:29" x14ac:dyDescent="0.3">
      <c r="A322">
        <v>-73.963892639999997</v>
      </c>
      <c r="B322">
        <v>40.773610640000001</v>
      </c>
      <c r="C322" t="s">
        <v>3753</v>
      </c>
      <c r="D322" t="s">
        <v>38</v>
      </c>
      <c r="E322" s="58">
        <v>43384</v>
      </c>
      <c r="F322">
        <v>17</v>
      </c>
      <c r="G322" t="s">
        <v>48</v>
      </c>
      <c r="H322" t="s">
        <v>53</v>
      </c>
      <c r="I322" t="s">
        <v>148</v>
      </c>
      <c r="J322" t="s">
        <v>177</v>
      </c>
      <c r="K322" t="s">
        <v>820</v>
      </c>
      <c r="L322" t="s">
        <v>44</v>
      </c>
      <c r="M322">
        <v>25</v>
      </c>
      <c r="N322" t="s">
        <v>561</v>
      </c>
      <c r="O322" t="b">
        <v>1</v>
      </c>
      <c r="P322" t="b">
        <v>0</v>
      </c>
      <c r="Q322" t="b">
        <v>0</v>
      </c>
      <c r="R322" t="b">
        <v>0</v>
      </c>
      <c r="S322" t="b">
        <v>1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1</v>
      </c>
      <c r="AA322" t="b">
        <v>0</v>
      </c>
      <c r="AB322" t="s">
        <v>121</v>
      </c>
      <c r="AC322" t="s">
        <v>7853</v>
      </c>
    </row>
    <row r="323" spans="1:29" x14ac:dyDescent="0.3">
      <c r="A323">
        <v>-73.958693960000005</v>
      </c>
      <c r="B323">
        <v>40.770527889999997</v>
      </c>
      <c r="C323" t="s">
        <v>175</v>
      </c>
      <c r="D323" t="s">
        <v>33</v>
      </c>
      <c r="E323" s="58">
        <v>43379</v>
      </c>
      <c r="F323">
        <v>24</v>
      </c>
      <c r="G323" t="s">
        <v>48</v>
      </c>
      <c r="H323" t="s">
        <v>42</v>
      </c>
      <c r="I323" t="s">
        <v>42</v>
      </c>
      <c r="J323" t="s">
        <v>619</v>
      </c>
      <c r="K323" t="s">
        <v>1813</v>
      </c>
      <c r="L323" t="s">
        <v>44</v>
      </c>
      <c r="M323">
        <v>15</v>
      </c>
      <c r="N323" t="s">
        <v>1346</v>
      </c>
      <c r="O323" t="b">
        <v>0</v>
      </c>
      <c r="P323" t="b">
        <v>1</v>
      </c>
      <c r="Q323" t="b">
        <v>0</v>
      </c>
      <c r="R323" t="b">
        <v>1</v>
      </c>
      <c r="S323" t="b">
        <v>1</v>
      </c>
      <c r="T323" t="b">
        <v>1</v>
      </c>
      <c r="U323" t="b">
        <v>1</v>
      </c>
      <c r="V323" t="b">
        <v>0</v>
      </c>
      <c r="W323" t="b">
        <v>0</v>
      </c>
      <c r="X323" t="b">
        <v>1</v>
      </c>
      <c r="Y323" t="b">
        <v>0</v>
      </c>
      <c r="Z323" t="b">
        <v>0</v>
      </c>
      <c r="AA323" t="b">
        <v>1</v>
      </c>
      <c r="AB323" t="s">
        <v>3374</v>
      </c>
      <c r="AC323" t="s">
        <v>7854</v>
      </c>
    </row>
    <row r="324" spans="1:29" x14ac:dyDescent="0.3">
      <c r="A324">
        <v>-73.960404080000004</v>
      </c>
      <c r="B324">
        <v>40.79560429</v>
      </c>
      <c r="C324" t="s">
        <v>1240</v>
      </c>
      <c r="D324" t="s">
        <v>38</v>
      </c>
      <c r="E324" s="58">
        <v>43388</v>
      </c>
      <c r="F324">
        <v>4</v>
      </c>
      <c r="G324" t="s">
        <v>3842</v>
      </c>
      <c r="H324" t="s">
        <v>42</v>
      </c>
      <c r="I324" t="s">
        <v>176</v>
      </c>
      <c r="J324" t="s">
        <v>1142</v>
      </c>
      <c r="K324" t="s">
        <v>3341</v>
      </c>
      <c r="L324" t="s">
        <v>65</v>
      </c>
      <c r="M324" t="b">
        <v>0</v>
      </c>
      <c r="N324" t="s">
        <v>6524</v>
      </c>
      <c r="O324" t="b">
        <v>0</v>
      </c>
      <c r="P324" t="b">
        <v>1</v>
      </c>
      <c r="Q324" t="b">
        <v>1</v>
      </c>
      <c r="R324" t="b">
        <v>1</v>
      </c>
      <c r="S324" t="b">
        <v>1</v>
      </c>
      <c r="T324" t="b">
        <v>0</v>
      </c>
      <c r="U324" t="b">
        <v>1</v>
      </c>
      <c r="V324" t="b">
        <v>1</v>
      </c>
      <c r="W324" t="b">
        <v>0</v>
      </c>
      <c r="X324" t="b">
        <v>1</v>
      </c>
      <c r="Y324" t="b">
        <v>0</v>
      </c>
      <c r="Z324" t="b">
        <v>1</v>
      </c>
      <c r="AA324" t="b">
        <v>0</v>
      </c>
      <c r="AB324" t="s">
        <v>2552</v>
      </c>
      <c r="AC324" t="s">
        <v>7855</v>
      </c>
    </row>
    <row r="325" spans="1:29" x14ac:dyDescent="0.3">
      <c r="A325">
        <v>-73.972358349999993</v>
      </c>
      <c r="B325">
        <v>40.77262872</v>
      </c>
      <c r="C325" t="s">
        <v>298</v>
      </c>
      <c r="D325" t="s">
        <v>33</v>
      </c>
      <c r="E325" s="58">
        <v>43382</v>
      </c>
      <c r="F325">
        <v>21</v>
      </c>
      <c r="G325" t="s">
        <v>48</v>
      </c>
      <c r="H325" t="s">
        <v>176</v>
      </c>
      <c r="I325" t="s">
        <v>176</v>
      </c>
      <c r="J325" t="s">
        <v>619</v>
      </c>
      <c r="K325" t="s">
        <v>3347</v>
      </c>
      <c r="L325" t="s">
        <v>44</v>
      </c>
      <c r="M325">
        <v>7</v>
      </c>
      <c r="N325" t="s">
        <v>5123</v>
      </c>
      <c r="O325" t="b">
        <v>1</v>
      </c>
      <c r="P325" t="b">
        <v>0</v>
      </c>
      <c r="Q325" t="b">
        <v>1</v>
      </c>
      <c r="R325" t="b">
        <v>0</v>
      </c>
      <c r="S325" t="b">
        <v>1</v>
      </c>
      <c r="T325" t="b">
        <v>1</v>
      </c>
      <c r="U325" t="b">
        <v>1</v>
      </c>
      <c r="V325" t="b">
        <v>0</v>
      </c>
      <c r="W325" t="b">
        <v>1</v>
      </c>
      <c r="X325" t="b">
        <v>1</v>
      </c>
      <c r="Y325" t="b">
        <v>0</v>
      </c>
      <c r="Z325" t="b">
        <v>0</v>
      </c>
      <c r="AA325" t="b">
        <v>1</v>
      </c>
      <c r="AB325" t="s">
        <v>3823</v>
      </c>
      <c r="AC325" t="s">
        <v>7856</v>
      </c>
    </row>
    <row r="326" spans="1:29" x14ac:dyDescent="0.3">
      <c r="A326">
        <v>-73.951140659999993</v>
      </c>
      <c r="B326">
        <v>40.799268789999999</v>
      </c>
      <c r="C326" t="s">
        <v>68</v>
      </c>
      <c r="D326" t="s">
        <v>38</v>
      </c>
      <c r="E326" s="58">
        <v>43384</v>
      </c>
      <c r="F326">
        <v>8</v>
      </c>
      <c r="G326" t="s">
        <v>3842</v>
      </c>
      <c r="H326" t="s">
        <v>42</v>
      </c>
      <c r="I326" t="s">
        <v>737</v>
      </c>
      <c r="J326" t="s">
        <v>5106</v>
      </c>
      <c r="K326" t="s">
        <v>1558</v>
      </c>
      <c r="L326" t="s">
        <v>65</v>
      </c>
      <c r="M326" t="b">
        <v>0</v>
      </c>
      <c r="N326" t="s">
        <v>405</v>
      </c>
      <c r="O326" t="b">
        <v>0</v>
      </c>
      <c r="P326" t="b">
        <v>1</v>
      </c>
      <c r="Q326" t="b">
        <v>0</v>
      </c>
      <c r="R326" t="b">
        <v>1</v>
      </c>
      <c r="S326" t="b">
        <v>0</v>
      </c>
      <c r="T326" t="b">
        <v>1</v>
      </c>
      <c r="U326" t="b">
        <v>0</v>
      </c>
      <c r="V326" t="b">
        <v>1</v>
      </c>
      <c r="W326" t="b">
        <v>0</v>
      </c>
      <c r="X326" t="b">
        <v>0</v>
      </c>
      <c r="Y326" t="b">
        <v>0</v>
      </c>
      <c r="Z326" t="b">
        <v>1</v>
      </c>
      <c r="AA326" t="b">
        <v>1</v>
      </c>
      <c r="AB326" t="s">
        <v>7261</v>
      </c>
      <c r="AC326" t="s">
        <v>7857</v>
      </c>
    </row>
    <row r="327" spans="1:29" x14ac:dyDescent="0.3">
      <c r="A327">
        <v>-73.957961449999999</v>
      </c>
      <c r="B327">
        <v>40.776772039999997</v>
      </c>
      <c r="C327" t="s">
        <v>2573</v>
      </c>
      <c r="D327" t="s">
        <v>33</v>
      </c>
      <c r="E327" s="58">
        <v>43387</v>
      </c>
      <c r="F327">
        <v>5</v>
      </c>
      <c r="G327" t="s">
        <v>105</v>
      </c>
      <c r="H327" t="s">
        <v>53</v>
      </c>
      <c r="I327" t="s">
        <v>59</v>
      </c>
      <c r="J327" t="s">
        <v>43</v>
      </c>
      <c r="K327" t="s">
        <v>4177</v>
      </c>
      <c r="L327" t="s">
        <v>65</v>
      </c>
      <c r="M327" t="b">
        <v>0</v>
      </c>
      <c r="N327" t="s">
        <v>140</v>
      </c>
      <c r="O327" t="b">
        <v>1</v>
      </c>
      <c r="P327" t="b">
        <v>0</v>
      </c>
      <c r="Q327" t="b">
        <v>1</v>
      </c>
      <c r="R327" t="b">
        <v>1</v>
      </c>
      <c r="S327" t="b">
        <v>0</v>
      </c>
      <c r="T327" t="b">
        <v>0</v>
      </c>
      <c r="U327" t="b">
        <v>0</v>
      </c>
      <c r="V327" t="b">
        <v>1</v>
      </c>
      <c r="W327" t="b">
        <v>1</v>
      </c>
      <c r="X327" t="b">
        <v>0</v>
      </c>
      <c r="Y327" t="b">
        <v>1</v>
      </c>
      <c r="Z327" t="b">
        <v>1</v>
      </c>
      <c r="AA327" t="b">
        <v>0</v>
      </c>
      <c r="AB327" t="s">
        <v>2671</v>
      </c>
      <c r="AC327" t="s">
        <v>7858</v>
      </c>
    </row>
    <row r="328" spans="1:29" x14ac:dyDescent="0.3">
      <c r="A328">
        <v>-73.963731460000005</v>
      </c>
      <c r="B328">
        <v>40.771322650000002</v>
      </c>
      <c r="C328" t="s">
        <v>4930</v>
      </c>
      <c r="D328" t="s">
        <v>38</v>
      </c>
      <c r="E328" s="58">
        <v>43392</v>
      </c>
      <c r="F328">
        <v>26</v>
      </c>
      <c r="G328" t="s">
        <v>3842</v>
      </c>
      <c r="H328" t="s">
        <v>176</v>
      </c>
      <c r="I328" t="s">
        <v>1921</v>
      </c>
      <c r="J328" t="s">
        <v>1142</v>
      </c>
      <c r="K328" t="s">
        <v>6214</v>
      </c>
      <c r="L328" t="s">
        <v>44</v>
      </c>
      <c r="M328">
        <v>2</v>
      </c>
      <c r="N328" t="s">
        <v>4829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1</v>
      </c>
      <c r="U328" t="b">
        <v>1</v>
      </c>
      <c r="V328" t="b">
        <v>1</v>
      </c>
      <c r="W328" t="b">
        <v>0</v>
      </c>
      <c r="X328" t="b">
        <v>1</v>
      </c>
      <c r="Y328" t="b">
        <v>0</v>
      </c>
      <c r="Z328" t="b">
        <v>0</v>
      </c>
      <c r="AA328" t="b">
        <v>0</v>
      </c>
      <c r="AB328" t="s">
        <v>2182</v>
      </c>
      <c r="AC328" t="s">
        <v>7859</v>
      </c>
    </row>
    <row r="329" spans="1:29" x14ac:dyDescent="0.3">
      <c r="A329">
        <v>-73.961928029999996</v>
      </c>
      <c r="B329">
        <v>40.792714250000003</v>
      </c>
      <c r="C329" t="s">
        <v>353</v>
      </c>
      <c r="D329" t="s">
        <v>33</v>
      </c>
      <c r="E329" s="58">
        <v>43389</v>
      </c>
      <c r="F329">
        <v>16</v>
      </c>
      <c r="G329" t="s">
        <v>105</v>
      </c>
      <c r="H329" t="s">
        <v>53</v>
      </c>
      <c r="I329" t="s">
        <v>115</v>
      </c>
      <c r="J329" t="s">
        <v>89</v>
      </c>
      <c r="K329" t="s">
        <v>6764</v>
      </c>
      <c r="L329" t="s">
        <v>65</v>
      </c>
      <c r="M329" t="b">
        <v>0</v>
      </c>
      <c r="N329" t="s">
        <v>2905</v>
      </c>
      <c r="O329" t="b">
        <v>0</v>
      </c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0</v>
      </c>
      <c r="V329" t="b">
        <v>0</v>
      </c>
      <c r="W329" t="b">
        <v>1</v>
      </c>
      <c r="X329" t="b">
        <v>1</v>
      </c>
      <c r="Y329" t="b">
        <v>0</v>
      </c>
      <c r="Z329" t="b">
        <v>1</v>
      </c>
      <c r="AA329" t="b">
        <v>1</v>
      </c>
      <c r="AB329" t="s">
        <v>6492</v>
      </c>
      <c r="AC329" t="s">
        <v>7860</v>
      </c>
    </row>
    <row r="330" spans="1:29" x14ac:dyDescent="0.3">
      <c r="A330">
        <v>-73.967967689999995</v>
      </c>
      <c r="B330">
        <v>40.788102350000003</v>
      </c>
      <c r="C330" t="s">
        <v>933</v>
      </c>
      <c r="D330" t="s">
        <v>33</v>
      </c>
      <c r="E330" s="58">
        <v>43389</v>
      </c>
      <c r="F330">
        <v>4</v>
      </c>
      <c r="G330" t="s">
        <v>48</v>
      </c>
      <c r="H330" t="s">
        <v>42</v>
      </c>
      <c r="I330" t="s">
        <v>1921</v>
      </c>
      <c r="J330" t="s">
        <v>705</v>
      </c>
      <c r="K330" t="s">
        <v>2517</v>
      </c>
      <c r="L330" t="s">
        <v>44</v>
      </c>
      <c r="M330">
        <v>15</v>
      </c>
      <c r="N330" t="s">
        <v>140</v>
      </c>
      <c r="O330" t="b">
        <v>0</v>
      </c>
      <c r="P330" t="b">
        <v>0</v>
      </c>
      <c r="Q330" t="b">
        <v>1</v>
      </c>
      <c r="R330" t="b">
        <v>1</v>
      </c>
      <c r="S330" t="b">
        <v>1</v>
      </c>
      <c r="T330" t="b">
        <v>1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1</v>
      </c>
      <c r="AB330" t="s">
        <v>3910</v>
      </c>
      <c r="AC330" t="s">
        <v>7861</v>
      </c>
    </row>
    <row r="331" spans="1:29" x14ac:dyDescent="0.3">
      <c r="A331">
        <v>-73.973370709999998</v>
      </c>
      <c r="B331">
        <v>40.78245107</v>
      </c>
      <c r="C331" t="s">
        <v>221</v>
      </c>
      <c r="D331" t="s">
        <v>33</v>
      </c>
      <c r="E331" s="58">
        <v>43391</v>
      </c>
      <c r="F331">
        <v>28</v>
      </c>
      <c r="G331" t="s">
        <v>48</v>
      </c>
      <c r="H331" t="s">
        <v>53</v>
      </c>
      <c r="I331" t="s">
        <v>5105</v>
      </c>
      <c r="J331" t="s">
        <v>34</v>
      </c>
      <c r="K331" t="s">
        <v>5180</v>
      </c>
      <c r="L331" t="s">
        <v>44</v>
      </c>
      <c r="M331">
        <v>4</v>
      </c>
      <c r="N331" t="s">
        <v>4282</v>
      </c>
      <c r="O331" t="b">
        <v>0</v>
      </c>
      <c r="P331" t="b">
        <v>0</v>
      </c>
      <c r="Q331" t="b">
        <v>1</v>
      </c>
      <c r="R331" t="b">
        <v>1</v>
      </c>
      <c r="S331" t="b">
        <v>0</v>
      </c>
      <c r="T331" t="b">
        <v>1</v>
      </c>
      <c r="U331" t="b">
        <v>0</v>
      </c>
      <c r="V331" t="b">
        <v>1</v>
      </c>
      <c r="W331" t="b">
        <v>0</v>
      </c>
      <c r="X331" t="b">
        <v>0</v>
      </c>
      <c r="Y331" t="b">
        <v>1</v>
      </c>
      <c r="Z331" t="b">
        <v>0</v>
      </c>
      <c r="AA331" t="b">
        <v>0</v>
      </c>
      <c r="AB331" t="s">
        <v>3573</v>
      </c>
      <c r="AC331" t="s">
        <v>7862</v>
      </c>
    </row>
    <row r="332" spans="1:29" x14ac:dyDescent="0.3">
      <c r="A332">
        <v>-73.969967929999996</v>
      </c>
      <c r="B332">
        <v>40.784463819999999</v>
      </c>
      <c r="C332" t="s">
        <v>92</v>
      </c>
      <c r="D332" t="s">
        <v>38</v>
      </c>
      <c r="E332" s="58">
        <v>43380</v>
      </c>
      <c r="F332">
        <v>22</v>
      </c>
      <c r="G332" t="s">
        <v>105</v>
      </c>
      <c r="H332" t="s">
        <v>53</v>
      </c>
      <c r="I332" t="s">
        <v>115</v>
      </c>
      <c r="J332" t="s">
        <v>1233</v>
      </c>
      <c r="K332" t="s">
        <v>4123</v>
      </c>
      <c r="L332" t="s">
        <v>65</v>
      </c>
      <c r="M332" t="b">
        <v>0</v>
      </c>
      <c r="N332" t="s">
        <v>1575</v>
      </c>
      <c r="O332" t="b">
        <v>0</v>
      </c>
      <c r="P332" t="b">
        <v>1</v>
      </c>
      <c r="Q332" t="b">
        <v>1</v>
      </c>
      <c r="R332" t="b">
        <v>0</v>
      </c>
      <c r="S332" t="b">
        <v>0</v>
      </c>
      <c r="T332" t="b">
        <v>1</v>
      </c>
      <c r="U332" t="b">
        <v>0</v>
      </c>
      <c r="V332" t="b">
        <v>1</v>
      </c>
      <c r="W332" t="b">
        <v>1</v>
      </c>
      <c r="X332" t="b">
        <v>0</v>
      </c>
      <c r="Y332" t="b">
        <v>0</v>
      </c>
      <c r="Z332" t="b">
        <v>1</v>
      </c>
      <c r="AA332" t="b">
        <v>1</v>
      </c>
      <c r="AB332" t="s">
        <v>5277</v>
      </c>
      <c r="AC332" t="s">
        <v>7863</v>
      </c>
    </row>
    <row r="333" spans="1:29" x14ac:dyDescent="0.3">
      <c r="A333">
        <v>-73.957334309999993</v>
      </c>
      <c r="B333">
        <v>40.79023222</v>
      </c>
      <c r="C333" t="s">
        <v>764</v>
      </c>
      <c r="D333" t="s">
        <v>38</v>
      </c>
      <c r="E333" s="58">
        <v>43389</v>
      </c>
      <c r="F333">
        <v>29</v>
      </c>
      <c r="G333" t="s">
        <v>48</v>
      </c>
      <c r="H333" t="s">
        <v>42</v>
      </c>
      <c r="I333" t="s">
        <v>176</v>
      </c>
      <c r="J333" t="s">
        <v>177</v>
      </c>
      <c r="K333" t="s">
        <v>3182</v>
      </c>
      <c r="L333" t="s">
        <v>65</v>
      </c>
      <c r="M333" t="b">
        <v>0</v>
      </c>
      <c r="N333" t="s">
        <v>2563</v>
      </c>
      <c r="O333" t="b">
        <v>0</v>
      </c>
      <c r="P333" t="b">
        <v>1</v>
      </c>
      <c r="Q333" t="b">
        <v>1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1</v>
      </c>
      <c r="X333" t="b">
        <v>1</v>
      </c>
      <c r="Y333" t="b">
        <v>0</v>
      </c>
      <c r="Z333" t="b">
        <v>0</v>
      </c>
      <c r="AA333" t="b">
        <v>0</v>
      </c>
      <c r="AB333" t="s">
        <v>650</v>
      </c>
      <c r="AC333" t="s">
        <v>7864</v>
      </c>
    </row>
    <row r="334" spans="1:29" x14ac:dyDescent="0.3">
      <c r="A334">
        <v>-73.980706100000006</v>
      </c>
      <c r="B334">
        <v>40.772954069999997</v>
      </c>
      <c r="C334" t="s">
        <v>136</v>
      </c>
      <c r="D334" t="s">
        <v>38</v>
      </c>
      <c r="E334" s="58">
        <v>43385</v>
      </c>
      <c r="F334">
        <v>15</v>
      </c>
      <c r="G334" t="s">
        <v>105</v>
      </c>
      <c r="H334" t="s">
        <v>176</v>
      </c>
      <c r="I334" t="s">
        <v>1921</v>
      </c>
      <c r="J334" t="s">
        <v>2942</v>
      </c>
      <c r="K334" t="s">
        <v>3028</v>
      </c>
      <c r="L334" t="s">
        <v>65</v>
      </c>
      <c r="M334" t="b">
        <v>0</v>
      </c>
      <c r="N334" t="s">
        <v>3188</v>
      </c>
      <c r="O334" t="b">
        <v>0</v>
      </c>
      <c r="P334" t="b">
        <v>1</v>
      </c>
      <c r="Q334" t="b">
        <v>1</v>
      </c>
      <c r="R334" t="b">
        <v>0</v>
      </c>
      <c r="S334" t="b">
        <v>0</v>
      </c>
      <c r="T334" t="b">
        <v>0</v>
      </c>
      <c r="U334" t="b">
        <v>1</v>
      </c>
      <c r="V334" t="b">
        <v>1</v>
      </c>
      <c r="W334" t="b">
        <v>0</v>
      </c>
      <c r="X334" t="b">
        <v>0</v>
      </c>
      <c r="Y334" t="b">
        <v>0</v>
      </c>
      <c r="Z334" t="b">
        <v>1</v>
      </c>
      <c r="AA334" t="b">
        <v>0</v>
      </c>
      <c r="AB334" t="s">
        <v>4407</v>
      </c>
      <c r="AC334" t="s">
        <v>7865</v>
      </c>
    </row>
    <row r="335" spans="1:29" x14ac:dyDescent="0.3">
      <c r="A335">
        <v>-73.97750963</v>
      </c>
      <c r="B335">
        <v>40.799989439999997</v>
      </c>
      <c r="C335" t="s">
        <v>2803</v>
      </c>
      <c r="D335" t="s">
        <v>33</v>
      </c>
      <c r="E335" s="58">
        <v>43384</v>
      </c>
      <c r="F335">
        <v>12</v>
      </c>
      <c r="G335" t="s">
        <v>48</v>
      </c>
      <c r="H335" t="s">
        <v>53</v>
      </c>
      <c r="I335" t="s">
        <v>96</v>
      </c>
      <c r="J335" t="s">
        <v>54</v>
      </c>
      <c r="K335" t="s">
        <v>5481</v>
      </c>
      <c r="L335" t="s">
        <v>65</v>
      </c>
      <c r="M335" t="b">
        <v>0</v>
      </c>
      <c r="N335" t="s">
        <v>4573</v>
      </c>
      <c r="O335" t="b">
        <v>1</v>
      </c>
      <c r="P335" t="b">
        <v>1</v>
      </c>
      <c r="Q335" t="b">
        <v>1</v>
      </c>
      <c r="R335" t="b">
        <v>0</v>
      </c>
      <c r="S335" t="b">
        <v>1</v>
      </c>
      <c r="T335" t="b">
        <v>1</v>
      </c>
      <c r="U335" t="b">
        <v>0</v>
      </c>
      <c r="V335" t="b">
        <v>0</v>
      </c>
      <c r="W335" t="b">
        <v>1</v>
      </c>
      <c r="X335" t="b">
        <v>1</v>
      </c>
      <c r="Y335" t="b">
        <v>0</v>
      </c>
      <c r="Z335" t="b">
        <v>1</v>
      </c>
      <c r="AA335" t="b">
        <v>1</v>
      </c>
      <c r="AB335" t="s">
        <v>3061</v>
      </c>
      <c r="AC335" t="s">
        <v>7866</v>
      </c>
    </row>
    <row r="336" spans="1:29" x14ac:dyDescent="0.3">
      <c r="A336">
        <v>-73.979712399999997</v>
      </c>
      <c r="B336">
        <v>40.799231040000002</v>
      </c>
      <c r="C336" t="s">
        <v>439</v>
      </c>
      <c r="D336" t="s">
        <v>38</v>
      </c>
      <c r="E336" s="58">
        <v>43380</v>
      </c>
      <c r="F336">
        <v>5</v>
      </c>
      <c r="G336" t="s">
        <v>3842</v>
      </c>
      <c r="H336" t="s">
        <v>42</v>
      </c>
      <c r="I336" t="s">
        <v>59</v>
      </c>
      <c r="J336" t="s">
        <v>177</v>
      </c>
      <c r="K336" t="s">
        <v>1813</v>
      </c>
      <c r="L336" t="s">
        <v>44</v>
      </c>
      <c r="M336">
        <v>8</v>
      </c>
      <c r="N336" t="s">
        <v>742</v>
      </c>
      <c r="O336" t="b">
        <v>1</v>
      </c>
      <c r="P336" t="b">
        <v>0</v>
      </c>
      <c r="Q336" t="b">
        <v>0</v>
      </c>
      <c r="R336" t="b">
        <v>0</v>
      </c>
      <c r="S336" t="b">
        <v>1</v>
      </c>
      <c r="T336" t="b">
        <v>1</v>
      </c>
      <c r="U336" t="b">
        <v>0</v>
      </c>
      <c r="V336" t="b">
        <v>0</v>
      </c>
      <c r="W336" t="b">
        <v>0</v>
      </c>
      <c r="X336" t="b">
        <v>0</v>
      </c>
      <c r="Y336" t="b">
        <v>1</v>
      </c>
      <c r="Z336" t="b">
        <v>1</v>
      </c>
      <c r="AA336" t="b">
        <v>0</v>
      </c>
      <c r="AB336" t="s">
        <v>2277</v>
      </c>
      <c r="AC336" t="s">
        <v>7867</v>
      </c>
    </row>
    <row r="337" spans="1:29" x14ac:dyDescent="0.3">
      <c r="A337">
        <v>-73.979878200000002</v>
      </c>
      <c r="B337">
        <v>40.787807239999999</v>
      </c>
      <c r="C337" t="s">
        <v>1366</v>
      </c>
      <c r="D337" t="s">
        <v>33</v>
      </c>
      <c r="E337" s="58">
        <v>43386</v>
      </c>
      <c r="F337">
        <v>30</v>
      </c>
      <c r="G337" t="s">
        <v>48</v>
      </c>
      <c r="H337" t="s">
        <v>176</v>
      </c>
      <c r="I337" t="s">
        <v>1921</v>
      </c>
      <c r="J337" t="s">
        <v>79</v>
      </c>
      <c r="K337" t="s">
        <v>3843</v>
      </c>
      <c r="L337" t="s">
        <v>44</v>
      </c>
      <c r="M337">
        <v>25</v>
      </c>
      <c r="N337" t="s">
        <v>2951</v>
      </c>
      <c r="O337" t="b">
        <v>0</v>
      </c>
      <c r="P337" t="b">
        <v>1</v>
      </c>
      <c r="Q337" t="b">
        <v>0</v>
      </c>
      <c r="R337" t="b">
        <v>0</v>
      </c>
      <c r="S337" t="b">
        <v>1</v>
      </c>
      <c r="T337" t="b">
        <v>0</v>
      </c>
      <c r="U337" t="b">
        <v>1</v>
      </c>
      <c r="V337" t="b">
        <v>0</v>
      </c>
      <c r="W337" t="b">
        <v>1</v>
      </c>
      <c r="X337" t="b">
        <v>1</v>
      </c>
      <c r="Y337" t="b">
        <v>1</v>
      </c>
      <c r="Z337" t="b">
        <v>0</v>
      </c>
      <c r="AA337" t="b">
        <v>1</v>
      </c>
      <c r="AB337" t="s">
        <v>4201</v>
      </c>
      <c r="AC337" t="s">
        <v>7868</v>
      </c>
    </row>
    <row r="338" spans="1:29" x14ac:dyDescent="0.3">
      <c r="A338">
        <v>-73.954265629999995</v>
      </c>
      <c r="B338">
        <v>40.77193613</v>
      </c>
      <c r="C338" t="s">
        <v>119</v>
      </c>
      <c r="D338" t="s">
        <v>38</v>
      </c>
      <c r="E338" s="58">
        <v>43385</v>
      </c>
      <c r="F338">
        <v>23</v>
      </c>
      <c r="G338" t="s">
        <v>3842</v>
      </c>
      <c r="H338" t="s">
        <v>176</v>
      </c>
      <c r="I338" t="s">
        <v>59</v>
      </c>
      <c r="J338" t="s">
        <v>1233</v>
      </c>
      <c r="K338" t="s">
        <v>4237</v>
      </c>
      <c r="L338" t="s">
        <v>44</v>
      </c>
      <c r="M338">
        <v>10</v>
      </c>
      <c r="N338" t="s">
        <v>2584</v>
      </c>
      <c r="O338" t="b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1</v>
      </c>
      <c r="W338" t="b">
        <v>1</v>
      </c>
      <c r="X338" t="b">
        <v>0</v>
      </c>
      <c r="Y338" t="b">
        <v>1</v>
      </c>
      <c r="Z338" t="b">
        <v>1</v>
      </c>
      <c r="AA338" t="b">
        <v>0</v>
      </c>
      <c r="AB338" t="s">
        <v>5863</v>
      </c>
      <c r="AC338" t="s">
        <v>7869</v>
      </c>
    </row>
    <row r="339" spans="1:29" x14ac:dyDescent="0.3">
      <c r="A339">
        <v>-73.959037820000006</v>
      </c>
      <c r="B339">
        <v>40.788860040000003</v>
      </c>
      <c r="C339" t="s">
        <v>2798</v>
      </c>
      <c r="D339" t="s">
        <v>33</v>
      </c>
      <c r="E339" s="58">
        <v>43389</v>
      </c>
      <c r="F339">
        <v>16</v>
      </c>
      <c r="G339" t="s">
        <v>3842</v>
      </c>
      <c r="H339" t="s">
        <v>176</v>
      </c>
      <c r="I339" t="s">
        <v>42</v>
      </c>
      <c r="J339" t="s">
        <v>5106</v>
      </c>
      <c r="K339" t="s">
        <v>1843</v>
      </c>
      <c r="L339" t="s">
        <v>65</v>
      </c>
      <c r="M339" t="b">
        <v>0</v>
      </c>
      <c r="N339" t="s">
        <v>2451</v>
      </c>
      <c r="O339" t="b">
        <v>0</v>
      </c>
      <c r="P339" t="b">
        <v>1</v>
      </c>
      <c r="Q339" t="b">
        <v>1</v>
      </c>
      <c r="R339" t="b">
        <v>0</v>
      </c>
      <c r="S339" t="b">
        <v>1</v>
      </c>
      <c r="T339" t="b">
        <v>0</v>
      </c>
      <c r="U339" t="b">
        <v>0</v>
      </c>
      <c r="V339" t="b">
        <v>1</v>
      </c>
      <c r="W339" t="b">
        <v>0</v>
      </c>
      <c r="X339" t="b">
        <v>1</v>
      </c>
      <c r="Y339" t="b">
        <v>0</v>
      </c>
      <c r="Z339" t="b">
        <v>1</v>
      </c>
      <c r="AA339" t="b">
        <v>0</v>
      </c>
      <c r="AB339" t="s">
        <v>295</v>
      </c>
      <c r="AC339" t="s">
        <v>7870</v>
      </c>
    </row>
    <row r="340" spans="1:29" x14ac:dyDescent="0.3">
      <c r="A340">
        <v>-73.966252069999996</v>
      </c>
      <c r="B340">
        <v>40.76745262</v>
      </c>
      <c r="C340" t="s">
        <v>186</v>
      </c>
      <c r="D340" t="s">
        <v>33</v>
      </c>
      <c r="E340" s="58">
        <v>43383</v>
      </c>
      <c r="F340">
        <v>14</v>
      </c>
      <c r="G340" t="s">
        <v>105</v>
      </c>
      <c r="H340" t="s">
        <v>53</v>
      </c>
      <c r="I340" t="s">
        <v>5105</v>
      </c>
      <c r="J340" t="s">
        <v>97</v>
      </c>
      <c r="K340" t="s">
        <v>6166</v>
      </c>
      <c r="L340" t="s">
        <v>44</v>
      </c>
      <c r="M340">
        <v>5</v>
      </c>
      <c r="N340" t="s">
        <v>332</v>
      </c>
      <c r="O340" t="b">
        <v>1</v>
      </c>
      <c r="P340" t="b">
        <v>0</v>
      </c>
      <c r="Q340" t="b">
        <v>1</v>
      </c>
      <c r="R340" t="b">
        <v>1</v>
      </c>
      <c r="S340" t="b">
        <v>0</v>
      </c>
      <c r="T340" t="b">
        <v>1</v>
      </c>
      <c r="U340" t="b">
        <v>0</v>
      </c>
      <c r="V340" t="b">
        <v>1</v>
      </c>
      <c r="W340" t="b">
        <v>0</v>
      </c>
      <c r="X340" t="b">
        <v>1</v>
      </c>
      <c r="Y340" t="b">
        <v>1</v>
      </c>
      <c r="Z340" t="b">
        <v>0</v>
      </c>
      <c r="AA340" t="b">
        <v>1</v>
      </c>
      <c r="AB340" t="s">
        <v>974</v>
      </c>
      <c r="AC340" t="s">
        <v>7871</v>
      </c>
    </row>
    <row r="341" spans="1:29" x14ac:dyDescent="0.3">
      <c r="A341">
        <v>-73.978082990000004</v>
      </c>
      <c r="B341">
        <v>40.765989879999999</v>
      </c>
      <c r="C341" t="s">
        <v>1945</v>
      </c>
      <c r="D341" t="s">
        <v>33</v>
      </c>
      <c r="E341" s="58">
        <v>43390</v>
      </c>
      <c r="F341">
        <v>10</v>
      </c>
      <c r="G341" t="s">
        <v>48</v>
      </c>
      <c r="H341" t="s">
        <v>53</v>
      </c>
      <c r="I341" t="s">
        <v>59</v>
      </c>
      <c r="J341" t="s">
        <v>155</v>
      </c>
      <c r="K341" t="s">
        <v>2685</v>
      </c>
      <c r="L341" t="s">
        <v>44</v>
      </c>
      <c r="M341">
        <v>25</v>
      </c>
      <c r="N341" t="s">
        <v>1494</v>
      </c>
      <c r="O341" t="b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b">
        <v>1</v>
      </c>
      <c r="V341" t="b">
        <v>1</v>
      </c>
      <c r="W341" t="b">
        <v>1</v>
      </c>
      <c r="X341" t="b">
        <v>1</v>
      </c>
      <c r="Y341" t="b">
        <v>1</v>
      </c>
      <c r="Z341" t="b">
        <v>0</v>
      </c>
      <c r="AA341" t="b">
        <v>1</v>
      </c>
      <c r="AB341" t="s">
        <v>488</v>
      </c>
      <c r="AC341" t="s">
        <v>7872</v>
      </c>
    </row>
    <row r="342" spans="1:29" x14ac:dyDescent="0.3">
      <c r="A342">
        <v>-73.965703739999995</v>
      </c>
      <c r="B342">
        <v>40.773983129999998</v>
      </c>
      <c r="C342" t="s">
        <v>835</v>
      </c>
      <c r="D342" t="s">
        <v>38</v>
      </c>
      <c r="E342" s="58">
        <v>43383</v>
      </c>
      <c r="F342">
        <v>7</v>
      </c>
      <c r="G342" t="s">
        <v>105</v>
      </c>
      <c r="H342" t="s">
        <v>53</v>
      </c>
      <c r="I342" t="s">
        <v>42</v>
      </c>
      <c r="J342" t="s">
        <v>177</v>
      </c>
      <c r="K342" t="s">
        <v>5180</v>
      </c>
      <c r="L342" t="s">
        <v>65</v>
      </c>
      <c r="M342" t="b">
        <v>0</v>
      </c>
      <c r="N342" t="s">
        <v>6196</v>
      </c>
      <c r="O342" t="b">
        <v>1</v>
      </c>
      <c r="P342" t="b">
        <v>0</v>
      </c>
      <c r="Q342" t="b">
        <v>0</v>
      </c>
      <c r="R342" t="b">
        <v>1</v>
      </c>
      <c r="S342" t="b">
        <v>0</v>
      </c>
      <c r="T342" t="b">
        <v>0</v>
      </c>
      <c r="U342" t="b">
        <v>0</v>
      </c>
      <c r="V342" t="b">
        <v>0</v>
      </c>
      <c r="W342" t="b">
        <v>1</v>
      </c>
      <c r="X342" t="b">
        <v>0</v>
      </c>
      <c r="Y342" t="b">
        <v>0</v>
      </c>
      <c r="Z342" t="b">
        <v>0</v>
      </c>
      <c r="AA342" t="b">
        <v>0</v>
      </c>
      <c r="AB342" t="s">
        <v>2402</v>
      </c>
      <c r="AC342" t="s">
        <v>7873</v>
      </c>
    </row>
    <row r="343" spans="1:29" x14ac:dyDescent="0.3">
      <c r="A343">
        <v>-73.966274139999996</v>
      </c>
      <c r="B343">
        <v>40.781198629999999</v>
      </c>
      <c r="C343" t="s">
        <v>963</v>
      </c>
      <c r="D343" t="s">
        <v>38</v>
      </c>
      <c r="E343" s="58">
        <v>43385</v>
      </c>
      <c r="F343">
        <v>13</v>
      </c>
      <c r="G343" t="s">
        <v>48</v>
      </c>
      <c r="H343" t="s">
        <v>176</v>
      </c>
      <c r="I343" t="s">
        <v>148</v>
      </c>
      <c r="J343" t="s">
        <v>54</v>
      </c>
      <c r="K343" t="s">
        <v>3050</v>
      </c>
      <c r="L343" t="s">
        <v>65</v>
      </c>
      <c r="M343" t="b">
        <v>0</v>
      </c>
      <c r="N343" t="s">
        <v>1879</v>
      </c>
      <c r="O343" t="b">
        <v>0</v>
      </c>
      <c r="P343" t="b">
        <v>0</v>
      </c>
      <c r="Q343" t="b">
        <v>1</v>
      </c>
      <c r="R343" t="b">
        <v>1</v>
      </c>
      <c r="S343" t="b">
        <v>0</v>
      </c>
      <c r="T343" t="b">
        <v>1</v>
      </c>
      <c r="U343" t="b">
        <v>0</v>
      </c>
      <c r="V343" t="b">
        <v>1</v>
      </c>
      <c r="W343" t="b">
        <v>1</v>
      </c>
      <c r="X343" t="b">
        <v>1</v>
      </c>
      <c r="Y343" t="b">
        <v>0</v>
      </c>
      <c r="Z343" t="b">
        <v>0</v>
      </c>
      <c r="AA343" t="b">
        <v>0</v>
      </c>
      <c r="AB343" t="s">
        <v>743</v>
      </c>
      <c r="AC343" t="s">
        <v>7874</v>
      </c>
    </row>
    <row r="344" spans="1:29" x14ac:dyDescent="0.3">
      <c r="A344">
        <v>-73.975713670000005</v>
      </c>
      <c r="B344">
        <v>40.795480679999997</v>
      </c>
      <c r="C344" t="s">
        <v>663</v>
      </c>
      <c r="D344" t="s">
        <v>38</v>
      </c>
      <c r="E344" s="58">
        <v>43387</v>
      </c>
      <c r="F344">
        <v>20</v>
      </c>
      <c r="G344" t="s">
        <v>3842</v>
      </c>
      <c r="H344" t="s">
        <v>53</v>
      </c>
      <c r="I344" t="s">
        <v>42</v>
      </c>
      <c r="J344" t="s">
        <v>3228</v>
      </c>
      <c r="K344" t="s">
        <v>4020</v>
      </c>
      <c r="L344" t="s">
        <v>65</v>
      </c>
      <c r="M344" t="b">
        <v>0</v>
      </c>
      <c r="N344" t="s">
        <v>978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1</v>
      </c>
      <c r="U344" t="b">
        <v>1</v>
      </c>
      <c r="V344" t="b">
        <v>0</v>
      </c>
      <c r="W344" t="b">
        <v>1</v>
      </c>
      <c r="X344" t="b">
        <v>1</v>
      </c>
      <c r="Y344" t="b">
        <v>1</v>
      </c>
      <c r="Z344" t="b">
        <v>1</v>
      </c>
      <c r="AA344" t="b">
        <v>1</v>
      </c>
      <c r="AB344" t="s">
        <v>1367</v>
      </c>
      <c r="AC344" t="s">
        <v>7875</v>
      </c>
    </row>
    <row r="345" spans="1:29" x14ac:dyDescent="0.3">
      <c r="A345">
        <v>-73.967519670000001</v>
      </c>
      <c r="B345">
        <v>40.790512730000003</v>
      </c>
      <c r="C345" t="s">
        <v>2889</v>
      </c>
      <c r="D345" t="s">
        <v>33</v>
      </c>
      <c r="E345" s="58">
        <v>43389</v>
      </c>
      <c r="F345">
        <v>28</v>
      </c>
      <c r="G345" t="s">
        <v>3842</v>
      </c>
      <c r="H345" t="s">
        <v>42</v>
      </c>
      <c r="I345" t="s">
        <v>5105</v>
      </c>
      <c r="J345" t="s">
        <v>155</v>
      </c>
      <c r="K345" t="s">
        <v>2382</v>
      </c>
      <c r="L345" t="s">
        <v>44</v>
      </c>
      <c r="M345">
        <v>4</v>
      </c>
      <c r="N345" t="s">
        <v>6256</v>
      </c>
      <c r="O345" t="b">
        <v>0</v>
      </c>
      <c r="P345" t="b">
        <v>1</v>
      </c>
      <c r="Q345" t="b">
        <v>0</v>
      </c>
      <c r="R345" t="b">
        <v>1</v>
      </c>
      <c r="S345" t="b">
        <v>1</v>
      </c>
      <c r="T345" t="b">
        <v>0</v>
      </c>
      <c r="U345" t="b">
        <v>1</v>
      </c>
      <c r="V345" t="b">
        <v>1</v>
      </c>
      <c r="W345" t="b">
        <v>0</v>
      </c>
      <c r="X345" t="b">
        <v>0</v>
      </c>
      <c r="Y345" t="b">
        <v>1</v>
      </c>
      <c r="Z345" t="b">
        <v>1</v>
      </c>
      <c r="AA345" t="b">
        <v>0</v>
      </c>
      <c r="AB345" t="s">
        <v>6268</v>
      </c>
      <c r="AC345" t="s">
        <v>7876</v>
      </c>
    </row>
    <row r="346" spans="1:29" x14ac:dyDescent="0.3">
      <c r="A346">
        <v>-73.968630860000005</v>
      </c>
      <c r="B346">
        <v>40.791059769999997</v>
      </c>
      <c r="C346" t="s">
        <v>143</v>
      </c>
      <c r="D346" t="s">
        <v>33</v>
      </c>
      <c r="E346" s="58">
        <v>43393</v>
      </c>
      <c r="F346">
        <v>29</v>
      </c>
      <c r="G346" t="s">
        <v>48</v>
      </c>
      <c r="H346" t="s">
        <v>53</v>
      </c>
      <c r="I346" t="s">
        <v>737</v>
      </c>
      <c r="J346" t="s">
        <v>155</v>
      </c>
      <c r="K346" t="s">
        <v>4123</v>
      </c>
      <c r="L346" t="s">
        <v>65</v>
      </c>
      <c r="M346" t="b">
        <v>0</v>
      </c>
      <c r="N346" t="s">
        <v>5109</v>
      </c>
      <c r="O346" t="b">
        <v>0</v>
      </c>
      <c r="P346" t="b">
        <v>0</v>
      </c>
      <c r="Q346" t="b">
        <v>0</v>
      </c>
      <c r="R346" t="b">
        <v>1</v>
      </c>
      <c r="S346" t="b">
        <v>1</v>
      </c>
      <c r="T346" t="b">
        <v>1</v>
      </c>
      <c r="U346" t="b">
        <v>0</v>
      </c>
      <c r="V346" t="b">
        <v>1</v>
      </c>
      <c r="W346" t="b">
        <v>0</v>
      </c>
      <c r="X346" t="b">
        <v>1</v>
      </c>
      <c r="Y346" t="b">
        <v>1</v>
      </c>
      <c r="Z346" t="b">
        <v>1</v>
      </c>
      <c r="AA346" t="b">
        <v>1</v>
      </c>
      <c r="AB346" t="s">
        <v>1073</v>
      </c>
      <c r="AC346" t="s">
        <v>7877</v>
      </c>
    </row>
    <row r="347" spans="1:29" x14ac:dyDescent="0.3">
      <c r="A347">
        <v>-73.961798220000006</v>
      </c>
      <c r="B347">
        <v>40.779891370000001</v>
      </c>
      <c r="C347" t="s">
        <v>1663</v>
      </c>
      <c r="D347" t="s">
        <v>38</v>
      </c>
      <c r="E347" s="58">
        <v>43387</v>
      </c>
      <c r="F347">
        <v>5</v>
      </c>
      <c r="G347" t="s">
        <v>48</v>
      </c>
      <c r="H347" t="s">
        <v>53</v>
      </c>
      <c r="I347" t="s">
        <v>148</v>
      </c>
      <c r="J347" t="s">
        <v>705</v>
      </c>
      <c r="K347" t="s">
        <v>7178</v>
      </c>
      <c r="L347" t="s">
        <v>44</v>
      </c>
      <c r="M347">
        <v>2</v>
      </c>
      <c r="N347" t="s">
        <v>3931</v>
      </c>
      <c r="O347" t="b">
        <v>0</v>
      </c>
      <c r="P347" t="b">
        <v>0</v>
      </c>
      <c r="Q347" t="b">
        <v>0</v>
      </c>
      <c r="R347" t="b">
        <v>1</v>
      </c>
      <c r="S347" t="b">
        <v>1</v>
      </c>
      <c r="T347" t="b">
        <v>0</v>
      </c>
      <c r="U347" t="b">
        <v>1</v>
      </c>
      <c r="V347" t="b">
        <v>1</v>
      </c>
      <c r="W347" t="b">
        <v>1</v>
      </c>
      <c r="X347" t="b">
        <v>1</v>
      </c>
      <c r="Y347" t="b">
        <v>1</v>
      </c>
      <c r="Z347" t="b">
        <v>1</v>
      </c>
      <c r="AA347" t="b">
        <v>1</v>
      </c>
      <c r="AB347" t="s">
        <v>749</v>
      </c>
      <c r="AC347" t="s">
        <v>7878</v>
      </c>
    </row>
    <row r="348" spans="1:29" x14ac:dyDescent="0.3">
      <c r="A348">
        <v>-73.961193260000002</v>
      </c>
      <c r="B348">
        <v>40.777090299999998</v>
      </c>
      <c r="C348" t="s">
        <v>353</v>
      </c>
      <c r="D348" t="s">
        <v>38</v>
      </c>
      <c r="E348" s="58">
        <v>43387</v>
      </c>
      <c r="F348">
        <v>29</v>
      </c>
      <c r="G348" t="s">
        <v>105</v>
      </c>
      <c r="H348" t="s">
        <v>176</v>
      </c>
      <c r="I348" t="s">
        <v>176</v>
      </c>
      <c r="J348" t="s">
        <v>339</v>
      </c>
      <c r="K348" t="s">
        <v>6245</v>
      </c>
      <c r="L348" t="s">
        <v>44</v>
      </c>
      <c r="M348">
        <v>25</v>
      </c>
      <c r="N348" t="s">
        <v>299</v>
      </c>
      <c r="O348" t="b">
        <v>1</v>
      </c>
      <c r="P348" t="b">
        <v>0</v>
      </c>
      <c r="Q348" t="b">
        <v>1</v>
      </c>
      <c r="R348" t="b">
        <v>1</v>
      </c>
      <c r="S348" t="b">
        <v>0</v>
      </c>
      <c r="T348" t="b">
        <v>0</v>
      </c>
      <c r="U348" t="b">
        <v>1</v>
      </c>
      <c r="V348" t="b">
        <v>1</v>
      </c>
      <c r="W348" t="b">
        <v>0</v>
      </c>
      <c r="X348" t="b">
        <v>0</v>
      </c>
      <c r="Y348" t="b">
        <v>0</v>
      </c>
      <c r="Z348" t="b">
        <v>0</v>
      </c>
      <c r="AA348" t="b">
        <v>1</v>
      </c>
      <c r="AB348" t="s">
        <v>6392</v>
      </c>
      <c r="AC348" t="s">
        <v>7879</v>
      </c>
    </row>
    <row r="349" spans="1:29" x14ac:dyDescent="0.3">
      <c r="A349">
        <v>-73.979734370000003</v>
      </c>
      <c r="B349">
        <v>40.777974149999999</v>
      </c>
      <c r="C349" t="s">
        <v>311</v>
      </c>
      <c r="D349" t="s">
        <v>38</v>
      </c>
      <c r="E349" s="58">
        <v>43384</v>
      </c>
      <c r="F349">
        <v>3</v>
      </c>
      <c r="G349" t="s">
        <v>48</v>
      </c>
      <c r="H349" t="s">
        <v>53</v>
      </c>
      <c r="I349" t="s">
        <v>53</v>
      </c>
      <c r="J349" t="s">
        <v>738</v>
      </c>
      <c r="K349" t="s">
        <v>3050</v>
      </c>
      <c r="L349" t="s">
        <v>44</v>
      </c>
      <c r="M349">
        <v>12</v>
      </c>
      <c r="N349" t="s">
        <v>6718</v>
      </c>
      <c r="O349" t="b">
        <v>0</v>
      </c>
      <c r="P349" t="b">
        <v>1</v>
      </c>
      <c r="Q349" t="b">
        <v>0</v>
      </c>
      <c r="R349" t="b">
        <v>1</v>
      </c>
      <c r="S349" t="b">
        <v>1</v>
      </c>
      <c r="T349" t="b">
        <v>1</v>
      </c>
      <c r="U349" t="b">
        <v>1</v>
      </c>
      <c r="V349" t="b">
        <v>1</v>
      </c>
      <c r="W349" t="b">
        <v>1</v>
      </c>
      <c r="X349" t="b">
        <v>1</v>
      </c>
      <c r="Y349" t="b">
        <v>0</v>
      </c>
      <c r="Z349" t="b">
        <v>0</v>
      </c>
      <c r="AA349" t="b">
        <v>0</v>
      </c>
      <c r="AB349" t="s">
        <v>340</v>
      </c>
      <c r="AC349" t="s">
        <v>7880</v>
      </c>
    </row>
    <row r="350" spans="1:29" x14ac:dyDescent="0.3">
      <c r="A350">
        <v>-73.969381949999999</v>
      </c>
      <c r="B350">
        <v>40.799683690000002</v>
      </c>
      <c r="C350" t="s">
        <v>1076</v>
      </c>
      <c r="D350" t="s">
        <v>33</v>
      </c>
      <c r="E350" s="58">
        <v>43388</v>
      </c>
      <c r="F350">
        <v>15</v>
      </c>
      <c r="G350" t="s">
        <v>48</v>
      </c>
      <c r="H350" t="s">
        <v>42</v>
      </c>
      <c r="I350" t="s">
        <v>42</v>
      </c>
      <c r="J350" t="s">
        <v>155</v>
      </c>
      <c r="K350" t="s">
        <v>4572</v>
      </c>
      <c r="L350" t="s">
        <v>44</v>
      </c>
      <c r="M350">
        <v>15</v>
      </c>
      <c r="N350" t="s">
        <v>2737</v>
      </c>
      <c r="O350" t="b">
        <v>1</v>
      </c>
      <c r="P350" t="b">
        <v>1</v>
      </c>
      <c r="Q350" t="b">
        <v>0</v>
      </c>
      <c r="R350" t="b">
        <v>0</v>
      </c>
      <c r="S350" t="b">
        <v>0</v>
      </c>
      <c r="T350" t="b">
        <v>1</v>
      </c>
      <c r="U350" t="b">
        <v>0</v>
      </c>
      <c r="V350" t="b">
        <v>0</v>
      </c>
      <c r="W350" t="b">
        <v>1</v>
      </c>
      <c r="X350" t="b">
        <v>0</v>
      </c>
      <c r="Y350" t="b">
        <v>1</v>
      </c>
      <c r="Z350" t="b">
        <v>1</v>
      </c>
      <c r="AA350" t="b">
        <v>1</v>
      </c>
      <c r="AB350" t="s">
        <v>2514</v>
      </c>
      <c r="AC350" t="s">
        <v>7881</v>
      </c>
    </row>
    <row r="351" spans="1:29" x14ac:dyDescent="0.3">
      <c r="A351">
        <v>-73.961483540000003</v>
      </c>
      <c r="B351">
        <v>40.76632283</v>
      </c>
      <c r="C351" t="s">
        <v>863</v>
      </c>
      <c r="D351" t="s">
        <v>33</v>
      </c>
      <c r="E351" s="58">
        <v>43384</v>
      </c>
      <c r="F351">
        <v>4</v>
      </c>
      <c r="G351" t="s">
        <v>48</v>
      </c>
      <c r="H351" t="s">
        <v>176</v>
      </c>
      <c r="I351" t="s">
        <v>42</v>
      </c>
      <c r="J351" t="s">
        <v>155</v>
      </c>
      <c r="K351" t="s">
        <v>5971</v>
      </c>
      <c r="L351" t="s">
        <v>44</v>
      </c>
      <c r="M351">
        <v>7</v>
      </c>
      <c r="N351" t="s">
        <v>2877</v>
      </c>
      <c r="O351" t="b">
        <v>1</v>
      </c>
      <c r="P351" t="b">
        <v>0</v>
      </c>
      <c r="Q351" t="b">
        <v>0</v>
      </c>
      <c r="R351" t="b">
        <v>0</v>
      </c>
      <c r="S351" t="b">
        <v>1</v>
      </c>
      <c r="T351" t="b">
        <v>0</v>
      </c>
      <c r="U351" t="b">
        <v>0</v>
      </c>
      <c r="V351" t="b">
        <v>1</v>
      </c>
      <c r="W351" t="b">
        <v>1</v>
      </c>
      <c r="X351" t="b">
        <v>1</v>
      </c>
      <c r="Y351" t="b">
        <v>1</v>
      </c>
      <c r="Z351" t="b">
        <v>0</v>
      </c>
      <c r="AA351" t="b">
        <v>0</v>
      </c>
      <c r="AB351" t="s">
        <v>5284</v>
      </c>
      <c r="AC351" t="s">
        <v>7882</v>
      </c>
    </row>
    <row r="352" spans="1:29" x14ac:dyDescent="0.3">
      <c r="A352">
        <v>-73.96534158</v>
      </c>
      <c r="B352">
        <v>40.795436979999998</v>
      </c>
      <c r="C352" t="s">
        <v>1648</v>
      </c>
      <c r="D352" t="s">
        <v>33</v>
      </c>
      <c r="E352" s="58">
        <v>43381</v>
      </c>
      <c r="F352">
        <v>15</v>
      </c>
      <c r="G352" t="s">
        <v>105</v>
      </c>
      <c r="H352" t="s">
        <v>42</v>
      </c>
      <c r="I352" t="s">
        <v>59</v>
      </c>
      <c r="J352" t="s">
        <v>2942</v>
      </c>
      <c r="K352" t="s">
        <v>3843</v>
      </c>
      <c r="L352" t="s">
        <v>65</v>
      </c>
      <c r="M352" t="b">
        <v>0</v>
      </c>
      <c r="N352" t="s">
        <v>3200</v>
      </c>
      <c r="O352" t="b">
        <v>0</v>
      </c>
      <c r="P352" t="b">
        <v>1</v>
      </c>
      <c r="Q352" t="b">
        <v>0</v>
      </c>
      <c r="R352" t="b">
        <v>1</v>
      </c>
      <c r="S352" t="b">
        <v>0</v>
      </c>
      <c r="T352" t="b">
        <v>1</v>
      </c>
      <c r="U352" t="b">
        <v>1</v>
      </c>
      <c r="V352" t="b">
        <v>1</v>
      </c>
      <c r="W352" t="b">
        <v>0</v>
      </c>
      <c r="X352" t="b">
        <v>0</v>
      </c>
      <c r="Y352" t="b">
        <v>1</v>
      </c>
      <c r="Z352" t="b">
        <v>0</v>
      </c>
      <c r="AA352" t="b">
        <v>1</v>
      </c>
      <c r="AB352" t="s">
        <v>3832</v>
      </c>
      <c r="AC352" t="s">
        <v>7883</v>
      </c>
    </row>
    <row r="353" spans="1:29" x14ac:dyDescent="0.3">
      <c r="A353">
        <v>-73.954233270000003</v>
      </c>
      <c r="B353">
        <v>40.785284590000003</v>
      </c>
      <c r="C353" t="s">
        <v>331</v>
      </c>
      <c r="D353" t="s">
        <v>33</v>
      </c>
      <c r="E353" s="58">
        <v>43379</v>
      </c>
      <c r="F353">
        <v>14</v>
      </c>
      <c r="G353" t="s">
        <v>48</v>
      </c>
      <c r="H353" t="s">
        <v>176</v>
      </c>
      <c r="I353" t="s">
        <v>176</v>
      </c>
      <c r="J353" t="s">
        <v>34</v>
      </c>
      <c r="K353" t="s">
        <v>6633</v>
      </c>
      <c r="L353" t="s">
        <v>44</v>
      </c>
      <c r="M353">
        <v>7</v>
      </c>
      <c r="N353" t="s">
        <v>5673</v>
      </c>
      <c r="O353" t="b">
        <v>0</v>
      </c>
      <c r="P353" t="b">
        <v>0</v>
      </c>
      <c r="Q353" t="b">
        <v>1</v>
      </c>
      <c r="R353" t="b">
        <v>1</v>
      </c>
      <c r="S353" t="b">
        <v>0</v>
      </c>
      <c r="T353" t="b">
        <v>1</v>
      </c>
      <c r="U353" t="b">
        <v>1</v>
      </c>
      <c r="V353" t="b">
        <v>1</v>
      </c>
      <c r="W353" t="b">
        <v>1</v>
      </c>
      <c r="X353" t="b">
        <v>1</v>
      </c>
      <c r="Y353" t="b">
        <v>0</v>
      </c>
      <c r="Z353" t="b">
        <v>0</v>
      </c>
      <c r="AA353" t="b">
        <v>0</v>
      </c>
      <c r="AB353" t="s">
        <v>7069</v>
      </c>
      <c r="AC353" t="s">
        <v>7884</v>
      </c>
    </row>
    <row r="354" spans="1:29" x14ac:dyDescent="0.3">
      <c r="A354">
        <v>-73.96045135</v>
      </c>
      <c r="B354">
        <v>40.78035337</v>
      </c>
      <c r="C354" t="s">
        <v>411</v>
      </c>
      <c r="D354" t="s">
        <v>33</v>
      </c>
      <c r="E354" s="58">
        <v>43385</v>
      </c>
      <c r="F354">
        <v>20</v>
      </c>
      <c r="G354" t="s">
        <v>3842</v>
      </c>
      <c r="H354" t="s">
        <v>176</v>
      </c>
      <c r="I354" t="s">
        <v>1921</v>
      </c>
      <c r="J354" t="s">
        <v>155</v>
      </c>
      <c r="K354" t="s">
        <v>3471</v>
      </c>
      <c r="L354" t="s">
        <v>65</v>
      </c>
      <c r="M354" t="b">
        <v>0</v>
      </c>
      <c r="N354" t="s">
        <v>2996</v>
      </c>
      <c r="O354" t="b">
        <v>0</v>
      </c>
      <c r="P354" t="b">
        <v>1</v>
      </c>
      <c r="Q354" t="b">
        <v>0</v>
      </c>
      <c r="R354" t="b">
        <v>1</v>
      </c>
      <c r="S354" t="b">
        <v>1</v>
      </c>
      <c r="T354" t="b">
        <v>1</v>
      </c>
      <c r="U354" t="b">
        <v>1</v>
      </c>
      <c r="V354" t="b">
        <v>1</v>
      </c>
      <c r="W354" t="b">
        <v>0</v>
      </c>
      <c r="X354" t="b">
        <v>1</v>
      </c>
      <c r="Y354" t="b">
        <v>0</v>
      </c>
      <c r="Z354" t="b">
        <v>0</v>
      </c>
      <c r="AA354" t="b">
        <v>0</v>
      </c>
      <c r="AB354" t="s">
        <v>5792</v>
      </c>
      <c r="AC354" t="s">
        <v>7885</v>
      </c>
    </row>
    <row r="355" spans="1:29" x14ac:dyDescent="0.3">
      <c r="A355">
        <v>-73.976036440000001</v>
      </c>
      <c r="B355">
        <v>40.790445429999998</v>
      </c>
      <c r="C355" t="s">
        <v>1718</v>
      </c>
      <c r="D355" t="s">
        <v>38</v>
      </c>
      <c r="E355" s="58">
        <v>43382</v>
      </c>
      <c r="F355">
        <v>19</v>
      </c>
      <c r="G355" t="s">
        <v>105</v>
      </c>
      <c r="H355" t="s">
        <v>53</v>
      </c>
      <c r="I355" t="s">
        <v>96</v>
      </c>
      <c r="J355" t="s">
        <v>43</v>
      </c>
      <c r="K355" t="s">
        <v>3347</v>
      </c>
      <c r="L355" t="s">
        <v>44</v>
      </c>
      <c r="M355">
        <v>12</v>
      </c>
      <c r="N355" t="s">
        <v>3773</v>
      </c>
      <c r="O355" t="b">
        <v>1</v>
      </c>
      <c r="P355" t="b">
        <v>1</v>
      </c>
      <c r="Q355" t="b">
        <v>0</v>
      </c>
      <c r="R355" t="b">
        <v>1</v>
      </c>
      <c r="S355" t="b">
        <v>0</v>
      </c>
      <c r="T355" t="b">
        <v>1</v>
      </c>
      <c r="U355" t="b">
        <v>1</v>
      </c>
      <c r="V355" t="b">
        <v>1</v>
      </c>
      <c r="W355" t="b">
        <v>0</v>
      </c>
      <c r="X355" t="b">
        <v>1</v>
      </c>
      <c r="Y355" t="b">
        <v>0</v>
      </c>
      <c r="Z355" t="b">
        <v>0</v>
      </c>
      <c r="AA355" t="b">
        <v>1</v>
      </c>
      <c r="AB355" t="s">
        <v>6227</v>
      </c>
      <c r="AC355" t="s">
        <v>7886</v>
      </c>
    </row>
    <row r="356" spans="1:29" x14ac:dyDescent="0.3">
      <c r="A356">
        <v>-73.978940120000004</v>
      </c>
      <c r="B356">
        <v>40.782045240000002</v>
      </c>
      <c r="C356" t="s">
        <v>1221</v>
      </c>
      <c r="D356" t="s">
        <v>33</v>
      </c>
      <c r="E356" s="58">
        <v>43379</v>
      </c>
      <c r="F356">
        <v>13</v>
      </c>
      <c r="G356" t="s">
        <v>105</v>
      </c>
      <c r="H356" t="s">
        <v>42</v>
      </c>
      <c r="I356" t="s">
        <v>115</v>
      </c>
      <c r="J356" t="s">
        <v>1233</v>
      </c>
      <c r="K356" t="s">
        <v>3883</v>
      </c>
      <c r="L356" t="s">
        <v>44</v>
      </c>
      <c r="M356">
        <v>2</v>
      </c>
      <c r="N356" t="s">
        <v>3705</v>
      </c>
      <c r="O356" t="b">
        <v>1</v>
      </c>
      <c r="P356" t="b">
        <v>0</v>
      </c>
      <c r="Q356" t="b">
        <v>0</v>
      </c>
      <c r="R356" t="b">
        <v>0</v>
      </c>
      <c r="S356" t="b">
        <v>1</v>
      </c>
      <c r="T356" t="b">
        <v>1</v>
      </c>
      <c r="U356" t="b">
        <v>0</v>
      </c>
      <c r="V356" t="b">
        <v>0</v>
      </c>
      <c r="W356" t="b">
        <v>1</v>
      </c>
      <c r="X356" t="b">
        <v>0</v>
      </c>
      <c r="Y356" t="b">
        <v>1</v>
      </c>
      <c r="Z356" t="b">
        <v>1</v>
      </c>
      <c r="AA356" t="b">
        <v>1</v>
      </c>
      <c r="AB356" t="s">
        <v>5733</v>
      </c>
      <c r="AC356" t="s">
        <v>7887</v>
      </c>
    </row>
    <row r="357" spans="1:29" x14ac:dyDescent="0.3">
      <c r="A357">
        <v>-73.960962969999997</v>
      </c>
      <c r="B357">
        <v>40.795662020000002</v>
      </c>
      <c r="C357" t="s">
        <v>793</v>
      </c>
      <c r="D357" t="s">
        <v>33</v>
      </c>
      <c r="E357" s="58">
        <v>43393</v>
      </c>
      <c r="F357">
        <v>10</v>
      </c>
      <c r="G357" t="s">
        <v>3842</v>
      </c>
      <c r="H357" t="s">
        <v>176</v>
      </c>
      <c r="I357" t="s">
        <v>42</v>
      </c>
      <c r="J357" t="s">
        <v>97</v>
      </c>
      <c r="K357" t="s">
        <v>1816</v>
      </c>
      <c r="L357" t="s">
        <v>65</v>
      </c>
      <c r="M357" t="b">
        <v>0</v>
      </c>
      <c r="N357" t="s">
        <v>1582</v>
      </c>
      <c r="O357" t="b">
        <v>1</v>
      </c>
      <c r="P357" t="b">
        <v>1</v>
      </c>
      <c r="Q357" t="b">
        <v>0</v>
      </c>
      <c r="R357" t="b">
        <v>1</v>
      </c>
      <c r="S357" t="b">
        <v>1</v>
      </c>
      <c r="T357" t="b">
        <v>1</v>
      </c>
      <c r="U357" t="b">
        <v>1</v>
      </c>
      <c r="V357" t="b">
        <v>1</v>
      </c>
      <c r="W357" t="b">
        <v>0</v>
      </c>
      <c r="X357" t="b">
        <v>1</v>
      </c>
      <c r="Y357" t="b">
        <v>0</v>
      </c>
      <c r="Z357" t="b">
        <v>1</v>
      </c>
      <c r="AA357" t="b">
        <v>1</v>
      </c>
      <c r="AB357" t="s">
        <v>3564</v>
      </c>
      <c r="AC357" t="s">
        <v>7888</v>
      </c>
    </row>
    <row r="358" spans="1:29" x14ac:dyDescent="0.3">
      <c r="A358">
        <v>-73.980325149999999</v>
      </c>
      <c r="B358">
        <v>40.79662244</v>
      </c>
      <c r="C358" t="s">
        <v>1199</v>
      </c>
      <c r="D358" t="s">
        <v>33</v>
      </c>
      <c r="E358" s="58">
        <v>43386</v>
      </c>
      <c r="F358">
        <v>21</v>
      </c>
      <c r="G358" t="s">
        <v>3842</v>
      </c>
      <c r="H358" t="s">
        <v>53</v>
      </c>
      <c r="I358" t="s">
        <v>1921</v>
      </c>
      <c r="J358" t="s">
        <v>97</v>
      </c>
      <c r="K358" t="s">
        <v>5168</v>
      </c>
      <c r="L358" t="s">
        <v>44</v>
      </c>
      <c r="M358">
        <v>7</v>
      </c>
      <c r="N358" t="s">
        <v>3040</v>
      </c>
      <c r="O358" t="b">
        <v>0</v>
      </c>
      <c r="P358" t="b">
        <v>0</v>
      </c>
      <c r="Q358" t="b">
        <v>0</v>
      </c>
      <c r="R358" t="b">
        <v>0</v>
      </c>
      <c r="S358" t="b">
        <v>1</v>
      </c>
      <c r="T358" t="b">
        <v>1</v>
      </c>
      <c r="U358" t="b">
        <v>0</v>
      </c>
      <c r="V358" t="b">
        <v>0</v>
      </c>
      <c r="W358" t="b">
        <v>1</v>
      </c>
      <c r="X358" t="b">
        <v>1</v>
      </c>
      <c r="Y358" t="b">
        <v>1</v>
      </c>
      <c r="Z358" t="b">
        <v>0</v>
      </c>
      <c r="AA358" t="b">
        <v>0</v>
      </c>
      <c r="AB358" t="s">
        <v>7261</v>
      </c>
      <c r="AC358" t="s">
        <v>7889</v>
      </c>
    </row>
    <row r="359" spans="1:29" x14ac:dyDescent="0.3">
      <c r="A359">
        <v>-73.962743660000001</v>
      </c>
      <c r="B359">
        <v>40.779758559999998</v>
      </c>
      <c r="C359" t="s">
        <v>281</v>
      </c>
      <c r="D359" t="s">
        <v>33</v>
      </c>
      <c r="E359" s="58">
        <v>43390</v>
      </c>
      <c r="F359">
        <v>5</v>
      </c>
      <c r="G359" t="s">
        <v>3842</v>
      </c>
      <c r="H359" t="s">
        <v>176</v>
      </c>
      <c r="I359" t="s">
        <v>96</v>
      </c>
      <c r="J359" t="s">
        <v>3228</v>
      </c>
      <c r="K359" t="s">
        <v>3208</v>
      </c>
      <c r="L359" t="s">
        <v>44</v>
      </c>
      <c r="M359">
        <v>25</v>
      </c>
      <c r="N359" t="s">
        <v>6841</v>
      </c>
      <c r="O359" t="b">
        <v>1</v>
      </c>
      <c r="P359" t="b">
        <v>0</v>
      </c>
      <c r="Q359" t="b">
        <v>1</v>
      </c>
      <c r="R359" t="b">
        <v>1</v>
      </c>
      <c r="S359" t="b">
        <v>0</v>
      </c>
      <c r="T359" t="b">
        <v>0</v>
      </c>
      <c r="U359" t="b">
        <v>1</v>
      </c>
      <c r="V359" t="b">
        <v>1</v>
      </c>
      <c r="W359" t="b">
        <v>1</v>
      </c>
      <c r="X359" t="b">
        <v>0</v>
      </c>
      <c r="Y359" t="b">
        <v>1</v>
      </c>
      <c r="Z359" t="b">
        <v>0</v>
      </c>
      <c r="AA359" t="b">
        <v>0</v>
      </c>
      <c r="AB359" t="s">
        <v>374</v>
      </c>
      <c r="AC359" t="s">
        <v>7890</v>
      </c>
    </row>
    <row r="360" spans="1:29" x14ac:dyDescent="0.3">
      <c r="A360">
        <v>-73.951600740000003</v>
      </c>
      <c r="B360">
        <v>40.774657179999998</v>
      </c>
      <c r="C360" t="s">
        <v>1852</v>
      </c>
      <c r="D360" t="s">
        <v>33</v>
      </c>
      <c r="E360" s="58">
        <v>43384</v>
      </c>
      <c r="F360">
        <v>27</v>
      </c>
      <c r="G360" t="s">
        <v>48</v>
      </c>
      <c r="H360" t="s">
        <v>176</v>
      </c>
      <c r="I360" t="s">
        <v>115</v>
      </c>
      <c r="J360" t="s">
        <v>149</v>
      </c>
      <c r="K360" t="s">
        <v>3152</v>
      </c>
      <c r="L360" t="s">
        <v>65</v>
      </c>
      <c r="M360" t="b">
        <v>0</v>
      </c>
      <c r="N360" t="s">
        <v>2349</v>
      </c>
      <c r="O360" t="b">
        <v>1</v>
      </c>
      <c r="P360" t="b">
        <v>0</v>
      </c>
      <c r="Q360" t="b">
        <v>0</v>
      </c>
      <c r="R360" t="b">
        <v>0</v>
      </c>
      <c r="S360" t="b">
        <v>0</v>
      </c>
      <c r="T360" t="b">
        <v>1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1</v>
      </c>
      <c r="AA360" t="b">
        <v>0</v>
      </c>
      <c r="AB360" t="s">
        <v>1727</v>
      </c>
      <c r="AC360" t="s">
        <v>7891</v>
      </c>
    </row>
    <row r="361" spans="1:29" x14ac:dyDescent="0.3">
      <c r="A361">
        <v>-73.963067510000002</v>
      </c>
      <c r="B361">
        <v>40.785766049999999</v>
      </c>
      <c r="C361" t="s">
        <v>1718</v>
      </c>
      <c r="D361" t="s">
        <v>38</v>
      </c>
      <c r="E361" s="58">
        <v>43384</v>
      </c>
      <c r="F361">
        <v>23</v>
      </c>
      <c r="G361" t="s">
        <v>3842</v>
      </c>
      <c r="H361" t="s">
        <v>176</v>
      </c>
      <c r="I361" t="s">
        <v>53</v>
      </c>
      <c r="J361" t="s">
        <v>5106</v>
      </c>
      <c r="K361" t="s">
        <v>565</v>
      </c>
      <c r="L361" t="s">
        <v>65</v>
      </c>
      <c r="M361" t="b">
        <v>0</v>
      </c>
      <c r="N361" t="s">
        <v>4510</v>
      </c>
      <c r="O361" t="b">
        <v>1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1</v>
      </c>
      <c r="W361" t="b">
        <v>1</v>
      </c>
      <c r="X361" t="b">
        <v>0</v>
      </c>
      <c r="Y361" t="b">
        <v>1</v>
      </c>
      <c r="Z361" t="b">
        <v>1</v>
      </c>
      <c r="AA361" t="b">
        <v>1</v>
      </c>
      <c r="AB361" t="s">
        <v>5356</v>
      </c>
      <c r="AC361" t="s">
        <v>7892</v>
      </c>
    </row>
    <row r="362" spans="1:29" x14ac:dyDescent="0.3">
      <c r="A362">
        <v>-73.96895576</v>
      </c>
      <c r="B362">
        <v>40.797033020000001</v>
      </c>
      <c r="C362" t="s">
        <v>1251</v>
      </c>
      <c r="D362" t="s">
        <v>33</v>
      </c>
      <c r="E362" s="58">
        <v>43380</v>
      </c>
      <c r="F362">
        <v>20</v>
      </c>
      <c r="G362" t="s">
        <v>48</v>
      </c>
      <c r="H362" t="s">
        <v>176</v>
      </c>
      <c r="I362" t="s">
        <v>59</v>
      </c>
      <c r="J362" t="s">
        <v>43</v>
      </c>
      <c r="K362" t="s">
        <v>5180</v>
      </c>
      <c r="L362" t="s">
        <v>44</v>
      </c>
      <c r="M362">
        <v>6</v>
      </c>
      <c r="N362" t="s">
        <v>2810</v>
      </c>
      <c r="O362" t="b">
        <v>0</v>
      </c>
      <c r="P362" t="b">
        <v>1</v>
      </c>
      <c r="Q362" t="b">
        <v>1</v>
      </c>
      <c r="R362" t="b">
        <v>0</v>
      </c>
      <c r="S362" t="b">
        <v>0</v>
      </c>
      <c r="T362" t="b">
        <v>1</v>
      </c>
      <c r="U362" t="b">
        <v>1</v>
      </c>
      <c r="V362" t="b">
        <v>1</v>
      </c>
      <c r="W362" t="b">
        <v>0</v>
      </c>
      <c r="X362" t="b">
        <v>1</v>
      </c>
      <c r="Y362" t="b">
        <v>0</v>
      </c>
      <c r="Z362" t="b">
        <v>0</v>
      </c>
      <c r="AA362" t="b">
        <v>1</v>
      </c>
      <c r="AB362" t="s">
        <v>5896</v>
      </c>
      <c r="AC362" t="s">
        <v>7893</v>
      </c>
    </row>
    <row r="363" spans="1:29" x14ac:dyDescent="0.3">
      <c r="A363">
        <v>-73.960935649999996</v>
      </c>
      <c r="B363">
        <v>40.772327629999999</v>
      </c>
      <c r="C363" t="s">
        <v>2056</v>
      </c>
      <c r="D363" t="s">
        <v>33</v>
      </c>
      <c r="E363" s="58">
        <v>43393</v>
      </c>
      <c r="F363">
        <v>29</v>
      </c>
      <c r="G363" t="s">
        <v>105</v>
      </c>
      <c r="H363" t="s">
        <v>176</v>
      </c>
      <c r="I363" t="s">
        <v>1921</v>
      </c>
      <c r="J363" t="s">
        <v>705</v>
      </c>
      <c r="K363" t="s">
        <v>6214</v>
      </c>
      <c r="L363" t="s">
        <v>44</v>
      </c>
      <c r="M363">
        <v>30</v>
      </c>
      <c r="N363" t="s">
        <v>2332</v>
      </c>
      <c r="O363" t="b">
        <v>1</v>
      </c>
      <c r="P363" t="b">
        <v>0</v>
      </c>
      <c r="Q363" t="b">
        <v>0</v>
      </c>
      <c r="R363" t="b">
        <v>1</v>
      </c>
      <c r="S363" t="b">
        <v>1</v>
      </c>
      <c r="T363" t="b">
        <v>0</v>
      </c>
      <c r="U363" t="b">
        <v>0</v>
      </c>
      <c r="V363" t="b">
        <v>0</v>
      </c>
      <c r="W363" t="b">
        <v>0</v>
      </c>
      <c r="X363" t="b">
        <v>1</v>
      </c>
      <c r="Y363" t="b">
        <v>0</v>
      </c>
      <c r="Z363" t="b">
        <v>0</v>
      </c>
      <c r="AA363" t="b">
        <v>1</v>
      </c>
      <c r="AB363" t="s">
        <v>3823</v>
      </c>
      <c r="AC363" t="s">
        <v>7894</v>
      </c>
    </row>
    <row r="364" spans="1:29" x14ac:dyDescent="0.3">
      <c r="A364">
        <v>-73.966752569999997</v>
      </c>
      <c r="B364">
        <v>40.78684398</v>
      </c>
      <c r="C364" t="s">
        <v>689</v>
      </c>
      <c r="D364" t="s">
        <v>33</v>
      </c>
      <c r="E364" s="58">
        <v>43379</v>
      </c>
      <c r="F364">
        <v>20</v>
      </c>
      <c r="G364" t="s">
        <v>105</v>
      </c>
      <c r="H364" t="s">
        <v>176</v>
      </c>
      <c r="I364" t="s">
        <v>59</v>
      </c>
      <c r="J364" t="s">
        <v>1233</v>
      </c>
      <c r="K364" t="s">
        <v>6823</v>
      </c>
      <c r="L364" t="s">
        <v>44</v>
      </c>
      <c r="M364">
        <v>20</v>
      </c>
      <c r="N364" t="s">
        <v>1421</v>
      </c>
      <c r="O364" t="b">
        <v>1</v>
      </c>
      <c r="P364" t="b">
        <v>0</v>
      </c>
      <c r="Q364" t="b">
        <v>1</v>
      </c>
      <c r="R364" t="b">
        <v>1</v>
      </c>
      <c r="S364" t="b">
        <v>0</v>
      </c>
      <c r="T364" t="b">
        <v>1</v>
      </c>
      <c r="U364" t="b">
        <v>0</v>
      </c>
      <c r="V364" t="b">
        <v>1</v>
      </c>
      <c r="W364" t="b">
        <v>0</v>
      </c>
      <c r="X364" t="b">
        <v>1</v>
      </c>
      <c r="Y364" t="b">
        <v>1</v>
      </c>
      <c r="Z364" t="b">
        <v>0</v>
      </c>
      <c r="AA364" t="b">
        <v>1</v>
      </c>
      <c r="AB364" t="s">
        <v>714</v>
      </c>
      <c r="AC364" t="s">
        <v>7895</v>
      </c>
    </row>
    <row r="365" spans="1:29" x14ac:dyDescent="0.3">
      <c r="A365">
        <v>-73.964006130000001</v>
      </c>
      <c r="B365">
        <v>40.787146550000003</v>
      </c>
      <c r="C365" t="s">
        <v>439</v>
      </c>
      <c r="D365" t="s">
        <v>38</v>
      </c>
      <c r="E365" s="58">
        <v>43391</v>
      </c>
      <c r="F365">
        <v>25</v>
      </c>
      <c r="G365" t="s">
        <v>3842</v>
      </c>
      <c r="H365" t="s">
        <v>53</v>
      </c>
      <c r="I365" t="s">
        <v>115</v>
      </c>
      <c r="J365" t="s">
        <v>34</v>
      </c>
      <c r="K365" t="s">
        <v>7307</v>
      </c>
      <c r="L365" t="s">
        <v>65</v>
      </c>
      <c r="M365" t="b">
        <v>0</v>
      </c>
      <c r="N365" t="s">
        <v>1836</v>
      </c>
      <c r="O365" t="b">
        <v>0</v>
      </c>
      <c r="P365" t="b">
        <v>1</v>
      </c>
      <c r="Q365" t="b">
        <v>0</v>
      </c>
      <c r="R365" t="b">
        <v>0</v>
      </c>
      <c r="S365" t="b">
        <v>1</v>
      </c>
      <c r="T365" t="b">
        <v>0</v>
      </c>
      <c r="U365" t="b">
        <v>0</v>
      </c>
      <c r="V365" t="b">
        <v>0</v>
      </c>
      <c r="W365" t="b">
        <v>1</v>
      </c>
      <c r="X365" t="b">
        <v>0</v>
      </c>
      <c r="Y365" t="b">
        <v>1</v>
      </c>
      <c r="Z365" t="b">
        <v>1</v>
      </c>
      <c r="AA365" t="b">
        <v>1</v>
      </c>
      <c r="AB365" t="s">
        <v>5849</v>
      </c>
      <c r="AC365" t="s">
        <v>7896</v>
      </c>
    </row>
    <row r="366" spans="1:29" x14ac:dyDescent="0.3">
      <c r="A366">
        <v>-73.951561929999997</v>
      </c>
      <c r="B366">
        <v>40.790722000000002</v>
      </c>
      <c r="C366" t="s">
        <v>520</v>
      </c>
      <c r="D366" t="s">
        <v>38</v>
      </c>
      <c r="E366" s="58">
        <v>43392</v>
      </c>
      <c r="F366">
        <v>6</v>
      </c>
      <c r="G366" t="s">
        <v>48</v>
      </c>
      <c r="H366" t="s">
        <v>176</v>
      </c>
      <c r="I366" t="s">
        <v>737</v>
      </c>
      <c r="J366" t="s">
        <v>149</v>
      </c>
      <c r="K366" t="s">
        <v>6725</v>
      </c>
      <c r="L366" t="s">
        <v>44</v>
      </c>
      <c r="M366">
        <v>7</v>
      </c>
      <c r="N366" t="s">
        <v>6557</v>
      </c>
      <c r="O366" t="b">
        <v>0</v>
      </c>
      <c r="P366" t="b">
        <v>0</v>
      </c>
      <c r="Q366" t="b">
        <v>1</v>
      </c>
      <c r="R366" t="b">
        <v>1</v>
      </c>
      <c r="S366" t="b">
        <v>1</v>
      </c>
      <c r="T366" t="b">
        <v>1</v>
      </c>
      <c r="U366" t="b">
        <v>1</v>
      </c>
      <c r="V366" t="b">
        <v>1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s">
        <v>5813</v>
      </c>
      <c r="AC366" t="s">
        <v>7897</v>
      </c>
    </row>
    <row r="367" spans="1:29" x14ac:dyDescent="0.3">
      <c r="A367">
        <v>-73.969020740000005</v>
      </c>
      <c r="B367">
        <v>40.769542880000003</v>
      </c>
      <c r="C367" t="s">
        <v>1431</v>
      </c>
      <c r="D367" t="s">
        <v>38</v>
      </c>
      <c r="E367" s="58">
        <v>43392</v>
      </c>
      <c r="F367">
        <v>4</v>
      </c>
      <c r="G367" t="s">
        <v>3842</v>
      </c>
      <c r="H367" t="s">
        <v>42</v>
      </c>
      <c r="I367" t="s">
        <v>42</v>
      </c>
      <c r="J367" t="s">
        <v>3228</v>
      </c>
      <c r="K367" t="s">
        <v>2311</v>
      </c>
      <c r="L367" t="s">
        <v>65</v>
      </c>
      <c r="M367" t="b">
        <v>0</v>
      </c>
      <c r="N367" t="s">
        <v>5039</v>
      </c>
      <c r="O367" t="b">
        <v>0</v>
      </c>
      <c r="P367" t="b">
        <v>1</v>
      </c>
      <c r="Q367" t="b">
        <v>1</v>
      </c>
      <c r="R367" t="b">
        <v>1</v>
      </c>
      <c r="S367" t="b">
        <v>0</v>
      </c>
      <c r="T367" t="b">
        <v>0</v>
      </c>
      <c r="U367" t="b">
        <v>0</v>
      </c>
      <c r="V367" t="b">
        <v>0</v>
      </c>
      <c r="W367" t="b">
        <v>1</v>
      </c>
      <c r="X367" t="b">
        <v>1</v>
      </c>
      <c r="Y367" t="b">
        <v>0</v>
      </c>
      <c r="Z367" t="b">
        <v>0</v>
      </c>
      <c r="AA367" t="b">
        <v>1</v>
      </c>
      <c r="AB367" t="s">
        <v>6884</v>
      </c>
      <c r="AC367" t="s">
        <v>7898</v>
      </c>
    </row>
    <row r="368" spans="1:29" x14ac:dyDescent="0.3">
      <c r="A368">
        <v>-73.950941810000003</v>
      </c>
      <c r="B368">
        <v>40.790113329999997</v>
      </c>
      <c r="C368" t="s">
        <v>729</v>
      </c>
      <c r="D368" t="s">
        <v>33</v>
      </c>
      <c r="E368" s="58">
        <v>43380</v>
      </c>
      <c r="F368">
        <v>2</v>
      </c>
      <c r="G368" t="s">
        <v>3842</v>
      </c>
      <c r="H368" t="s">
        <v>53</v>
      </c>
      <c r="I368" t="s">
        <v>148</v>
      </c>
      <c r="J368" t="s">
        <v>3580</v>
      </c>
      <c r="K368" t="s">
        <v>6737</v>
      </c>
      <c r="L368" t="s">
        <v>65</v>
      </c>
      <c r="M368" t="b">
        <v>0</v>
      </c>
      <c r="N368" t="s">
        <v>299</v>
      </c>
      <c r="O368" t="b">
        <v>1</v>
      </c>
      <c r="P368" t="b">
        <v>1</v>
      </c>
      <c r="Q368" t="b">
        <v>0</v>
      </c>
      <c r="R368" t="b">
        <v>0</v>
      </c>
      <c r="S368" t="b">
        <v>0</v>
      </c>
      <c r="T368" t="b">
        <v>1</v>
      </c>
      <c r="U368" t="b">
        <v>0</v>
      </c>
      <c r="V368" t="b">
        <v>0</v>
      </c>
      <c r="W368" t="b">
        <v>1</v>
      </c>
      <c r="X368" t="b">
        <v>1</v>
      </c>
      <c r="Y368" t="b">
        <v>0</v>
      </c>
      <c r="Z368" t="b">
        <v>0</v>
      </c>
      <c r="AA368" t="b">
        <v>0</v>
      </c>
      <c r="AB368" t="s">
        <v>387</v>
      </c>
      <c r="AC368" t="s">
        <v>7899</v>
      </c>
    </row>
    <row r="369" spans="1:29" x14ac:dyDescent="0.3">
      <c r="A369">
        <v>-73.952697240000006</v>
      </c>
      <c r="B369">
        <v>40.796915749999997</v>
      </c>
      <c r="C369" t="s">
        <v>2227</v>
      </c>
      <c r="D369" t="s">
        <v>38</v>
      </c>
      <c r="E369" s="58">
        <v>43382</v>
      </c>
      <c r="F369">
        <v>22</v>
      </c>
      <c r="G369" t="s">
        <v>48</v>
      </c>
      <c r="H369" t="s">
        <v>42</v>
      </c>
      <c r="I369" t="s">
        <v>96</v>
      </c>
      <c r="J369" t="s">
        <v>2942</v>
      </c>
      <c r="K369" t="s">
        <v>1696</v>
      </c>
      <c r="L369" t="s">
        <v>44</v>
      </c>
      <c r="M369">
        <v>40</v>
      </c>
      <c r="N369" t="s">
        <v>6787</v>
      </c>
      <c r="O369" t="b">
        <v>1</v>
      </c>
      <c r="P369" t="b">
        <v>1</v>
      </c>
      <c r="Q369" t="b">
        <v>1</v>
      </c>
      <c r="R369" t="b">
        <v>1</v>
      </c>
      <c r="S369" t="b">
        <v>1</v>
      </c>
      <c r="T369" t="b">
        <v>1</v>
      </c>
      <c r="U369" t="b">
        <v>1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1</v>
      </c>
      <c r="AB369" t="s">
        <v>714</v>
      </c>
      <c r="AC369" t="s">
        <v>7900</v>
      </c>
    </row>
    <row r="370" spans="1:29" x14ac:dyDescent="0.3">
      <c r="A370">
        <v>-73.975003529999995</v>
      </c>
      <c r="B370">
        <v>40.77123692</v>
      </c>
      <c r="C370" t="s">
        <v>1407</v>
      </c>
      <c r="D370" t="s">
        <v>33</v>
      </c>
      <c r="E370" s="58">
        <v>43380</v>
      </c>
      <c r="F370">
        <v>16</v>
      </c>
      <c r="G370" t="s">
        <v>3842</v>
      </c>
      <c r="H370" t="s">
        <v>176</v>
      </c>
      <c r="I370" t="s">
        <v>176</v>
      </c>
      <c r="J370" t="s">
        <v>60</v>
      </c>
      <c r="K370" t="s">
        <v>7049</v>
      </c>
      <c r="L370" t="s">
        <v>65</v>
      </c>
      <c r="M370" t="b">
        <v>0</v>
      </c>
      <c r="N370" t="s">
        <v>2349</v>
      </c>
      <c r="O370" t="b">
        <v>1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1</v>
      </c>
      <c r="V370" t="b">
        <v>1</v>
      </c>
      <c r="W370" t="b">
        <v>0</v>
      </c>
      <c r="X370" t="b">
        <v>0</v>
      </c>
      <c r="Y370" t="b">
        <v>0</v>
      </c>
      <c r="Z370" t="b">
        <v>0</v>
      </c>
      <c r="AA370" t="b">
        <v>1</v>
      </c>
      <c r="AB370" t="s">
        <v>1844</v>
      </c>
      <c r="AC370" t="s">
        <v>7901</v>
      </c>
    </row>
    <row r="371" spans="1:29" x14ac:dyDescent="0.3">
      <c r="A371">
        <v>-73.978978080000005</v>
      </c>
      <c r="B371">
        <v>40.773274059999999</v>
      </c>
      <c r="C371" t="s">
        <v>2987</v>
      </c>
      <c r="D371" t="s">
        <v>33</v>
      </c>
      <c r="E371" s="58">
        <v>43379</v>
      </c>
      <c r="F371">
        <v>18</v>
      </c>
      <c r="G371" t="s">
        <v>105</v>
      </c>
      <c r="H371" t="s">
        <v>42</v>
      </c>
      <c r="I371" t="s">
        <v>5105</v>
      </c>
      <c r="J371" t="s">
        <v>116</v>
      </c>
      <c r="K371" t="s">
        <v>242</v>
      </c>
      <c r="L371" t="s">
        <v>44</v>
      </c>
      <c r="M371">
        <v>20</v>
      </c>
      <c r="N371" t="s">
        <v>479</v>
      </c>
      <c r="O371" t="b">
        <v>0</v>
      </c>
      <c r="P371" t="b">
        <v>0</v>
      </c>
      <c r="Q371" t="b">
        <v>1</v>
      </c>
      <c r="R371" t="b">
        <v>1</v>
      </c>
      <c r="S371" t="b">
        <v>1</v>
      </c>
      <c r="T371" t="b">
        <v>0</v>
      </c>
      <c r="U371" t="b">
        <v>0</v>
      </c>
      <c r="V371" t="b">
        <v>0</v>
      </c>
      <c r="W371" t="b">
        <v>1</v>
      </c>
      <c r="X371" t="b">
        <v>0</v>
      </c>
      <c r="Y371" t="b">
        <v>0</v>
      </c>
      <c r="Z371" t="b">
        <v>0</v>
      </c>
      <c r="AA371" t="b">
        <v>1</v>
      </c>
      <c r="AB371" t="s">
        <v>6042</v>
      </c>
      <c r="AC371" t="s">
        <v>7902</v>
      </c>
    </row>
    <row r="372" spans="1:29" x14ac:dyDescent="0.3">
      <c r="A372">
        <v>-73.977990439999999</v>
      </c>
      <c r="B372">
        <v>40.799111400000001</v>
      </c>
      <c r="C372" t="s">
        <v>946</v>
      </c>
      <c r="D372" t="s">
        <v>38</v>
      </c>
      <c r="E372" s="58">
        <v>43385</v>
      </c>
      <c r="F372">
        <v>5</v>
      </c>
      <c r="G372" t="s">
        <v>3842</v>
      </c>
      <c r="H372" t="s">
        <v>176</v>
      </c>
      <c r="I372" t="s">
        <v>42</v>
      </c>
      <c r="J372" t="s">
        <v>619</v>
      </c>
      <c r="K372" t="s">
        <v>2319</v>
      </c>
      <c r="L372" t="s">
        <v>44</v>
      </c>
      <c r="M372">
        <v>10</v>
      </c>
      <c r="N372" t="s">
        <v>6838</v>
      </c>
      <c r="O372" t="b">
        <v>1</v>
      </c>
      <c r="P372" t="b">
        <v>1</v>
      </c>
      <c r="Q372" t="b">
        <v>1</v>
      </c>
      <c r="R372" t="b">
        <v>1</v>
      </c>
      <c r="S372" t="b">
        <v>0</v>
      </c>
      <c r="T372" t="b">
        <v>1</v>
      </c>
      <c r="U372" t="b">
        <v>0</v>
      </c>
      <c r="V372" t="b">
        <v>1</v>
      </c>
      <c r="W372" t="b">
        <v>0</v>
      </c>
      <c r="X372" t="b">
        <v>1</v>
      </c>
      <c r="Y372" t="b">
        <v>0</v>
      </c>
      <c r="Z372" t="b">
        <v>0</v>
      </c>
      <c r="AA372" t="b">
        <v>1</v>
      </c>
      <c r="AB372" t="s">
        <v>7360</v>
      </c>
      <c r="AC372" t="s">
        <v>7903</v>
      </c>
    </row>
    <row r="373" spans="1:29" x14ac:dyDescent="0.3">
      <c r="A373">
        <v>-73.980585739999995</v>
      </c>
      <c r="B373">
        <v>40.771282480000004</v>
      </c>
      <c r="C373" t="s">
        <v>726</v>
      </c>
      <c r="D373" t="s">
        <v>33</v>
      </c>
      <c r="E373" s="58">
        <v>43389</v>
      </c>
      <c r="F373">
        <v>22</v>
      </c>
      <c r="G373" t="s">
        <v>48</v>
      </c>
      <c r="H373" t="s">
        <v>176</v>
      </c>
      <c r="I373" t="s">
        <v>148</v>
      </c>
      <c r="J373" t="s">
        <v>60</v>
      </c>
      <c r="K373" t="s">
        <v>3157</v>
      </c>
      <c r="L373" t="s">
        <v>65</v>
      </c>
      <c r="M373" t="b">
        <v>0</v>
      </c>
      <c r="N373" t="s">
        <v>3542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1</v>
      </c>
      <c r="V373" t="b">
        <v>0</v>
      </c>
      <c r="W373" t="b">
        <v>0</v>
      </c>
      <c r="X373" t="b">
        <v>0</v>
      </c>
      <c r="Y373" t="b">
        <v>1</v>
      </c>
      <c r="Z373" t="b">
        <v>0</v>
      </c>
      <c r="AA373" t="b">
        <v>1</v>
      </c>
      <c r="AB373" t="s">
        <v>7171</v>
      </c>
      <c r="AC373" t="s">
        <v>7904</v>
      </c>
    </row>
    <row r="374" spans="1:29" x14ac:dyDescent="0.3">
      <c r="A374">
        <v>-73.978189599999993</v>
      </c>
      <c r="B374">
        <v>40.79499173</v>
      </c>
      <c r="C374" t="s">
        <v>1042</v>
      </c>
      <c r="D374" t="s">
        <v>33</v>
      </c>
      <c r="E374" s="58">
        <v>43389</v>
      </c>
      <c r="F374">
        <v>4</v>
      </c>
      <c r="G374" t="s">
        <v>48</v>
      </c>
      <c r="H374" t="s">
        <v>53</v>
      </c>
      <c r="I374" t="s">
        <v>5105</v>
      </c>
      <c r="J374" t="s">
        <v>149</v>
      </c>
      <c r="K374" t="s">
        <v>1934</v>
      </c>
      <c r="L374" t="s">
        <v>65</v>
      </c>
      <c r="M374" t="b">
        <v>0</v>
      </c>
      <c r="N374" t="s">
        <v>2304</v>
      </c>
      <c r="O374" t="b">
        <v>0</v>
      </c>
      <c r="P374" t="b">
        <v>0</v>
      </c>
      <c r="Q374" t="b">
        <v>1</v>
      </c>
      <c r="R374" t="b">
        <v>0</v>
      </c>
      <c r="S374" t="b">
        <v>1</v>
      </c>
      <c r="T374" t="b">
        <v>0</v>
      </c>
      <c r="U374" t="b">
        <v>1</v>
      </c>
      <c r="V374" t="b">
        <v>0</v>
      </c>
      <c r="W374" t="b">
        <v>0</v>
      </c>
      <c r="X374" t="b">
        <v>0</v>
      </c>
      <c r="Y374" t="b">
        <v>0</v>
      </c>
      <c r="Z374" t="b">
        <v>1</v>
      </c>
      <c r="AA374" t="b">
        <v>0</v>
      </c>
      <c r="AB374" t="s">
        <v>5699</v>
      </c>
      <c r="AC374" t="s">
        <v>7905</v>
      </c>
    </row>
    <row r="375" spans="1:29" x14ac:dyDescent="0.3">
      <c r="A375">
        <v>-73.959687020000004</v>
      </c>
      <c r="B375">
        <v>40.782242709999998</v>
      </c>
      <c r="C375" t="s">
        <v>228</v>
      </c>
      <c r="D375" t="s">
        <v>33</v>
      </c>
      <c r="E375" s="58">
        <v>43393</v>
      </c>
      <c r="F375">
        <v>30</v>
      </c>
      <c r="G375" t="s">
        <v>105</v>
      </c>
      <c r="H375" t="s">
        <v>53</v>
      </c>
      <c r="I375" t="s">
        <v>1921</v>
      </c>
      <c r="J375" t="s">
        <v>149</v>
      </c>
      <c r="K375" t="s">
        <v>1417</v>
      </c>
      <c r="L375" t="s">
        <v>65</v>
      </c>
      <c r="M375" t="b">
        <v>0</v>
      </c>
      <c r="N375" t="s">
        <v>4142</v>
      </c>
      <c r="O375" t="b">
        <v>1</v>
      </c>
      <c r="P375" t="b">
        <v>1</v>
      </c>
      <c r="Q375" t="b">
        <v>0</v>
      </c>
      <c r="R375" t="b">
        <v>0</v>
      </c>
      <c r="S375" t="b">
        <v>1</v>
      </c>
      <c r="T375" t="b">
        <v>1</v>
      </c>
      <c r="U375" t="b">
        <v>0</v>
      </c>
      <c r="V375" t="b">
        <v>0</v>
      </c>
      <c r="W375" t="b">
        <v>1</v>
      </c>
      <c r="X375" t="b">
        <v>0</v>
      </c>
      <c r="Y375" t="b">
        <v>1</v>
      </c>
      <c r="Z375" t="b">
        <v>1</v>
      </c>
      <c r="AA375" t="b">
        <v>1</v>
      </c>
      <c r="AB375" t="s">
        <v>3823</v>
      </c>
      <c r="AC375" t="s">
        <v>7906</v>
      </c>
    </row>
    <row r="376" spans="1:29" x14ac:dyDescent="0.3">
      <c r="A376">
        <v>-73.978920639999998</v>
      </c>
      <c r="B376">
        <v>40.773615139999997</v>
      </c>
      <c r="C376" t="s">
        <v>2577</v>
      </c>
      <c r="D376" t="s">
        <v>38</v>
      </c>
      <c r="E376" s="58">
        <v>43390</v>
      </c>
      <c r="F376">
        <v>13</v>
      </c>
      <c r="G376" t="s">
        <v>48</v>
      </c>
      <c r="H376" t="s">
        <v>176</v>
      </c>
      <c r="I376" t="s">
        <v>5105</v>
      </c>
      <c r="J376" t="s">
        <v>5106</v>
      </c>
      <c r="K376" t="s">
        <v>1012</v>
      </c>
      <c r="L376" t="s">
        <v>65</v>
      </c>
      <c r="M376" t="b">
        <v>0</v>
      </c>
      <c r="N376" t="s">
        <v>4323</v>
      </c>
      <c r="O376" t="b">
        <v>1</v>
      </c>
      <c r="P376" t="b">
        <v>1</v>
      </c>
      <c r="Q376" t="b">
        <v>1</v>
      </c>
      <c r="R376" t="b">
        <v>0</v>
      </c>
      <c r="S376" t="b">
        <v>1</v>
      </c>
      <c r="T376" t="b">
        <v>0</v>
      </c>
      <c r="U376" t="b">
        <v>0</v>
      </c>
      <c r="V376" t="b">
        <v>1</v>
      </c>
      <c r="W376" t="b">
        <v>0</v>
      </c>
      <c r="X376" t="b">
        <v>0</v>
      </c>
      <c r="Y376" t="b">
        <v>1</v>
      </c>
      <c r="Z376" t="b">
        <v>1</v>
      </c>
      <c r="AA376" t="b">
        <v>0</v>
      </c>
      <c r="AB376" t="s">
        <v>5062</v>
      </c>
      <c r="AC376" t="s">
        <v>7907</v>
      </c>
    </row>
    <row r="377" spans="1:29" x14ac:dyDescent="0.3">
      <c r="A377">
        <v>-73.971131</v>
      </c>
      <c r="B377">
        <v>40.795567900000002</v>
      </c>
      <c r="C377" t="s">
        <v>1049</v>
      </c>
      <c r="D377" t="s">
        <v>33</v>
      </c>
      <c r="E377" s="58">
        <v>43386</v>
      </c>
      <c r="F377">
        <v>19</v>
      </c>
      <c r="G377" t="s">
        <v>48</v>
      </c>
      <c r="H377" t="s">
        <v>53</v>
      </c>
      <c r="I377" t="s">
        <v>53</v>
      </c>
      <c r="J377" t="s">
        <v>1922</v>
      </c>
      <c r="K377" t="s">
        <v>7003</v>
      </c>
      <c r="L377" t="s">
        <v>65</v>
      </c>
      <c r="M377" t="b">
        <v>0</v>
      </c>
      <c r="N377" t="s">
        <v>723</v>
      </c>
      <c r="O377" t="b">
        <v>1</v>
      </c>
      <c r="P377" t="b">
        <v>0</v>
      </c>
      <c r="Q377" t="b">
        <v>1</v>
      </c>
      <c r="R377" t="b">
        <v>1</v>
      </c>
      <c r="S377" t="b">
        <v>0</v>
      </c>
      <c r="T377" t="b">
        <v>1</v>
      </c>
      <c r="U377" t="b">
        <v>1</v>
      </c>
      <c r="V377" t="b">
        <v>1</v>
      </c>
      <c r="W377" t="b">
        <v>1</v>
      </c>
      <c r="X377" t="b">
        <v>1</v>
      </c>
      <c r="Y377" t="b">
        <v>0</v>
      </c>
      <c r="Z377" t="b">
        <v>0</v>
      </c>
      <c r="AA377" t="b">
        <v>0</v>
      </c>
      <c r="AB377" t="s">
        <v>2962</v>
      </c>
      <c r="AC377" t="s">
        <v>7908</v>
      </c>
    </row>
    <row r="378" spans="1:29" x14ac:dyDescent="0.3">
      <c r="A378">
        <v>-73.954598390000001</v>
      </c>
      <c r="B378">
        <v>40.780588909999999</v>
      </c>
      <c r="C378" t="s">
        <v>689</v>
      </c>
      <c r="D378" t="s">
        <v>33</v>
      </c>
      <c r="E378" s="58">
        <v>43384</v>
      </c>
      <c r="F378">
        <v>23</v>
      </c>
      <c r="G378" t="s">
        <v>105</v>
      </c>
      <c r="H378" t="s">
        <v>42</v>
      </c>
      <c r="I378" t="s">
        <v>42</v>
      </c>
      <c r="J378" t="s">
        <v>339</v>
      </c>
      <c r="K378" t="s">
        <v>4572</v>
      </c>
      <c r="L378" t="s">
        <v>65</v>
      </c>
      <c r="M378" t="b">
        <v>0</v>
      </c>
      <c r="N378" t="s">
        <v>4504</v>
      </c>
      <c r="O378" t="b">
        <v>0</v>
      </c>
      <c r="P378" t="b">
        <v>1</v>
      </c>
      <c r="Q378" t="b">
        <v>0</v>
      </c>
      <c r="R378" t="b">
        <v>1</v>
      </c>
      <c r="S378" t="b">
        <v>0</v>
      </c>
      <c r="T378" t="b">
        <v>0</v>
      </c>
      <c r="U378" t="b">
        <v>1</v>
      </c>
      <c r="V378" t="b">
        <v>1</v>
      </c>
      <c r="W378" t="b">
        <v>1</v>
      </c>
      <c r="X378" t="b">
        <v>0</v>
      </c>
      <c r="Y378" t="b">
        <v>0</v>
      </c>
      <c r="Z378" t="b">
        <v>1</v>
      </c>
      <c r="AA378" t="b">
        <v>0</v>
      </c>
      <c r="AB378" t="s">
        <v>4641</v>
      </c>
      <c r="AC378" t="s">
        <v>7909</v>
      </c>
    </row>
    <row r="379" spans="1:29" x14ac:dyDescent="0.3">
      <c r="A379">
        <v>-73.980426989999998</v>
      </c>
      <c r="B379">
        <v>40.783036279999997</v>
      </c>
      <c r="C379" t="s">
        <v>208</v>
      </c>
      <c r="D379" t="s">
        <v>38</v>
      </c>
      <c r="E379" s="58">
        <v>43382</v>
      </c>
      <c r="F379">
        <v>2</v>
      </c>
      <c r="G379" t="s">
        <v>3842</v>
      </c>
      <c r="H379" t="s">
        <v>53</v>
      </c>
      <c r="I379" t="s">
        <v>59</v>
      </c>
      <c r="J379" t="s">
        <v>155</v>
      </c>
      <c r="K379" t="s">
        <v>4308</v>
      </c>
      <c r="L379" t="s">
        <v>44</v>
      </c>
      <c r="M379">
        <v>6</v>
      </c>
      <c r="N379" t="s">
        <v>3990</v>
      </c>
      <c r="O379" t="b">
        <v>0</v>
      </c>
      <c r="P379" t="b">
        <v>0</v>
      </c>
      <c r="Q379" t="b">
        <v>0</v>
      </c>
      <c r="R379" t="b">
        <v>1</v>
      </c>
      <c r="S379" t="b">
        <v>0</v>
      </c>
      <c r="T379" t="b">
        <v>1</v>
      </c>
      <c r="U379" t="b">
        <v>0</v>
      </c>
      <c r="V379" t="b">
        <v>0</v>
      </c>
      <c r="W379" t="b">
        <v>0</v>
      </c>
      <c r="X379" t="b">
        <v>1</v>
      </c>
      <c r="Y379" t="b">
        <v>0</v>
      </c>
      <c r="Z379" t="b">
        <v>1</v>
      </c>
      <c r="AA379" t="b">
        <v>0</v>
      </c>
      <c r="AB379" t="s">
        <v>867</v>
      </c>
      <c r="AC379" t="s">
        <v>7910</v>
      </c>
    </row>
    <row r="380" spans="1:29" x14ac:dyDescent="0.3">
      <c r="A380">
        <v>-73.955554289999995</v>
      </c>
      <c r="B380">
        <v>40.777558499999998</v>
      </c>
      <c r="C380" t="s">
        <v>428</v>
      </c>
      <c r="D380" t="s">
        <v>33</v>
      </c>
      <c r="E380" s="58">
        <v>43392</v>
      </c>
      <c r="F380">
        <v>13</v>
      </c>
      <c r="G380" t="s">
        <v>105</v>
      </c>
      <c r="H380" t="s">
        <v>53</v>
      </c>
      <c r="I380" t="s">
        <v>737</v>
      </c>
      <c r="J380" t="s">
        <v>177</v>
      </c>
      <c r="K380" t="s">
        <v>3351</v>
      </c>
      <c r="L380" t="s">
        <v>44</v>
      </c>
      <c r="M380">
        <v>3</v>
      </c>
      <c r="N380" t="s">
        <v>3098</v>
      </c>
      <c r="O380" t="b">
        <v>1</v>
      </c>
      <c r="P380" t="b">
        <v>1</v>
      </c>
      <c r="Q380" t="b">
        <v>1</v>
      </c>
      <c r="R380" t="b">
        <v>0</v>
      </c>
      <c r="S380" t="b">
        <v>1</v>
      </c>
      <c r="T380" t="b">
        <v>0</v>
      </c>
      <c r="U380" t="b">
        <v>0</v>
      </c>
      <c r="V380" t="b">
        <v>1</v>
      </c>
      <c r="W380" t="b">
        <v>0</v>
      </c>
      <c r="X380" t="b">
        <v>1</v>
      </c>
      <c r="Y380" t="b">
        <v>0</v>
      </c>
      <c r="Z380" t="b">
        <v>1</v>
      </c>
      <c r="AA380" t="b">
        <v>1</v>
      </c>
      <c r="AB380" t="s">
        <v>2338</v>
      </c>
      <c r="AC380" t="s">
        <v>7911</v>
      </c>
    </row>
    <row r="381" spans="1:29" x14ac:dyDescent="0.3">
      <c r="A381">
        <v>-73.972297960000006</v>
      </c>
      <c r="B381">
        <v>40.785787190000001</v>
      </c>
      <c r="C381" t="s">
        <v>2385</v>
      </c>
      <c r="D381" t="s">
        <v>33</v>
      </c>
      <c r="E381" s="58">
        <v>43384</v>
      </c>
      <c r="F381">
        <v>11</v>
      </c>
      <c r="G381" t="s">
        <v>3842</v>
      </c>
      <c r="H381" t="s">
        <v>42</v>
      </c>
      <c r="I381" t="s">
        <v>176</v>
      </c>
      <c r="J381" t="s">
        <v>97</v>
      </c>
      <c r="K381" t="s">
        <v>1843</v>
      </c>
      <c r="L381" t="s">
        <v>44</v>
      </c>
      <c r="M381">
        <v>25</v>
      </c>
      <c r="N381" t="s">
        <v>6452</v>
      </c>
      <c r="O381" t="b">
        <v>0</v>
      </c>
      <c r="P381" t="b">
        <v>1</v>
      </c>
      <c r="Q381" t="b">
        <v>0</v>
      </c>
      <c r="R381" t="b">
        <v>1</v>
      </c>
      <c r="S381" t="b">
        <v>1</v>
      </c>
      <c r="T381" t="b">
        <v>1</v>
      </c>
      <c r="U381" t="b">
        <v>1</v>
      </c>
      <c r="V381" t="b">
        <v>1</v>
      </c>
      <c r="W381" t="b">
        <v>1</v>
      </c>
      <c r="X381" t="b">
        <v>0</v>
      </c>
      <c r="Y381" t="b">
        <v>0</v>
      </c>
      <c r="Z381" t="b">
        <v>1</v>
      </c>
      <c r="AA381" t="b">
        <v>1</v>
      </c>
      <c r="AB381" t="s">
        <v>4104</v>
      </c>
      <c r="AC381" t="s">
        <v>7912</v>
      </c>
    </row>
    <row r="382" spans="1:29" x14ac:dyDescent="0.3">
      <c r="A382">
        <v>-73.977443859999994</v>
      </c>
      <c r="B382">
        <v>40.77066799</v>
      </c>
      <c r="C382" t="s">
        <v>1515</v>
      </c>
      <c r="D382" t="s">
        <v>38</v>
      </c>
      <c r="E382" s="58">
        <v>43381</v>
      </c>
      <c r="F382">
        <v>30</v>
      </c>
      <c r="G382" t="s">
        <v>105</v>
      </c>
      <c r="H382" t="s">
        <v>53</v>
      </c>
      <c r="I382" t="s">
        <v>59</v>
      </c>
      <c r="J382" t="s">
        <v>149</v>
      </c>
      <c r="K382" t="s">
        <v>2458</v>
      </c>
      <c r="L382" t="s">
        <v>65</v>
      </c>
      <c r="M382" t="b">
        <v>0</v>
      </c>
      <c r="N382" t="s">
        <v>321</v>
      </c>
      <c r="O382" t="b">
        <v>1</v>
      </c>
      <c r="P382" t="b">
        <v>0</v>
      </c>
      <c r="Q382" t="b">
        <v>0</v>
      </c>
      <c r="R382" t="b">
        <v>1</v>
      </c>
      <c r="S382" t="b">
        <v>0</v>
      </c>
      <c r="T382" t="b">
        <v>1</v>
      </c>
      <c r="U382" t="b">
        <v>0</v>
      </c>
      <c r="V382" t="b">
        <v>0</v>
      </c>
      <c r="W382" t="b">
        <v>1</v>
      </c>
      <c r="X382" t="b">
        <v>0</v>
      </c>
      <c r="Y382" t="b">
        <v>1</v>
      </c>
      <c r="Z382" t="b">
        <v>1</v>
      </c>
      <c r="AA382" t="b">
        <v>1</v>
      </c>
      <c r="AB382" t="s">
        <v>4464</v>
      </c>
      <c r="AC382" t="s">
        <v>7913</v>
      </c>
    </row>
    <row r="383" spans="1:29" x14ac:dyDescent="0.3">
      <c r="A383">
        <v>-73.959255380000002</v>
      </c>
      <c r="B383">
        <v>40.77867981</v>
      </c>
      <c r="C383" t="s">
        <v>1063</v>
      </c>
      <c r="D383" t="s">
        <v>33</v>
      </c>
      <c r="E383" s="58">
        <v>43390</v>
      </c>
      <c r="F383">
        <v>22</v>
      </c>
      <c r="G383" t="s">
        <v>3842</v>
      </c>
      <c r="H383" t="s">
        <v>176</v>
      </c>
      <c r="I383" t="s">
        <v>148</v>
      </c>
      <c r="J383" t="s">
        <v>89</v>
      </c>
      <c r="K383" t="s">
        <v>894</v>
      </c>
      <c r="L383" t="s">
        <v>65</v>
      </c>
      <c r="M383" t="b">
        <v>0</v>
      </c>
      <c r="N383" t="s">
        <v>1518</v>
      </c>
      <c r="O383" t="b">
        <v>1</v>
      </c>
      <c r="P383" t="b">
        <v>0</v>
      </c>
      <c r="Q383" t="b">
        <v>1</v>
      </c>
      <c r="R383" t="b">
        <v>1</v>
      </c>
      <c r="S383" t="b">
        <v>1</v>
      </c>
      <c r="T383" t="b">
        <v>0</v>
      </c>
      <c r="U383" t="b">
        <v>0</v>
      </c>
      <c r="V383" t="b">
        <v>0</v>
      </c>
      <c r="W383" t="b">
        <v>0</v>
      </c>
      <c r="X383" t="b">
        <v>1</v>
      </c>
      <c r="Y383" t="b">
        <v>1</v>
      </c>
      <c r="Z383" t="b">
        <v>0</v>
      </c>
      <c r="AA383" t="b">
        <v>1</v>
      </c>
      <c r="AB383" t="s">
        <v>272</v>
      </c>
      <c r="AC383" t="s">
        <v>7914</v>
      </c>
    </row>
    <row r="384" spans="1:29" x14ac:dyDescent="0.3">
      <c r="A384">
        <v>-73.961386619999999</v>
      </c>
      <c r="B384">
        <v>40.799041590000002</v>
      </c>
      <c r="C384" t="s">
        <v>3392</v>
      </c>
      <c r="D384" t="s">
        <v>33</v>
      </c>
      <c r="E384" s="58">
        <v>43386</v>
      </c>
      <c r="F384">
        <v>29</v>
      </c>
      <c r="G384" t="s">
        <v>105</v>
      </c>
      <c r="H384" t="s">
        <v>42</v>
      </c>
      <c r="I384" t="s">
        <v>42</v>
      </c>
      <c r="J384" t="s">
        <v>2942</v>
      </c>
      <c r="K384" t="s">
        <v>3453</v>
      </c>
      <c r="L384" t="s">
        <v>65</v>
      </c>
      <c r="M384" t="b">
        <v>0</v>
      </c>
      <c r="N384" t="s">
        <v>6167</v>
      </c>
      <c r="O384" t="b">
        <v>1</v>
      </c>
      <c r="P384" t="b">
        <v>0</v>
      </c>
      <c r="Q384" t="b">
        <v>1</v>
      </c>
      <c r="R384" t="b">
        <v>0</v>
      </c>
      <c r="S384" t="b">
        <v>0</v>
      </c>
      <c r="T384" t="b">
        <v>0</v>
      </c>
      <c r="U384" t="b">
        <v>0</v>
      </c>
      <c r="V384" t="b">
        <v>1</v>
      </c>
      <c r="W384" t="b">
        <v>1</v>
      </c>
      <c r="X384" t="b">
        <v>0</v>
      </c>
      <c r="Y384" t="b">
        <v>0</v>
      </c>
      <c r="Z384" t="b">
        <v>1</v>
      </c>
      <c r="AA384" t="b">
        <v>1</v>
      </c>
      <c r="AB384" t="s">
        <v>5913</v>
      </c>
      <c r="AC384" t="s">
        <v>7915</v>
      </c>
    </row>
    <row r="385" spans="1:29" x14ac:dyDescent="0.3">
      <c r="A385">
        <v>-73.953573660000004</v>
      </c>
      <c r="B385">
        <v>40.773998990000003</v>
      </c>
      <c r="C385" t="s">
        <v>510</v>
      </c>
      <c r="D385" t="s">
        <v>33</v>
      </c>
      <c r="E385" s="58">
        <v>43388</v>
      </c>
      <c r="F385">
        <v>4</v>
      </c>
      <c r="G385" t="s">
        <v>3842</v>
      </c>
      <c r="H385" t="s">
        <v>176</v>
      </c>
      <c r="I385" t="s">
        <v>737</v>
      </c>
      <c r="J385" t="s">
        <v>1142</v>
      </c>
      <c r="K385" t="s">
        <v>3942</v>
      </c>
      <c r="L385" t="s">
        <v>44</v>
      </c>
      <c r="M385">
        <v>25</v>
      </c>
      <c r="N385" t="s">
        <v>4860</v>
      </c>
      <c r="O385" t="b">
        <v>0</v>
      </c>
      <c r="P385" t="b">
        <v>0</v>
      </c>
      <c r="Q385" t="b">
        <v>0</v>
      </c>
      <c r="R385" t="b">
        <v>0</v>
      </c>
      <c r="S385" t="b">
        <v>1</v>
      </c>
      <c r="T385" t="b">
        <v>1</v>
      </c>
      <c r="U385" t="b">
        <v>0</v>
      </c>
      <c r="V385" t="b">
        <v>1</v>
      </c>
      <c r="W385" t="b">
        <v>0</v>
      </c>
      <c r="X385" t="b">
        <v>1</v>
      </c>
      <c r="Y385" t="b">
        <v>0</v>
      </c>
      <c r="Z385" t="b">
        <v>0</v>
      </c>
      <c r="AA385" t="b">
        <v>0</v>
      </c>
      <c r="AB385" t="s">
        <v>3437</v>
      </c>
      <c r="AC385" t="s">
        <v>7916</v>
      </c>
    </row>
    <row r="386" spans="1:29" x14ac:dyDescent="0.3">
      <c r="A386">
        <v>-73.958050290000003</v>
      </c>
      <c r="B386">
        <v>40.788032950000002</v>
      </c>
      <c r="C386" t="s">
        <v>2864</v>
      </c>
      <c r="D386" t="s">
        <v>33</v>
      </c>
      <c r="E386" s="58">
        <v>43392</v>
      </c>
      <c r="F386">
        <v>22</v>
      </c>
      <c r="G386" t="s">
        <v>105</v>
      </c>
      <c r="H386" t="s">
        <v>42</v>
      </c>
      <c r="I386" t="s">
        <v>5105</v>
      </c>
      <c r="J386" t="s">
        <v>738</v>
      </c>
      <c r="K386" t="s">
        <v>7178</v>
      </c>
      <c r="L386" t="s">
        <v>44</v>
      </c>
      <c r="M386">
        <v>3</v>
      </c>
      <c r="N386" t="s">
        <v>7063</v>
      </c>
      <c r="O386" t="b">
        <v>0</v>
      </c>
      <c r="P386" t="b">
        <v>0</v>
      </c>
      <c r="Q386" t="b">
        <v>1</v>
      </c>
      <c r="R386" t="b">
        <v>1</v>
      </c>
      <c r="S386" t="b">
        <v>0</v>
      </c>
      <c r="T386" t="b">
        <v>1</v>
      </c>
      <c r="U386" t="b">
        <v>1</v>
      </c>
      <c r="V386" t="b">
        <v>1</v>
      </c>
      <c r="W386" t="b">
        <v>1</v>
      </c>
      <c r="X386" t="b">
        <v>0</v>
      </c>
      <c r="Y386" t="b">
        <v>0</v>
      </c>
      <c r="Z386" t="b">
        <v>0</v>
      </c>
      <c r="AA386" t="b">
        <v>1</v>
      </c>
      <c r="AB386" t="s">
        <v>2102</v>
      </c>
      <c r="AC386" t="s">
        <v>7917</v>
      </c>
    </row>
    <row r="387" spans="1:29" x14ac:dyDescent="0.3">
      <c r="A387">
        <v>-73.955899700000003</v>
      </c>
      <c r="B387">
        <v>40.776359909999996</v>
      </c>
      <c r="C387" t="s">
        <v>1377</v>
      </c>
      <c r="D387" t="s">
        <v>33</v>
      </c>
      <c r="E387" s="58">
        <v>43391</v>
      </c>
      <c r="F387">
        <v>20</v>
      </c>
      <c r="G387" t="s">
        <v>3842</v>
      </c>
      <c r="H387" t="s">
        <v>176</v>
      </c>
      <c r="I387" t="s">
        <v>42</v>
      </c>
      <c r="J387" t="s">
        <v>97</v>
      </c>
      <c r="K387" t="s">
        <v>6299</v>
      </c>
      <c r="L387" t="s">
        <v>65</v>
      </c>
      <c r="M387" t="b">
        <v>0</v>
      </c>
      <c r="N387" t="s">
        <v>6252</v>
      </c>
      <c r="O387" t="b">
        <v>1</v>
      </c>
      <c r="P387" t="b">
        <v>1</v>
      </c>
      <c r="Q387" t="b">
        <v>0</v>
      </c>
      <c r="R387" t="b">
        <v>1</v>
      </c>
      <c r="S387" t="b">
        <v>0</v>
      </c>
      <c r="T387" t="b">
        <v>0</v>
      </c>
      <c r="U387" t="b">
        <v>1</v>
      </c>
      <c r="V387" t="b">
        <v>0</v>
      </c>
      <c r="W387" t="b">
        <v>0</v>
      </c>
      <c r="X387" t="b">
        <v>1</v>
      </c>
      <c r="Y387" t="b">
        <v>0</v>
      </c>
      <c r="Z387" t="b">
        <v>1</v>
      </c>
      <c r="AA387" t="b">
        <v>1</v>
      </c>
      <c r="AB387" t="s">
        <v>2338</v>
      </c>
      <c r="AC387" t="s">
        <v>7918</v>
      </c>
    </row>
    <row r="388" spans="1:29" x14ac:dyDescent="0.3">
      <c r="A388">
        <v>-73.97229231</v>
      </c>
      <c r="B388">
        <v>40.792142990000002</v>
      </c>
      <c r="C388" t="s">
        <v>1780</v>
      </c>
      <c r="D388" t="s">
        <v>38</v>
      </c>
      <c r="E388" s="58">
        <v>43391</v>
      </c>
      <c r="F388">
        <v>20</v>
      </c>
      <c r="G388" t="s">
        <v>105</v>
      </c>
      <c r="H388" t="s">
        <v>176</v>
      </c>
      <c r="I388" t="s">
        <v>5105</v>
      </c>
      <c r="J388" t="s">
        <v>1142</v>
      </c>
      <c r="K388" t="s">
        <v>5787</v>
      </c>
      <c r="L388" t="s">
        <v>65</v>
      </c>
      <c r="M388" t="b">
        <v>0</v>
      </c>
      <c r="N388" t="s">
        <v>140</v>
      </c>
      <c r="O388" t="b">
        <v>1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1</v>
      </c>
      <c r="X388" t="b">
        <v>1</v>
      </c>
      <c r="Y388" t="b">
        <v>1</v>
      </c>
      <c r="Z388" t="b">
        <v>0</v>
      </c>
      <c r="AA388" t="b">
        <v>0</v>
      </c>
      <c r="AB388" t="s">
        <v>3258</v>
      </c>
      <c r="AC388" t="s">
        <v>7919</v>
      </c>
    </row>
    <row r="389" spans="1:29" x14ac:dyDescent="0.3">
      <c r="A389">
        <v>-73.975580449999995</v>
      </c>
      <c r="B389">
        <v>40.76951845</v>
      </c>
      <c r="C389" t="s">
        <v>183</v>
      </c>
      <c r="D389" t="s">
        <v>38</v>
      </c>
      <c r="E389" s="58">
        <v>43380</v>
      </c>
      <c r="F389">
        <v>15</v>
      </c>
      <c r="G389" t="s">
        <v>48</v>
      </c>
      <c r="H389" t="s">
        <v>53</v>
      </c>
      <c r="I389" t="s">
        <v>1921</v>
      </c>
      <c r="J389" t="s">
        <v>79</v>
      </c>
      <c r="K389" t="s">
        <v>1012</v>
      </c>
      <c r="L389" t="s">
        <v>65</v>
      </c>
      <c r="M389" t="b">
        <v>0</v>
      </c>
      <c r="N389" t="s">
        <v>1819</v>
      </c>
      <c r="O389" t="b">
        <v>0</v>
      </c>
      <c r="P389" t="b">
        <v>0</v>
      </c>
      <c r="Q389" t="b">
        <v>0</v>
      </c>
      <c r="R389" t="b">
        <v>0</v>
      </c>
      <c r="S389" t="b">
        <v>1</v>
      </c>
      <c r="T389" t="b">
        <v>0</v>
      </c>
      <c r="U389" t="b">
        <v>0</v>
      </c>
      <c r="V389" t="b">
        <v>0</v>
      </c>
      <c r="W389" t="b">
        <v>0</v>
      </c>
      <c r="X389" t="b">
        <v>1</v>
      </c>
      <c r="Y389" t="b">
        <v>1</v>
      </c>
      <c r="Z389" t="b">
        <v>1</v>
      </c>
      <c r="AA389" t="b">
        <v>1</v>
      </c>
      <c r="AB389" t="s">
        <v>3820</v>
      </c>
      <c r="AC389" t="s">
        <v>7920</v>
      </c>
    </row>
    <row r="390" spans="1:29" x14ac:dyDescent="0.3">
      <c r="A390">
        <v>-73.957561639999994</v>
      </c>
      <c r="B390">
        <v>40.799055979999999</v>
      </c>
      <c r="C390" t="s">
        <v>2662</v>
      </c>
      <c r="D390" t="s">
        <v>38</v>
      </c>
      <c r="E390" s="58">
        <v>43383</v>
      </c>
      <c r="F390">
        <v>4</v>
      </c>
      <c r="G390" t="s">
        <v>3842</v>
      </c>
      <c r="H390" t="s">
        <v>176</v>
      </c>
      <c r="I390" t="s">
        <v>53</v>
      </c>
      <c r="J390" t="s">
        <v>1142</v>
      </c>
      <c r="K390" t="s">
        <v>4177</v>
      </c>
      <c r="L390" t="s">
        <v>65</v>
      </c>
      <c r="M390" t="b">
        <v>0</v>
      </c>
      <c r="N390" t="s">
        <v>3239</v>
      </c>
      <c r="O390" t="b">
        <v>1</v>
      </c>
      <c r="P390" t="b">
        <v>1</v>
      </c>
      <c r="Q390" t="b">
        <v>0</v>
      </c>
      <c r="R390" t="b">
        <v>0</v>
      </c>
      <c r="S390" t="b">
        <v>1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1</v>
      </c>
      <c r="Z390" t="b">
        <v>0</v>
      </c>
      <c r="AA390" t="b">
        <v>1</v>
      </c>
      <c r="AB390" t="s">
        <v>75</v>
      </c>
      <c r="AC390" t="s">
        <v>7921</v>
      </c>
    </row>
    <row r="391" spans="1:29" x14ac:dyDescent="0.3">
      <c r="A391">
        <v>-73.955794269999998</v>
      </c>
      <c r="B391">
        <v>40.780887620000001</v>
      </c>
      <c r="C391" t="s">
        <v>200</v>
      </c>
      <c r="D391" t="s">
        <v>38</v>
      </c>
      <c r="E391" s="58">
        <v>43379</v>
      </c>
      <c r="F391">
        <v>9</v>
      </c>
      <c r="G391" t="s">
        <v>105</v>
      </c>
      <c r="H391" t="s">
        <v>53</v>
      </c>
      <c r="I391" t="s">
        <v>115</v>
      </c>
      <c r="J391" t="s">
        <v>34</v>
      </c>
      <c r="K391" t="s">
        <v>6823</v>
      </c>
      <c r="L391" t="s">
        <v>44</v>
      </c>
      <c r="M391">
        <v>15</v>
      </c>
      <c r="N391" t="s">
        <v>3166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1</v>
      </c>
      <c r="X391" t="b">
        <v>1</v>
      </c>
      <c r="Y391" t="b">
        <v>0</v>
      </c>
      <c r="Z391" t="b">
        <v>0</v>
      </c>
      <c r="AA391" t="b">
        <v>0</v>
      </c>
      <c r="AB391" t="s">
        <v>803</v>
      </c>
      <c r="AC391" t="s">
        <v>7922</v>
      </c>
    </row>
    <row r="392" spans="1:29" x14ac:dyDescent="0.3">
      <c r="A392">
        <v>-73.950020260000002</v>
      </c>
      <c r="B392">
        <v>40.773221499999998</v>
      </c>
      <c r="C392" t="s">
        <v>100</v>
      </c>
      <c r="D392" t="s">
        <v>33</v>
      </c>
      <c r="E392" s="58">
        <v>43384</v>
      </c>
      <c r="F392">
        <v>7</v>
      </c>
      <c r="G392" t="s">
        <v>3842</v>
      </c>
      <c r="H392" t="s">
        <v>42</v>
      </c>
      <c r="I392" t="s">
        <v>42</v>
      </c>
      <c r="J392" t="s">
        <v>2942</v>
      </c>
      <c r="K392" t="s">
        <v>7178</v>
      </c>
      <c r="L392" t="s">
        <v>44</v>
      </c>
      <c r="M392">
        <v>6</v>
      </c>
      <c r="N392" t="s">
        <v>3773</v>
      </c>
      <c r="O392" t="b">
        <v>1</v>
      </c>
      <c r="P392" t="b">
        <v>1</v>
      </c>
      <c r="Q392" t="b">
        <v>0</v>
      </c>
      <c r="R392" t="b">
        <v>1</v>
      </c>
      <c r="S392" t="b">
        <v>0</v>
      </c>
      <c r="T392" t="b">
        <v>0</v>
      </c>
      <c r="U392" t="b">
        <v>1</v>
      </c>
      <c r="V392" t="b">
        <v>1</v>
      </c>
      <c r="W392" t="b">
        <v>0</v>
      </c>
      <c r="X392" t="b">
        <v>1</v>
      </c>
      <c r="Y392" t="b">
        <v>0</v>
      </c>
      <c r="Z392" t="b">
        <v>1</v>
      </c>
      <c r="AA392" t="b">
        <v>1</v>
      </c>
      <c r="AB392" t="s">
        <v>5720</v>
      </c>
      <c r="AC392" t="s">
        <v>7923</v>
      </c>
    </row>
    <row r="393" spans="1:29" x14ac:dyDescent="0.3">
      <c r="A393">
        <v>-73.968187200000003</v>
      </c>
      <c r="B393">
        <v>40.767498330000002</v>
      </c>
      <c r="C393" t="s">
        <v>1962</v>
      </c>
      <c r="D393" t="s">
        <v>33</v>
      </c>
      <c r="E393" s="58">
        <v>43380</v>
      </c>
      <c r="F393">
        <v>19</v>
      </c>
      <c r="G393" t="s">
        <v>3842</v>
      </c>
      <c r="H393" t="s">
        <v>176</v>
      </c>
      <c r="I393" t="s">
        <v>148</v>
      </c>
      <c r="J393" t="s">
        <v>79</v>
      </c>
      <c r="K393" t="s">
        <v>7072</v>
      </c>
      <c r="L393" t="s">
        <v>44</v>
      </c>
      <c r="M393">
        <v>4</v>
      </c>
      <c r="N393" t="s">
        <v>4320</v>
      </c>
      <c r="O393" t="b">
        <v>0</v>
      </c>
      <c r="P393" t="b">
        <v>1</v>
      </c>
      <c r="Q393" t="b">
        <v>1</v>
      </c>
      <c r="R393" t="b">
        <v>0</v>
      </c>
      <c r="S393" t="b">
        <v>0</v>
      </c>
      <c r="T393" t="b">
        <v>1</v>
      </c>
      <c r="U393" t="b">
        <v>0</v>
      </c>
      <c r="V393" t="b">
        <v>1</v>
      </c>
      <c r="W393" t="b">
        <v>1</v>
      </c>
      <c r="X393" t="b">
        <v>0</v>
      </c>
      <c r="Y393" t="b">
        <v>0</v>
      </c>
      <c r="Z393" t="b">
        <v>0</v>
      </c>
      <c r="AA393" t="b">
        <v>0</v>
      </c>
      <c r="AB393" t="s">
        <v>6539</v>
      </c>
      <c r="AC393" t="s">
        <v>7924</v>
      </c>
    </row>
    <row r="394" spans="1:29" x14ac:dyDescent="0.3">
      <c r="A394">
        <v>-73.969463520000005</v>
      </c>
      <c r="B394">
        <v>40.770887479999999</v>
      </c>
      <c r="C394" t="s">
        <v>2798</v>
      </c>
      <c r="D394" t="s">
        <v>33</v>
      </c>
      <c r="E394" s="58">
        <v>43382</v>
      </c>
      <c r="F394">
        <v>19</v>
      </c>
      <c r="G394" t="s">
        <v>105</v>
      </c>
      <c r="H394" t="s">
        <v>176</v>
      </c>
      <c r="I394" t="s">
        <v>5105</v>
      </c>
      <c r="J394" t="s">
        <v>97</v>
      </c>
      <c r="K394" t="s">
        <v>6166</v>
      </c>
      <c r="L394" t="s">
        <v>65</v>
      </c>
      <c r="M394" t="b">
        <v>0</v>
      </c>
      <c r="N394" t="s">
        <v>2204</v>
      </c>
      <c r="O394" t="b">
        <v>1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b">
        <v>0</v>
      </c>
      <c r="V394" t="b">
        <v>1</v>
      </c>
      <c r="W394" t="b">
        <v>1</v>
      </c>
      <c r="X394" t="b">
        <v>0</v>
      </c>
      <c r="Y394" t="b">
        <v>1</v>
      </c>
      <c r="Z394" t="b">
        <v>0</v>
      </c>
      <c r="AA394" t="b">
        <v>0</v>
      </c>
      <c r="AB394" t="s">
        <v>108</v>
      </c>
      <c r="AC394" t="s">
        <v>7925</v>
      </c>
    </row>
    <row r="395" spans="1:29" x14ac:dyDescent="0.3">
      <c r="A395">
        <v>-73.956750630000002</v>
      </c>
      <c r="B395">
        <v>40.783210789999998</v>
      </c>
      <c r="C395" t="s">
        <v>275</v>
      </c>
      <c r="D395" t="s">
        <v>33</v>
      </c>
      <c r="E395" s="58">
        <v>43384</v>
      </c>
      <c r="F395">
        <v>6</v>
      </c>
      <c r="G395" t="s">
        <v>3842</v>
      </c>
      <c r="H395" t="s">
        <v>42</v>
      </c>
      <c r="I395" t="s">
        <v>59</v>
      </c>
      <c r="J395" t="s">
        <v>2942</v>
      </c>
      <c r="K395" t="s">
        <v>7003</v>
      </c>
      <c r="L395" t="s">
        <v>44</v>
      </c>
      <c r="M395">
        <v>15</v>
      </c>
      <c r="N395" t="s">
        <v>2877</v>
      </c>
      <c r="O395" t="b">
        <v>0</v>
      </c>
      <c r="P395" t="b">
        <v>0</v>
      </c>
      <c r="Q395" t="b">
        <v>1</v>
      </c>
      <c r="R395" t="b">
        <v>0</v>
      </c>
      <c r="S395" t="b">
        <v>0</v>
      </c>
      <c r="T395" t="b">
        <v>0</v>
      </c>
      <c r="U395" t="b">
        <v>1</v>
      </c>
      <c r="V395" t="b">
        <v>0</v>
      </c>
      <c r="W395" t="b">
        <v>1</v>
      </c>
      <c r="X395" t="b">
        <v>1</v>
      </c>
      <c r="Y395" t="b">
        <v>1</v>
      </c>
      <c r="Z395" t="b">
        <v>0</v>
      </c>
      <c r="AA395" t="b">
        <v>1</v>
      </c>
      <c r="AB395" t="s">
        <v>3201</v>
      </c>
      <c r="AC395" t="s">
        <v>7926</v>
      </c>
    </row>
    <row r="396" spans="1:29" x14ac:dyDescent="0.3">
      <c r="A396">
        <v>-73.970444799999996</v>
      </c>
      <c r="B396">
        <v>40.776775829999998</v>
      </c>
      <c r="C396" t="s">
        <v>1000</v>
      </c>
      <c r="D396" t="s">
        <v>33</v>
      </c>
      <c r="E396" s="58">
        <v>43388</v>
      </c>
      <c r="F396">
        <v>6</v>
      </c>
      <c r="G396" t="s">
        <v>105</v>
      </c>
      <c r="H396" t="s">
        <v>42</v>
      </c>
      <c r="I396" t="s">
        <v>1921</v>
      </c>
      <c r="J396" t="s">
        <v>5106</v>
      </c>
      <c r="K396" t="s">
        <v>1472</v>
      </c>
      <c r="L396" t="s">
        <v>65</v>
      </c>
      <c r="M396" t="b">
        <v>0</v>
      </c>
      <c r="N396" t="s">
        <v>6570</v>
      </c>
      <c r="O396" t="b">
        <v>1</v>
      </c>
      <c r="P396" t="b">
        <v>0</v>
      </c>
      <c r="Q396" t="b">
        <v>0</v>
      </c>
      <c r="R396" t="b">
        <v>1</v>
      </c>
      <c r="S396" t="b">
        <v>0</v>
      </c>
      <c r="T396" t="b">
        <v>0</v>
      </c>
      <c r="U396" t="b">
        <v>1</v>
      </c>
      <c r="V396" t="b">
        <v>0</v>
      </c>
      <c r="W396" t="b">
        <v>1</v>
      </c>
      <c r="X396" t="b">
        <v>1</v>
      </c>
      <c r="Y396" t="b">
        <v>1</v>
      </c>
      <c r="Z396" t="b">
        <v>0</v>
      </c>
      <c r="AA396" t="b">
        <v>0</v>
      </c>
      <c r="AB396" t="s">
        <v>1146</v>
      </c>
      <c r="AC396" t="s">
        <v>7927</v>
      </c>
    </row>
    <row r="397" spans="1:29" x14ac:dyDescent="0.3">
      <c r="A397">
        <v>-73.951898540000002</v>
      </c>
      <c r="B397">
        <v>40.794093869999998</v>
      </c>
      <c r="C397" t="s">
        <v>200</v>
      </c>
      <c r="D397" t="s">
        <v>38</v>
      </c>
      <c r="E397" s="58">
        <v>43389</v>
      </c>
      <c r="F397">
        <v>20</v>
      </c>
      <c r="G397" t="s">
        <v>48</v>
      </c>
      <c r="H397" t="s">
        <v>176</v>
      </c>
      <c r="I397" t="s">
        <v>148</v>
      </c>
      <c r="J397" t="s">
        <v>79</v>
      </c>
      <c r="K397" t="s">
        <v>4660</v>
      </c>
      <c r="L397" t="s">
        <v>65</v>
      </c>
      <c r="M397" t="b">
        <v>0</v>
      </c>
      <c r="N397" t="s">
        <v>3200</v>
      </c>
      <c r="O397" t="b">
        <v>0</v>
      </c>
      <c r="P397" t="b">
        <v>1</v>
      </c>
      <c r="Q397" t="b">
        <v>1</v>
      </c>
      <c r="R397" t="b">
        <v>1</v>
      </c>
      <c r="S397" t="b">
        <v>1</v>
      </c>
      <c r="T397" t="b">
        <v>0</v>
      </c>
      <c r="U397" t="b">
        <v>0</v>
      </c>
      <c r="V397" t="b">
        <v>1</v>
      </c>
      <c r="W397" t="b">
        <v>0</v>
      </c>
      <c r="X397" t="b">
        <v>0</v>
      </c>
      <c r="Y397" t="b">
        <v>0</v>
      </c>
      <c r="Z397" t="b">
        <v>0</v>
      </c>
      <c r="AA397" t="b">
        <v>1</v>
      </c>
      <c r="AB397" t="s">
        <v>7093</v>
      </c>
      <c r="AC397" t="s">
        <v>7928</v>
      </c>
    </row>
    <row r="398" spans="1:29" x14ac:dyDescent="0.3">
      <c r="A398">
        <v>-73.954172819999997</v>
      </c>
      <c r="B398">
        <v>40.780081289999998</v>
      </c>
      <c r="C398" t="s">
        <v>189</v>
      </c>
      <c r="D398" t="s">
        <v>38</v>
      </c>
      <c r="E398" s="58">
        <v>43386</v>
      </c>
      <c r="F398">
        <v>15</v>
      </c>
      <c r="G398" t="s">
        <v>3842</v>
      </c>
      <c r="H398" t="s">
        <v>42</v>
      </c>
      <c r="I398" t="s">
        <v>176</v>
      </c>
      <c r="J398" t="s">
        <v>1233</v>
      </c>
      <c r="K398" t="s">
        <v>2823</v>
      </c>
      <c r="L398" t="s">
        <v>65</v>
      </c>
      <c r="M398" t="b">
        <v>0</v>
      </c>
      <c r="N398" t="s">
        <v>6618</v>
      </c>
      <c r="O398" t="b">
        <v>0</v>
      </c>
      <c r="P398" t="b">
        <v>0</v>
      </c>
      <c r="Q398" t="b">
        <v>1</v>
      </c>
      <c r="R398" t="b">
        <v>0</v>
      </c>
      <c r="S398" t="b">
        <v>1</v>
      </c>
      <c r="T398" t="b">
        <v>1</v>
      </c>
      <c r="U398" t="b">
        <v>1</v>
      </c>
      <c r="V398" t="b">
        <v>1</v>
      </c>
      <c r="W398" t="b">
        <v>1</v>
      </c>
      <c r="X398" t="b">
        <v>1</v>
      </c>
      <c r="Y398" t="b">
        <v>1</v>
      </c>
      <c r="Z398" t="b">
        <v>0</v>
      </c>
      <c r="AA398" t="b">
        <v>1</v>
      </c>
      <c r="AB398" t="s">
        <v>5188</v>
      </c>
      <c r="AC398" t="s">
        <v>7929</v>
      </c>
    </row>
    <row r="399" spans="1:29" x14ac:dyDescent="0.3">
      <c r="A399">
        <v>-73.967672379999996</v>
      </c>
      <c r="B399">
        <v>40.773667359999997</v>
      </c>
      <c r="C399" t="s">
        <v>1063</v>
      </c>
      <c r="D399" t="s">
        <v>33</v>
      </c>
      <c r="E399" s="58">
        <v>43390</v>
      </c>
      <c r="F399">
        <v>15</v>
      </c>
      <c r="G399" t="s">
        <v>48</v>
      </c>
      <c r="H399" t="s">
        <v>53</v>
      </c>
      <c r="I399" t="s">
        <v>115</v>
      </c>
      <c r="J399" t="s">
        <v>5106</v>
      </c>
      <c r="K399" t="s">
        <v>4463</v>
      </c>
      <c r="L399" t="s">
        <v>44</v>
      </c>
      <c r="M399">
        <v>4</v>
      </c>
      <c r="N399" t="s">
        <v>5371</v>
      </c>
      <c r="O399" t="b">
        <v>0</v>
      </c>
      <c r="P399" t="b">
        <v>0</v>
      </c>
      <c r="Q399" t="b">
        <v>1</v>
      </c>
      <c r="R399" t="b">
        <v>1</v>
      </c>
      <c r="S399" t="b">
        <v>1</v>
      </c>
      <c r="T399" t="b">
        <v>1</v>
      </c>
      <c r="U399" t="b">
        <v>1</v>
      </c>
      <c r="V399" t="b">
        <v>1</v>
      </c>
      <c r="W399" t="b">
        <v>1</v>
      </c>
      <c r="X399" t="b">
        <v>0</v>
      </c>
      <c r="Y399" t="b">
        <v>0</v>
      </c>
      <c r="Z399" t="b">
        <v>0</v>
      </c>
      <c r="AA399" t="b">
        <v>1</v>
      </c>
      <c r="AB399" t="s">
        <v>7278</v>
      </c>
      <c r="AC399" t="s">
        <v>7930</v>
      </c>
    </row>
    <row r="400" spans="1:29" x14ac:dyDescent="0.3">
      <c r="A400">
        <v>-73.957553590000003</v>
      </c>
      <c r="B400">
        <v>40.786639020000003</v>
      </c>
      <c r="C400" t="s">
        <v>1832</v>
      </c>
      <c r="D400" t="s">
        <v>33</v>
      </c>
      <c r="E400" s="58">
        <v>43386</v>
      </c>
      <c r="F400">
        <v>25</v>
      </c>
      <c r="G400" t="s">
        <v>3842</v>
      </c>
      <c r="H400" t="s">
        <v>42</v>
      </c>
      <c r="I400" t="s">
        <v>1921</v>
      </c>
      <c r="J400" t="s">
        <v>116</v>
      </c>
      <c r="K400" t="s">
        <v>7046</v>
      </c>
      <c r="L400" t="s">
        <v>44</v>
      </c>
      <c r="M400">
        <v>10</v>
      </c>
      <c r="N400" t="s">
        <v>5488</v>
      </c>
      <c r="O400" t="b">
        <v>0</v>
      </c>
      <c r="P400" t="b">
        <v>0</v>
      </c>
      <c r="Q400" t="b">
        <v>0</v>
      </c>
      <c r="R400" t="b">
        <v>1</v>
      </c>
      <c r="S400" t="b">
        <v>1</v>
      </c>
      <c r="T400" t="b">
        <v>1</v>
      </c>
      <c r="U400" t="b">
        <v>0</v>
      </c>
      <c r="V400" t="b">
        <v>0</v>
      </c>
      <c r="W400" t="b">
        <v>1</v>
      </c>
      <c r="X400" t="b">
        <v>0</v>
      </c>
      <c r="Y400" t="b">
        <v>1</v>
      </c>
      <c r="Z400" t="b">
        <v>0</v>
      </c>
      <c r="AA400" t="b">
        <v>0</v>
      </c>
      <c r="AB400" t="s">
        <v>3835</v>
      </c>
      <c r="AC400" t="s">
        <v>7931</v>
      </c>
    </row>
    <row r="401" spans="1:29" x14ac:dyDescent="0.3">
      <c r="A401">
        <v>-73.957438159999995</v>
      </c>
      <c r="B401">
        <v>40.78979477</v>
      </c>
      <c r="C401" t="s">
        <v>764</v>
      </c>
      <c r="D401" t="s">
        <v>33</v>
      </c>
      <c r="E401" s="58">
        <v>43389</v>
      </c>
      <c r="F401">
        <v>20</v>
      </c>
      <c r="G401" t="s">
        <v>3842</v>
      </c>
      <c r="H401" t="s">
        <v>42</v>
      </c>
      <c r="I401" t="s">
        <v>53</v>
      </c>
      <c r="J401" t="s">
        <v>34</v>
      </c>
      <c r="K401" t="s">
        <v>3887</v>
      </c>
      <c r="L401" t="s">
        <v>65</v>
      </c>
      <c r="M401" t="b">
        <v>0</v>
      </c>
      <c r="N401" t="s">
        <v>332</v>
      </c>
      <c r="O401" t="b">
        <v>1</v>
      </c>
      <c r="P401" t="b">
        <v>0</v>
      </c>
      <c r="Q401" t="b">
        <v>1</v>
      </c>
      <c r="R401" t="b">
        <v>1</v>
      </c>
      <c r="S401" t="b">
        <v>0</v>
      </c>
      <c r="T401" t="b">
        <v>1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1</v>
      </c>
      <c r="AA401" t="b">
        <v>0</v>
      </c>
      <c r="AB401" t="s">
        <v>2974</v>
      </c>
      <c r="AC401" t="s">
        <v>7932</v>
      </c>
    </row>
    <row r="402" spans="1:29" x14ac:dyDescent="0.3">
      <c r="A402">
        <v>-73.977916690000001</v>
      </c>
      <c r="B402">
        <v>40.770791850000002</v>
      </c>
      <c r="C402" t="s">
        <v>5232</v>
      </c>
      <c r="D402" t="s">
        <v>38</v>
      </c>
      <c r="E402" s="58">
        <v>43384</v>
      </c>
      <c r="F402">
        <v>9</v>
      </c>
      <c r="G402" t="s">
        <v>3842</v>
      </c>
      <c r="H402" t="s">
        <v>176</v>
      </c>
      <c r="I402" t="s">
        <v>115</v>
      </c>
      <c r="J402" t="s">
        <v>43</v>
      </c>
      <c r="K402" t="s">
        <v>2458</v>
      </c>
      <c r="L402" t="s">
        <v>44</v>
      </c>
      <c r="M402">
        <v>8</v>
      </c>
      <c r="N402" t="s">
        <v>748</v>
      </c>
      <c r="O402" t="b">
        <v>0</v>
      </c>
      <c r="P402" t="b">
        <v>0</v>
      </c>
      <c r="Q402" t="b">
        <v>1</v>
      </c>
      <c r="R402" t="b">
        <v>0</v>
      </c>
      <c r="S402" t="b">
        <v>0</v>
      </c>
      <c r="T402" t="b">
        <v>0</v>
      </c>
      <c r="U402" t="b">
        <v>1</v>
      </c>
      <c r="V402" t="b">
        <v>0</v>
      </c>
      <c r="W402" t="b">
        <v>1</v>
      </c>
      <c r="X402" t="b">
        <v>1</v>
      </c>
      <c r="Y402" t="b">
        <v>0</v>
      </c>
      <c r="Z402" t="b">
        <v>0</v>
      </c>
      <c r="AA402" t="b">
        <v>0</v>
      </c>
      <c r="AB402" t="s">
        <v>690</v>
      </c>
      <c r="AC402" t="s">
        <v>7933</v>
      </c>
    </row>
    <row r="403" spans="1:29" x14ac:dyDescent="0.3">
      <c r="A403">
        <v>-73.95278519</v>
      </c>
      <c r="B403">
        <v>40.77081218</v>
      </c>
      <c r="C403" t="s">
        <v>627</v>
      </c>
      <c r="D403" t="s">
        <v>33</v>
      </c>
      <c r="E403" s="58">
        <v>43382</v>
      </c>
      <c r="F403">
        <v>4</v>
      </c>
      <c r="G403" t="s">
        <v>105</v>
      </c>
      <c r="H403" t="s">
        <v>53</v>
      </c>
      <c r="I403" t="s">
        <v>5105</v>
      </c>
      <c r="J403" t="s">
        <v>738</v>
      </c>
      <c r="K403" t="s">
        <v>700</v>
      </c>
      <c r="L403" t="s">
        <v>65</v>
      </c>
      <c r="M403" t="b">
        <v>0</v>
      </c>
      <c r="N403" t="s">
        <v>978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1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1</v>
      </c>
      <c r="AA403" t="b">
        <v>0</v>
      </c>
      <c r="AB403" t="s">
        <v>5356</v>
      </c>
      <c r="AC403" t="s">
        <v>7934</v>
      </c>
    </row>
    <row r="404" spans="1:29" x14ac:dyDescent="0.3">
      <c r="A404">
        <v>-73.965275059999996</v>
      </c>
      <c r="B404">
        <v>40.766201789999997</v>
      </c>
      <c r="C404" t="s">
        <v>218</v>
      </c>
      <c r="D404" t="s">
        <v>33</v>
      </c>
      <c r="E404" s="58">
        <v>43386</v>
      </c>
      <c r="F404">
        <v>18</v>
      </c>
      <c r="G404" t="s">
        <v>48</v>
      </c>
      <c r="H404" t="s">
        <v>42</v>
      </c>
      <c r="I404" t="s">
        <v>148</v>
      </c>
      <c r="J404" t="s">
        <v>3228</v>
      </c>
      <c r="K404" t="s">
        <v>1688</v>
      </c>
      <c r="L404" t="s">
        <v>65</v>
      </c>
      <c r="M404" t="b">
        <v>0</v>
      </c>
      <c r="N404" t="s">
        <v>4712</v>
      </c>
      <c r="O404" t="b">
        <v>1</v>
      </c>
      <c r="P404" t="b">
        <v>1</v>
      </c>
      <c r="Q404" t="b">
        <v>1</v>
      </c>
      <c r="R404" t="b">
        <v>0</v>
      </c>
      <c r="S404" t="b">
        <v>1</v>
      </c>
      <c r="T404" t="b">
        <v>0</v>
      </c>
      <c r="U404" t="b">
        <v>1</v>
      </c>
      <c r="V404" t="b">
        <v>0</v>
      </c>
      <c r="W404" t="b">
        <v>0</v>
      </c>
      <c r="X404" t="b">
        <v>1</v>
      </c>
      <c r="Y404" t="b">
        <v>0</v>
      </c>
      <c r="Z404" t="b">
        <v>1</v>
      </c>
      <c r="AA404" t="b">
        <v>0</v>
      </c>
      <c r="AB404" t="s">
        <v>5241</v>
      </c>
      <c r="AC404" t="s">
        <v>7935</v>
      </c>
    </row>
    <row r="405" spans="1:29" x14ac:dyDescent="0.3">
      <c r="A405">
        <v>-73.955177390000003</v>
      </c>
      <c r="B405">
        <v>40.790837799999998</v>
      </c>
      <c r="C405" t="s">
        <v>215</v>
      </c>
      <c r="D405" t="s">
        <v>33</v>
      </c>
      <c r="E405" s="58">
        <v>43391</v>
      </c>
      <c r="F405">
        <v>18</v>
      </c>
      <c r="G405" t="s">
        <v>3842</v>
      </c>
      <c r="H405" t="s">
        <v>53</v>
      </c>
      <c r="I405" t="s">
        <v>176</v>
      </c>
      <c r="J405" t="s">
        <v>1922</v>
      </c>
      <c r="K405" t="s">
        <v>64</v>
      </c>
      <c r="L405" t="s">
        <v>65</v>
      </c>
      <c r="M405" t="b">
        <v>0</v>
      </c>
      <c r="N405" t="s">
        <v>3085</v>
      </c>
      <c r="O405" t="b">
        <v>0</v>
      </c>
      <c r="P405" t="b">
        <v>1</v>
      </c>
      <c r="Q405" t="b">
        <v>1</v>
      </c>
      <c r="R405" t="b">
        <v>1</v>
      </c>
      <c r="S405" t="b">
        <v>1</v>
      </c>
      <c r="T405" t="b">
        <v>0</v>
      </c>
      <c r="U405" t="b">
        <v>1</v>
      </c>
      <c r="V405" t="b">
        <v>1</v>
      </c>
      <c r="W405" t="b">
        <v>1</v>
      </c>
      <c r="X405" t="b">
        <v>1</v>
      </c>
      <c r="Y405" t="b">
        <v>1</v>
      </c>
      <c r="Z405" t="b">
        <v>0</v>
      </c>
      <c r="AA405" t="b">
        <v>0</v>
      </c>
      <c r="AB405" t="s">
        <v>3158</v>
      </c>
      <c r="AC405" t="s">
        <v>7936</v>
      </c>
    </row>
    <row r="406" spans="1:29" x14ac:dyDescent="0.3">
      <c r="A406">
        <v>-73.971097240000006</v>
      </c>
      <c r="B406">
        <v>40.7882818</v>
      </c>
      <c r="C406" t="s">
        <v>32</v>
      </c>
      <c r="D406" t="s">
        <v>38</v>
      </c>
      <c r="E406" s="58">
        <v>43386</v>
      </c>
      <c r="F406">
        <v>5</v>
      </c>
      <c r="G406" t="s">
        <v>105</v>
      </c>
      <c r="H406" t="s">
        <v>53</v>
      </c>
      <c r="I406" t="s">
        <v>96</v>
      </c>
      <c r="J406" t="s">
        <v>177</v>
      </c>
      <c r="K406" t="s">
        <v>1381</v>
      </c>
      <c r="L406" t="s">
        <v>44</v>
      </c>
      <c r="M406">
        <v>2</v>
      </c>
      <c r="N406" t="s">
        <v>3328</v>
      </c>
      <c r="O406" t="b">
        <v>1</v>
      </c>
      <c r="P406" t="b">
        <v>1</v>
      </c>
      <c r="Q406" t="b">
        <v>0</v>
      </c>
      <c r="R406" t="b">
        <v>1</v>
      </c>
      <c r="S406" t="b">
        <v>0</v>
      </c>
      <c r="T406" t="b">
        <v>1</v>
      </c>
      <c r="U406" t="b">
        <v>1</v>
      </c>
      <c r="V406" t="b">
        <v>1</v>
      </c>
      <c r="W406" t="b">
        <v>0</v>
      </c>
      <c r="X406" t="b">
        <v>0</v>
      </c>
      <c r="Y406" t="b">
        <v>1</v>
      </c>
      <c r="Z406" t="b">
        <v>0</v>
      </c>
      <c r="AA406" t="b">
        <v>0</v>
      </c>
      <c r="AB406" t="s">
        <v>2407</v>
      </c>
      <c r="AC406" t="s">
        <v>7937</v>
      </c>
    </row>
    <row r="407" spans="1:29" x14ac:dyDescent="0.3">
      <c r="A407">
        <v>-73.953006180000003</v>
      </c>
      <c r="B407">
        <v>40.781621399999999</v>
      </c>
      <c r="C407" t="s">
        <v>899</v>
      </c>
      <c r="D407" t="s">
        <v>33</v>
      </c>
      <c r="E407" s="58">
        <v>43388</v>
      </c>
      <c r="F407">
        <v>20</v>
      </c>
      <c r="G407" t="s">
        <v>3842</v>
      </c>
      <c r="H407" t="s">
        <v>53</v>
      </c>
      <c r="I407" t="s">
        <v>53</v>
      </c>
      <c r="J407" t="s">
        <v>155</v>
      </c>
      <c r="K407" t="s">
        <v>1417</v>
      </c>
      <c r="L407" t="s">
        <v>44</v>
      </c>
      <c r="M407">
        <v>25</v>
      </c>
      <c r="N407" t="s">
        <v>2724</v>
      </c>
      <c r="O407" t="b">
        <v>0</v>
      </c>
      <c r="P407" t="b">
        <v>1</v>
      </c>
      <c r="Q407" t="b">
        <v>1</v>
      </c>
      <c r="R407" t="b">
        <v>1</v>
      </c>
      <c r="S407" t="b">
        <v>1</v>
      </c>
      <c r="T407" t="b">
        <v>1</v>
      </c>
      <c r="U407" t="b">
        <v>0</v>
      </c>
      <c r="V407" t="b">
        <v>0</v>
      </c>
      <c r="W407" t="b">
        <v>1</v>
      </c>
      <c r="X407" t="b">
        <v>0</v>
      </c>
      <c r="Y407" t="b">
        <v>1</v>
      </c>
      <c r="Z407" t="b">
        <v>1</v>
      </c>
      <c r="AA407" t="b">
        <v>0</v>
      </c>
      <c r="AB407" t="s">
        <v>7171</v>
      </c>
      <c r="AC407" t="s">
        <v>7938</v>
      </c>
    </row>
    <row r="408" spans="1:29" x14ac:dyDescent="0.3">
      <c r="A408">
        <v>-73.968923320000002</v>
      </c>
      <c r="B408">
        <v>40.79463209</v>
      </c>
      <c r="C408" t="s">
        <v>517</v>
      </c>
      <c r="D408" t="s">
        <v>38</v>
      </c>
      <c r="E408" s="58">
        <v>43392</v>
      </c>
      <c r="F408">
        <v>23</v>
      </c>
      <c r="G408" t="s">
        <v>105</v>
      </c>
      <c r="H408" t="s">
        <v>176</v>
      </c>
      <c r="I408" t="s">
        <v>737</v>
      </c>
      <c r="J408" t="s">
        <v>60</v>
      </c>
      <c r="K408" t="s">
        <v>3859</v>
      </c>
      <c r="L408" t="s">
        <v>65</v>
      </c>
      <c r="M408" t="b">
        <v>0</v>
      </c>
      <c r="N408" t="s">
        <v>2332</v>
      </c>
      <c r="O408" t="b">
        <v>0</v>
      </c>
      <c r="P408" t="b">
        <v>0</v>
      </c>
      <c r="Q408" t="b">
        <v>1</v>
      </c>
      <c r="R408" t="b">
        <v>1</v>
      </c>
      <c r="S408" t="b">
        <v>1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1</v>
      </c>
      <c r="AA408" t="b">
        <v>0</v>
      </c>
      <c r="AB408" t="s">
        <v>1029</v>
      </c>
      <c r="AC408" t="s">
        <v>7939</v>
      </c>
    </row>
    <row r="409" spans="1:29" x14ac:dyDescent="0.3">
      <c r="A409">
        <v>-73.980817880000004</v>
      </c>
      <c r="B409">
        <v>40.793276579999997</v>
      </c>
      <c r="C409" t="s">
        <v>111</v>
      </c>
      <c r="D409" t="s">
        <v>38</v>
      </c>
      <c r="E409" s="58">
        <v>43379</v>
      </c>
      <c r="F409">
        <v>30</v>
      </c>
      <c r="G409" t="s">
        <v>3842</v>
      </c>
      <c r="H409" t="s">
        <v>42</v>
      </c>
      <c r="I409" t="s">
        <v>5105</v>
      </c>
      <c r="J409" t="s">
        <v>79</v>
      </c>
      <c r="K409" t="s">
        <v>1181</v>
      </c>
      <c r="L409" t="s">
        <v>44</v>
      </c>
      <c r="M409">
        <v>30</v>
      </c>
      <c r="N409" t="s">
        <v>806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1</v>
      </c>
      <c r="U409" t="b">
        <v>1</v>
      </c>
      <c r="V409" t="b">
        <v>1</v>
      </c>
      <c r="W409" t="b">
        <v>0</v>
      </c>
      <c r="X409" t="b">
        <v>0</v>
      </c>
      <c r="Y409" t="b">
        <v>1</v>
      </c>
      <c r="Z409" t="b">
        <v>1</v>
      </c>
      <c r="AA409" t="b">
        <v>0</v>
      </c>
      <c r="AB409" t="s">
        <v>2768</v>
      </c>
      <c r="AC409" t="s">
        <v>7940</v>
      </c>
    </row>
    <row r="410" spans="1:29" x14ac:dyDescent="0.3">
      <c r="A410">
        <v>-73.952696259999996</v>
      </c>
      <c r="B410">
        <v>40.785519739999998</v>
      </c>
      <c r="C410" t="s">
        <v>4930</v>
      </c>
      <c r="D410" t="s">
        <v>38</v>
      </c>
      <c r="E410" s="58">
        <v>43382</v>
      </c>
      <c r="F410">
        <v>11</v>
      </c>
      <c r="G410" t="s">
        <v>48</v>
      </c>
      <c r="H410" t="s">
        <v>176</v>
      </c>
      <c r="I410" t="s">
        <v>96</v>
      </c>
      <c r="J410" t="s">
        <v>60</v>
      </c>
      <c r="K410" t="s">
        <v>6800</v>
      </c>
      <c r="L410" t="s">
        <v>44</v>
      </c>
      <c r="M410">
        <v>25</v>
      </c>
      <c r="N410" t="s">
        <v>6618</v>
      </c>
      <c r="O410" t="b">
        <v>0</v>
      </c>
      <c r="P410" t="b">
        <v>1</v>
      </c>
      <c r="Q410" t="b">
        <v>1</v>
      </c>
      <c r="R410" t="b">
        <v>1</v>
      </c>
      <c r="S410" t="b">
        <v>0</v>
      </c>
      <c r="T410" t="b">
        <v>1</v>
      </c>
      <c r="U410" t="b">
        <v>1</v>
      </c>
      <c r="V410" t="b">
        <v>0</v>
      </c>
      <c r="W410" t="b">
        <v>1</v>
      </c>
      <c r="X410" t="b">
        <v>1</v>
      </c>
      <c r="Y410" t="b">
        <v>0</v>
      </c>
      <c r="Z410" t="b">
        <v>0</v>
      </c>
      <c r="AA410" t="b">
        <v>0</v>
      </c>
      <c r="AB410" t="s">
        <v>5699</v>
      </c>
      <c r="AC410" t="s">
        <v>7941</v>
      </c>
    </row>
    <row r="411" spans="1:29" x14ac:dyDescent="0.3">
      <c r="A411">
        <v>-73.978288820000003</v>
      </c>
      <c r="B411">
        <v>40.79548063</v>
      </c>
      <c r="C411" t="s">
        <v>331</v>
      </c>
      <c r="D411" t="s">
        <v>38</v>
      </c>
      <c r="E411" s="58">
        <v>43382</v>
      </c>
      <c r="F411">
        <v>5</v>
      </c>
      <c r="G411" t="s">
        <v>48</v>
      </c>
      <c r="H411" t="s">
        <v>42</v>
      </c>
      <c r="I411" t="s">
        <v>42</v>
      </c>
      <c r="J411" t="s">
        <v>619</v>
      </c>
      <c r="K411" t="s">
        <v>4660</v>
      </c>
      <c r="L411" t="s">
        <v>44</v>
      </c>
      <c r="M411">
        <v>6</v>
      </c>
      <c r="N411" t="s">
        <v>348</v>
      </c>
      <c r="O411" t="b">
        <v>0</v>
      </c>
      <c r="P411" t="b">
        <v>1</v>
      </c>
      <c r="Q411" t="b">
        <v>1</v>
      </c>
      <c r="R411" t="b">
        <v>1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1</v>
      </c>
      <c r="Y411" t="b">
        <v>1</v>
      </c>
      <c r="Z411" t="b">
        <v>0</v>
      </c>
      <c r="AA411" t="b">
        <v>1</v>
      </c>
      <c r="AB411" t="s">
        <v>1801</v>
      </c>
      <c r="AC411" t="s">
        <v>7942</v>
      </c>
    </row>
    <row r="412" spans="1:29" x14ac:dyDescent="0.3">
      <c r="A412">
        <v>-73.971120380000002</v>
      </c>
      <c r="B412">
        <v>40.772157890000003</v>
      </c>
      <c r="C412" t="s">
        <v>520</v>
      </c>
      <c r="D412" t="s">
        <v>38</v>
      </c>
      <c r="E412" s="58">
        <v>43385</v>
      </c>
      <c r="F412">
        <v>22</v>
      </c>
      <c r="G412" t="s">
        <v>3842</v>
      </c>
      <c r="H412" t="s">
        <v>42</v>
      </c>
      <c r="I412" t="s">
        <v>176</v>
      </c>
      <c r="J412" t="s">
        <v>619</v>
      </c>
      <c r="K412" t="s">
        <v>4939</v>
      </c>
      <c r="L412" t="s">
        <v>44</v>
      </c>
      <c r="M412">
        <v>12</v>
      </c>
      <c r="N412" t="s">
        <v>5262</v>
      </c>
      <c r="O412" t="b">
        <v>0</v>
      </c>
      <c r="P412" t="b">
        <v>1</v>
      </c>
      <c r="Q412" t="b">
        <v>1</v>
      </c>
      <c r="R412" t="b">
        <v>1</v>
      </c>
      <c r="S412" t="b">
        <v>1</v>
      </c>
      <c r="T412" t="b">
        <v>0</v>
      </c>
      <c r="U412" t="b">
        <v>1</v>
      </c>
      <c r="V412" t="b">
        <v>1</v>
      </c>
      <c r="W412" t="b">
        <v>1</v>
      </c>
      <c r="X412" t="b">
        <v>0</v>
      </c>
      <c r="Y412" t="b">
        <v>1</v>
      </c>
      <c r="Z412" t="b">
        <v>0</v>
      </c>
      <c r="AA412" t="b">
        <v>0</v>
      </c>
      <c r="AB412" t="s">
        <v>3975</v>
      </c>
      <c r="AC412" t="s">
        <v>7943</v>
      </c>
    </row>
    <row r="413" spans="1:29" x14ac:dyDescent="0.3">
      <c r="A413">
        <v>-73.951291659999995</v>
      </c>
      <c r="B413">
        <v>40.768851120000001</v>
      </c>
      <c r="C413" t="s">
        <v>1852</v>
      </c>
      <c r="D413" t="s">
        <v>38</v>
      </c>
      <c r="E413" s="58">
        <v>43392</v>
      </c>
      <c r="F413">
        <v>26</v>
      </c>
      <c r="G413" t="s">
        <v>105</v>
      </c>
      <c r="H413" t="s">
        <v>176</v>
      </c>
      <c r="I413" t="s">
        <v>59</v>
      </c>
      <c r="J413" t="s">
        <v>1922</v>
      </c>
      <c r="K413" t="s">
        <v>4381</v>
      </c>
      <c r="L413" t="s">
        <v>65</v>
      </c>
      <c r="M413" t="b">
        <v>0</v>
      </c>
      <c r="N413" t="s">
        <v>2700</v>
      </c>
      <c r="O413" t="b">
        <v>1</v>
      </c>
      <c r="P413" t="b">
        <v>0</v>
      </c>
      <c r="Q413" t="b">
        <v>1</v>
      </c>
      <c r="R413" t="b">
        <v>0</v>
      </c>
      <c r="S413" t="b">
        <v>0</v>
      </c>
      <c r="T413" t="b">
        <v>0</v>
      </c>
      <c r="U413" t="b">
        <v>1</v>
      </c>
      <c r="V413" t="b">
        <v>0</v>
      </c>
      <c r="W413" t="b">
        <v>0</v>
      </c>
      <c r="X413" t="b">
        <v>1</v>
      </c>
      <c r="Y413" t="b">
        <v>0</v>
      </c>
      <c r="Z413" t="b">
        <v>1</v>
      </c>
      <c r="AA413" t="b">
        <v>1</v>
      </c>
      <c r="AB413" t="s">
        <v>1216</v>
      </c>
      <c r="AC413" t="s">
        <v>7944</v>
      </c>
    </row>
    <row r="414" spans="1:29" x14ac:dyDescent="0.3">
      <c r="A414">
        <v>-73.951274519999998</v>
      </c>
      <c r="B414">
        <v>40.774407969999999</v>
      </c>
      <c r="C414" t="s">
        <v>1427</v>
      </c>
      <c r="D414" t="s">
        <v>33</v>
      </c>
      <c r="E414" s="58">
        <v>43392</v>
      </c>
      <c r="F414">
        <v>4</v>
      </c>
      <c r="G414" t="s">
        <v>3842</v>
      </c>
      <c r="H414" t="s">
        <v>53</v>
      </c>
      <c r="I414" t="s">
        <v>737</v>
      </c>
      <c r="J414" t="s">
        <v>43</v>
      </c>
      <c r="K414" t="s">
        <v>7178</v>
      </c>
      <c r="L414" t="s">
        <v>44</v>
      </c>
      <c r="M414">
        <v>5</v>
      </c>
      <c r="N414" t="s">
        <v>6641</v>
      </c>
      <c r="O414" t="b">
        <v>1</v>
      </c>
      <c r="P414" t="b">
        <v>0</v>
      </c>
      <c r="Q414" t="b">
        <v>0</v>
      </c>
      <c r="R414" t="b">
        <v>1</v>
      </c>
      <c r="S414" t="b">
        <v>0</v>
      </c>
      <c r="T414" t="b">
        <v>0</v>
      </c>
      <c r="U414" t="b">
        <v>0</v>
      </c>
      <c r="V414" t="b">
        <v>0</v>
      </c>
      <c r="W414" t="b">
        <v>1</v>
      </c>
      <c r="X414" t="b">
        <v>0</v>
      </c>
      <c r="Y414" t="b">
        <v>0</v>
      </c>
      <c r="Z414" t="b">
        <v>0</v>
      </c>
      <c r="AA414" t="b">
        <v>1</v>
      </c>
      <c r="AB414" t="s">
        <v>665</v>
      </c>
      <c r="AC414" t="s">
        <v>7945</v>
      </c>
    </row>
    <row r="415" spans="1:29" x14ac:dyDescent="0.3">
      <c r="A415">
        <v>-73.963131520000005</v>
      </c>
      <c r="B415">
        <v>40.766920570000003</v>
      </c>
      <c r="C415" t="s">
        <v>2573</v>
      </c>
      <c r="D415" t="s">
        <v>33</v>
      </c>
      <c r="E415" s="58">
        <v>43389</v>
      </c>
      <c r="F415">
        <v>29</v>
      </c>
      <c r="G415" t="s">
        <v>105</v>
      </c>
      <c r="H415" t="s">
        <v>53</v>
      </c>
      <c r="I415" t="s">
        <v>148</v>
      </c>
      <c r="J415" t="s">
        <v>1142</v>
      </c>
      <c r="K415" t="s">
        <v>4572</v>
      </c>
      <c r="L415" t="s">
        <v>65</v>
      </c>
      <c r="M415" t="b">
        <v>0</v>
      </c>
      <c r="N415" t="s">
        <v>2337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1</v>
      </c>
      <c r="W415" t="b">
        <v>1</v>
      </c>
      <c r="X415" t="b">
        <v>1</v>
      </c>
      <c r="Y415" t="b">
        <v>0</v>
      </c>
      <c r="Z415" t="b">
        <v>0</v>
      </c>
      <c r="AA415" t="b">
        <v>1</v>
      </c>
      <c r="AB415" t="s">
        <v>3121</v>
      </c>
      <c r="AC415" t="s">
        <v>7946</v>
      </c>
    </row>
    <row r="416" spans="1:29" x14ac:dyDescent="0.3">
      <c r="A416">
        <v>-73.961295629999995</v>
      </c>
      <c r="B416">
        <v>40.783612009999999</v>
      </c>
      <c r="C416" t="s">
        <v>428</v>
      </c>
      <c r="D416" t="s">
        <v>33</v>
      </c>
      <c r="E416" s="58">
        <v>43385</v>
      </c>
      <c r="F416">
        <v>12</v>
      </c>
      <c r="G416" t="s">
        <v>3842</v>
      </c>
      <c r="H416" t="s">
        <v>42</v>
      </c>
      <c r="I416" t="s">
        <v>176</v>
      </c>
      <c r="J416" t="s">
        <v>34</v>
      </c>
      <c r="K416" t="s">
        <v>3028</v>
      </c>
      <c r="L416" t="s">
        <v>65</v>
      </c>
      <c r="M416" t="b">
        <v>0</v>
      </c>
      <c r="N416" t="s">
        <v>2700</v>
      </c>
      <c r="O416" t="b">
        <v>0</v>
      </c>
      <c r="P416" t="b">
        <v>1</v>
      </c>
      <c r="Q416" t="b">
        <v>0</v>
      </c>
      <c r="R416" t="b">
        <v>0</v>
      </c>
      <c r="S416" t="b">
        <v>1</v>
      </c>
      <c r="T416" t="b">
        <v>1</v>
      </c>
      <c r="U416" t="b">
        <v>0</v>
      </c>
      <c r="V416" t="b">
        <v>0</v>
      </c>
      <c r="W416" t="b">
        <v>1</v>
      </c>
      <c r="X416" t="b">
        <v>1</v>
      </c>
      <c r="Y416" t="b">
        <v>1</v>
      </c>
      <c r="Z416" t="b">
        <v>0</v>
      </c>
      <c r="AA416" t="b">
        <v>1</v>
      </c>
      <c r="AB416" t="s">
        <v>5702</v>
      </c>
      <c r="AC416" t="s">
        <v>7947</v>
      </c>
    </row>
    <row r="417" spans="1:29" x14ac:dyDescent="0.3">
      <c r="A417">
        <v>-73.967060880000005</v>
      </c>
      <c r="B417">
        <v>40.79788654</v>
      </c>
      <c r="C417" t="s">
        <v>493</v>
      </c>
      <c r="D417" t="s">
        <v>38</v>
      </c>
      <c r="E417" s="58">
        <v>43391</v>
      </c>
      <c r="F417">
        <v>2</v>
      </c>
      <c r="G417" t="s">
        <v>105</v>
      </c>
      <c r="H417" t="s">
        <v>176</v>
      </c>
      <c r="I417" t="s">
        <v>115</v>
      </c>
      <c r="J417" t="s">
        <v>2942</v>
      </c>
      <c r="K417" t="s">
        <v>4308</v>
      </c>
      <c r="L417" t="s">
        <v>44</v>
      </c>
      <c r="M417">
        <v>2</v>
      </c>
      <c r="N417" t="s">
        <v>664</v>
      </c>
      <c r="O417" t="b">
        <v>1</v>
      </c>
      <c r="P417" t="b">
        <v>1</v>
      </c>
      <c r="Q417" t="b">
        <v>0</v>
      </c>
      <c r="R417" t="b">
        <v>1</v>
      </c>
      <c r="S417" t="b">
        <v>1</v>
      </c>
      <c r="T417" t="b">
        <v>0</v>
      </c>
      <c r="U417" t="b">
        <v>0</v>
      </c>
      <c r="V417" t="b">
        <v>0</v>
      </c>
      <c r="W417" t="b">
        <v>1</v>
      </c>
      <c r="X417" t="b">
        <v>1</v>
      </c>
      <c r="Y417" t="b">
        <v>0</v>
      </c>
      <c r="Z417" t="b">
        <v>0</v>
      </c>
      <c r="AA417" t="b">
        <v>0</v>
      </c>
      <c r="AB417" t="s">
        <v>5241</v>
      </c>
      <c r="AC417" t="s">
        <v>7948</v>
      </c>
    </row>
    <row r="418" spans="1:29" x14ac:dyDescent="0.3">
      <c r="A418">
        <v>-73.971940970000006</v>
      </c>
      <c r="B418">
        <v>40.76629587</v>
      </c>
      <c r="C418" t="s">
        <v>1578</v>
      </c>
      <c r="D418" t="s">
        <v>33</v>
      </c>
      <c r="E418" s="58">
        <v>43389</v>
      </c>
      <c r="F418">
        <v>13</v>
      </c>
      <c r="G418" t="s">
        <v>48</v>
      </c>
      <c r="H418" t="s">
        <v>53</v>
      </c>
      <c r="I418" t="s">
        <v>1921</v>
      </c>
      <c r="J418" t="s">
        <v>149</v>
      </c>
      <c r="K418" t="s">
        <v>672</v>
      </c>
      <c r="L418" t="s">
        <v>65</v>
      </c>
      <c r="M418" t="b">
        <v>0</v>
      </c>
      <c r="N418" t="s">
        <v>2451</v>
      </c>
      <c r="O418" t="b">
        <v>1</v>
      </c>
      <c r="P418" t="b">
        <v>1</v>
      </c>
      <c r="Q418" t="b">
        <v>1</v>
      </c>
      <c r="R418" t="b">
        <v>1</v>
      </c>
      <c r="S418" t="b">
        <v>0</v>
      </c>
      <c r="T418" t="b">
        <v>0</v>
      </c>
      <c r="U418" t="b">
        <v>1</v>
      </c>
      <c r="V418" t="b">
        <v>1</v>
      </c>
      <c r="W418" t="b">
        <v>0</v>
      </c>
      <c r="X418" t="b">
        <v>0</v>
      </c>
      <c r="Y418" t="b">
        <v>1</v>
      </c>
      <c r="Z418" t="b">
        <v>1</v>
      </c>
      <c r="AA418" t="b">
        <v>1</v>
      </c>
      <c r="AB418" t="s">
        <v>4636</v>
      </c>
      <c r="AC418" t="s">
        <v>7949</v>
      </c>
    </row>
    <row r="419" spans="1:29" x14ac:dyDescent="0.3">
      <c r="A419">
        <v>-73.970826410000001</v>
      </c>
      <c r="B419">
        <v>40.7692099</v>
      </c>
      <c r="C419" t="s">
        <v>68</v>
      </c>
      <c r="D419" t="s">
        <v>38</v>
      </c>
      <c r="E419" s="58">
        <v>43393</v>
      </c>
      <c r="F419">
        <v>10</v>
      </c>
      <c r="G419" t="s">
        <v>3842</v>
      </c>
      <c r="H419" t="s">
        <v>53</v>
      </c>
      <c r="I419" t="s">
        <v>115</v>
      </c>
      <c r="J419" t="s">
        <v>54</v>
      </c>
      <c r="K419" t="s">
        <v>6725</v>
      </c>
      <c r="L419" t="s">
        <v>65</v>
      </c>
      <c r="M419" t="b">
        <v>0</v>
      </c>
      <c r="N419" t="s">
        <v>1883</v>
      </c>
      <c r="O419" t="b">
        <v>0</v>
      </c>
      <c r="P419" t="b">
        <v>1</v>
      </c>
      <c r="Q419" t="b">
        <v>0</v>
      </c>
      <c r="R419" t="b">
        <v>1</v>
      </c>
      <c r="S419" t="b">
        <v>0</v>
      </c>
      <c r="T419" t="b">
        <v>0</v>
      </c>
      <c r="U419" t="b">
        <v>0</v>
      </c>
      <c r="V419" t="b">
        <v>1</v>
      </c>
      <c r="W419" t="b">
        <v>1</v>
      </c>
      <c r="X419" t="b">
        <v>1</v>
      </c>
      <c r="Y419" t="b">
        <v>1</v>
      </c>
      <c r="Z419" t="b">
        <v>0</v>
      </c>
      <c r="AA419" t="b">
        <v>1</v>
      </c>
      <c r="AB419" t="s">
        <v>3698</v>
      </c>
      <c r="AC419" t="s">
        <v>7950</v>
      </c>
    </row>
    <row r="420" spans="1:29" x14ac:dyDescent="0.3">
      <c r="A420">
        <v>-73.96001674</v>
      </c>
      <c r="B420">
        <v>40.780831620000001</v>
      </c>
      <c r="C420" t="s">
        <v>793</v>
      </c>
      <c r="D420" t="s">
        <v>38</v>
      </c>
      <c r="E420" s="58">
        <v>43386</v>
      </c>
      <c r="F420">
        <v>9</v>
      </c>
      <c r="G420" t="s">
        <v>48</v>
      </c>
      <c r="H420" t="s">
        <v>42</v>
      </c>
      <c r="I420" t="s">
        <v>115</v>
      </c>
      <c r="J420" t="s">
        <v>97</v>
      </c>
      <c r="K420" t="s">
        <v>242</v>
      </c>
      <c r="L420" t="s">
        <v>44</v>
      </c>
      <c r="M420">
        <v>10</v>
      </c>
      <c r="N420" t="s">
        <v>4648</v>
      </c>
      <c r="O420" t="b">
        <v>0</v>
      </c>
      <c r="P420" t="b">
        <v>1</v>
      </c>
      <c r="Q420" t="b">
        <v>0</v>
      </c>
      <c r="R420" t="b">
        <v>1</v>
      </c>
      <c r="S420" t="b">
        <v>1</v>
      </c>
      <c r="T420" t="b">
        <v>1</v>
      </c>
      <c r="U420" t="b">
        <v>0</v>
      </c>
      <c r="V420" t="b">
        <v>0</v>
      </c>
      <c r="W420" t="b">
        <v>1</v>
      </c>
      <c r="X420" t="b">
        <v>1</v>
      </c>
      <c r="Y420" t="b">
        <v>1</v>
      </c>
      <c r="Z420" t="b">
        <v>0</v>
      </c>
      <c r="AA420" t="b">
        <v>1</v>
      </c>
      <c r="AB420" t="s">
        <v>436</v>
      </c>
      <c r="AC420" t="s">
        <v>7951</v>
      </c>
    </row>
    <row r="421" spans="1:29" x14ac:dyDescent="0.3">
      <c r="A421">
        <v>-73.957506319999993</v>
      </c>
      <c r="B421">
        <v>40.797790399999997</v>
      </c>
      <c r="C421" t="s">
        <v>933</v>
      </c>
      <c r="D421" t="s">
        <v>38</v>
      </c>
      <c r="E421" s="58">
        <v>43389</v>
      </c>
      <c r="F421">
        <v>10</v>
      </c>
      <c r="G421" t="s">
        <v>48</v>
      </c>
      <c r="H421" t="s">
        <v>42</v>
      </c>
      <c r="I421" t="s">
        <v>42</v>
      </c>
      <c r="J421" t="s">
        <v>155</v>
      </c>
      <c r="K421" t="s">
        <v>4477</v>
      </c>
      <c r="L421" t="s">
        <v>65</v>
      </c>
      <c r="M421" t="b">
        <v>0</v>
      </c>
      <c r="N421" t="s">
        <v>815</v>
      </c>
      <c r="O421" t="b">
        <v>0</v>
      </c>
      <c r="P421" t="b">
        <v>0</v>
      </c>
      <c r="Q421" t="b">
        <v>1</v>
      </c>
      <c r="R421" t="b">
        <v>0</v>
      </c>
      <c r="S421" t="b">
        <v>1</v>
      </c>
      <c r="T421" t="b">
        <v>0</v>
      </c>
      <c r="U421" t="b">
        <v>1</v>
      </c>
      <c r="V421" t="b">
        <v>1</v>
      </c>
      <c r="W421" t="b">
        <v>1</v>
      </c>
      <c r="X421" t="b">
        <v>1</v>
      </c>
      <c r="Y421" t="b">
        <v>0</v>
      </c>
      <c r="Z421" t="b">
        <v>1</v>
      </c>
      <c r="AA421" t="b">
        <v>0</v>
      </c>
      <c r="AB421" t="s">
        <v>1432</v>
      </c>
      <c r="AC421" t="s">
        <v>7952</v>
      </c>
    </row>
    <row r="422" spans="1:29" x14ac:dyDescent="0.3">
      <c r="A422">
        <v>-73.956273859999996</v>
      </c>
      <c r="B422">
        <v>40.776041839999998</v>
      </c>
      <c r="C422" t="s">
        <v>839</v>
      </c>
      <c r="D422" t="s">
        <v>33</v>
      </c>
      <c r="E422" s="58">
        <v>43383</v>
      </c>
      <c r="F422">
        <v>7</v>
      </c>
      <c r="G422" t="s">
        <v>3842</v>
      </c>
      <c r="H422" t="s">
        <v>176</v>
      </c>
      <c r="I422" t="s">
        <v>53</v>
      </c>
      <c r="J422" t="s">
        <v>34</v>
      </c>
      <c r="K422" t="s">
        <v>7046</v>
      </c>
      <c r="L422" t="s">
        <v>65</v>
      </c>
      <c r="M422" t="b">
        <v>0</v>
      </c>
      <c r="N422" t="s">
        <v>1800</v>
      </c>
      <c r="O422" t="b">
        <v>0</v>
      </c>
      <c r="P422" t="b">
        <v>0</v>
      </c>
      <c r="Q422" t="b">
        <v>1</v>
      </c>
      <c r="R422" t="b">
        <v>0</v>
      </c>
      <c r="S422" t="b">
        <v>0</v>
      </c>
      <c r="T422" t="b">
        <v>0</v>
      </c>
      <c r="U422" t="b">
        <v>1</v>
      </c>
      <c r="V422" t="b">
        <v>1</v>
      </c>
      <c r="W422" t="b">
        <v>1</v>
      </c>
      <c r="X422" t="b">
        <v>1</v>
      </c>
      <c r="Y422" t="b">
        <v>1</v>
      </c>
      <c r="Z422" t="b">
        <v>0</v>
      </c>
      <c r="AA422" t="b">
        <v>1</v>
      </c>
      <c r="AB422" t="s">
        <v>4407</v>
      </c>
      <c r="AC422" t="s">
        <v>7953</v>
      </c>
    </row>
    <row r="423" spans="1:29" x14ac:dyDescent="0.3">
      <c r="A423">
        <v>-73.956335499999994</v>
      </c>
      <c r="B423">
        <v>40.78276932</v>
      </c>
      <c r="C423" t="s">
        <v>1232</v>
      </c>
      <c r="D423" t="s">
        <v>38</v>
      </c>
      <c r="E423" s="58">
        <v>43385</v>
      </c>
      <c r="F423">
        <v>4</v>
      </c>
      <c r="G423" t="s">
        <v>3842</v>
      </c>
      <c r="H423" t="s">
        <v>42</v>
      </c>
      <c r="I423" t="s">
        <v>59</v>
      </c>
      <c r="J423" t="s">
        <v>155</v>
      </c>
      <c r="K423" t="s">
        <v>5976</v>
      </c>
      <c r="L423" t="s">
        <v>44</v>
      </c>
      <c r="M423">
        <v>6</v>
      </c>
      <c r="N423" t="s">
        <v>535</v>
      </c>
      <c r="O423" t="b">
        <v>0</v>
      </c>
      <c r="P423" t="b">
        <v>0</v>
      </c>
      <c r="Q423" t="b">
        <v>1</v>
      </c>
      <c r="R423" t="b">
        <v>0</v>
      </c>
      <c r="S423" t="b">
        <v>1</v>
      </c>
      <c r="T423" t="b">
        <v>1</v>
      </c>
      <c r="U423" t="b">
        <v>1</v>
      </c>
      <c r="V423" t="b">
        <v>0</v>
      </c>
      <c r="W423" t="b">
        <v>0</v>
      </c>
      <c r="X423" t="b">
        <v>0</v>
      </c>
      <c r="Y423" t="b">
        <v>0</v>
      </c>
      <c r="Z423" t="b">
        <v>1</v>
      </c>
      <c r="AA423" t="b">
        <v>1</v>
      </c>
      <c r="AB423" t="s">
        <v>2350</v>
      </c>
      <c r="AC423" t="s">
        <v>7954</v>
      </c>
    </row>
    <row r="424" spans="1:29" x14ac:dyDescent="0.3">
      <c r="A424">
        <v>-73.978291350000006</v>
      </c>
      <c r="B424">
        <v>40.76637436</v>
      </c>
      <c r="C424" t="s">
        <v>946</v>
      </c>
      <c r="D424" t="s">
        <v>38</v>
      </c>
      <c r="E424" s="58">
        <v>43386</v>
      </c>
      <c r="F424">
        <v>19</v>
      </c>
      <c r="G424" t="s">
        <v>105</v>
      </c>
      <c r="H424" t="s">
        <v>53</v>
      </c>
      <c r="I424" t="s">
        <v>737</v>
      </c>
      <c r="J424" t="s">
        <v>3580</v>
      </c>
      <c r="K424" t="s">
        <v>5323</v>
      </c>
      <c r="L424" t="s">
        <v>44</v>
      </c>
      <c r="M424">
        <v>3</v>
      </c>
      <c r="N424" t="s">
        <v>4805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1</v>
      </c>
      <c r="W424" t="b">
        <v>1</v>
      </c>
      <c r="X424" t="b">
        <v>1</v>
      </c>
      <c r="Y424" t="b">
        <v>0</v>
      </c>
      <c r="Z424" t="b">
        <v>1</v>
      </c>
      <c r="AA424" t="b">
        <v>0</v>
      </c>
      <c r="AB424" t="s">
        <v>4172</v>
      </c>
      <c r="AC424" t="s">
        <v>7955</v>
      </c>
    </row>
    <row r="425" spans="1:29" x14ac:dyDescent="0.3">
      <c r="A425">
        <v>-73.965615580000005</v>
      </c>
      <c r="B425">
        <v>40.770133510000001</v>
      </c>
      <c r="C425" t="s">
        <v>936</v>
      </c>
      <c r="D425" t="s">
        <v>33</v>
      </c>
      <c r="E425" s="58">
        <v>43393</v>
      </c>
      <c r="F425">
        <v>10</v>
      </c>
      <c r="G425" t="s">
        <v>105</v>
      </c>
      <c r="H425" t="s">
        <v>53</v>
      </c>
      <c r="I425" t="s">
        <v>53</v>
      </c>
      <c r="J425" t="s">
        <v>149</v>
      </c>
      <c r="K425" t="s">
        <v>2282</v>
      </c>
      <c r="L425" t="s">
        <v>44</v>
      </c>
      <c r="M425">
        <v>25</v>
      </c>
      <c r="N425" t="s">
        <v>4757</v>
      </c>
      <c r="O425" t="b">
        <v>1</v>
      </c>
      <c r="P425" t="b">
        <v>0</v>
      </c>
      <c r="Q425" t="b">
        <v>1</v>
      </c>
      <c r="R425" t="b">
        <v>0</v>
      </c>
      <c r="S425" t="b">
        <v>0</v>
      </c>
      <c r="T425" t="b">
        <v>0</v>
      </c>
      <c r="U425" t="b">
        <v>1</v>
      </c>
      <c r="V425" t="b">
        <v>0</v>
      </c>
      <c r="W425" t="b">
        <v>0</v>
      </c>
      <c r="X425" t="b">
        <v>0</v>
      </c>
      <c r="Y425" t="b">
        <v>1</v>
      </c>
      <c r="Z425" t="b">
        <v>0</v>
      </c>
      <c r="AA425" t="b">
        <v>0</v>
      </c>
      <c r="AB425" t="s">
        <v>635</v>
      </c>
      <c r="AC425" t="s">
        <v>7956</v>
      </c>
    </row>
    <row r="426" spans="1:29" x14ac:dyDescent="0.3">
      <c r="A426">
        <v>-73.979349119999995</v>
      </c>
      <c r="B426">
        <v>40.799647790000002</v>
      </c>
      <c r="C426" t="s">
        <v>6895</v>
      </c>
      <c r="D426" t="s">
        <v>33</v>
      </c>
      <c r="E426" s="58">
        <v>43387</v>
      </c>
      <c r="F426">
        <v>30</v>
      </c>
      <c r="G426" t="s">
        <v>48</v>
      </c>
      <c r="H426" t="s">
        <v>53</v>
      </c>
      <c r="I426" t="s">
        <v>176</v>
      </c>
      <c r="J426" t="s">
        <v>738</v>
      </c>
      <c r="K426" t="s">
        <v>3883</v>
      </c>
      <c r="L426" t="s">
        <v>44</v>
      </c>
      <c r="M426">
        <v>2</v>
      </c>
      <c r="N426" t="s">
        <v>4895</v>
      </c>
      <c r="O426" t="b">
        <v>0</v>
      </c>
      <c r="P426" t="b">
        <v>1</v>
      </c>
      <c r="Q426" t="b">
        <v>1</v>
      </c>
      <c r="R426" t="b">
        <v>0</v>
      </c>
      <c r="S426" t="b">
        <v>1</v>
      </c>
      <c r="T426" t="b">
        <v>0</v>
      </c>
      <c r="U426" t="b">
        <v>0</v>
      </c>
      <c r="V426" t="b">
        <v>1</v>
      </c>
      <c r="W426" t="b">
        <v>1</v>
      </c>
      <c r="X426" t="b">
        <v>0</v>
      </c>
      <c r="Y426" t="b">
        <v>1</v>
      </c>
      <c r="Z426" t="b">
        <v>1</v>
      </c>
      <c r="AA426" t="b">
        <v>0</v>
      </c>
      <c r="AB426" t="s">
        <v>488</v>
      </c>
      <c r="AC426" t="s">
        <v>7957</v>
      </c>
    </row>
    <row r="427" spans="1:29" x14ac:dyDescent="0.3">
      <c r="A427">
        <v>-73.963883139999993</v>
      </c>
      <c r="B427">
        <v>40.798890419999999</v>
      </c>
      <c r="C427" t="s">
        <v>761</v>
      </c>
      <c r="D427" t="s">
        <v>38</v>
      </c>
      <c r="E427" s="58">
        <v>43381</v>
      </c>
      <c r="F427">
        <v>3</v>
      </c>
      <c r="G427" t="s">
        <v>105</v>
      </c>
      <c r="H427" t="s">
        <v>53</v>
      </c>
      <c r="I427" t="s">
        <v>115</v>
      </c>
      <c r="J427" t="s">
        <v>738</v>
      </c>
      <c r="K427" t="s">
        <v>1934</v>
      </c>
      <c r="L427" t="s">
        <v>44</v>
      </c>
      <c r="M427">
        <v>40</v>
      </c>
      <c r="N427" t="s">
        <v>356</v>
      </c>
      <c r="O427" t="b">
        <v>0</v>
      </c>
      <c r="P427" t="b">
        <v>0</v>
      </c>
      <c r="Q427" t="b">
        <v>1</v>
      </c>
      <c r="R427" t="b">
        <v>0</v>
      </c>
      <c r="S427" t="b">
        <v>0</v>
      </c>
      <c r="T427" t="b">
        <v>1</v>
      </c>
      <c r="U427" t="b">
        <v>1</v>
      </c>
      <c r="V427" t="b">
        <v>1</v>
      </c>
      <c r="W427" t="b">
        <v>1</v>
      </c>
      <c r="X427" t="b">
        <v>1</v>
      </c>
      <c r="Y427" t="b">
        <v>1</v>
      </c>
      <c r="Z427" t="b">
        <v>0</v>
      </c>
      <c r="AA427" t="b">
        <v>0</v>
      </c>
      <c r="AB427" t="s">
        <v>3519</v>
      </c>
      <c r="AC427" t="s">
        <v>7958</v>
      </c>
    </row>
    <row r="428" spans="1:29" x14ac:dyDescent="0.3">
      <c r="A428">
        <v>-73.967278269999994</v>
      </c>
      <c r="B428">
        <v>40.765084590000001</v>
      </c>
      <c r="C428" t="s">
        <v>3753</v>
      </c>
      <c r="D428" t="s">
        <v>38</v>
      </c>
      <c r="E428" s="58">
        <v>43381</v>
      </c>
      <c r="F428">
        <v>25</v>
      </c>
      <c r="G428" t="s">
        <v>105</v>
      </c>
      <c r="H428" t="s">
        <v>176</v>
      </c>
      <c r="I428" t="s">
        <v>42</v>
      </c>
      <c r="J428" t="s">
        <v>54</v>
      </c>
      <c r="K428" t="s">
        <v>1843</v>
      </c>
      <c r="L428" t="s">
        <v>65</v>
      </c>
      <c r="M428" t="b">
        <v>0</v>
      </c>
      <c r="N428" t="s">
        <v>6252</v>
      </c>
      <c r="O428" t="b">
        <v>1</v>
      </c>
      <c r="P428" t="b">
        <v>1</v>
      </c>
      <c r="Q428" t="b">
        <v>0</v>
      </c>
      <c r="R428" t="b">
        <v>0</v>
      </c>
      <c r="S428" t="b">
        <v>0</v>
      </c>
      <c r="T428" t="b">
        <v>1</v>
      </c>
      <c r="U428" t="b">
        <v>0</v>
      </c>
      <c r="V428" t="b">
        <v>0</v>
      </c>
      <c r="W428" t="b">
        <v>1</v>
      </c>
      <c r="X428" t="b">
        <v>1</v>
      </c>
      <c r="Y428" t="b">
        <v>1</v>
      </c>
      <c r="Z428" t="b">
        <v>1</v>
      </c>
      <c r="AA428" t="b">
        <v>0</v>
      </c>
      <c r="AB428" t="s">
        <v>3832</v>
      </c>
      <c r="AC428" t="s">
        <v>7959</v>
      </c>
    </row>
    <row r="429" spans="1:29" x14ac:dyDescent="0.3">
      <c r="A429">
        <v>-73.953251989999998</v>
      </c>
      <c r="B429">
        <v>40.798421920000003</v>
      </c>
      <c r="C429" t="s">
        <v>855</v>
      </c>
      <c r="D429" t="s">
        <v>33</v>
      </c>
      <c r="E429" s="58">
        <v>43382</v>
      </c>
      <c r="F429">
        <v>21</v>
      </c>
      <c r="G429" t="s">
        <v>3842</v>
      </c>
      <c r="H429" t="s">
        <v>176</v>
      </c>
      <c r="I429" t="s">
        <v>176</v>
      </c>
      <c r="J429" t="s">
        <v>79</v>
      </c>
      <c r="K429" t="s">
        <v>6823</v>
      </c>
      <c r="L429" t="s">
        <v>65</v>
      </c>
      <c r="M429" t="b">
        <v>0</v>
      </c>
      <c r="N429" t="s">
        <v>6398</v>
      </c>
      <c r="O429" t="b">
        <v>1</v>
      </c>
      <c r="P429" t="b">
        <v>0</v>
      </c>
      <c r="Q429" t="b">
        <v>0</v>
      </c>
      <c r="R429" t="b">
        <v>0</v>
      </c>
      <c r="S429" t="b">
        <v>1</v>
      </c>
      <c r="T429" t="b">
        <v>0</v>
      </c>
      <c r="U429" t="b">
        <v>1</v>
      </c>
      <c r="V429" t="b">
        <v>0</v>
      </c>
      <c r="W429" t="b">
        <v>1</v>
      </c>
      <c r="X429" t="b">
        <v>0</v>
      </c>
      <c r="Y429" t="b">
        <v>0</v>
      </c>
      <c r="Z429" t="b">
        <v>1</v>
      </c>
      <c r="AA429" t="b">
        <v>0</v>
      </c>
      <c r="AB429" t="s">
        <v>6729</v>
      </c>
      <c r="AC429" t="s">
        <v>7960</v>
      </c>
    </row>
    <row r="430" spans="1:29" x14ac:dyDescent="0.3">
      <c r="A430">
        <v>-73.970126930000006</v>
      </c>
      <c r="B430">
        <v>40.787412709999998</v>
      </c>
      <c r="C430" t="s">
        <v>627</v>
      </c>
      <c r="D430" t="s">
        <v>33</v>
      </c>
      <c r="E430" s="58">
        <v>43383</v>
      </c>
      <c r="F430">
        <v>29</v>
      </c>
      <c r="G430" t="s">
        <v>105</v>
      </c>
      <c r="H430" t="s">
        <v>42</v>
      </c>
      <c r="I430" t="s">
        <v>1921</v>
      </c>
      <c r="J430" t="s">
        <v>149</v>
      </c>
      <c r="K430" t="s">
        <v>894</v>
      </c>
      <c r="L430" t="s">
        <v>44</v>
      </c>
      <c r="M430">
        <v>25</v>
      </c>
      <c r="N430" t="s">
        <v>2584</v>
      </c>
      <c r="O430" t="b">
        <v>1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1</v>
      </c>
      <c r="X430" t="b">
        <v>0</v>
      </c>
      <c r="Y430" t="b">
        <v>0</v>
      </c>
      <c r="Z430" t="b">
        <v>0</v>
      </c>
      <c r="AA430" t="b">
        <v>0</v>
      </c>
      <c r="AB430" t="s">
        <v>6392</v>
      </c>
      <c r="AC430" t="s">
        <v>7961</v>
      </c>
    </row>
    <row r="431" spans="1:29" x14ac:dyDescent="0.3">
      <c r="A431">
        <v>-73.97747837</v>
      </c>
      <c r="B431">
        <v>40.795468210000003</v>
      </c>
      <c r="C431" t="s">
        <v>390</v>
      </c>
      <c r="D431" t="s">
        <v>33</v>
      </c>
      <c r="E431" s="58">
        <v>43388</v>
      </c>
      <c r="F431">
        <v>19</v>
      </c>
      <c r="G431" t="s">
        <v>48</v>
      </c>
      <c r="H431" t="s">
        <v>42</v>
      </c>
      <c r="I431" t="s">
        <v>59</v>
      </c>
      <c r="J431" t="s">
        <v>5106</v>
      </c>
      <c r="K431" t="s">
        <v>820</v>
      </c>
      <c r="L431" t="s">
        <v>44</v>
      </c>
      <c r="M431">
        <v>25</v>
      </c>
      <c r="N431" t="s">
        <v>2760</v>
      </c>
      <c r="O431" t="b">
        <v>1</v>
      </c>
      <c r="P431" t="b">
        <v>1</v>
      </c>
      <c r="Q431" t="b">
        <v>0</v>
      </c>
      <c r="R431" t="b">
        <v>1</v>
      </c>
      <c r="S431" t="b">
        <v>1</v>
      </c>
      <c r="T431" t="b">
        <v>0</v>
      </c>
      <c r="U431" t="b">
        <v>0</v>
      </c>
      <c r="V431" t="b">
        <v>1</v>
      </c>
      <c r="W431" t="b">
        <v>1</v>
      </c>
      <c r="X431" t="b">
        <v>0</v>
      </c>
      <c r="Y431" t="b">
        <v>0</v>
      </c>
      <c r="Z431" t="b">
        <v>1</v>
      </c>
      <c r="AA431" t="b">
        <v>0</v>
      </c>
      <c r="AB431" t="s">
        <v>630</v>
      </c>
      <c r="AC431" t="s">
        <v>7962</v>
      </c>
    </row>
    <row r="432" spans="1:29" x14ac:dyDescent="0.3">
      <c r="A432">
        <v>-73.976663380000005</v>
      </c>
      <c r="B432">
        <v>40.780921079999999</v>
      </c>
      <c r="C432" t="s">
        <v>764</v>
      </c>
      <c r="D432" t="s">
        <v>38</v>
      </c>
      <c r="E432" s="58">
        <v>43379</v>
      </c>
      <c r="F432">
        <v>21</v>
      </c>
      <c r="G432" t="s">
        <v>105</v>
      </c>
      <c r="H432" t="s">
        <v>42</v>
      </c>
      <c r="I432" t="s">
        <v>737</v>
      </c>
      <c r="J432" t="s">
        <v>149</v>
      </c>
      <c r="K432" t="s">
        <v>4594</v>
      </c>
      <c r="L432" t="s">
        <v>65</v>
      </c>
      <c r="M432" t="b">
        <v>0</v>
      </c>
      <c r="N432" t="s">
        <v>4635</v>
      </c>
      <c r="O432" t="b">
        <v>0</v>
      </c>
      <c r="P432" t="b">
        <v>1</v>
      </c>
      <c r="Q432" t="b">
        <v>0</v>
      </c>
      <c r="R432" t="b">
        <v>1</v>
      </c>
      <c r="S432" t="b">
        <v>0</v>
      </c>
      <c r="T432" t="b">
        <v>1</v>
      </c>
      <c r="U432" t="b">
        <v>1</v>
      </c>
      <c r="V432" t="b">
        <v>0</v>
      </c>
      <c r="W432" t="b">
        <v>0</v>
      </c>
      <c r="X432" t="b">
        <v>1</v>
      </c>
      <c r="Y432" t="b">
        <v>0</v>
      </c>
      <c r="Z432" t="b">
        <v>0</v>
      </c>
      <c r="AA432" t="b">
        <v>0</v>
      </c>
      <c r="AB432" t="s">
        <v>4104</v>
      </c>
      <c r="AC432" t="s">
        <v>7963</v>
      </c>
    </row>
    <row r="433" spans="1:29" x14ac:dyDescent="0.3">
      <c r="A433">
        <v>-73.957219109999997</v>
      </c>
      <c r="B433">
        <v>40.7830637</v>
      </c>
      <c r="C433" t="s">
        <v>1424</v>
      </c>
      <c r="D433" t="s">
        <v>33</v>
      </c>
      <c r="E433" s="58">
        <v>43393</v>
      </c>
      <c r="F433">
        <v>2</v>
      </c>
      <c r="G433" t="s">
        <v>48</v>
      </c>
      <c r="H433" t="s">
        <v>176</v>
      </c>
      <c r="I433" t="s">
        <v>1921</v>
      </c>
      <c r="J433" t="s">
        <v>97</v>
      </c>
      <c r="K433" t="s">
        <v>3887</v>
      </c>
      <c r="L433" t="s">
        <v>44</v>
      </c>
      <c r="M433">
        <v>25</v>
      </c>
      <c r="N433" t="s">
        <v>321</v>
      </c>
      <c r="O433" t="b">
        <v>1</v>
      </c>
      <c r="P433" t="b">
        <v>1</v>
      </c>
      <c r="Q433" t="b">
        <v>0</v>
      </c>
      <c r="R433" t="b">
        <v>1</v>
      </c>
      <c r="S433" t="b">
        <v>0</v>
      </c>
      <c r="T433" t="b">
        <v>1</v>
      </c>
      <c r="U433" t="b">
        <v>1</v>
      </c>
      <c r="V433" t="b">
        <v>0</v>
      </c>
      <c r="W433" t="b">
        <v>0</v>
      </c>
      <c r="X433" t="b">
        <v>1</v>
      </c>
      <c r="Y433" t="b">
        <v>0</v>
      </c>
      <c r="Z433" t="b">
        <v>0</v>
      </c>
      <c r="AA433" t="b">
        <v>1</v>
      </c>
      <c r="AB433" t="s">
        <v>2160</v>
      </c>
      <c r="AC433" t="s">
        <v>7964</v>
      </c>
    </row>
    <row r="434" spans="1:29" x14ac:dyDescent="0.3">
      <c r="A434">
        <v>-73.961723770000006</v>
      </c>
      <c r="B434">
        <v>40.782121910000001</v>
      </c>
      <c r="C434" t="s">
        <v>398</v>
      </c>
      <c r="D434" t="s">
        <v>33</v>
      </c>
      <c r="E434" s="58">
        <v>43393</v>
      </c>
      <c r="F434">
        <v>27</v>
      </c>
      <c r="G434" t="s">
        <v>3842</v>
      </c>
      <c r="H434" t="s">
        <v>53</v>
      </c>
      <c r="I434" t="s">
        <v>42</v>
      </c>
      <c r="J434" t="s">
        <v>339</v>
      </c>
      <c r="K434" t="s">
        <v>1896</v>
      </c>
      <c r="L434" t="s">
        <v>44</v>
      </c>
      <c r="M434">
        <v>4</v>
      </c>
      <c r="N434" t="s">
        <v>3773</v>
      </c>
      <c r="O434" t="b">
        <v>1</v>
      </c>
      <c r="P434" t="b">
        <v>1</v>
      </c>
      <c r="Q434" t="b">
        <v>0</v>
      </c>
      <c r="R434" t="b">
        <v>0</v>
      </c>
      <c r="S434" t="b">
        <v>1</v>
      </c>
      <c r="T434" t="b">
        <v>1</v>
      </c>
      <c r="U434" t="b">
        <v>0</v>
      </c>
      <c r="V434" t="b">
        <v>1</v>
      </c>
      <c r="W434" t="b">
        <v>1</v>
      </c>
      <c r="X434" t="b">
        <v>0</v>
      </c>
      <c r="Y434" t="b">
        <v>0</v>
      </c>
      <c r="Z434" t="b">
        <v>0</v>
      </c>
      <c r="AA434" t="b">
        <v>0</v>
      </c>
      <c r="AB434" t="s">
        <v>5499</v>
      </c>
      <c r="AC434" t="s">
        <v>7965</v>
      </c>
    </row>
    <row r="435" spans="1:29" x14ac:dyDescent="0.3">
      <c r="A435">
        <v>-73.977979610000006</v>
      </c>
      <c r="B435">
        <v>40.788389520000003</v>
      </c>
      <c r="C435" t="s">
        <v>539</v>
      </c>
      <c r="D435" t="s">
        <v>33</v>
      </c>
      <c r="E435" s="58">
        <v>43385</v>
      </c>
      <c r="F435">
        <v>20</v>
      </c>
      <c r="G435" t="s">
        <v>48</v>
      </c>
      <c r="H435" t="s">
        <v>42</v>
      </c>
      <c r="I435" t="s">
        <v>59</v>
      </c>
      <c r="J435" t="s">
        <v>149</v>
      </c>
      <c r="K435" t="s">
        <v>3248</v>
      </c>
      <c r="L435" t="s">
        <v>65</v>
      </c>
      <c r="M435" t="b">
        <v>0</v>
      </c>
      <c r="N435" t="s">
        <v>2865</v>
      </c>
      <c r="O435" t="b">
        <v>0</v>
      </c>
      <c r="P435" t="b">
        <v>1</v>
      </c>
      <c r="Q435" t="b">
        <v>1</v>
      </c>
      <c r="R435" t="b">
        <v>1</v>
      </c>
      <c r="S435" t="b">
        <v>1</v>
      </c>
      <c r="T435" t="b">
        <v>1</v>
      </c>
      <c r="U435" t="b">
        <v>1</v>
      </c>
      <c r="V435" t="b">
        <v>1</v>
      </c>
      <c r="W435" t="b">
        <v>1</v>
      </c>
      <c r="X435" t="b">
        <v>0</v>
      </c>
      <c r="Y435" t="b">
        <v>0</v>
      </c>
      <c r="Z435" t="b">
        <v>0</v>
      </c>
      <c r="AA435" t="b">
        <v>1</v>
      </c>
      <c r="AB435" t="s">
        <v>2751</v>
      </c>
      <c r="AC435" t="s">
        <v>7966</v>
      </c>
    </row>
    <row r="436" spans="1:29" x14ac:dyDescent="0.3">
      <c r="A436">
        <v>-73.978514529999998</v>
      </c>
      <c r="B436">
        <v>40.769827489999997</v>
      </c>
      <c r="C436" t="s">
        <v>1301</v>
      </c>
      <c r="D436" t="s">
        <v>38</v>
      </c>
      <c r="E436" s="58">
        <v>43387</v>
      </c>
      <c r="F436">
        <v>10</v>
      </c>
      <c r="G436" t="s">
        <v>105</v>
      </c>
      <c r="H436" t="s">
        <v>53</v>
      </c>
      <c r="I436" t="s">
        <v>176</v>
      </c>
      <c r="J436" t="s">
        <v>89</v>
      </c>
      <c r="K436" t="s">
        <v>4477</v>
      </c>
      <c r="L436" t="s">
        <v>65</v>
      </c>
      <c r="M436" t="b">
        <v>0</v>
      </c>
      <c r="N436" t="s">
        <v>348</v>
      </c>
      <c r="O436" t="b">
        <v>1</v>
      </c>
      <c r="P436" t="b">
        <v>0</v>
      </c>
      <c r="Q436" t="b">
        <v>1</v>
      </c>
      <c r="R436" t="b">
        <v>0</v>
      </c>
      <c r="S436" t="b">
        <v>1</v>
      </c>
      <c r="T436" t="b">
        <v>1</v>
      </c>
      <c r="U436" t="b">
        <v>0</v>
      </c>
      <c r="V436" t="b">
        <v>1</v>
      </c>
      <c r="W436" t="b">
        <v>1</v>
      </c>
      <c r="X436" t="b">
        <v>0</v>
      </c>
      <c r="Y436" t="b">
        <v>0</v>
      </c>
      <c r="Z436" t="b">
        <v>1</v>
      </c>
      <c r="AA436" t="b">
        <v>1</v>
      </c>
      <c r="AB436" t="s">
        <v>412</v>
      </c>
      <c r="AC436" t="s">
        <v>7967</v>
      </c>
    </row>
    <row r="437" spans="1:29" x14ac:dyDescent="0.3">
      <c r="A437">
        <v>-73.959122350000001</v>
      </c>
      <c r="B437">
        <v>40.765965970000003</v>
      </c>
      <c r="C437" t="s">
        <v>4930</v>
      </c>
      <c r="D437" t="s">
        <v>33</v>
      </c>
      <c r="E437" s="58">
        <v>43386</v>
      </c>
      <c r="F437">
        <v>2</v>
      </c>
      <c r="G437" t="s">
        <v>3842</v>
      </c>
      <c r="H437" t="s">
        <v>42</v>
      </c>
      <c r="I437" t="s">
        <v>115</v>
      </c>
      <c r="J437" t="s">
        <v>43</v>
      </c>
      <c r="K437" t="s">
        <v>1381</v>
      </c>
      <c r="L437" t="s">
        <v>65</v>
      </c>
      <c r="M437" t="b">
        <v>0</v>
      </c>
      <c r="N437" t="s">
        <v>1064</v>
      </c>
      <c r="O437" t="b">
        <v>1</v>
      </c>
      <c r="P437" t="b">
        <v>1</v>
      </c>
      <c r="Q437" t="b">
        <v>1</v>
      </c>
      <c r="R437" t="b">
        <v>0</v>
      </c>
      <c r="S437" t="b">
        <v>1</v>
      </c>
      <c r="T437" t="b">
        <v>1</v>
      </c>
      <c r="U437" t="b">
        <v>0</v>
      </c>
      <c r="V437" t="b">
        <v>0</v>
      </c>
      <c r="W437" t="b">
        <v>0</v>
      </c>
      <c r="X437" t="b">
        <v>1</v>
      </c>
      <c r="Y437" t="b">
        <v>0</v>
      </c>
      <c r="Z437" t="b">
        <v>0</v>
      </c>
      <c r="AA437" t="b">
        <v>0</v>
      </c>
      <c r="AB437" t="s">
        <v>1216</v>
      </c>
      <c r="AC437" t="s">
        <v>7968</v>
      </c>
    </row>
    <row r="438" spans="1:29" x14ac:dyDescent="0.3">
      <c r="A438">
        <v>-73.978871139999995</v>
      </c>
      <c r="B438">
        <v>40.775752220000001</v>
      </c>
      <c r="C438" t="s">
        <v>1451</v>
      </c>
      <c r="D438" t="s">
        <v>33</v>
      </c>
      <c r="E438" s="58">
        <v>43393</v>
      </c>
      <c r="F438">
        <v>2</v>
      </c>
      <c r="G438" t="s">
        <v>105</v>
      </c>
      <c r="H438" t="s">
        <v>42</v>
      </c>
      <c r="I438" t="s">
        <v>115</v>
      </c>
      <c r="J438" t="s">
        <v>149</v>
      </c>
      <c r="K438" t="s">
        <v>6367</v>
      </c>
      <c r="L438" t="s">
        <v>44</v>
      </c>
      <c r="M438">
        <v>12</v>
      </c>
      <c r="N438" t="s">
        <v>1555</v>
      </c>
      <c r="O438" t="b">
        <v>0</v>
      </c>
      <c r="P438" t="b">
        <v>1</v>
      </c>
      <c r="Q438" t="b">
        <v>0</v>
      </c>
      <c r="R438" t="b">
        <v>1</v>
      </c>
      <c r="S438" t="b">
        <v>1</v>
      </c>
      <c r="T438" t="b">
        <v>0</v>
      </c>
      <c r="U438" t="b">
        <v>0</v>
      </c>
      <c r="V438" t="b">
        <v>1</v>
      </c>
      <c r="W438" t="b">
        <v>1</v>
      </c>
      <c r="X438" t="b">
        <v>1</v>
      </c>
      <c r="Y438" t="b">
        <v>1</v>
      </c>
      <c r="Z438" t="b">
        <v>1</v>
      </c>
      <c r="AA438" t="b">
        <v>0</v>
      </c>
      <c r="AB438" t="s">
        <v>3437</v>
      </c>
      <c r="AC438" t="s">
        <v>7969</v>
      </c>
    </row>
    <row r="439" spans="1:29" x14ac:dyDescent="0.3">
      <c r="A439">
        <v>-73.955321920000003</v>
      </c>
      <c r="B439">
        <v>40.789720959999997</v>
      </c>
      <c r="C439" t="s">
        <v>736</v>
      </c>
      <c r="D439" t="s">
        <v>33</v>
      </c>
      <c r="E439" s="58">
        <v>43393</v>
      </c>
      <c r="F439">
        <v>28</v>
      </c>
      <c r="G439" t="s">
        <v>3842</v>
      </c>
      <c r="H439" t="s">
        <v>42</v>
      </c>
      <c r="I439" t="s">
        <v>5105</v>
      </c>
      <c r="J439" t="s">
        <v>1233</v>
      </c>
      <c r="K439" t="s">
        <v>981</v>
      </c>
      <c r="L439" t="s">
        <v>65</v>
      </c>
      <c r="M439" t="b">
        <v>0</v>
      </c>
      <c r="N439" t="s">
        <v>1494</v>
      </c>
      <c r="O439" t="b">
        <v>0</v>
      </c>
      <c r="P439" t="b">
        <v>0</v>
      </c>
      <c r="Q439" t="b">
        <v>0</v>
      </c>
      <c r="R439" t="b">
        <v>0</v>
      </c>
      <c r="S439" t="b">
        <v>1</v>
      </c>
      <c r="T439" t="b">
        <v>1</v>
      </c>
      <c r="U439" t="b">
        <v>1</v>
      </c>
      <c r="V439" t="b">
        <v>1</v>
      </c>
      <c r="W439" t="b">
        <v>0</v>
      </c>
      <c r="X439" t="b">
        <v>0</v>
      </c>
      <c r="Y439" t="b">
        <v>1</v>
      </c>
      <c r="Z439" t="b">
        <v>0</v>
      </c>
      <c r="AA439" t="b">
        <v>0</v>
      </c>
      <c r="AB439" t="s">
        <v>4305</v>
      </c>
      <c r="AC439" t="s">
        <v>7970</v>
      </c>
    </row>
    <row r="440" spans="1:29" x14ac:dyDescent="0.3">
      <c r="A440">
        <v>-73.958956580000006</v>
      </c>
      <c r="B440">
        <v>40.772017490000003</v>
      </c>
      <c r="C440" t="s">
        <v>200</v>
      </c>
      <c r="D440" t="s">
        <v>33</v>
      </c>
      <c r="E440" s="58">
        <v>43383</v>
      </c>
      <c r="F440">
        <v>24</v>
      </c>
      <c r="G440" t="s">
        <v>3842</v>
      </c>
      <c r="H440" t="s">
        <v>42</v>
      </c>
      <c r="I440" t="s">
        <v>115</v>
      </c>
      <c r="J440" t="s">
        <v>34</v>
      </c>
      <c r="K440" t="s">
        <v>1934</v>
      </c>
      <c r="L440" t="s">
        <v>44</v>
      </c>
      <c r="M440">
        <v>2</v>
      </c>
      <c r="N440" t="s">
        <v>359</v>
      </c>
      <c r="O440" t="b">
        <v>0</v>
      </c>
      <c r="P440" t="b">
        <v>1</v>
      </c>
      <c r="Q440" t="b">
        <v>1</v>
      </c>
      <c r="R440" t="b">
        <v>1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1</v>
      </c>
      <c r="Y440" t="b">
        <v>0</v>
      </c>
      <c r="Z440" t="b">
        <v>1</v>
      </c>
      <c r="AA440" t="b">
        <v>0</v>
      </c>
      <c r="AB440" t="s">
        <v>1643</v>
      </c>
      <c r="AC440" t="s">
        <v>7971</v>
      </c>
    </row>
    <row r="441" spans="1:29" x14ac:dyDescent="0.3">
      <c r="A441">
        <v>-73.978601229999995</v>
      </c>
      <c r="B441">
        <v>40.788620780000002</v>
      </c>
      <c r="C441" t="s">
        <v>1652</v>
      </c>
      <c r="D441" t="s">
        <v>33</v>
      </c>
      <c r="E441" s="58">
        <v>43392</v>
      </c>
      <c r="F441">
        <v>17</v>
      </c>
      <c r="G441" t="s">
        <v>105</v>
      </c>
      <c r="H441" t="s">
        <v>42</v>
      </c>
      <c r="I441" t="s">
        <v>96</v>
      </c>
      <c r="J441" t="s">
        <v>2942</v>
      </c>
      <c r="K441" t="s">
        <v>809</v>
      </c>
      <c r="L441" t="s">
        <v>65</v>
      </c>
      <c r="M441" t="b">
        <v>0</v>
      </c>
      <c r="N441" t="s">
        <v>1207</v>
      </c>
      <c r="O441" t="b">
        <v>0</v>
      </c>
      <c r="P441" t="b">
        <v>0</v>
      </c>
      <c r="Q441" t="b">
        <v>1</v>
      </c>
      <c r="R441" t="b">
        <v>0</v>
      </c>
      <c r="S441" t="b">
        <v>1</v>
      </c>
      <c r="T441" t="b">
        <v>1</v>
      </c>
      <c r="U441" t="b">
        <v>0</v>
      </c>
      <c r="V441" t="b">
        <v>1</v>
      </c>
      <c r="W441" t="b">
        <v>0</v>
      </c>
      <c r="X441" t="b">
        <v>0</v>
      </c>
      <c r="Y441" t="b">
        <v>0</v>
      </c>
      <c r="Z441" t="b">
        <v>1</v>
      </c>
      <c r="AA441" t="b">
        <v>1</v>
      </c>
      <c r="AB441" t="s">
        <v>3474</v>
      </c>
      <c r="AC441" t="s">
        <v>7972</v>
      </c>
    </row>
    <row r="442" spans="1:29" x14ac:dyDescent="0.3">
      <c r="A442">
        <v>-73.978491550000001</v>
      </c>
      <c r="B442">
        <v>40.799059190000001</v>
      </c>
      <c r="C442" t="s">
        <v>2080</v>
      </c>
      <c r="D442" t="s">
        <v>38</v>
      </c>
      <c r="E442" s="58">
        <v>43392</v>
      </c>
      <c r="F442">
        <v>16</v>
      </c>
      <c r="G442" t="s">
        <v>105</v>
      </c>
      <c r="H442" t="s">
        <v>53</v>
      </c>
      <c r="I442" t="s">
        <v>115</v>
      </c>
      <c r="J442" t="s">
        <v>89</v>
      </c>
      <c r="K442" t="s">
        <v>4237</v>
      </c>
      <c r="L442" t="s">
        <v>44</v>
      </c>
      <c r="M442">
        <v>5</v>
      </c>
      <c r="N442" t="s">
        <v>2170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1</v>
      </c>
      <c r="W442" t="b">
        <v>0</v>
      </c>
      <c r="X442" t="b">
        <v>1</v>
      </c>
      <c r="Y442" t="b">
        <v>1</v>
      </c>
      <c r="Z442" t="b">
        <v>1</v>
      </c>
      <c r="AA442" t="b">
        <v>1</v>
      </c>
      <c r="AB442" t="s">
        <v>369</v>
      </c>
      <c r="AC442" t="s">
        <v>7973</v>
      </c>
    </row>
    <row r="443" spans="1:29" x14ac:dyDescent="0.3">
      <c r="A443">
        <v>-73.950141779999996</v>
      </c>
      <c r="B443">
        <v>40.768216709999997</v>
      </c>
      <c r="C443" t="s">
        <v>505</v>
      </c>
      <c r="D443" t="s">
        <v>38</v>
      </c>
      <c r="E443" s="58">
        <v>43382</v>
      </c>
      <c r="F443">
        <v>16</v>
      </c>
      <c r="G443" t="s">
        <v>3842</v>
      </c>
      <c r="H443" t="s">
        <v>42</v>
      </c>
      <c r="I443" t="s">
        <v>96</v>
      </c>
      <c r="J443" t="s">
        <v>79</v>
      </c>
      <c r="K443" t="s">
        <v>3433</v>
      </c>
      <c r="L443" t="s">
        <v>44</v>
      </c>
      <c r="M443">
        <v>10</v>
      </c>
      <c r="N443" t="s">
        <v>2833</v>
      </c>
      <c r="O443" t="b">
        <v>0</v>
      </c>
      <c r="P443" t="b">
        <v>1</v>
      </c>
      <c r="Q443" t="b">
        <v>0</v>
      </c>
      <c r="R443" t="b">
        <v>1</v>
      </c>
      <c r="S443" t="b">
        <v>1</v>
      </c>
      <c r="T443" t="b">
        <v>1</v>
      </c>
      <c r="U443" t="b">
        <v>0</v>
      </c>
      <c r="V443" t="b">
        <v>0</v>
      </c>
      <c r="W443" t="b">
        <v>0</v>
      </c>
      <c r="X443" t="b">
        <v>0</v>
      </c>
      <c r="Y443" t="b">
        <v>1</v>
      </c>
      <c r="Z443" t="b">
        <v>1</v>
      </c>
      <c r="AA443" t="b">
        <v>0</v>
      </c>
      <c r="AB443" t="s">
        <v>665</v>
      </c>
      <c r="AC443" t="s">
        <v>7974</v>
      </c>
    </row>
    <row r="444" spans="1:29" x14ac:dyDescent="0.3">
      <c r="A444">
        <v>-73.9693927</v>
      </c>
      <c r="B444">
        <v>40.788591539999999</v>
      </c>
      <c r="C444" t="s">
        <v>1130</v>
      </c>
      <c r="D444" t="s">
        <v>38</v>
      </c>
      <c r="E444" s="58">
        <v>43390</v>
      </c>
      <c r="F444">
        <v>14</v>
      </c>
      <c r="G444" t="s">
        <v>3842</v>
      </c>
      <c r="H444" t="s">
        <v>53</v>
      </c>
      <c r="I444" t="s">
        <v>148</v>
      </c>
      <c r="J444" t="s">
        <v>43</v>
      </c>
      <c r="K444" t="s">
        <v>3758</v>
      </c>
      <c r="L444" t="s">
        <v>44</v>
      </c>
      <c r="M444">
        <v>10</v>
      </c>
      <c r="N444" t="s">
        <v>982</v>
      </c>
      <c r="O444" t="b">
        <v>0</v>
      </c>
      <c r="P444" t="b">
        <v>1</v>
      </c>
      <c r="Q444" t="b">
        <v>0</v>
      </c>
      <c r="R444" t="b">
        <v>1</v>
      </c>
      <c r="S444" t="b">
        <v>0</v>
      </c>
      <c r="T444" t="b">
        <v>0</v>
      </c>
      <c r="U444" t="b">
        <v>1</v>
      </c>
      <c r="V444" t="b">
        <v>1</v>
      </c>
      <c r="W444" t="b">
        <v>1</v>
      </c>
      <c r="X444" t="b">
        <v>1</v>
      </c>
      <c r="Y444" t="b">
        <v>1</v>
      </c>
      <c r="Z444" t="b">
        <v>0</v>
      </c>
      <c r="AA444" t="b">
        <v>1</v>
      </c>
      <c r="AB444" t="s">
        <v>4495</v>
      </c>
      <c r="AC444" t="s">
        <v>7975</v>
      </c>
    </row>
    <row r="445" spans="1:29" x14ac:dyDescent="0.3">
      <c r="A445">
        <v>-73.969506769999995</v>
      </c>
      <c r="B445">
        <v>40.780534160000002</v>
      </c>
      <c r="C445" t="s">
        <v>2798</v>
      </c>
      <c r="D445" t="s">
        <v>33</v>
      </c>
      <c r="E445" s="58">
        <v>43385</v>
      </c>
      <c r="F445">
        <v>7</v>
      </c>
      <c r="G445" t="s">
        <v>105</v>
      </c>
      <c r="H445" t="s">
        <v>176</v>
      </c>
      <c r="I445" t="s">
        <v>96</v>
      </c>
      <c r="J445" t="s">
        <v>149</v>
      </c>
      <c r="K445" t="s">
        <v>4791</v>
      </c>
      <c r="L445" t="s">
        <v>65</v>
      </c>
      <c r="M445" t="b">
        <v>0</v>
      </c>
      <c r="N445" t="s">
        <v>5673</v>
      </c>
      <c r="O445" t="b">
        <v>1</v>
      </c>
      <c r="P445" t="b">
        <v>0</v>
      </c>
      <c r="Q445" t="b">
        <v>0</v>
      </c>
      <c r="R445" t="b">
        <v>1</v>
      </c>
      <c r="S445" t="b">
        <v>0</v>
      </c>
      <c r="T445" t="b">
        <v>0</v>
      </c>
      <c r="U445" t="b">
        <v>1</v>
      </c>
      <c r="V445" t="b">
        <v>0</v>
      </c>
      <c r="W445" t="b">
        <v>0</v>
      </c>
      <c r="X445" t="b">
        <v>1</v>
      </c>
      <c r="Y445" t="b">
        <v>0</v>
      </c>
      <c r="Z445" t="b">
        <v>0</v>
      </c>
      <c r="AA445" t="b">
        <v>0</v>
      </c>
      <c r="AB445" t="s">
        <v>6610</v>
      </c>
      <c r="AC445" t="s">
        <v>7976</v>
      </c>
    </row>
    <row r="446" spans="1:29" x14ac:dyDescent="0.3">
      <c r="A446">
        <v>-73.955606750000001</v>
      </c>
      <c r="B446">
        <v>40.795476090000001</v>
      </c>
      <c r="C446" t="s">
        <v>4588</v>
      </c>
      <c r="D446" t="s">
        <v>38</v>
      </c>
      <c r="E446" s="58">
        <v>43383</v>
      </c>
      <c r="F446">
        <v>21</v>
      </c>
      <c r="G446" t="s">
        <v>48</v>
      </c>
      <c r="H446" t="s">
        <v>42</v>
      </c>
      <c r="I446" t="s">
        <v>59</v>
      </c>
      <c r="J446" t="s">
        <v>705</v>
      </c>
      <c r="K446" t="s">
        <v>6823</v>
      </c>
      <c r="L446" t="s">
        <v>65</v>
      </c>
      <c r="M446" t="b">
        <v>0</v>
      </c>
      <c r="N446" t="s">
        <v>6524</v>
      </c>
      <c r="O446" t="b">
        <v>1</v>
      </c>
      <c r="P446" t="b">
        <v>1</v>
      </c>
      <c r="Q446" t="b">
        <v>0</v>
      </c>
      <c r="R446" t="b">
        <v>1</v>
      </c>
      <c r="S446" t="b">
        <v>1</v>
      </c>
      <c r="T446" t="b">
        <v>0</v>
      </c>
      <c r="U446" t="b">
        <v>0</v>
      </c>
      <c r="V446" t="b">
        <v>0</v>
      </c>
      <c r="W446" t="b">
        <v>0</v>
      </c>
      <c r="X446" t="b">
        <v>1</v>
      </c>
      <c r="Y446" t="b">
        <v>1</v>
      </c>
      <c r="Z446" t="b">
        <v>1</v>
      </c>
      <c r="AA446" t="b">
        <v>1</v>
      </c>
      <c r="AB446" t="s">
        <v>1849</v>
      </c>
      <c r="AC446" t="s">
        <v>7977</v>
      </c>
    </row>
    <row r="447" spans="1:29" x14ac:dyDescent="0.3">
      <c r="A447">
        <v>-73.951380099999994</v>
      </c>
      <c r="B447">
        <v>40.771147730000003</v>
      </c>
      <c r="C447" t="s">
        <v>1810</v>
      </c>
      <c r="D447" t="s">
        <v>38</v>
      </c>
      <c r="E447" s="58">
        <v>43385</v>
      </c>
      <c r="F447">
        <v>11</v>
      </c>
      <c r="G447" t="s">
        <v>105</v>
      </c>
      <c r="H447" t="s">
        <v>53</v>
      </c>
      <c r="I447" t="s">
        <v>1921</v>
      </c>
      <c r="J447" t="s">
        <v>60</v>
      </c>
      <c r="K447" t="s">
        <v>4237</v>
      </c>
      <c r="L447" t="s">
        <v>65</v>
      </c>
      <c r="M447" t="b">
        <v>0</v>
      </c>
      <c r="N447" t="s">
        <v>2337</v>
      </c>
      <c r="O447" t="b">
        <v>0</v>
      </c>
      <c r="P447" t="b">
        <v>0</v>
      </c>
      <c r="Q447" t="b">
        <v>0</v>
      </c>
      <c r="R447" t="b">
        <v>1</v>
      </c>
      <c r="S447" t="b">
        <v>0</v>
      </c>
      <c r="T447" t="b">
        <v>1</v>
      </c>
      <c r="U447" t="b">
        <v>1</v>
      </c>
      <c r="V447" t="b">
        <v>0</v>
      </c>
      <c r="W447" t="b">
        <v>1</v>
      </c>
      <c r="X447" t="b">
        <v>1</v>
      </c>
      <c r="Y447" t="b">
        <v>1</v>
      </c>
      <c r="Z447" t="b">
        <v>1</v>
      </c>
      <c r="AA447" t="b">
        <v>1</v>
      </c>
      <c r="AB447" t="s">
        <v>7261</v>
      </c>
      <c r="AC447" t="s">
        <v>7978</v>
      </c>
    </row>
    <row r="448" spans="1:29" x14ac:dyDescent="0.3">
      <c r="A448">
        <v>-73.950161850000001</v>
      </c>
      <c r="B448">
        <v>40.789296540000002</v>
      </c>
      <c r="C448" t="s">
        <v>1199</v>
      </c>
      <c r="D448" t="s">
        <v>38</v>
      </c>
      <c r="E448" s="58">
        <v>43390</v>
      </c>
      <c r="F448">
        <v>24</v>
      </c>
      <c r="G448" t="s">
        <v>3842</v>
      </c>
      <c r="H448" t="s">
        <v>176</v>
      </c>
      <c r="I448" t="s">
        <v>59</v>
      </c>
      <c r="J448" t="s">
        <v>60</v>
      </c>
      <c r="K448" t="s">
        <v>3318</v>
      </c>
      <c r="L448" t="s">
        <v>44</v>
      </c>
      <c r="M448">
        <v>15</v>
      </c>
      <c r="N448" t="s">
        <v>815</v>
      </c>
      <c r="O448" t="b">
        <v>1</v>
      </c>
      <c r="P448" t="b">
        <v>1</v>
      </c>
      <c r="Q448" t="b">
        <v>0</v>
      </c>
      <c r="R448" t="b">
        <v>1</v>
      </c>
      <c r="S448" t="b">
        <v>0</v>
      </c>
      <c r="T448" t="b">
        <v>1</v>
      </c>
      <c r="U448" t="b">
        <v>1</v>
      </c>
      <c r="V448" t="b">
        <v>0</v>
      </c>
      <c r="W448" t="b">
        <v>1</v>
      </c>
      <c r="X448" t="b">
        <v>1</v>
      </c>
      <c r="Y448" t="b">
        <v>1</v>
      </c>
      <c r="Z448" t="b">
        <v>0</v>
      </c>
      <c r="AA448" t="b">
        <v>0</v>
      </c>
      <c r="AB448" t="s">
        <v>7073</v>
      </c>
      <c r="AC448" t="s">
        <v>7979</v>
      </c>
    </row>
    <row r="449" spans="1:29" x14ac:dyDescent="0.3">
      <c r="A449">
        <v>-73.957474770000005</v>
      </c>
      <c r="B449">
        <v>40.794418909999997</v>
      </c>
      <c r="C449" t="s">
        <v>235</v>
      </c>
      <c r="D449" t="s">
        <v>33</v>
      </c>
      <c r="E449" s="58">
        <v>43379</v>
      </c>
      <c r="F449">
        <v>1</v>
      </c>
      <c r="G449" t="s">
        <v>105</v>
      </c>
      <c r="H449" t="s">
        <v>176</v>
      </c>
      <c r="I449" t="s">
        <v>1921</v>
      </c>
      <c r="J449" t="s">
        <v>3580</v>
      </c>
      <c r="K449" t="s">
        <v>5180</v>
      </c>
      <c r="L449" t="s">
        <v>65</v>
      </c>
      <c r="M449" t="b">
        <v>0</v>
      </c>
      <c r="N449" t="s">
        <v>5488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1</v>
      </c>
      <c r="U449" t="b">
        <v>0</v>
      </c>
      <c r="V449" t="b">
        <v>0</v>
      </c>
      <c r="W449" t="b">
        <v>0</v>
      </c>
      <c r="X449" t="b">
        <v>1</v>
      </c>
      <c r="Y449" t="b">
        <v>1</v>
      </c>
      <c r="Z449" t="b">
        <v>1</v>
      </c>
      <c r="AA449" t="b">
        <v>0</v>
      </c>
      <c r="AB449" t="s">
        <v>1293</v>
      </c>
      <c r="AC449" t="s">
        <v>7980</v>
      </c>
    </row>
    <row r="450" spans="1:29" x14ac:dyDescent="0.3">
      <c r="A450">
        <v>-73.96933018</v>
      </c>
      <c r="B450">
        <v>40.798168500000003</v>
      </c>
      <c r="C450" t="s">
        <v>574</v>
      </c>
      <c r="D450" t="s">
        <v>33</v>
      </c>
      <c r="E450" s="58">
        <v>43379</v>
      </c>
      <c r="F450">
        <v>11</v>
      </c>
      <c r="G450" t="s">
        <v>48</v>
      </c>
      <c r="H450" t="s">
        <v>176</v>
      </c>
      <c r="I450" t="s">
        <v>5105</v>
      </c>
      <c r="J450" t="s">
        <v>738</v>
      </c>
      <c r="K450" t="s">
        <v>1381</v>
      </c>
      <c r="L450" t="s">
        <v>65</v>
      </c>
      <c r="M450" t="b">
        <v>0</v>
      </c>
      <c r="N450" t="s">
        <v>2612</v>
      </c>
      <c r="O450" t="b">
        <v>1</v>
      </c>
      <c r="P450" t="b">
        <v>1</v>
      </c>
      <c r="Q450" t="b">
        <v>1</v>
      </c>
      <c r="R450" t="b">
        <v>0</v>
      </c>
      <c r="S450" t="b">
        <v>1</v>
      </c>
      <c r="T450" t="b">
        <v>0</v>
      </c>
      <c r="U450" t="b">
        <v>1</v>
      </c>
      <c r="V450" t="b">
        <v>1</v>
      </c>
      <c r="W450" t="b">
        <v>1</v>
      </c>
      <c r="X450" t="b">
        <v>1</v>
      </c>
      <c r="Y450" t="b">
        <v>1</v>
      </c>
      <c r="Z450" t="b">
        <v>1</v>
      </c>
      <c r="AA450" t="b">
        <v>1</v>
      </c>
      <c r="AB450" t="s">
        <v>2778</v>
      </c>
      <c r="AC450" t="s">
        <v>7981</v>
      </c>
    </row>
    <row r="451" spans="1:29" x14ac:dyDescent="0.3">
      <c r="A451">
        <v>-73.978533580000004</v>
      </c>
      <c r="B451">
        <v>40.788966360000003</v>
      </c>
      <c r="C451" t="s">
        <v>1115</v>
      </c>
      <c r="D451" t="s">
        <v>38</v>
      </c>
      <c r="E451" s="58">
        <v>43388</v>
      </c>
      <c r="F451">
        <v>23</v>
      </c>
      <c r="G451" t="s">
        <v>105</v>
      </c>
      <c r="H451" t="s">
        <v>53</v>
      </c>
      <c r="I451" t="s">
        <v>148</v>
      </c>
      <c r="J451" t="s">
        <v>116</v>
      </c>
      <c r="K451" t="s">
        <v>1558</v>
      </c>
      <c r="L451" t="s">
        <v>44</v>
      </c>
      <c r="M451">
        <v>25</v>
      </c>
      <c r="N451" t="s">
        <v>982</v>
      </c>
      <c r="O451" t="b">
        <v>0</v>
      </c>
      <c r="P451" t="b">
        <v>1</v>
      </c>
      <c r="Q451" t="b">
        <v>0</v>
      </c>
      <c r="R451" t="b">
        <v>0</v>
      </c>
      <c r="S451" t="b">
        <v>1</v>
      </c>
      <c r="T451" t="b">
        <v>0</v>
      </c>
      <c r="U451" t="b">
        <v>1</v>
      </c>
      <c r="V451" t="b">
        <v>0</v>
      </c>
      <c r="W451" t="b">
        <v>1</v>
      </c>
      <c r="X451" t="b">
        <v>0</v>
      </c>
      <c r="Y451" t="b">
        <v>0</v>
      </c>
      <c r="Z451" t="b">
        <v>0</v>
      </c>
      <c r="AA451" t="b">
        <v>0</v>
      </c>
      <c r="AB451" t="s">
        <v>1643</v>
      </c>
      <c r="AC451" t="s">
        <v>7982</v>
      </c>
    </row>
    <row r="452" spans="1:29" x14ac:dyDescent="0.3">
      <c r="A452">
        <v>-73.956727560000004</v>
      </c>
      <c r="B452">
        <v>40.782415120000003</v>
      </c>
      <c r="C452" t="s">
        <v>189</v>
      </c>
      <c r="D452" t="s">
        <v>38</v>
      </c>
      <c r="E452" s="58">
        <v>43392</v>
      </c>
      <c r="F452">
        <v>21</v>
      </c>
      <c r="G452" t="s">
        <v>3842</v>
      </c>
      <c r="H452" t="s">
        <v>42</v>
      </c>
      <c r="I452" t="s">
        <v>1921</v>
      </c>
      <c r="J452" t="s">
        <v>60</v>
      </c>
      <c r="K452" t="s">
        <v>700</v>
      </c>
      <c r="L452" t="s">
        <v>44</v>
      </c>
      <c r="M452">
        <v>20</v>
      </c>
      <c r="N452" t="s">
        <v>299</v>
      </c>
      <c r="O452" t="b">
        <v>1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1</v>
      </c>
      <c r="V452" t="b">
        <v>0</v>
      </c>
      <c r="W452" t="b">
        <v>1</v>
      </c>
      <c r="X452" t="b">
        <v>0</v>
      </c>
      <c r="Y452" t="b">
        <v>1</v>
      </c>
      <c r="Z452" t="b">
        <v>1</v>
      </c>
      <c r="AA452" t="b">
        <v>1</v>
      </c>
      <c r="AB452" t="s">
        <v>799</v>
      </c>
      <c r="AC452" t="s">
        <v>7983</v>
      </c>
    </row>
    <row r="453" spans="1:29" x14ac:dyDescent="0.3">
      <c r="A453">
        <v>-73.963604129999993</v>
      </c>
      <c r="B453">
        <v>40.786663740000002</v>
      </c>
      <c r="C453" t="s">
        <v>143</v>
      </c>
      <c r="D453" t="s">
        <v>33</v>
      </c>
      <c r="E453" s="58">
        <v>43391</v>
      </c>
      <c r="F453">
        <v>4</v>
      </c>
      <c r="G453" t="s">
        <v>105</v>
      </c>
      <c r="H453" t="s">
        <v>42</v>
      </c>
      <c r="I453" t="s">
        <v>1921</v>
      </c>
      <c r="J453" t="s">
        <v>1142</v>
      </c>
      <c r="K453" t="s">
        <v>700</v>
      </c>
      <c r="L453" t="s">
        <v>65</v>
      </c>
      <c r="M453" t="b">
        <v>0</v>
      </c>
      <c r="N453" t="s">
        <v>5283</v>
      </c>
      <c r="O453" t="b">
        <v>0</v>
      </c>
      <c r="P453" t="b">
        <v>0</v>
      </c>
      <c r="Q453" t="b">
        <v>0</v>
      </c>
      <c r="R453" t="b">
        <v>1</v>
      </c>
      <c r="S453" t="b">
        <v>1</v>
      </c>
      <c r="T453" t="b">
        <v>1</v>
      </c>
      <c r="U453" t="b">
        <v>1</v>
      </c>
      <c r="V453" t="b">
        <v>0</v>
      </c>
      <c r="W453" t="b">
        <v>0</v>
      </c>
      <c r="X453" t="b">
        <v>0</v>
      </c>
      <c r="Y453" t="b">
        <v>0</v>
      </c>
      <c r="Z453" t="b">
        <v>1</v>
      </c>
      <c r="AA453" t="b">
        <v>0</v>
      </c>
      <c r="AB453" t="s">
        <v>5399</v>
      </c>
      <c r="AC453" t="s">
        <v>7984</v>
      </c>
    </row>
    <row r="454" spans="1:29" x14ac:dyDescent="0.3">
      <c r="A454">
        <v>-73.967822389999995</v>
      </c>
      <c r="B454">
        <v>40.795502939999999</v>
      </c>
      <c r="C454" t="s">
        <v>1657</v>
      </c>
      <c r="D454" t="s">
        <v>33</v>
      </c>
      <c r="E454" s="58">
        <v>43381</v>
      </c>
      <c r="F454">
        <v>7</v>
      </c>
      <c r="G454" t="s">
        <v>3842</v>
      </c>
      <c r="H454" t="s">
        <v>53</v>
      </c>
      <c r="I454" t="s">
        <v>42</v>
      </c>
      <c r="J454" t="s">
        <v>3580</v>
      </c>
      <c r="K454" t="s">
        <v>1754</v>
      </c>
      <c r="L454" t="s">
        <v>65</v>
      </c>
      <c r="M454" t="b">
        <v>0</v>
      </c>
      <c r="N454" t="s">
        <v>752</v>
      </c>
      <c r="O454" t="b">
        <v>1</v>
      </c>
      <c r="P454" t="b">
        <v>0</v>
      </c>
      <c r="Q454" t="b">
        <v>1</v>
      </c>
      <c r="R454" t="b">
        <v>0</v>
      </c>
      <c r="S454" t="b">
        <v>1</v>
      </c>
      <c r="T454" t="b">
        <v>1</v>
      </c>
      <c r="U454" t="b">
        <v>1</v>
      </c>
      <c r="V454" t="b">
        <v>0</v>
      </c>
      <c r="W454" t="b">
        <v>0</v>
      </c>
      <c r="X454" t="b">
        <v>1</v>
      </c>
      <c r="Y454" t="b">
        <v>1</v>
      </c>
      <c r="Z454" t="b">
        <v>0</v>
      </c>
      <c r="AA454" t="b">
        <v>0</v>
      </c>
      <c r="AB454" t="s">
        <v>3483</v>
      </c>
      <c r="AC454" t="s">
        <v>7985</v>
      </c>
    </row>
    <row r="455" spans="1:29" x14ac:dyDescent="0.3">
      <c r="A455">
        <v>-73.952665690000003</v>
      </c>
      <c r="B455">
        <v>40.785000609999997</v>
      </c>
      <c r="C455" t="s">
        <v>398</v>
      </c>
      <c r="D455" t="s">
        <v>38</v>
      </c>
      <c r="E455" s="58">
        <v>43392</v>
      </c>
      <c r="F455">
        <v>26</v>
      </c>
      <c r="G455" t="s">
        <v>3842</v>
      </c>
      <c r="H455" t="s">
        <v>42</v>
      </c>
      <c r="I455" t="s">
        <v>53</v>
      </c>
      <c r="J455" t="s">
        <v>60</v>
      </c>
      <c r="K455" t="s">
        <v>1181</v>
      </c>
      <c r="L455" t="s">
        <v>65</v>
      </c>
      <c r="M455" t="b">
        <v>0</v>
      </c>
      <c r="N455" t="s">
        <v>151</v>
      </c>
      <c r="O455" t="b">
        <v>0</v>
      </c>
      <c r="P455" t="b">
        <v>0</v>
      </c>
      <c r="Q455" t="b">
        <v>1</v>
      </c>
      <c r="R455" t="b">
        <v>0</v>
      </c>
      <c r="S455" t="b">
        <v>0</v>
      </c>
      <c r="T455" t="b">
        <v>0</v>
      </c>
      <c r="U455" t="b">
        <v>1</v>
      </c>
      <c r="V455" t="b">
        <v>1</v>
      </c>
      <c r="W455" t="b">
        <v>1</v>
      </c>
      <c r="X455" t="b">
        <v>1</v>
      </c>
      <c r="Y455" t="b">
        <v>1</v>
      </c>
      <c r="Z455" t="b">
        <v>1</v>
      </c>
      <c r="AA455" t="b">
        <v>0</v>
      </c>
      <c r="AB455" t="s">
        <v>4031</v>
      </c>
      <c r="AC455" t="s">
        <v>7986</v>
      </c>
    </row>
    <row r="456" spans="1:29" x14ac:dyDescent="0.3">
      <c r="A456">
        <v>-73.977662890000005</v>
      </c>
      <c r="B456">
        <v>40.76598053</v>
      </c>
      <c r="C456" t="s">
        <v>802</v>
      </c>
      <c r="D456" t="s">
        <v>33</v>
      </c>
      <c r="E456" s="58">
        <v>43389</v>
      </c>
      <c r="F456">
        <v>15</v>
      </c>
      <c r="G456" t="s">
        <v>105</v>
      </c>
      <c r="H456" t="s">
        <v>53</v>
      </c>
      <c r="I456" t="s">
        <v>53</v>
      </c>
      <c r="J456" t="s">
        <v>1142</v>
      </c>
      <c r="K456" t="s">
        <v>2637</v>
      </c>
      <c r="L456" t="s">
        <v>44</v>
      </c>
      <c r="M456">
        <v>30</v>
      </c>
      <c r="N456" t="s">
        <v>874</v>
      </c>
      <c r="O456" t="b">
        <v>1</v>
      </c>
      <c r="P456" t="b">
        <v>1</v>
      </c>
      <c r="Q456" t="b">
        <v>0</v>
      </c>
      <c r="R456" t="b">
        <v>1</v>
      </c>
      <c r="S456" t="b">
        <v>0</v>
      </c>
      <c r="T456" t="b">
        <v>1</v>
      </c>
      <c r="U456" t="b">
        <v>0</v>
      </c>
      <c r="V456" t="b">
        <v>1</v>
      </c>
      <c r="W456" t="b">
        <v>1</v>
      </c>
      <c r="X456" t="b">
        <v>1</v>
      </c>
      <c r="Y456" t="b">
        <v>1</v>
      </c>
      <c r="Z456" t="b">
        <v>0</v>
      </c>
      <c r="AA456" t="b">
        <v>0</v>
      </c>
      <c r="AB456" t="s">
        <v>511</v>
      </c>
      <c r="AC456" t="s">
        <v>7987</v>
      </c>
    </row>
    <row r="457" spans="1:29" x14ac:dyDescent="0.3">
      <c r="A457">
        <v>-73.96567202</v>
      </c>
      <c r="B457">
        <v>40.797687369999998</v>
      </c>
      <c r="C457" t="s">
        <v>571</v>
      </c>
      <c r="D457" t="s">
        <v>38</v>
      </c>
      <c r="E457" s="58">
        <v>43380</v>
      </c>
      <c r="F457">
        <v>18</v>
      </c>
      <c r="G457" t="s">
        <v>3842</v>
      </c>
      <c r="H457" t="s">
        <v>42</v>
      </c>
      <c r="I457" t="s">
        <v>42</v>
      </c>
      <c r="J457" t="s">
        <v>5106</v>
      </c>
      <c r="K457" t="s">
        <v>672</v>
      </c>
      <c r="L457" t="s">
        <v>65</v>
      </c>
      <c r="M457" t="b">
        <v>0</v>
      </c>
      <c r="N457" t="s">
        <v>1207</v>
      </c>
      <c r="O457" t="b">
        <v>1</v>
      </c>
      <c r="P457" t="b">
        <v>0</v>
      </c>
      <c r="Q457" t="b">
        <v>1</v>
      </c>
      <c r="R457" t="b">
        <v>0</v>
      </c>
      <c r="S457" t="b">
        <v>1</v>
      </c>
      <c r="T457" t="b">
        <v>1</v>
      </c>
      <c r="U457" t="b">
        <v>1</v>
      </c>
      <c r="V457" t="b">
        <v>1</v>
      </c>
      <c r="W457" t="b">
        <v>0</v>
      </c>
      <c r="X457" t="b">
        <v>0</v>
      </c>
      <c r="Y457" t="b">
        <v>1</v>
      </c>
      <c r="Z457" t="b">
        <v>0</v>
      </c>
      <c r="AA457" t="b">
        <v>0</v>
      </c>
      <c r="AB457" t="s">
        <v>488</v>
      </c>
      <c r="AC457" t="s">
        <v>7988</v>
      </c>
    </row>
    <row r="458" spans="1:29" x14ac:dyDescent="0.3">
      <c r="A458">
        <v>-73.980801659999997</v>
      </c>
      <c r="B458">
        <v>40.789187419999998</v>
      </c>
      <c r="C458" t="s">
        <v>37</v>
      </c>
      <c r="D458" t="s">
        <v>33</v>
      </c>
      <c r="E458" s="58">
        <v>43380</v>
      </c>
      <c r="F458">
        <v>12</v>
      </c>
      <c r="G458" t="s">
        <v>3842</v>
      </c>
      <c r="H458" t="s">
        <v>176</v>
      </c>
      <c r="I458" t="s">
        <v>115</v>
      </c>
      <c r="J458" t="s">
        <v>339</v>
      </c>
      <c r="K458" t="s">
        <v>6823</v>
      </c>
      <c r="L458" t="s">
        <v>44</v>
      </c>
      <c r="M458">
        <v>20</v>
      </c>
      <c r="N458" t="s">
        <v>858</v>
      </c>
      <c r="O458" t="b">
        <v>0</v>
      </c>
      <c r="P458" t="b">
        <v>0</v>
      </c>
      <c r="Q458" t="b">
        <v>1</v>
      </c>
      <c r="R458" t="b">
        <v>1</v>
      </c>
      <c r="S458" t="b">
        <v>1</v>
      </c>
      <c r="T458" t="b">
        <v>1</v>
      </c>
      <c r="U458" t="b">
        <v>0</v>
      </c>
      <c r="V458" t="b">
        <v>0</v>
      </c>
      <c r="W458" t="b">
        <v>0</v>
      </c>
      <c r="X458" t="b">
        <v>0</v>
      </c>
      <c r="Y458" t="b">
        <v>1</v>
      </c>
      <c r="Z458" t="b">
        <v>0</v>
      </c>
      <c r="AA458" t="b">
        <v>0</v>
      </c>
      <c r="AB458" t="s">
        <v>799</v>
      </c>
      <c r="AC458" t="s">
        <v>7989</v>
      </c>
    </row>
    <row r="459" spans="1:29" x14ac:dyDescent="0.3">
      <c r="A459">
        <v>-73.966425380000004</v>
      </c>
      <c r="B459">
        <v>40.788729250000003</v>
      </c>
      <c r="C459" t="s">
        <v>439</v>
      </c>
      <c r="D459" t="s">
        <v>38</v>
      </c>
      <c r="E459" s="58">
        <v>43385</v>
      </c>
      <c r="F459">
        <v>17</v>
      </c>
      <c r="G459" t="s">
        <v>48</v>
      </c>
      <c r="H459" t="s">
        <v>42</v>
      </c>
      <c r="I459" t="s">
        <v>42</v>
      </c>
      <c r="J459" t="s">
        <v>1142</v>
      </c>
      <c r="K459" t="s">
        <v>6764</v>
      </c>
      <c r="L459" t="s">
        <v>44</v>
      </c>
      <c r="M459">
        <v>10</v>
      </c>
      <c r="N459" t="s">
        <v>6098</v>
      </c>
      <c r="O459" t="b">
        <v>1</v>
      </c>
      <c r="P459" t="b">
        <v>1</v>
      </c>
      <c r="Q459" t="b">
        <v>1</v>
      </c>
      <c r="R459" t="b">
        <v>1</v>
      </c>
      <c r="S459" t="b">
        <v>1</v>
      </c>
      <c r="T459" t="b">
        <v>1</v>
      </c>
      <c r="U459" t="b">
        <v>0</v>
      </c>
      <c r="V459" t="b">
        <v>1</v>
      </c>
      <c r="W459" t="b">
        <v>1</v>
      </c>
      <c r="X459" t="b">
        <v>0</v>
      </c>
      <c r="Y459" t="b">
        <v>0</v>
      </c>
      <c r="Z459" t="b">
        <v>0</v>
      </c>
      <c r="AA459" t="b">
        <v>0</v>
      </c>
      <c r="AB459" t="s">
        <v>5733</v>
      </c>
      <c r="AC459" t="s">
        <v>7990</v>
      </c>
    </row>
    <row r="460" spans="1:29" x14ac:dyDescent="0.3">
      <c r="A460">
        <v>-73.979388589999999</v>
      </c>
      <c r="B460">
        <v>40.772504130000002</v>
      </c>
      <c r="C460" t="s">
        <v>886</v>
      </c>
      <c r="D460" t="s">
        <v>38</v>
      </c>
      <c r="E460" s="58">
        <v>43390</v>
      </c>
      <c r="F460">
        <v>1</v>
      </c>
      <c r="G460" t="s">
        <v>48</v>
      </c>
      <c r="H460" t="s">
        <v>53</v>
      </c>
      <c r="I460" t="s">
        <v>1921</v>
      </c>
      <c r="J460" t="s">
        <v>2942</v>
      </c>
      <c r="K460" t="s">
        <v>1934</v>
      </c>
      <c r="L460" t="s">
        <v>65</v>
      </c>
      <c r="M460" t="b">
        <v>0</v>
      </c>
      <c r="N460" t="s">
        <v>5109</v>
      </c>
      <c r="O460" t="b">
        <v>1</v>
      </c>
      <c r="P460" t="b">
        <v>1</v>
      </c>
      <c r="Q460" t="b">
        <v>0</v>
      </c>
      <c r="R460" t="b">
        <v>1</v>
      </c>
      <c r="S460" t="b">
        <v>0</v>
      </c>
      <c r="T460" t="b">
        <v>0</v>
      </c>
      <c r="U460" t="b">
        <v>0</v>
      </c>
      <c r="V460" t="b">
        <v>1</v>
      </c>
      <c r="W460" t="b">
        <v>0</v>
      </c>
      <c r="X460" t="b">
        <v>0</v>
      </c>
      <c r="Y460" t="b">
        <v>0</v>
      </c>
      <c r="Z460" t="b">
        <v>1</v>
      </c>
      <c r="AA460" t="b">
        <v>1</v>
      </c>
      <c r="AB460" t="s">
        <v>685</v>
      </c>
      <c r="AC460" t="s">
        <v>7991</v>
      </c>
    </row>
    <row r="461" spans="1:29" x14ac:dyDescent="0.3">
      <c r="A461">
        <v>-73.97742332</v>
      </c>
      <c r="B461">
        <v>40.788108610000002</v>
      </c>
      <c r="C461" t="s">
        <v>2399</v>
      </c>
      <c r="D461" t="s">
        <v>33</v>
      </c>
      <c r="E461" s="58">
        <v>43388</v>
      </c>
      <c r="F461">
        <v>11</v>
      </c>
      <c r="G461" t="s">
        <v>48</v>
      </c>
      <c r="H461" t="s">
        <v>53</v>
      </c>
      <c r="I461" t="s">
        <v>1921</v>
      </c>
      <c r="J461" t="s">
        <v>116</v>
      </c>
      <c r="K461" t="s">
        <v>49</v>
      </c>
      <c r="L461" t="s">
        <v>65</v>
      </c>
      <c r="M461" t="b">
        <v>0</v>
      </c>
      <c r="N461" t="s">
        <v>2423</v>
      </c>
      <c r="O461" t="b">
        <v>1</v>
      </c>
      <c r="P461" t="b">
        <v>0</v>
      </c>
      <c r="Q461" t="b">
        <v>0</v>
      </c>
      <c r="R461" t="b">
        <v>0</v>
      </c>
      <c r="S461" t="b">
        <v>1</v>
      </c>
      <c r="T461" t="b">
        <v>1</v>
      </c>
      <c r="U461" t="b">
        <v>1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s">
        <v>4073</v>
      </c>
      <c r="AC461" t="s">
        <v>7992</v>
      </c>
    </row>
    <row r="462" spans="1:29" x14ac:dyDescent="0.3">
      <c r="A462">
        <v>-73.977463929999999</v>
      </c>
      <c r="B462">
        <v>40.778777789999999</v>
      </c>
      <c r="C462" t="s">
        <v>1652</v>
      </c>
      <c r="D462" t="s">
        <v>38</v>
      </c>
      <c r="E462" s="58">
        <v>43380</v>
      </c>
      <c r="F462">
        <v>28</v>
      </c>
      <c r="G462" t="s">
        <v>48</v>
      </c>
      <c r="H462" t="s">
        <v>176</v>
      </c>
      <c r="I462" t="s">
        <v>42</v>
      </c>
      <c r="J462" t="s">
        <v>89</v>
      </c>
      <c r="K462" t="s">
        <v>531</v>
      </c>
      <c r="L462" t="s">
        <v>44</v>
      </c>
      <c r="M462">
        <v>15</v>
      </c>
      <c r="N462" t="s">
        <v>5420</v>
      </c>
      <c r="O462" t="b">
        <v>1</v>
      </c>
      <c r="P462" t="b">
        <v>1</v>
      </c>
      <c r="Q462" t="b">
        <v>0</v>
      </c>
      <c r="R462" t="b">
        <v>1</v>
      </c>
      <c r="S462" t="b">
        <v>1</v>
      </c>
      <c r="T462" t="b">
        <v>1</v>
      </c>
      <c r="U462" t="b">
        <v>1</v>
      </c>
      <c r="V462" t="b">
        <v>0</v>
      </c>
      <c r="W462" t="b">
        <v>1</v>
      </c>
      <c r="X462" t="b">
        <v>0</v>
      </c>
      <c r="Y462" t="b">
        <v>0</v>
      </c>
      <c r="Z462" t="b">
        <v>0</v>
      </c>
      <c r="AA462" t="b">
        <v>1</v>
      </c>
      <c r="AB462" t="s">
        <v>7171</v>
      </c>
      <c r="AC462" t="s">
        <v>7993</v>
      </c>
    </row>
    <row r="463" spans="1:29" x14ac:dyDescent="0.3">
      <c r="A463">
        <v>-73.960749480000004</v>
      </c>
      <c r="B463">
        <v>40.787839179999999</v>
      </c>
      <c r="C463" t="s">
        <v>386</v>
      </c>
      <c r="D463" t="s">
        <v>38</v>
      </c>
      <c r="E463" s="58">
        <v>43389</v>
      </c>
      <c r="F463">
        <v>1</v>
      </c>
      <c r="G463" t="s">
        <v>3842</v>
      </c>
      <c r="H463" t="s">
        <v>53</v>
      </c>
      <c r="I463" t="s">
        <v>42</v>
      </c>
      <c r="J463" t="s">
        <v>155</v>
      </c>
      <c r="K463" t="s">
        <v>2382</v>
      </c>
      <c r="L463" t="s">
        <v>44</v>
      </c>
      <c r="M463">
        <v>10</v>
      </c>
      <c r="N463" t="s">
        <v>3705</v>
      </c>
      <c r="O463" t="b">
        <v>1</v>
      </c>
      <c r="P463" t="b">
        <v>0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b">
        <v>1</v>
      </c>
      <c r="W463" t="b">
        <v>1</v>
      </c>
      <c r="X463" t="b">
        <v>1</v>
      </c>
      <c r="Y463" t="b">
        <v>0</v>
      </c>
      <c r="Z463" t="b">
        <v>1</v>
      </c>
      <c r="AA463" t="b">
        <v>0</v>
      </c>
      <c r="AB463" t="s">
        <v>1649</v>
      </c>
      <c r="AC463" t="s">
        <v>7994</v>
      </c>
    </row>
    <row r="464" spans="1:29" x14ac:dyDescent="0.3">
      <c r="A464">
        <v>-73.957705309999994</v>
      </c>
      <c r="B464">
        <v>40.768663580000002</v>
      </c>
      <c r="C464" t="s">
        <v>1852</v>
      </c>
      <c r="D464" t="s">
        <v>38</v>
      </c>
      <c r="E464" s="58">
        <v>43382</v>
      </c>
      <c r="F464">
        <v>15</v>
      </c>
      <c r="G464" t="s">
        <v>105</v>
      </c>
      <c r="H464" t="s">
        <v>42</v>
      </c>
      <c r="I464" t="s">
        <v>115</v>
      </c>
      <c r="J464" t="s">
        <v>79</v>
      </c>
      <c r="K464" t="s">
        <v>442</v>
      </c>
      <c r="L464" t="s">
        <v>65</v>
      </c>
      <c r="M464" t="b">
        <v>0</v>
      </c>
      <c r="N464" t="s">
        <v>6098</v>
      </c>
      <c r="O464" t="b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1</v>
      </c>
      <c r="W464" t="b">
        <v>0</v>
      </c>
      <c r="X464" t="b">
        <v>0</v>
      </c>
      <c r="Y464" t="b">
        <v>0</v>
      </c>
      <c r="Z464" t="b">
        <v>0</v>
      </c>
      <c r="AA464" t="b">
        <v>1</v>
      </c>
      <c r="AB464" t="s">
        <v>650</v>
      </c>
      <c r="AC464" t="s">
        <v>7995</v>
      </c>
    </row>
    <row r="465" spans="1:29" x14ac:dyDescent="0.3">
      <c r="A465">
        <v>-73.962819330000002</v>
      </c>
      <c r="B465">
        <v>40.788071989999999</v>
      </c>
      <c r="C465" t="s">
        <v>1401</v>
      </c>
      <c r="D465" t="s">
        <v>33</v>
      </c>
      <c r="E465" s="58">
        <v>43380</v>
      </c>
      <c r="F465">
        <v>28</v>
      </c>
      <c r="G465" t="s">
        <v>3842</v>
      </c>
      <c r="H465" t="s">
        <v>42</v>
      </c>
      <c r="I465" t="s">
        <v>59</v>
      </c>
      <c r="J465" t="s">
        <v>1922</v>
      </c>
      <c r="K465" t="s">
        <v>4237</v>
      </c>
      <c r="L465" t="s">
        <v>65</v>
      </c>
      <c r="M465" t="b">
        <v>0</v>
      </c>
      <c r="N465" t="s">
        <v>6618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1</v>
      </c>
      <c r="U465" t="b">
        <v>0</v>
      </c>
      <c r="V465" t="b">
        <v>1</v>
      </c>
      <c r="W465" t="b">
        <v>0</v>
      </c>
      <c r="X465" t="b">
        <v>1</v>
      </c>
      <c r="Y465" t="b">
        <v>0</v>
      </c>
      <c r="Z465" t="b">
        <v>1</v>
      </c>
      <c r="AA465" t="b">
        <v>0</v>
      </c>
      <c r="AB465" t="s">
        <v>1029</v>
      </c>
      <c r="AC465" t="s">
        <v>7996</v>
      </c>
    </row>
    <row r="466" spans="1:29" x14ac:dyDescent="0.3">
      <c r="A466">
        <v>-73.95091094</v>
      </c>
      <c r="B466">
        <v>40.800097880000003</v>
      </c>
      <c r="C466" t="s">
        <v>3637</v>
      </c>
      <c r="D466" t="s">
        <v>33</v>
      </c>
      <c r="E466" s="58">
        <v>43384</v>
      </c>
      <c r="F466">
        <v>21</v>
      </c>
      <c r="G466" t="s">
        <v>3842</v>
      </c>
      <c r="H466" t="s">
        <v>176</v>
      </c>
      <c r="I466" t="s">
        <v>148</v>
      </c>
      <c r="J466" t="s">
        <v>155</v>
      </c>
      <c r="K466" t="s">
        <v>1259</v>
      </c>
      <c r="L466" t="s">
        <v>65</v>
      </c>
      <c r="M466" t="b">
        <v>0</v>
      </c>
      <c r="N466" t="s">
        <v>1494</v>
      </c>
      <c r="O466" t="b">
        <v>1</v>
      </c>
      <c r="P466" t="b">
        <v>1</v>
      </c>
      <c r="Q466" t="b">
        <v>0</v>
      </c>
      <c r="R466" t="b">
        <v>1</v>
      </c>
      <c r="S466" t="b">
        <v>0</v>
      </c>
      <c r="T466" t="b">
        <v>1</v>
      </c>
      <c r="U466" t="b">
        <v>1</v>
      </c>
      <c r="V466" t="b">
        <v>1</v>
      </c>
      <c r="W466" t="b">
        <v>0</v>
      </c>
      <c r="X466" t="b">
        <v>0</v>
      </c>
      <c r="Y466" t="b">
        <v>1</v>
      </c>
      <c r="Z466" t="b">
        <v>0</v>
      </c>
      <c r="AA466" t="b">
        <v>0</v>
      </c>
      <c r="AB466" t="s">
        <v>499</v>
      </c>
      <c r="AC466" t="s">
        <v>7997</v>
      </c>
    </row>
    <row r="467" spans="1:29" x14ac:dyDescent="0.3">
      <c r="A467">
        <v>-73.969373840000003</v>
      </c>
      <c r="B467">
        <v>40.76660811</v>
      </c>
      <c r="C467" t="s">
        <v>2889</v>
      </c>
      <c r="D467" t="s">
        <v>33</v>
      </c>
      <c r="E467" s="58">
        <v>43386</v>
      </c>
      <c r="F467">
        <v>10</v>
      </c>
      <c r="G467" t="s">
        <v>3842</v>
      </c>
      <c r="H467" t="s">
        <v>53</v>
      </c>
      <c r="I467" t="s">
        <v>176</v>
      </c>
      <c r="J467" t="s">
        <v>155</v>
      </c>
      <c r="K467" t="s">
        <v>4308</v>
      </c>
      <c r="L467" t="s">
        <v>44</v>
      </c>
      <c r="M467">
        <v>5</v>
      </c>
      <c r="N467" t="s">
        <v>5149</v>
      </c>
      <c r="O467" t="b">
        <v>0</v>
      </c>
      <c r="P467" t="b">
        <v>0</v>
      </c>
      <c r="Q467" t="b">
        <v>1</v>
      </c>
      <c r="R467" t="b">
        <v>1</v>
      </c>
      <c r="S467" t="b">
        <v>1</v>
      </c>
      <c r="T467" t="b">
        <v>1</v>
      </c>
      <c r="U467" t="b">
        <v>1</v>
      </c>
      <c r="V467" t="b">
        <v>0</v>
      </c>
      <c r="W467" t="b">
        <v>1</v>
      </c>
      <c r="X467" t="b">
        <v>0</v>
      </c>
      <c r="Y467" t="b">
        <v>0</v>
      </c>
      <c r="Z467" t="b">
        <v>0</v>
      </c>
      <c r="AA467" t="b">
        <v>1</v>
      </c>
      <c r="AB467" t="s">
        <v>6227</v>
      </c>
      <c r="AC467" t="s">
        <v>7998</v>
      </c>
    </row>
    <row r="468" spans="1:29" x14ac:dyDescent="0.3">
      <c r="A468">
        <v>-73.972176700000006</v>
      </c>
      <c r="B468">
        <v>40.799314870000003</v>
      </c>
      <c r="C468" t="s">
        <v>2573</v>
      </c>
      <c r="D468" t="s">
        <v>38</v>
      </c>
      <c r="E468" s="58">
        <v>43388</v>
      </c>
      <c r="F468">
        <v>7</v>
      </c>
      <c r="G468" t="s">
        <v>105</v>
      </c>
      <c r="H468" t="s">
        <v>176</v>
      </c>
      <c r="I468" t="s">
        <v>1921</v>
      </c>
      <c r="J468" t="s">
        <v>97</v>
      </c>
      <c r="K468" t="s">
        <v>3453</v>
      </c>
      <c r="L468" t="s">
        <v>44</v>
      </c>
      <c r="M468">
        <v>10</v>
      </c>
      <c r="N468" t="s">
        <v>1421</v>
      </c>
      <c r="O468" t="b">
        <v>1</v>
      </c>
      <c r="P468" t="b">
        <v>0</v>
      </c>
      <c r="Q468" t="b">
        <v>0</v>
      </c>
      <c r="R468" t="b">
        <v>1</v>
      </c>
      <c r="S468" t="b">
        <v>1</v>
      </c>
      <c r="T468" t="b">
        <v>1</v>
      </c>
      <c r="U468" t="b">
        <v>1</v>
      </c>
      <c r="V468" t="b">
        <v>0</v>
      </c>
      <c r="W468" t="b">
        <v>1</v>
      </c>
      <c r="X468" t="b">
        <v>1</v>
      </c>
      <c r="Y468" t="b">
        <v>1</v>
      </c>
      <c r="Z468" t="b">
        <v>0</v>
      </c>
      <c r="AA468" t="b">
        <v>0</v>
      </c>
      <c r="AB468" t="s">
        <v>5277</v>
      </c>
      <c r="AC468" t="s">
        <v>7999</v>
      </c>
    </row>
    <row r="469" spans="1:29" x14ac:dyDescent="0.3">
      <c r="A469">
        <v>-73.953852589999997</v>
      </c>
      <c r="B469">
        <v>40.779237019999997</v>
      </c>
      <c r="C469" t="s">
        <v>1211</v>
      </c>
      <c r="D469" t="s">
        <v>33</v>
      </c>
      <c r="E469" s="58">
        <v>43382</v>
      </c>
      <c r="F469">
        <v>2</v>
      </c>
      <c r="G469" t="s">
        <v>48</v>
      </c>
      <c r="H469" t="s">
        <v>42</v>
      </c>
      <c r="I469" t="s">
        <v>148</v>
      </c>
      <c r="J469" t="s">
        <v>1922</v>
      </c>
      <c r="K469" t="s">
        <v>4317</v>
      </c>
      <c r="L469" t="s">
        <v>65</v>
      </c>
      <c r="M469" t="b">
        <v>0</v>
      </c>
      <c r="N469" t="s">
        <v>7271</v>
      </c>
      <c r="O469" t="b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1</v>
      </c>
      <c r="X469" t="b">
        <v>1</v>
      </c>
      <c r="Y469" t="b">
        <v>1</v>
      </c>
      <c r="Z469" t="b">
        <v>0</v>
      </c>
      <c r="AA469" t="b">
        <v>0</v>
      </c>
      <c r="AB469" t="s">
        <v>7073</v>
      </c>
      <c r="AC469" t="s">
        <v>8000</v>
      </c>
    </row>
    <row r="470" spans="1:29" x14ac:dyDescent="0.3">
      <c r="A470">
        <v>-73.974129439999999</v>
      </c>
      <c r="B470">
        <v>40.795568029999998</v>
      </c>
      <c r="C470" t="s">
        <v>286</v>
      </c>
      <c r="D470" t="s">
        <v>38</v>
      </c>
      <c r="E470" s="58">
        <v>43393</v>
      </c>
      <c r="F470">
        <v>10</v>
      </c>
      <c r="G470" t="s">
        <v>3842</v>
      </c>
      <c r="H470" t="s">
        <v>176</v>
      </c>
      <c r="I470" t="s">
        <v>42</v>
      </c>
      <c r="J470" t="s">
        <v>34</v>
      </c>
      <c r="K470" t="s">
        <v>7178</v>
      </c>
      <c r="L470" t="s">
        <v>44</v>
      </c>
      <c r="M470">
        <v>12</v>
      </c>
      <c r="N470" t="s">
        <v>752</v>
      </c>
      <c r="O470" t="b">
        <v>1</v>
      </c>
      <c r="P470" t="b">
        <v>1</v>
      </c>
      <c r="Q470" t="b">
        <v>0</v>
      </c>
      <c r="R470" t="b">
        <v>0</v>
      </c>
      <c r="S470" t="b">
        <v>1</v>
      </c>
      <c r="T470" t="b">
        <v>0</v>
      </c>
      <c r="U470" t="b">
        <v>1</v>
      </c>
      <c r="V470" t="b">
        <v>0</v>
      </c>
      <c r="W470" t="b">
        <v>1</v>
      </c>
      <c r="X470" t="b">
        <v>1</v>
      </c>
      <c r="Y470" t="b">
        <v>0</v>
      </c>
      <c r="Z470" t="b">
        <v>1</v>
      </c>
      <c r="AA470" t="b">
        <v>0</v>
      </c>
      <c r="AB470" t="s">
        <v>954</v>
      </c>
      <c r="AC470" t="s">
        <v>8001</v>
      </c>
    </row>
    <row r="471" spans="1:29" x14ac:dyDescent="0.3">
      <c r="A471">
        <v>-73.950877930000004</v>
      </c>
      <c r="B471">
        <v>40.792456780000002</v>
      </c>
      <c r="C471" t="s">
        <v>228</v>
      </c>
      <c r="D471" t="s">
        <v>38</v>
      </c>
      <c r="E471" s="58">
        <v>43383</v>
      </c>
      <c r="F471">
        <v>24</v>
      </c>
      <c r="G471" t="s">
        <v>3842</v>
      </c>
      <c r="H471" t="s">
        <v>53</v>
      </c>
      <c r="I471" t="s">
        <v>115</v>
      </c>
      <c r="J471" t="s">
        <v>97</v>
      </c>
      <c r="K471" t="s">
        <v>1688</v>
      </c>
      <c r="L471" t="s">
        <v>44</v>
      </c>
      <c r="M471">
        <v>8</v>
      </c>
      <c r="N471" t="s">
        <v>3328</v>
      </c>
      <c r="O471" t="b">
        <v>1</v>
      </c>
      <c r="P471" t="b">
        <v>0</v>
      </c>
      <c r="Q471" t="b">
        <v>0</v>
      </c>
      <c r="R471" t="b">
        <v>1</v>
      </c>
      <c r="S471" t="b">
        <v>1</v>
      </c>
      <c r="T471" t="b">
        <v>0</v>
      </c>
      <c r="U471" t="b">
        <v>1</v>
      </c>
      <c r="V471" t="b">
        <v>0</v>
      </c>
      <c r="W471" t="b">
        <v>0</v>
      </c>
      <c r="X471" t="b">
        <v>0</v>
      </c>
      <c r="Y471" t="b">
        <v>1</v>
      </c>
      <c r="Z471" t="b">
        <v>1</v>
      </c>
      <c r="AA471" t="b">
        <v>0</v>
      </c>
      <c r="AB471" t="s">
        <v>2123</v>
      </c>
      <c r="AC471" t="s">
        <v>8002</v>
      </c>
    </row>
    <row r="472" spans="1:29" x14ac:dyDescent="0.3">
      <c r="A472">
        <v>-73.980776480000003</v>
      </c>
      <c r="B472">
        <v>40.784874090000002</v>
      </c>
      <c r="C472" t="s">
        <v>627</v>
      </c>
      <c r="D472" t="s">
        <v>33</v>
      </c>
      <c r="E472" s="58">
        <v>43382</v>
      </c>
      <c r="F472">
        <v>4</v>
      </c>
      <c r="G472" t="s">
        <v>48</v>
      </c>
      <c r="H472" t="s">
        <v>176</v>
      </c>
      <c r="I472" t="s">
        <v>96</v>
      </c>
      <c r="J472" t="s">
        <v>3580</v>
      </c>
      <c r="K472" t="s">
        <v>3843</v>
      </c>
      <c r="L472" t="s">
        <v>65</v>
      </c>
      <c r="M472" t="b">
        <v>0</v>
      </c>
      <c r="N472" t="s">
        <v>3132</v>
      </c>
      <c r="O472" t="b">
        <v>1</v>
      </c>
      <c r="P472" t="b">
        <v>0</v>
      </c>
      <c r="Q472" t="b">
        <v>0</v>
      </c>
      <c r="R472" t="b">
        <v>0</v>
      </c>
      <c r="S472" t="b">
        <v>1</v>
      </c>
      <c r="T472" t="b">
        <v>1</v>
      </c>
      <c r="U472" t="b">
        <v>0</v>
      </c>
      <c r="V472" t="b">
        <v>1</v>
      </c>
      <c r="W472" t="b">
        <v>1</v>
      </c>
      <c r="X472" t="b">
        <v>0</v>
      </c>
      <c r="Y472" t="b">
        <v>1</v>
      </c>
      <c r="Z472" t="b">
        <v>1</v>
      </c>
      <c r="AA472" t="b">
        <v>0</v>
      </c>
      <c r="AB472" t="s">
        <v>121</v>
      </c>
      <c r="AC472" t="s">
        <v>8003</v>
      </c>
    </row>
    <row r="473" spans="1:29" x14ac:dyDescent="0.3">
      <c r="A473">
        <v>-73.950668680000007</v>
      </c>
      <c r="B473">
        <v>40.790909880000001</v>
      </c>
      <c r="C473" t="s">
        <v>1287</v>
      </c>
      <c r="D473" t="s">
        <v>33</v>
      </c>
      <c r="E473" s="58">
        <v>43381</v>
      </c>
      <c r="F473">
        <v>12</v>
      </c>
      <c r="G473" t="s">
        <v>3842</v>
      </c>
      <c r="H473" t="s">
        <v>53</v>
      </c>
      <c r="I473" t="s">
        <v>115</v>
      </c>
      <c r="J473" t="s">
        <v>34</v>
      </c>
      <c r="K473" t="s">
        <v>4308</v>
      </c>
      <c r="L473" t="s">
        <v>44</v>
      </c>
      <c r="M473">
        <v>40</v>
      </c>
      <c r="N473" t="s">
        <v>535</v>
      </c>
      <c r="O473" t="b">
        <v>1</v>
      </c>
      <c r="P473" t="b">
        <v>1</v>
      </c>
      <c r="Q473" t="b">
        <v>0</v>
      </c>
      <c r="R473" t="b">
        <v>1</v>
      </c>
      <c r="S473" t="b">
        <v>0</v>
      </c>
      <c r="T473" t="b">
        <v>1</v>
      </c>
      <c r="U473" t="b">
        <v>1</v>
      </c>
      <c r="V473" t="b">
        <v>0</v>
      </c>
      <c r="W473" t="b">
        <v>1</v>
      </c>
      <c r="X473" t="b">
        <v>1</v>
      </c>
      <c r="Y473" t="b">
        <v>0</v>
      </c>
      <c r="Z473" t="b">
        <v>0</v>
      </c>
      <c r="AA473" t="b">
        <v>1</v>
      </c>
      <c r="AB473" t="s">
        <v>1963</v>
      </c>
      <c r="AC473" t="s">
        <v>8004</v>
      </c>
    </row>
    <row r="474" spans="1:29" x14ac:dyDescent="0.3">
      <c r="A474">
        <v>-73.979801769999995</v>
      </c>
      <c r="B474">
        <v>40.79584131</v>
      </c>
      <c r="C474" t="s">
        <v>2011</v>
      </c>
      <c r="D474" t="s">
        <v>38</v>
      </c>
      <c r="E474" s="58">
        <v>43383</v>
      </c>
      <c r="F474">
        <v>19</v>
      </c>
      <c r="G474" t="s">
        <v>105</v>
      </c>
      <c r="H474" t="s">
        <v>53</v>
      </c>
      <c r="I474" t="s">
        <v>737</v>
      </c>
      <c r="J474" t="s">
        <v>738</v>
      </c>
      <c r="K474" t="s">
        <v>6422</v>
      </c>
      <c r="L474" t="s">
        <v>65</v>
      </c>
      <c r="M474" t="b">
        <v>0</v>
      </c>
      <c r="N474" t="s">
        <v>1555</v>
      </c>
      <c r="O474" t="b">
        <v>0</v>
      </c>
      <c r="P474" t="b">
        <v>1</v>
      </c>
      <c r="Q474" t="b">
        <v>0</v>
      </c>
      <c r="R474" t="b">
        <v>1</v>
      </c>
      <c r="S474" t="b">
        <v>1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1</v>
      </c>
      <c r="Z474" t="b">
        <v>0</v>
      </c>
      <c r="AA474" t="b">
        <v>0</v>
      </c>
      <c r="AB474" t="s">
        <v>1854</v>
      </c>
      <c r="AC474" t="s">
        <v>8005</v>
      </c>
    </row>
    <row r="475" spans="1:29" x14ac:dyDescent="0.3">
      <c r="A475">
        <v>-73.953143879999999</v>
      </c>
      <c r="B475">
        <v>40.779139579999999</v>
      </c>
      <c r="C475" t="s">
        <v>2372</v>
      </c>
      <c r="D475" t="s">
        <v>38</v>
      </c>
      <c r="E475" s="58">
        <v>43392</v>
      </c>
      <c r="F475">
        <v>26</v>
      </c>
      <c r="G475" t="s">
        <v>3842</v>
      </c>
      <c r="H475" t="s">
        <v>42</v>
      </c>
      <c r="I475" t="s">
        <v>737</v>
      </c>
      <c r="J475" t="s">
        <v>60</v>
      </c>
      <c r="K475" t="s">
        <v>5038</v>
      </c>
      <c r="L475" t="s">
        <v>65</v>
      </c>
      <c r="M475" t="b">
        <v>0</v>
      </c>
      <c r="N475" t="s">
        <v>5673</v>
      </c>
      <c r="O475" t="b">
        <v>0</v>
      </c>
      <c r="P475" t="b">
        <v>1</v>
      </c>
      <c r="Q475" t="b">
        <v>0</v>
      </c>
      <c r="R475" t="b">
        <v>0</v>
      </c>
      <c r="S475" t="b">
        <v>1</v>
      </c>
      <c r="T475" t="b">
        <v>1</v>
      </c>
      <c r="U475" t="b">
        <v>1</v>
      </c>
      <c r="V475" t="b">
        <v>1</v>
      </c>
      <c r="W475" t="b">
        <v>1</v>
      </c>
      <c r="X475" t="b">
        <v>1</v>
      </c>
      <c r="Y475" t="b">
        <v>0</v>
      </c>
      <c r="Z475" t="b">
        <v>0</v>
      </c>
      <c r="AA475" t="b">
        <v>1</v>
      </c>
      <c r="AB475" t="s">
        <v>2004</v>
      </c>
      <c r="AC475" t="s">
        <v>8006</v>
      </c>
    </row>
    <row r="476" spans="1:29" x14ac:dyDescent="0.3">
      <c r="A476">
        <v>-73.964569339999997</v>
      </c>
      <c r="B476">
        <v>40.776424800000001</v>
      </c>
      <c r="C476" t="s">
        <v>2077</v>
      </c>
      <c r="D476" t="s">
        <v>33</v>
      </c>
      <c r="E476" s="58">
        <v>43387</v>
      </c>
      <c r="F476">
        <v>11</v>
      </c>
      <c r="G476" t="s">
        <v>3842</v>
      </c>
      <c r="H476" t="s">
        <v>42</v>
      </c>
      <c r="I476" t="s">
        <v>148</v>
      </c>
      <c r="J476" t="s">
        <v>3228</v>
      </c>
      <c r="K476" t="s">
        <v>1934</v>
      </c>
      <c r="L476" t="s">
        <v>44</v>
      </c>
      <c r="M476">
        <v>25</v>
      </c>
      <c r="N476" t="s">
        <v>2074</v>
      </c>
      <c r="O476" t="b">
        <v>0</v>
      </c>
      <c r="P476" t="b">
        <v>1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1</v>
      </c>
      <c r="Z476" t="b">
        <v>1</v>
      </c>
      <c r="AA476" t="b">
        <v>1</v>
      </c>
      <c r="AB476" t="s">
        <v>3437</v>
      </c>
      <c r="AC476" t="s">
        <v>8007</v>
      </c>
    </row>
    <row r="477" spans="1:29" x14ac:dyDescent="0.3">
      <c r="A477">
        <v>-73.949942930000006</v>
      </c>
      <c r="B477">
        <v>40.788415200000003</v>
      </c>
      <c r="C477" t="s">
        <v>1962</v>
      </c>
      <c r="D477" t="s">
        <v>33</v>
      </c>
      <c r="E477" s="58">
        <v>43386</v>
      </c>
      <c r="F477">
        <v>8</v>
      </c>
      <c r="G477" t="s">
        <v>48</v>
      </c>
      <c r="H477" t="s">
        <v>42</v>
      </c>
      <c r="I477" t="s">
        <v>53</v>
      </c>
      <c r="J477" t="s">
        <v>155</v>
      </c>
      <c r="K477" t="s">
        <v>6109</v>
      </c>
      <c r="L477" t="s">
        <v>44</v>
      </c>
      <c r="M477">
        <v>3</v>
      </c>
      <c r="N477" t="s">
        <v>4142</v>
      </c>
      <c r="O477" t="b">
        <v>1</v>
      </c>
      <c r="P477" t="b">
        <v>1</v>
      </c>
      <c r="Q477" t="b">
        <v>1</v>
      </c>
      <c r="R477" t="b">
        <v>1</v>
      </c>
      <c r="S477" t="b">
        <v>1</v>
      </c>
      <c r="T477" t="b">
        <v>0</v>
      </c>
      <c r="U477" t="b">
        <v>1</v>
      </c>
      <c r="V477" t="b">
        <v>1</v>
      </c>
      <c r="W477" t="b">
        <v>1</v>
      </c>
      <c r="X477" t="b">
        <v>0</v>
      </c>
      <c r="Y477" t="b">
        <v>0</v>
      </c>
      <c r="Z477" t="b">
        <v>0</v>
      </c>
      <c r="AA477" t="b">
        <v>1</v>
      </c>
      <c r="AB477" t="s">
        <v>5410</v>
      </c>
      <c r="AC477" t="s">
        <v>8008</v>
      </c>
    </row>
    <row r="478" spans="1:29" x14ac:dyDescent="0.3">
      <c r="A478">
        <v>-73.97883865</v>
      </c>
      <c r="B478">
        <v>40.793353189999998</v>
      </c>
      <c r="C478" t="s">
        <v>514</v>
      </c>
      <c r="D478" t="s">
        <v>33</v>
      </c>
      <c r="E478" s="58">
        <v>43386</v>
      </c>
      <c r="F478">
        <v>18</v>
      </c>
      <c r="G478" t="s">
        <v>3842</v>
      </c>
      <c r="H478" t="s">
        <v>53</v>
      </c>
      <c r="I478" t="s">
        <v>737</v>
      </c>
      <c r="J478" t="s">
        <v>149</v>
      </c>
      <c r="K478" t="s">
        <v>6823</v>
      </c>
      <c r="L478" t="s">
        <v>65</v>
      </c>
      <c r="M478" t="b">
        <v>0</v>
      </c>
      <c r="N478" t="s">
        <v>2003</v>
      </c>
      <c r="O478" t="b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1</v>
      </c>
      <c r="Z478" t="b">
        <v>1</v>
      </c>
      <c r="AA478" t="b">
        <v>1</v>
      </c>
      <c r="AB478" t="s">
        <v>1073</v>
      </c>
      <c r="AC478" t="s">
        <v>8009</v>
      </c>
    </row>
    <row r="479" spans="1:29" x14ac:dyDescent="0.3">
      <c r="A479">
        <v>-73.963747170000005</v>
      </c>
      <c r="B479">
        <v>40.791749090000003</v>
      </c>
      <c r="C479" t="s">
        <v>761</v>
      </c>
      <c r="D479" t="s">
        <v>38</v>
      </c>
      <c r="E479" s="58">
        <v>43386</v>
      </c>
      <c r="F479">
        <v>11</v>
      </c>
      <c r="G479" t="s">
        <v>3842</v>
      </c>
      <c r="H479" t="s">
        <v>176</v>
      </c>
      <c r="I479" t="s">
        <v>737</v>
      </c>
      <c r="J479" t="s">
        <v>43</v>
      </c>
      <c r="K479" t="s">
        <v>1012</v>
      </c>
      <c r="L479" t="s">
        <v>44</v>
      </c>
      <c r="M479">
        <v>12</v>
      </c>
      <c r="N479" t="s">
        <v>6675</v>
      </c>
      <c r="O479" t="b">
        <v>0</v>
      </c>
      <c r="P479" t="b">
        <v>1</v>
      </c>
      <c r="Q479" t="b">
        <v>0</v>
      </c>
      <c r="R479" t="b">
        <v>1</v>
      </c>
      <c r="S479" t="b">
        <v>1</v>
      </c>
      <c r="T479" t="b">
        <v>0</v>
      </c>
      <c r="U479" t="b">
        <v>1</v>
      </c>
      <c r="V479" t="b">
        <v>0</v>
      </c>
      <c r="W479" t="b">
        <v>0</v>
      </c>
      <c r="X479" t="b">
        <v>1</v>
      </c>
      <c r="Y479" t="b">
        <v>0</v>
      </c>
      <c r="Z479" t="b">
        <v>1</v>
      </c>
      <c r="AA479" t="b">
        <v>1</v>
      </c>
      <c r="AB479" t="s">
        <v>4117</v>
      </c>
      <c r="AC479" t="s">
        <v>8010</v>
      </c>
    </row>
    <row r="480" spans="1:29" x14ac:dyDescent="0.3">
      <c r="A480">
        <v>-73.9506868</v>
      </c>
      <c r="B480">
        <v>40.792999969999997</v>
      </c>
      <c r="C480" t="s">
        <v>471</v>
      </c>
      <c r="D480" t="s">
        <v>38</v>
      </c>
      <c r="E480" s="58">
        <v>43390</v>
      </c>
      <c r="F480">
        <v>11</v>
      </c>
      <c r="G480" t="s">
        <v>105</v>
      </c>
      <c r="H480" t="s">
        <v>53</v>
      </c>
      <c r="I480" t="s">
        <v>59</v>
      </c>
      <c r="J480" t="s">
        <v>705</v>
      </c>
      <c r="K480" t="s">
        <v>4237</v>
      </c>
      <c r="L480" t="s">
        <v>65</v>
      </c>
      <c r="M480" t="b">
        <v>0</v>
      </c>
      <c r="N480" t="s">
        <v>6636</v>
      </c>
      <c r="O480" t="b">
        <v>1</v>
      </c>
      <c r="P480" t="b">
        <v>1</v>
      </c>
      <c r="Q480" t="b">
        <v>1</v>
      </c>
      <c r="R480" t="b">
        <v>1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1</v>
      </c>
      <c r="Z480" t="b">
        <v>1</v>
      </c>
      <c r="AA480" t="b">
        <v>1</v>
      </c>
      <c r="AB480" t="s">
        <v>749</v>
      </c>
      <c r="AC480" t="s">
        <v>8011</v>
      </c>
    </row>
    <row r="481" spans="1:29" x14ac:dyDescent="0.3">
      <c r="A481">
        <v>-73.964714049999998</v>
      </c>
      <c r="B481">
        <v>40.78024662</v>
      </c>
      <c r="C481" t="s">
        <v>335</v>
      </c>
      <c r="D481" t="s">
        <v>38</v>
      </c>
      <c r="E481" s="58">
        <v>43386</v>
      </c>
      <c r="F481">
        <v>13</v>
      </c>
      <c r="G481" t="s">
        <v>48</v>
      </c>
      <c r="H481" t="s">
        <v>42</v>
      </c>
      <c r="I481" t="s">
        <v>96</v>
      </c>
      <c r="J481" t="s">
        <v>1142</v>
      </c>
      <c r="K481" t="s">
        <v>2311</v>
      </c>
      <c r="L481" t="s">
        <v>44</v>
      </c>
      <c r="M481">
        <v>20</v>
      </c>
      <c r="N481" t="s">
        <v>368</v>
      </c>
      <c r="O481" t="b">
        <v>1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1</v>
      </c>
      <c r="W481" t="b">
        <v>1</v>
      </c>
      <c r="X481" t="b">
        <v>1</v>
      </c>
      <c r="Y481" t="b">
        <v>0</v>
      </c>
      <c r="Z481" t="b">
        <v>0</v>
      </c>
      <c r="AA481" t="b">
        <v>1</v>
      </c>
      <c r="AB481" t="s">
        <v>4031</v>
      </c>
      <c r="AC481" t="s">
        <v>8012</v>
      </c>
    </row>
    <row r="482" spans="1:29" x14ac:dyDescent="0.3">
      <c r="A482">
        <v>-73.96137229</v>
      </c>
      <c r="B482">
        <v>40.793704849999997</v>
      </c>
      <c r="C482" t="s">
        <v>600</v>
      </c>
      <c r="D482" t="s">
        <v>38</v>
      </c>
      <c r="E482" s="58">
        <v>43385</v>
      </c>
      <c r="F482">
        <v>3</v>
      </c>
      <c r="G482" t="s">
        <v>48</v>
      </c>
      <c r="H482" t="s">
        <v>42</v>
      </c>
      <c r="I482" t="s">
        <v>59</v>
      </c>
      <c r="J482" t="s">
        <v>34</v>
      </c>
      <c r="K482" t="s">
        <v>7370</v>
      </c>
      <c r="L482" t="s">
        <v>44</v>
      </c>
      <c r="M482">
        <v>10</v>
      </c>
      <c r="N482" t="s">
        <v>6335</v>
      </c>
      <c r="O482" t="b">
        <v>1</v>
      </c>
      <c r="P482" t="b">
        <v>0</v>
      </c>
      <c r="Q482" t="b">
        <v>0</v>
      </c>
      <c r="R482" t="b">
        <v>1</v>
      </c>
      <c r="S482" t="b">
        <v>1</v>
      </c>
      <c r="T482" t="b">
        <v>0</v>
      </c>
      <c r="U482" t="b">
        <v>1</v>
      </c>
      <c r="V482" t="b">
        <v>0</v>
      </c>
      <c r="W482" t="b">
        <v>0</v>
      </c>
      <c r="X482" t="b">
        <v>1</v>
      </c>
      <c r="Y482" t="b">
        <v>1</v>
      </c>
      <c r="Z482" t="b">
        <v>0</v>
      </c>
      <c r="AA482" t="b">
        <v>1</v>
      </c>
      <c r="AB482" t="s">
        <v>1473</v>
      </c>
      <c r="AC482" t="s">
        <v>8013</v>
      </c>
    </row>
    <row r="483" spans="1:29" x14ac:dyDescent="0.3">
      <c r="A483">
        <v>-73.959286460000001</v>
      </c>
      <c r="B483">
        <v>40.769142969999997</v>
      </c>
      <c r="C483" t="s">
        <v>154</v>
      </c>
      <c r="D483" t="s">
        <v>38</v>
      </c>
      <c r="E483" s="58">
        <v>43386</v>
      </c>
      <c r="F483">
        <v>12</v>
      </c>
      <c r="G483" t="s">
        <v>105</v>
      </c>
      <c r="H483" t="s">
        <v>176</v>
      </c>
      <c r="I483" t="s">
        <v>96</v>
      </c>
      <c r="J483" t="s">
        <v>43</v>
      </c>
      <c r="K483" t="s">
        <v>4177</v>
      </c>
      <c r="L483" t="s">
        <v>44</v>
      </c>
      <c r="M483">
        <v>30</v>
      </c>
      <c r="N483" t="s">
        <v>2204</v>
      </c>
      <c r="O483" t="b">
        <v>0</v>
      </c>
      <c r="P483" t="b">
        <v>1</v>
      </c>
      <c r="Q483" t="b">
        <v>1</v>
      </c>
      <c r="R483" t="b">
        <v>0</v>
      </c>
      <c r="S483" t="b">
        <v>1</v>
      </c>
      <c r="T483" t="b">
        <v>1</v>
      </c>
      <c r="U483" t="b">
        <v>1</v>
      </c>
      <c r="V483" t="b">
        <v>1</v>
      </c>
      <c r="W483" t="b">
        <v>1</v>
      </c>
      <c r="X483" t="b">
        <v>1</v>
      </c>
      <c r="Y483" t="b">
        <v>1</v>
      </c>
      <c r="Z483" t="b">
        <v>0</v>
      </c>
      <c r="AA483" t="b">
        <v>0</v>
      </c>
      <c r="AB483" t="s">
        <v>3274</v>
      </c>
      <c r="AC483" t="s">
        <v>8014</v>
      </c>
    </row>
    <row r="484" spans="1:29" x14ac:dyDescent="0.3">
      <c r="A484">
        <v>-73.966869259999996</v>
      </c>
      <c r="B484">
        <v>40.784080959999997</v>
      </c>
      <c r="C484" t="s">
        <v>1035</v>
      </c>
      <c r="D484" t="s">
        <v>33</v>
      </c>
      <c r="E484" s="58">
        <v>43389</v>
      </c>
      <c r="F484">
        <v>3</v>
      </c>
      <c r="G484" t="s">
        <v>3842</v>
      </c>
      <c r="H484" t="s">
        <v>42</v>
      </c>
      <c r="I484" t="s">
        <v>5105</v>
      </c>
      <c r="J484" t="s">
        <v>97</v>
      </c>
      <c r="K484" t="s">
        <v>3407</v>
      </c>
      <c r="L484" t="s">
        <v>65</v>
      </c>
      <c r="M484" t="b">
        <v>0</v>
      </c>
      <c r="N484" t="s">
        <v>1432</v>
      </c>
      <c r="O484" t="b">
        <v>0</v>
      </c>
      <c r="P484" t="b">
        <v>1</v>
      </c>
      <c r="Q484" t="b">
        <v>0</v>
      </c>
      <c r="R484" t="b">
        <v>1</v>
      </c>
      <c r="S484" t="b">
        <v>0</v>
      </c>
      <c r="T484" t="b">
        <v>0</v>
      </c>
      <c r="U484" t="b">
        <v>0</v>
      </c>
      <c r="V484" t="b">
        <v>0</v>
      </c>
      <c r="W484" t="b">
        <v>1</v>
      </c>
      <c r="X484" t="b">
        <v>1</v>
      </c>
      <c r="Y484" t="b">
        <v>0</v>
      </c>
      <c r="Z484" t="b">
        <v>0</v>
      </c>
      <c r="AA484" t="b">
        <v>1</v>
      </c>
      <c r="AB484" t="s">
        <v>2194</v>
      </c>
      <c r="AC484" t="s">
        <v>8015</v>
      </c>
    </row>
    <row r="485" spans="1:29" x14ac:dyDescent="0.3">
      <c r="A485">
        <v>-73.961430149999998</v>
      </c>
      <c r="B485">
        <v>40.765113419999999</v>
      </c>
      <c r="C485" t="s">
        <v>2181</v>
      </c>
      <c r="D485" t="s">
        <v>33</v>
      </c>
      <c r="E485" s="58">
        <v>43392</v>
      </c>
      <c r="F485">
        <v>10</v>
      </c>
      <c r="G485" t="s">
        <v>48</v>
      </c>
      <c r="H485" t="s">
        <v>42</v>
      </c>
      <c r="I485" t="s">
        <v>176</v>
      </c>
      <c r="J485" t="s">
        <v>155</v>
      </c>
      <c r="K485" t="s">
        <v>6166</v>
      </c>
      <c r="L485" t="s">
        <v>44</v>
      </c>
      <c r="M485">
        <v>6</v>
      </c>
      <c r="N485" t="s">
        <v>2760</v>
      </c>
      <c r="O485" t="b">
        <v>1</v>
      </c>
      <c r="P485" t="b">
        <v>0</v>
      </c>
      <c r="Q485" t="b">
        <v>0</v>
      </c>
      <c r="R485" t="b">
        <v>0</v>
      </c>
      <c r="S485" t="b">
        <v>1</v>
      </c>
      <c r="T485" t="b">
        <v>0</v>
      </c>
      <c r="U485" t="b">
        <v>1</v>
      </c>
      <c r="V485" t="b">
        <v>0</v>
      </c>
      <c r="W485" t="b">
        <v>1</v>
      </c>
      <c r="X485" t="b">
        <v>1</v>
      </c>
      <c r="Y485" t="b">
        <v>1</v>
      </c>
      <c r="Z485" t="b">
        <v>1</v>
      </c>
      <c r="AA485" t="b">
        <v>0</v>
      </c>
      <c r="AB485" t="s">
        <v>6392</v>
      </c>
      <c r="AC485" t="s">
        <v>8016</v>
      </c>
    </row>
    <row r="486" spans="1:29" x14ac:dyDescent="0.3">
      <c r="A486">
        <v>-73.962789599999994</v>
      </c>
      <c r="B486">
        <v>40.776338639999999</v>
      </c>
      <c r="C486" t="s">
        <v>1083</v>
      </c>
      <c r="D486" t="s">
        <v>38</v>
      </c>
      <c r="E486" s="58">
        <v>43386</v>
      </c>
      <c r="F486">
        <v>27</v>
      </c>
      <c r="G486" t="s">
        <v>48</v>
      </c>
      <c r="H486" t="s">
        <v>42</v>
      </c>
      <c r="I486" t="s">
        <v>1921</v>
      </c>
      <c r="J486" t="s">
        <v>5106</v>
      </c>
      <c r="K486" t="s">
        <v>4660</v>
      </c>
      <c r="L486" t="s">
        <v>65</v>
      </c>
      <c r="M486" t="b">
        <v>0</v>
      </c>
      <c r="N486" t="s">
        <v>6854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1</v>
      </c>
      <c r="U486" t="b">
        <v>0</v>
      </c>
      <c r="V486" t="b">
        <v>1</v>
      </c>
      <c r="W486" t="b">
        <v>1</v>
      </c>
      <c r="X486" t="b">
        <v>1</v>
      </c>
      <c r="Y486" t="b">
        <v>0</v>
      </c>
      <c r="Z486" t="b">
        <v>1</v>
      </c>
      <c r="AA486" t="b">
        <v>1</v>
      </c>
      <c r="AB486" t="s">
        <v>974</v>
      </c>
      <c r="AC486" t="s">
        <v>8017</v>
      </c>
    </row>
    <row r="487" spans="1:29" x14ac:dyDescent="0.3">
      <c r="A487">
        <v>-73.952829039999997</v>
      </c>
      <c r="B487">
        <v>40.777812990000001</v>
      </c>
      <c r="C487" t="s">
        <v>827</v>
      </c>
      <c r="D487" t="s">
        <v>38</v>
      </c>
      <c r="E487" s="58">
        <v>43391</v>
      </c>
      <c r="F487">
        <v>17</v>
      </c>
      <c r="G487" t="s">
        <v>3842</v>
      </c>
      <c r="H487" t="s">
        <v>176</v>
      </c>
      <c r="I487" t="s">
        <v>737</v>
      </c>
      <c r="J487" t="s">
        <v>3228</v>
      </c>
      <c r="K487" t="s">
        <v>2311</v>
      </c>
      <c r="L487" t="s">
        <v>65</v>
      </c>
      <c r="M487" t="b">
        <v>0</v>
      </c>
      <c r="N487" t="s">
        <v>6925</v>
      </c>
      <c r="O487" t="b">
        <v>1</v>
      </c>
      <c r="P487" t="b">
        <v>0</v>
      </c>
      <c r="Q487" t="b">
        <v>1</v>
      </c>
      <c r="R487" t="b">
        <v>1</v>
      </c>
      <c r="S487" t="b">
        <v>1</v>
      </c>
      <c r="T487" t="b">
        <v>0</v>
      </c>
      <c r="U487" t="b">
        <v>0</v>
      </c>
      <c r="V487" t="b">
        <v>1</v>
      </c>
      <c r="W487" t="b">
        <v>1</v>
      </c>
      <c r="X487" t="b">
        <v>1</v>
      </c>
      <c r="Y487" t="b">
        <v>1</v>
      </c>
      <c r="Z487" t="b">
        <v>0</v>
      </c>
      <c r="AA487" t="b">
        <v>1</v>
      </c>
      <c r="AB487" t="s">
        <v>4172</v>
      </c>
      <c r="AC487" t="s">
        <v>8018</v>
      </c>
    </row>
    <row r="488" spans="1:29" x14ac:dyDescent="0.3">
      <c r="A488">
        <v>-73.979729890000002</v>
      </c>
      <c r="B488">
        <v>40.778859060000002</v>
      </c>
      <c r="C488" t="s">
        <v>925</v>
      </c>
      <c r="D488" t="s">
        <v>33</v>
      </c>
      <c r="E488" s="58">
        <v>43392</v>
      </c>
      <c r="F488">
        <v>22</v>
      </c>
      <c r="G488" t="s">
        <v>3842</v>
      </c>
      <c r="H488" t="s">
        <v>53</v>
      </c>
      <c r="I488" t="s">
        <v>1921</v>
      </c>
      <c r="J488" t="s">
        <v>34</v>
      </c>
      <c r="K488" t="s">
        <v>3050</v>
      </c>
      <c r="L488" t="s">
        <v>65</v>
      </c>
      <c r="M488" t="b">
        <v>0</v>
      </c>
      <c r="N488" t="s">
        <v>2003</v>
      </c>
      <c r="O488" t="b">
        <v>0</v>
      </c>
      <c r="P488" t="b">
        <v>0</v>
      </c>
      <c r="Q488" t="b">
        <v>1</v>
      </c>
      <c r="R488" t="b">
        <v>0</v>
      </c>
      <c r="S488" t="b">
        <v>1</v>
      </c>
      <c r="T488" t="b">
        <v>1</v>
      </c>
      <c r="U488" t="b">
        <v>1</v>
      </c>
      <c r="V488" t="b">
        <v>0</v>
      </c>
      <c r="W488" t="b">
        <v>1</v>
      </c>
      <c r="X488" t="b">
        <v>1</v>
      </c>
      <c r="Y488" t="b">
        <v>1</v>
      </c>
      <c r="Z488" t="b">
        <v>0</v>
      </c>
      <c r="AA488" t="b">
        <v>0</v>
      </c>
      <c r="AB488" t="s">
        <v>1497</v>
      </c>
      <c r="AC488" t="s">
        <v>8019</v>
      </c>
    </row>
    <row r="489" spans="1:29" x14ac:dyDescent="0.3">
      <c r="A489">
        <v>-73.972325990000002</v>
      </c>
      <c r="B489">
        <v>40.789396570000001</v>
      </c>
      <c r="C489" t="s">
        <v>6019</v>
      </c>
      <c r="D489" t="s">
        <v>33</v>
      </c>
      <c r="E489" s="58">
        <v>43386</v>
      </c>
      <c r="F489">
        <v>2</v>
      </c>
      <c r="G489" t="s">
        <v>48</v>
      </c>
      <c r="H489" t="s">
        <v>42</v>
      </c>
      <c r="I489" t="s">
        <v>737</v>
      </c>
      <c r="J489" t="s">
        <v>619</v>
      </c>
      <c r="K489" t="s">
        <v>1813</v>
      </c>
      <c r="L489" t="s">
        <v>44</v>
      </c>
      <c r="M489">
        <v>25</v>
      </c>
      <c r="N489" t="s">
        <v>55</v>
      </c>
      <c r="O489" t="b">
        <v>1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b">
        <v>1</v>
      </c>
      <c r="V489" t="b">
        <v>1</v>
      </c>
      <c r="W489" t="b">
        <v>0</v>
      </c>
      <c r="X489" t="b">
        <v>1</v>
      </c>
      <c r="Y489" t="b">
        <v>0</v>
      </c>
      <c r="Z489" t="b">
        <v>0</v>
      </c>
      <c r="AA489" t="b">
        <v>1</v>
      </c>
      <c r="AB489" t="s">
        <v>7150</v>
      </c>
      <c r="AC489" t="s">
        <v>8020</v>
      </c>
    </row>
    <row r="490" spans="1:29" x14ac:dyDescent="0.3">
      <c r="A490">
        <v>-73.951280670000003</v>
      </c>
      <c r="B490">
        <v>40.778590960000002</v>
      </c>
      <c r="C490" t="s">
        <v>200</v>
      </c>
      <c r="D490" t="s">
        <v>33</v>
      </c>
      <c r="E490" s="58">
        <v>43390</v>
      </c>
      <c r="F490">
        <v>17</v>
      </c>
      <c r="G490" t="s">
        <v>3842</v>
      </c>
      <c r="H490" t="s">
        <v>176</v>
      </c>
      <c r="I490" t="s">
        <v>59</v>
      </c>
      <c r="J490" t="s">
        <v>34</v>
      </c>
      <c r="K490" t="s">
        <v>4110</v>
      </c>
      <c r="L490" t="s">
        <v>65</v>
      </c>
      <c r="M490" t="b">
        <v>0</v>
      </c>
      <c r="N490" t="s">
        <v>7090</v>
      </c>
      <c r="O490" t="b">
        <v>0</v>
      </c>
      <c r="P490" t="b">
        <v>0</v>
      </c>
      <c r="Q490" t="b">
        <v>1</v>
      </c>
      <c r="R490" t="b">
        <v>1</v>
      </c>
      <c r="S490" t="b">
        <v>1</v>
      </c>
      <c r="T490" t="b">
        <v>1</v>
      </c>
      <c r="U490" t="b">
        <v>1</v>
      </c>
      <c r="V490" t="b">
        <v>0</v>
      </c>
      <c r="W490" t="b">
        <v>0</v>
      </c>
      <c r="X490" t="b">
        <v>0</v>
      </c>
      <c r="Y490" t="b">
        <v>1</v>
      </c>
      <c r="Z490" t="b">
        <v>1</v>
      </c>
      <c r="AA490" t="b">
        <v>0</v>
      </c>
      <c r="AB490" t="s">
        <v>5062</v>
      </c>
      <c r="AC490" t="s">
        <v>8021</v>
      </c>
    </row>
    <row r="491" spans="1:29" x14ac:dyDescent="0.3">
      <c r="A491">
        <v>-73.953171519999998</v>
      </c>
      <c r="B491">
        <v>40.78070821</v>
      </c>
      <c r="C491" t="s">
        <v>289</v>
      </c>
      <c r="D491" t="s">
        <v>33</v>
      </c>
      <c r="E491" s="58">
        <v>43388</v>
      </c>
      <c r="F491">
        <v>16</v>
      </c>
      <c r="G491" t="s">
        <v>48</v>
      </c>
      <c r="H491" t="s">
        <v>42</v>
      </c>
      <c r="I491" t="s">
        <v>176</v>
      </c>
      <c r="J491" t="s">
        <v>79</v>
      </c>
      <c r="K491" t="s">
        <v>3433</v>
      </c>
      <c r="L491" t="s">
        <v>65</v>
      </c>
      <c r="M491" t="b">
        <v>0</v>
      </c>
      <c r="N491" t="s">
        <v>3931</v>
      </c>
      <c r="O491" t="b">
        <v>0</v>
      </c>
      <c r="P491" t="b">
        <v>1</v>
      </c>
      <c r="Q491" t="b">
        <v>1</v>
      </c>
      <c r="R491" t="b">
        <v>0</v>
      </c>
      <c r="S491" t="b">
        <v>0</v>
      </c>
      <c r="T491" t="b">
        <v>1</v>
      </c>
      <c r="U491" t="b">
        <v>0</v>
      </c>
      <c r="V491" t="b">
        <v>0</v>
      </c>
      <c r="W491" t="b">
        <v>1</v>
      </c>
      <c r="X491" t="b">
        <v>1</v>
      </c>
      <c r="Y491" t="b">
        <v>0</v>
      </c>
      <c r="Z491" t="b">
        <v>0</v>
      </c>
      <c r="AA491" t="b">
        <v>1</v>
      </c>
      <c r="AB491" t="s">
        <v>6531</v>
      </c>
      <c r="AC491" t="s">
        <v>8022</v>
      </c>
    </row>
    <row r="492" spans="1:29" x14ac:dyDescent="0.3">
      <c r="A492">
        <v>-73.966834180000006</v>
      </c>
      <c r="B492">
        <v>40.773274090000001</v>
      </c>
      <c r="C492" t="s">
        <v>127</v>
      </c>
      <c r="D492" t="s">
        <v>38</v>
      </c>
      <c r="E492" s="58">
        <v>43385</v>
      </c>
      <c r="F492">
        <v>2</v>
      </c>
      <c r="G492" t="s">
        <v>3842</v>
      </c>
      <c r="H492" t="s">
        <v>176</v>
      </c>
      <c r="I492" t="s">
        <v>59</v>
      </c>
      <c r="J492" t="s">
        <v>1142</v>
      </c>
      <c r="K492" t="s">
        <v>4785</v>
      </c>
      <c r="L492" t="s">
        <v>44</v>
      </c>
      <c r="M492">
        <v>4</v>
      </c>
      <c r="N492" t="s">
        <v>3957</v>
      </c>
      <c r="O492" t="b">
        <v>0</v>
      </c>
      <c r="P492" t="b">
        <v>0</v>
      </c>
      <c r="Q492" t="b">
        <v>1</v>
      </c>
      <c r="R492" t="b">
        <v>1</v>
      </c>
      <c r="S492" t="b">
        <v>0</v>
      </c>
      <c r="T492" t="b">
        <v>1</v>
      </c>
      <c r="U492" t="b">
        <v>0</v>
      </c>
      <c r="V492" t="b">
        <v>1</v>
      </c>
      <c r="W492" t="b">
        <v>1</v>
      </c>
      <c r="X492" t="b">
        <v>0</v>
      </c>
      <c r="Y492" t="b">
        <v>1</v>
      </c>
      <c r="Z492" t="b">
        <v>1</v>
      </c>
      <c r="AA492" t="b">
        <v>0</v>
      </c>
      <c r="AB492" t="s">
        <v>1264</v>
      </c>
      <c r="AC492" t="s">
        <v>8023</v>
      </c>
    </row>
    <row r="493" spans="1:29" x14ac:dyDescent="0.3">
      <c r="A493">
        <v>-73.961663590000001</v>
      </c>
      <c r="B493">
        <v>40.77805206</v>
      </c>
      <c r="C493" t="s">
        <v>343</v>
      </c>
      <c r="D493" t="s">
        <v>33</v>
      </c>
      <c r="E493" s="58">
        <v>43390</v>
      </c>
      <c r="F493">
        <v>28</v>
      </c>
      <c r="G493" t="s">
        <v>3842</v>
      </c>
      <c r="H493" t="s">
        <v>42</v>
      </c>
      <c r="I493" t="s">
        <v>59</v>
      </c>
      <c r="J493" t="s">
        <v>738</v>
      </c>
      <c r="K493" t="s">
        <v>4660</v>
      </c>
      <c r="L493" t="s">
        <v>65</v>
      </c>
      <c r="M493" t="b">
        <v>0</v>
      </c>
      <c r="N493" t="s">
        <v>5312</v>
      </c>
      <c r="O493" t="b">
        <v>1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b">
        <v>1</v>
      </c>
      <c r="V493" t="b">
        <v>1</v>
      </c>
      <c r="W493" t="b">
        <v>1</v>
      </c>
      <c r="X493" t="b">
        <v>1</v>
      </c>
      <c r="Y493" t="b">
        <v>1</v>
      </c>
      <c r="Z493" t="b">
        <v>1</v>
      </c>
      <c r="AA493" t="b">
        <v>0</v>
      </c>
      <c r="AB493" t="s">
        <v>3061</v>
      </c>
      <c r="AC493" t="s">
        <v>8024</v>
      </c>
    </row>
    <row r="494" spans="1:29" x14ac:dyDescent="0.3">
      <c r="A494">
        <v>-73.972438600000004</v>
      </c>
      <c r="B494">
        <v>40.772912339999998</v>
      </c>
      <c r="C494" t="s">
        <v>225</v>
      </c>
      <c r="D494" t="s">
        <v>38</v>
      </c>
      <c r="E494" s="58">
        <v>43379</v>
      </c>
      <c r="F494">
        <v>22</v>
      </c>
      <c r="G494" t="s">
        <v>105</v>
      </c>
      <c r="H494" t="s">
        <v>176</v>
      </c>
      <c r="I494" t="s">
        <v>96</v>
      </c>
      <c r="J494" t="s">
        <v>1233</v>
      </c>
      <c r="K494" t="s">
        <v>977</v>
      </c>
      <c r="L494" t="s">
        <v>65</v>
      </c>
      <c r="M494" t="b">
        <v>0</v>
      </c>
      <c r="N494" t="s">
        <v>236</v>
      </c>
      <c r="O494" t="b">
        <v>1</v>
      </c>
      <c r="P494" t="b">
        <v>0</v>
      </c>
      <c r="Q494" t="b">
        <v>1</v>
      </c>
      <c r="R494" t="b">
        <v>1</v>
      </c>
      <c r="S494" t="b">
        <v>1</v>
      </c>
      <c r="T494" t="b">
        <v>1</v>
      </c>
      <c r="U494" t="b">
        <v>0</v>
      </c>
      <c r="V494" t="b">
        <v>1</v>
      </c>
      <c r="W494" t="b">
        <v>1</v>
      </c>
      <c r="X494" t="b">
        <v>0</v>
      </c>
      <c r="Y494" t="b">
        <v>1</v>
      </c>
      <c r="Z494" t="b">
        <v>1</v>
      </c>
      <c r="AA494" t="b">
        <v>1</v>
      </c>
      <c r="AB494" t="s">
        <v>5410</v>
      </c>
      <c r="AC494" t="s">
        <v>8025</v>
      </c>
    </row>
    <row r="495" spans="1:29" x14ac:dyDescent="0.3">
      <c r="A495">
        <v>-73.975244649999993</v>
      </c>
      <c r="B495">
        <v>40.76748774</v>
      </c>
      <c r="C495" t="s">
        <v>851</v>
      </c>
      <c r="D495" t="s">
        <v>33</v>
      </c>
      <c r="E495" s="58">
        <v>43382</v>
      </c>
      <c r="F495">
        <v>30</v>
      </c>
      <c r="G495" t="s">
        <v>3842</v>
      </c>
      <c r="H495" t="s">
        <v>42</v>
      </c>
      <c r="I495" t="s">
        <v>53</v>
      </c>
      <c r="J495" t="s">
        <v>1142</v>
      </c>
      <c r="K495" t="s">
        <v>3887</v>
      </c>
      <c r="L495" t="s">
        <v>44</v>
      </c>
      <c r="M495">
        <v>8</v>
      </c>
      <c r="N495" t="s">
        <v>535</v>
      </c>
      <c r="O495" t="b">
        <v>1</v>
      </c>
      <c r="P495" t="b">
        <v>1</v>
      </c>
      <c r="Q495" t="b">
        <v>1</v>
      </c>
      <c r="R495" t="b">
        <v>1</v>
      </c>
      <c r="S495" t="b">
        <v>1</v>
      </c>
      <c r="T495" t="b">
        <v>0</v>
      </c>
      <c r="U495" t="b">
        <v>0</v>
      </c>
      <c r="V495" t="b">
        <v>0</v>
      </c>
      <c r="W495" t="b">
        <v>1</v>
      </c>
      <c r="X495" t="b">
        <v>0</v>
      </c>
      <c r="Y495" t="b">
        <v>1</v>
      </c>
      <c r="Z495" t="b">
        <v>1</v>
      </c>
      <c r="AA495" t="b">
        <v>1</v>
      </c>
      <c r="AB495" t="s">
        <v>4410</v>
      </c>
      <c r="AC495" t="s">
        <v>8026</v>
      </c>
    </row>
    <row r="496" spans="1:29" x14ac:dyDescent="0.3">
      <c r="A496">
        <v>-73.966581379999994</v>
      </c>
      <c r="B496">
        <v>40.786156800000001</v>
      </c>
      <c r="C496" t="s">
        <v>3049</v>
      </c>
      <c r="D496" t="s">
        <v>33</v>
      </c>
      <c r="E496" s="58">
        <v>43391</v>
      </c>
      <c r="F496">
        <v>20</v>
      </c>
      <c r="G496" t="s">
        <v>105</v>
      </c>
      <c r="H496" t="s">
        <v>53</v>
      </c>
      <c r="I496" t="s">
        <v>115</v>
      </c>
      <c r="J496" t="s">
        <v>619</v>
      </c>
      <c r="K496" t="s">
        <v>442</v>
      </c>
      <c r="L496" t="s">
        <v>65</v>
      </c>
      <c r="M496" t="b">
        <v>0</v>
      </c>
      <c r="N496" t="s">
        <v>3085</v>
      </c>
      <c r="O496" t="b">
        <v>0</v>
      </c>
      <c r="P496" t="b">
        <v>0</v>
      </c>
      <c r="Q496" t="b">
        <v>1</v>
      </c>
      <c r="R496" t="b">
        <v>1</v>
      </c>
      <c r="S496" t="b">
        <v>1</v>
      </c>
      <c r="T496" t="b">
        <v>0</v>
      </c>
      <c r="U496" t="b">
        <v>1</v>
      </c>
      <c r="V496" t="b">
        <v>1</v>
      </c>
      <c r="W496" t="b">
        <v>0</v>
      </c>
      <c r="X496" t="b">
        <v>0</v>
      </c>
      <c r="Y496" t="b">
        <v>0</v>
      </c>
      <c r="Z496" t="b">
        <v>1</v>
      </c>
      <c r="AA496" t="b">
        <v>1</v>
      </c>
      <c r="AB496" t="s">
        <v>6227</v>
      </c>
      <c r="AC496" t="s">
        <v>8027</v>
      </c>
    </row>
    <row r="497" spans="1:29" x14ac:dyDescent="0.3">
      <c r="A497">
        <v>-73.970050310000005</v>
      </c>
      <c r="B497">
        <v>40.788437000000002</v>
      </c>
      <c r="C497" t="s">
        <v>574</v>
      </c>
      <c r="D497" t="s">
        <v>33</v>
      </c>
      <c r="E497" s="58">
        <v>43391</v>
      </c>
      <c r="F497">
        <v>6</v>
      </c>
      <c r="G497" t="s">
        <v>3842</v>
      </c>
      <c r="H497" t="s">
        <v>42</v>
      </c>
      <c r="I497" t="s">
        <v>148</v>
      </c>
      <c r="J497" t="s">
        <v>177</v>
      </c>
      <c r="K497" t="s">
        <v>894</v>
      </c>
      <c r="L497" t="s">
        <v>44</v>
      </c>
      <c r="M497">
        <v>40</v>
      </c>
      <c r="N497" t="s">
        <v>1907</v>
      </c>
      <c r="O497" t="b">
        <v>1</v>
      </c>
      <c r="P497" t="b">
        <v>1</v>
      </c>
      <c r="Q497" t="b">
        <v>0</v>
      </c>
      <c r="R497" t="b">
        <v>1</v>
      </c>
      <c r="S497" t="b">
        <v>1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1</v>
      </c>
      <c r="AA497" t="b">
        <v>1</v>
      </c>
      <c r="AB497" t="s">
        <v>743</v>
      </c>
      <c r="AC497" t="s">
        <v>8028</v>
      </c>
    </row>
    <row r="498" spans="1:29" x14ac:dyDescent="0.3">
      <c r="A498">
        <v>-73.962810289999993</v>
      </c>
      <c r="B498">
        <v>40.786721589999999</v>
      </c>
      <c r="C498" t="s">
        <v>478</v>
      </c>
      <c r="D498" t="s">
        <v>38</v>
      </c>
      <c r="E498" s="58">
        <v>43382</v>
      </c>
      <c r="F498">
        <v>28</v>
      </c>
      <c r="G498" t="s">
        <v>48</v>
      </c>
      <c r="H498" t="s">
        <v>176</v>
      </c>
      <c r="I498" t="s">
        <v>1921</v>
      </c>
      <c r="J498" t="s">
        <v>1233</v>
      </c>
      <c r="K498" t="s">
        <v>150</v>
      </c>
      <c r="L498" t="s">
        <v>65</v>
      </c>
      <c r="M498" t="b">
        <v>0</v>
      </c>
      <c r="N498" t="s">
        <v>6521</v>
      </c>
      <c r="O498" t="b">
        <v>0</v>
      </c>
      <c r="P498" t="b">
        <v>0</v>
      </c>
      <c r="Q498" t="b">
        <v>1</v>
      </c>
      <c r="R498" t="b">
        <v>0</v>
      </c>
      <c r="S498" t="b">
        <v>0</v>
      </c>
      <c r="T498" t="b">
        <v>0</v>
      </c>
      <c r="U498" t="b">
        <v>0</v>
      </c>
      <c r="V498" t="b">
        <v>1</v>
      </c>
      <c r="W498" t="b">
        <v>1</v>
      </c>
      <c r="X498" t="b">
        <v>0</v>
      </c>
      <c r="Y498" t="b">
        <v>1</v>
      </c>
      <c r="Z498" t="b">
        <v>1</v>
      </c>
      <c r="AA498" t="b">
        <v>0</v>
      </c>
      <c r="AB498" t="s">
        <v>5284</v>
      </c>
      <c r="AC498" t="s">
        <v>8029</v>
      </c>
    </row>
    <row r="499" spans="1:29" x14ac:dyDescent="0.3">
      <c r="A499">
        <v>-73.978714850000003</v>
      </c>
      <c r="B499">
        <v>40.7812293</v>
      </c>
      <c r="C499" t="s">
        <v>893</v>
      </c>
      <c r="D499" t="s">
        <v>38</v>
      </c>
      <c r="E499" s="58">
        <v>43383</v>
      </c>
      <c r="F499">
        <v>25</v>
      </c>
      <c r="G499" t="s">
        <v>48</v>
      </c>
      <c r="H499" t="s">
        <v>42</v>
      </c>
      <c r="I499" t="s">
        <v>5105</v>
      </c>
      <c r="J499" t="s">
        <v>1233</v>
      </c>
      <c r="K499" t="s">
        <v>1934</v>
      </c>
      <c r="L499" t="s">
        <v>65</v>
      </c>
      <c r="M499" t="b">
        <v>0</v>
      </c>
      <c r="N499" t="s">
        <v>190</v>
      </c>
      <c r="O499" t="b">
        <v>1</v>
      </c>
      <c r="P499" t="b">
        <v>0</v>
      </c>
      <c r="Q499" t="b">
        <v>1</v>
      </c>
      <c r="R499" t="b">
        <v>1</v>
      </c>
      <c r="S499" t="b">
        <v>0</v>
      </c>
      <c r="T499" t="b">
        <v>0</v>
      </c>
      <c r="U499" t="b">
        <v>0</v>
      </c>
      <c r="V499" t="b">
        <v>1</v>
      </c>
      <c r="W499" t="b">
        <v>1</v>
      </c>
      <c r="X499" t="b">
        <v>0</v>
      </c>
      <c r="Y499" t="b">
        <v>1</v>
      </c>
      <c r="Z499" t="b">
        <v>0</v>
      </c>
      <c r="AA499" t="b">
        <v>0</v>
      </c>
      <c r="AB499" t="s">
        <v>5277</v>
      </c>
      <c r="AC499" t="s">
        <v>8030</v>
      </c>
    </row>
    <row r="500" spans="1:29" x14ac:dyDescent="0.3">
      <c r="A500">
        <v>-73.950526710000005</v>
      </c>
      <c r="B500">
        <v>40.778282109999999</v>
      </c>
      <c r="C500" t="s">
        <v>2217</v>
      </c>
      <c r="D500" t="s">
        <v>33</v>
      </c>
      <c r="E500" s="58">
        <v>43388</v>
      </c>
      <c r="F500">
        <v>29</v>
      </c>
      <c r="G500" t="s">
        <v>3842</v>
      </c>
      <c r="H500" t="s">
        <v>53</v>
      </c>
      <c r="I500" t="s">
        <v>737</v>
      </c>
      <c r="J500" t="s">
        <v>43</v>
      </c>
      <c r="K500" t="s">
        <v>6725</v>
      </c>
      <c r="L500" t="s">
        <v>44</v>
      </c>
      <c r="M500">
        <v>40</v>
      </c>
      <c r="N500" t="s">
        <v>1203</v>
      </c>
      <c r="O500" t="b">
        <v>1</v>
      </c>
      <c r="P500" t="b">
        <v>1</v>
      </c>
      <c r="Q500" t="b">
        <v>0</v>
      </c>
      <c r="R500" t="b">
        <v>0</v>
      </c>
      <c r="S500" t="b">
        <v>1</v>
      </c>
      <c r="T500" t="b">
        <v>0</v>
      </c>
      <c r="U500" t="b">
        <v>1</v>
      </c>
      <c r="V500" t="b">
        <v>1</v>
      </c>
      <c r="W500" t="b">
        <v>0</v>
      </c>
      <c r="X500" t="b">
        <v>1</v>
      </c>
      <c r="Y500" t="b">
        <v>0</v>
      </c>
      <c r="Z500" t="b">
        <v>0</v>
      </c>
      <c r="AA500" t="b">
        <v>0</v>
      </c>
      <c r="AB500" t="s">
        <v>1216</v>
      </c>
      <c r="AC500" t="s">
        <v>8031</v>
      </c>
    </row>
    <row r="501" spans="1:29" x14ac:dyDescent="0.3">
      <c r="A501">
        <v>-73.950155260000002</v>
      </c>
      <c r="B501">
        <v>40.795306789999998</v>
      </c>
      <c r="C501" t="s">
        <v>827</v>
      </c>
      <c r="D501" t="s">
        <v>38</v>
      </c>
      <c r="E501" s="58">
        <v>43384</v>
      </c>
      <c r="F501">
        <v>10</v>
      </c>
      <c r="G501" t="s">
        <v>3842</v>
      </c>
      <c r="H501" t="s">
        <v>42</v>
      </c>
      <c r="I501" t="s">
        <v>59</v>
      </c>
      <c r="J501" t="s">
        <v>619</v>
      </c>
      <c r="K501" t="s">
        <v>2973</v>
      </c>
      <c r="L501" t="s">
        <v>65</v>
      </c>
      <c r="M501" t="b">
        <v>0</v>
      </c>
      <c r="N501" t="s">
        <v>4860</v>
      </c>
      <c r="O501" t="b">
        <v>0</v>
      </c>
      <c r="P501" t="b">
        <v>1</v>
      </c>
      <c r="Q501" t="b">
        <v>1</v>
      </c>
      <c r="R501" t="b">
        <v>1</v>
      </c>
      <c r="S501" t="b">
        <v>0</v>
      </c>
      <c r="T501" t="b">
        <v>0</v>
      </c>
      <c r="U501" t="b">
        <v>1</v>
      </c>
      <c r="V501" t="b">
        <v>1</v>
      </c>
      <c r="W501" t="b">
        <v>1</v>
      </c>
      <c r="X501" t="b">
        <v>1</v>
      </c>
      <c r="Y501" t="b">
        <v>1</v>
      </c>
      <c r="Z501" t="b">
        <v>0</v>
      </c>
      <c r="AA501" t="b">
        <v>0</v>
      </c>
      <c r="AB501" t="s">
        <v>3844</v>
      </c>
      <c r="AC501" t="s">
        <v>8032</v>
      </c>
    </row>
    <row r="502" spans="1:29" x14ac:dyDescent="0.3">
      <c r="A502">
        <v>-73.959210600000006</v>
      </c>
      <c r="B502">
        <v>40.78318642</v>
      </c>
      <c r="C502" t="s">
        <v>63</v>
      </c>
      <c r="D502" t="s">
        <v>38</v>
      </c>
      <c r="E502" s="58">
        <v>43382</v>
      </c>
      <c r="F502">
        <v>28</v>
      </c>
      <c r="G502" t="s">
        <v>48</v>
      </c>
      <c r="H502" t="s">
        <v>176</v>
      </c>
      <c r="I502" t="s">
        <v>53</v>
      </c>
      <c r="J502" t="s">
        <v>705</v>
      </c>
      <c r="K502" t="s">
        <v>1813</v>
      </c>
      <c r="L502" t="s">
        <v>65</v>
      </c>
      <c r="M502" t="b">
        <v>0</v>
      </c>
      <c r="N502" t="s">
        <v>2563</v>
      </c>
      <c r="O502" t="b">
        <v>0</v>
      </c>
      <c r="P502" t="b">
        <v>0</v>
      </c>
      <c r="Q502" t="b">
        <v>1</v>
      </c>
      <c r="R502" t="b">
        <v>0</v>
      </c>
      <c r="S502" t="b">
        <v>0</v>
      </c>
      <c r="T502" t="b">
        <v>1</v>
      </c>
      <c r="U502" t="b">
        <v>0</v>
      </c>
      <c r="V502" t="b">
        <v>1</v>
      </c>
      <c r="W502" t="b">
        <v>1</v>
      </c>
      <c r="X502" t="b">
        <v>1</v>
      </c>
      <c r="Y502" t="b">
        <v>0</v>
      </c>
      <c r="Z502" t="b">
        <v>1</v>
      </c>
      <c r="AA502" t="b">
        <v>0</v>
      </c>
      <c r="AB502" t="s">
        <v>5863</v>
      </c>
      <c r="AC502" t="s">
        <v>8033</v>
      </c>
    </row>
    <row r="503" spans="1:29" x14ac:dyDescent="0.3">
      <c r="A503">
        <v>-73.964305420000002</v>
      </c>
      <c r="B503">
        <v>40.781781629999998</v>
      </c>
      <c r="C503" t="s">
        <v>1090</v>
      </c>
      <c r="D503" t="s">
        <v>33</v>
      </c>
      <c r="E503" s="58">
        <v>43393</v>
      </c>
      <c r="F503">
        <v>10</v>
      </c>
      <c r="G503" t="s">
        <v>3842</v>
      </c>
      <c r="H503" t="s">
        <v>176</v>
      </c>
      <c r="I503" t="s">
        <v>59</v>
      </c>
      <c r="J503" t="s">
        <v>177</v>
      </c>
      <c r="K503" t="s">
        <v>2319</v>
      </c>
      <c r="L503" t="s">
        <v>65</v>
      </c>
      <c r="M503" t="b">
        <v>0</v>
      </c>
      <c r="N503" t="s">
        <v>1766</v>
      </c>
      <c r="O503" t="b">
        <v>1</v>
      </c>
      <c r="P503" t="b">
        <v>1</v>
      </c>
      <c r="Q503" t="b">
        <v>1</v>
      </c>
      <c r="R503" t="b">
        <v>1</v>
      </c>
      <c r="S503" t="b">
        <v>1</v>
      </c>
      <c r="T503" t="b">
        <v>0</v>
      </c>
      <c r="U503" t="b">
        <v>1</v>
      </c>
      <c r="V503" t="b">
        <v>0</v>
      </c>
      <c r="W503" t="b">
        <v>1</v>
      </c>
      <c r="X503" t="b">
        <v>1</v>
      </c>
      <c r="Y503" t="b">
        <v>1</v>
      </c>
      <c r="Z503" t="b">
        <v>1</v>
      </c>
      <c r="AA503" t="b">
        <v>0</v>
      </c>
      <c r="AB503" t="s">
        <v>5863</v>
      </c>
      <c r="AC503" t="s">
        <v>8034</v>
      </c>
    </row>
    <row r="504" spans="1:29" x14ac:dyDescent="0.3">
      <c r="A504">
        <v>-73.971428020000005</v>
      </c>
      <c r="B504">
        <v>40.765813469999998</v>
      </c>
      <c r="C504" t="s">
        <v>260</v>
      </c>
      <c r="D504" t="s">
        <v>33</v>
      </c>
      <c r="E504" s="58">
        <v>43380</v>
      </c>
      <c r="F504">
        <v>8</v>
      </c>
      <c r="G504" t="s">
        <v>105</v>
      </c>
      <c r="H504" t="s">
        <v>53</v>
      </c>
      <c r="I504" t="s">
        <v>176</v>
      </c>
      <c r="J504" t="s">
        <v>155</v>
      </c>
      <c r="K504" t="s">
        <v>4785</v>
      </c>
      <c r="L504" t="s">
        <v>44</v>
      </c>
      <c r="M504">
        <v>3</v>
      </c>
      <c r="N504" t="s">
        <v>1518</v>
      </c>
      <c r="O504" t="b">
        <v>1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1</v>
      </c>
      <c r="W504" t="b">
        <v>0</v>
      </c>
      <c r="X504" t="b">
        <v>1</v>
      </c>
      <c r="Y504" t="b">
        <v>1</v>
      </c>
      <c r="Z504" t="b">
        <v>0</v>
      </c>
      <c r="AA504" t="b">
        <v>0</v>
      </c>
      <c r="AB504" t="s">
        <v>7371</v>
      </c>
      <c r="AC504" t="s">
        <v>8035</v>
      </c>
    </row>
    <row r="505" spans="1:29" x14ac:dyDescent="0.3">
      <c r="A505">
        <v>-73.955575460000006</v>
      </c>
      <c r="B505">
        <v>40.77692527</v>
      </c>
      <c r="C505" t="s">
        <v>3637</v>
      </c>
      <c r="D505" t="s">
        <v>38</v>
      </c>
      <c r="E505" s="58">
        <v>43384</v>
      </c>
      <c r="F505">
        <v>1</v>
      </c>
      <c r="G505" t="s">
        <v>105</v>
      </c>
      <c r="H505" t="s">
        <v>176</v>
      </c>
      <c r="I505" t="s">
        <v>96</v>
      </c>
      <c r="J505" t="s">
        <v>54</v>
      </c>
      <c r="K505" t="s">
        <v>5413</v>
      </c>
      <c r="L505" t="s">
        <v>44</v>
      </c>
      <c r="M505">
        <v>30</v>
      </c>
      <c r="N505" t="s">
        <v>2451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1</v>
      </c>
      <c r="U505" t="b">
        <v>1</v>
      </c>
      <c r="V505" t="b">
        <v>1</v>
      </c>
      <c r="W505" t="b">
        <v>0</v>
      </c>
      <c r="X505" t="b">
        <v>1</v>
      </c>
      <c r="Y505" t="b">
        <v>0</v>
      </c>
      <c r="Z505" t="b">
        <v>1</v>
      </c>
      <c r="AA505" t="b">
        <v>1</v>
      </c>
      <c r="AB505" t="s">
        <v>5638</v>
      </c>
      <c r="AC505" t="s">
        <v>8036</v>
      </c>
    </row>
    <row r="506" spans="1:29" x14ac:dyDescent="0.3">
      <c r="A506">
        <v>-73.959632810000002</v>
      </c>
      <c r="B506">
        <v>40.778296539999999</v>
      </c>
      <c r="C506" t="s">
        <v>1071</v>
      </c>
      <c r="D506" t="s">
        <v>38</v>
      </c>
      <c r="E506" s="58">
        <v>43393</v>
      </c>
      <c r="F506">
        <v>13</v>
      </c>
      <c r="G506" t="s">
        <v>105</v>
      </c>
      <c r="H506" t="s">
        <v>42</v>
      </c>
      <c r="I506" t="s">
        <v>5105</v>
      </c>
      <c r="J506" t="s">
        <v>1233</v>
      </c>
      <c r="K506" t="s">
        <v>1181</v>
      </c>
      <c r="L506" t="s">
        <v>44</v>
      </c>
      <c r="M506">
        <v>4</v>
      </c>
      <c r="N506" t="s">
        <v>6335</v>
      </c>
      <c r="O506" t="b">
        <v>0</v>
      </c>
      <c r="P506" t="b">
        <v>0</v>
      </c>
      <c r="Q506" t="b">
        <v>1</v>
      </c>
      <c r="R506" t="b">
        <v>1</v>
      </c>
      <c r="S506" t="b">
        <v>0</v>
      </c>
      <c r="T506" t="b">
        <v>0</v>
      </c>
      <c r="U506" t="b">
        <v>0</v>
      </c>
      <c r="V506" t="b">
        <v>0</v>
      </c>
      <c r="W506" t="b">
        <v>1</v>
      </c>
      <c r="X506" t="b">
        <v>0</v>
      </c>
      <c r="Y506" t="b">
        <v>1</v>
      </c>
      <c r="Z506" t="b">
        <v>1</v>
      </c>
      <c r="AA506" t="b">
        <v>1</v>
      </c>
      <c r="AB506" t="s">
        <v>991</v>
      </c>
      <c r="AC506" t="s">
        <v>8037</v>
      </c>
    </row>
    <row r="507" spans="1:29" x14ac:dyDescent="0.3">
      <c r="A507">
        <v>-73.976046420000003</v>
      </c>
      <c r="B507">
        <v>40.778952359999998</v>
      </c>
      <c r="C507" t="s">
        <v>221</v>
      </c>
      <c r="D507" t="s">
        <v>38</v>
      </c>
      <c r="E507" s="58">
        <v>43386</v>
      </c>
      <c r="F507">
        <v>24</v>
      </c>
      <c r="G507" t="s">
        <v>105</v>
      </c>
      <c r="H507" t="s">
        <v>42</v>
      </c>
      <c r="I507" t="s">
        <v>115</v>
      </c>
      <c r="J507" t="s">
        <v>738</v>
      </c>
      <c r="K507" t="s">
        <v>3208</v>
      </c>
      <c r="L507" t="s">
        <v>44</v>
      </c>
      <c r="M507">
        <v>25</v>
      </c>
      <c r="N507" t="s">
        <v>3037</v>
      </c>
      <c r="O507" t="b">
        <v>1</v>
      </c>
      <c r="P507" t="b">
        <v>0</v>
      </c>
      <c r="Q507" t="b">
        <v>1</v>
      </c>
      <c r="R507" t="b">
        <v>1</v>
      </c>
      <c r="S507" t="b">
        <v>0</v>
      </c>
      <c r="T507" t="b">
        <v>1</v>
      </c>
      <c r="U507" t="b">
        <v>0</v>
      </c>
      <c r="V507" t="b">
        <v>0</v>
      </c>
      <c r="W507" t="b">
        <v>0</v>
      </c>
      <c r="X507" t="b">
        <v>1</v>
      </c>
      <c r="Y507" t="b">
        <v>0</v>
      </c>
      <c r="Z507" t="b">
        <v>1</v>
      </c>
      <c r="AA507" t="b">
        <v>1</v>
      </c>
      <c r="AB507" t="s">
        <v>3844</v>
      </c>
      <c r="AC507" t="s">
        <v>8038</v>
      </c>
    </row>
    <row r="508" spans="1:29" x14ac:dyDescent="0.3">
      <c r="A508">
        <v>-73.952521930000003</v>
      </c>
      <c r="B508">
        <v>40.785337290000001</v>
      </c>
      <c r="C508" t="s">
        <v>767</v>
      </c>
      <c r="D508" t="s">
        <v>33</v>
      </c>
      <c r="E508" s="58">
        <v>43393</v>
      </c>
      <c r="F508">
        <v>9</v>
      </c>
      <c r="G508" t="s">
        <v>105</v>
      </c>
      <c r="H508" t="s">
        <v>42</v>
      </c>
      <c r="I508" t="s">
        <v>176</v>
      </c>
      <c r="J508" t="s">
        <v>149</v>
      </c>
      <c r="K508" t="s">
        <v>2685</v>
      </c>
      <c r="L508" t="s">
        <v>44</v>
      </c>
      <c r="M508">
        <v>12</v>
      </c>
      <c r="N508" t="s">
        <v>4541</v>
      </c>
      <c r="O508" t="b">
        <v>0</v>
      </c>
      <c r="P508" t="b">
        <v>1</v>
      </c>
      <c r="Q508" t="b">
        <v>1</v>
      </c>
      <c r="R508" t="b">
        <v>1</v>
      </c>
      <c r="S508" t="b">
        <v>1</v>
      </c>
      <c r="T508" t="b">
        <v>1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1</v>
      </c>
      <c r="AA508" t="b">
        <v>1</v>
      </c>
      <c r="AB508" t="s">
        <v>601</v>
      </c>
      <c r="AC508" t="s">
        <v>8039</v>
      </c>
    </row>
    <row r="509" spans="1:29" x14ac:dyDescent="0.3">
      <c r="A509">
        <v>-73.955300629999996</v>
      </c>
      <c r="B509">
        <v>40.783697670000002</v>
      </c>
      <c r="C509" t="s">
        <v>1920</v>
      </c>
      <c r="D509" t="s">
        <v>33</v>
      </c>
      <c r="E509" s="58">
        <v>43386</v>
      </c>
      <c r="F509">
        <v>22</v>
      </c>
      <c r="G509" t="s">
        <v>3842</v>
      </c>
      <c r="H509" t="s">
        <v>176</v>
      </c>
      <c r="I509" t="s">
        <v>42</v>
      </c>
      <c r="J509" t="s">
        <v>155</v>
      </c>
      <c r="K509" t="s">
        <v>3471</v>
      </c>
      <c r="L509" t="s">
        <v>65</v>
      </c>
      <c r="M509" t="b">
        <v>0</v>
      </c>
      <c r="N509" t="s">
        <v>2337</v>
      </c>
      <c r="O509" t="b">
        <v>1</v>
      </c>
      <c r="P509" t="b">
        <v>0</v>
      </c>
      <c r="Q509" t="b">
        <v>1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1</v>
      </c>
      <c r="X509" t="b">
        <v>0</v>
      </c>
      <c r="Y509" t="b">
        <v>0</v>
      </c>
      <c r="Z509" t="b">
        <v>1</v>
      </c>
      <c r="AA509" t="b">
        <v>1</v>
      </c>
      <c r="AB509" t="s">
        <v>2916</v>
      </c>
      <c r="AC509" t="s">
        <v>8040</v>
      </c>
    </row>
    <row r="510" spans="1:29" x14ac:dyDescent="0.3">
      <c r="A510">
        <v>-73.951299899999995</v>
      </c>
      <c r="B510">
        <v>40.786313700000001</v>
      </c>
      <c r="C510" t="s">
        <v>835</v>
      </c>
      <c r="D510" t="s">
        <v>38</v>
      </c>
      <c r="E510" s="58">
        <v>43385</v>
      </c>
      <c r="F510">
        <v>10</v>
      </c>
      <c r="G510" t="s">
        <v>3842</v>
      </c>
      <c r="H510" t="s">
        <v>42</v>
      </c>
      <c r="I510" t="s">
        <v>5105</v>
      </c>
      <c r="J510" t="s">
        <v>116</v>
      </c>
      <c r="K510" t="s">
        <v>3471</v>
      </c>
      <c r="L510" t="s">
        <v>44</v>
      </c>
      <c r="M510">
        <v>5</v>
      </c>
      <c r="N510" t="s">
        <v>7258</v>
      </c>
      <c r="O510" t="b">
        <v>1</v>
      </c>
      <c r="P510" t="b">
        <v>0</v>
      </c>
      <c r="Q510" t="b">
        <v>1</v>
      </c>
      <c r="R510" t="b">
        <v>0</v>
      </c>
      <c r="S510" t="b">
        <v>0</v>
      </c>
      <c r="T510" t="b">
        <v>0</v>
      </c>
      <c r="U510" t="b">
        <v>1</v>
      </c>
      <c r="V510" t="b">
        <v>1</v>
      </c>
      <c r="W510" t="b">
        <v>0</v>
      </c>
      <c r="X510" t="b">
        <v>0</v>
      </c>
      <c r="Y510" t="b">
        <v>0</v>
      </c>
      <c r="Z510" t="b">
        <v>1</v>
      </c>
      <c r="AA510" t="b">
        <v>1</v>
      </c>
      <c r="AB510" t="s">
        <v>2916</v>
      </c>
      <c r="AC510" t="s">
        <v>8041</v>
      </c>
    </row>
    <row r="511" spans="1:29" x14ac:dyDescent="0.3">
      <c r="A511">
        <v>-73.958344269999998</v>
      </c>
      <c r="B511">
        <v>40.791840559999997</v>
      </c>
      <c r="C511" t="s">
        <v>1130</v>
      </c>
      <c r="D511" t="s">
        <v>33</v>
      </c>
      <c r="E511" s="58">
        <v>43384</v>
      </c>
      <c r="F511">
        <v>15</v>
      </c>
      <c r="G511" t="s">
        <v>105</v>
      </c>
      <c r="H511" t="s">
        <v>42</v>
      </c>
      <c r="I511" t="s">
        <v>59</v>
      </c>
      <c r="J511" t="s">
        <v>3580</v>
      </c>
      <c r="K511" t="s">
        <v>1636</v>
      </c>
      <c r="L511" t="s">
        <v>44</v>
      </c>
      <c r="M511">
        <v>5</v>
      </c>
      <c r="N511" t="s">
        <v>2349</v>
      </c>
      <c r="O511" t="b">
        <v>1</v>
      </c>
      <c r="P511" t="b">
        <v>1</v>
      </c>
      <c r="Q511" t="b">
        <v>1</v>
      </c>
      <c r="R511" t="b">
        <v>0</v>
      </c>
      <c r="S511" t="b">
        <v>0</v>
      </c>
      <c r="T511" t="b">
        <v>1</v>
      </c>
      <c r="U511" t="b">
        <v>0</v>
      </c>
      <c r="V511" t="b">
        <v>1</v>
      </c>
      <c r="W511" t="b">
        <v>0</v>
      </c>
      <c r="X511" t="b">
        <v>0</v>
      </c>
      <c r="Y511" t="b">
        <v>0</v>
      </c>
      <c r="Z511" t="b">
        <v>1</v>
      </c>
      <c r="AA511" t="b">
        <v>1</v>
      </c>
      <c r="AB511" t="s">
        <v>3446</v>
      </c>
      <c r="AC511" t="s">
        <v>8042</v>
      </c>
    </row>
    <row r="512" spans="1:29" x14ac:dyDescent="0.3">
      <c r="A512">
        <v>-73.961874760000001</v>
      </c>
      <c r="B512">
        <v>40.793534149999999</v>
      </c>
      <c r="C512" t="s">
        <v>622</v>
      </c>
      <c r="D512" t="s">
        <v>33</v>
      </c>
      <c r="E512" s="58">
        <v>43380</v>
      </c>
      <c r="F512">
        <v>5</v>
      </c>
      <c r="G512" t="s">
        <v>3842</v>
      </c>
      <c r="H512" t="s">
        <v>42</v>
      </c>
      <c r="I512" t="s">
        <v>176</v>
      </c>
      <c r="J512" t="s">
        <v>619</v>
      </c>
      <c r="K512" t="s">
        <v>4939</v>
      </c>
      <c r="L512" t="s">
        <v>44</v>
      </c>
      <c r="M512">
        <v>4</v>
      </c>
      <c r="N512" t="s">
        <v>864</v>
      </c>
      <c r="O512" t="b">
        <v>0</v>
      </c>
      <c r="P512" t="b">
        <v>1</v>
      </c>
      <c r="Q512" t="b">
        <v>0</v>
      </c>
      <c r="R512" t="b">
        <v>0</v>
      </c>
      <c r="S512" t="b">
        <v>1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1</v>
      </c>
      <c r="AA512" t="b">
        <v>1</v>
      </c>
      <c r="AB512" t="s">
        <v>3258</v>
      </c>
      <c r="AC512" t="s">
        <v>8043</v>
      </c>
    </row>
    <row r="513" spans="1:29" x14ac:dyDescent="0.3">
      <c r="A513">
        <v>-73.96801035</v>
      </c>
      <c r="B513">
        <v>40.790194239999998</v>
      </c>
      <c r="C513" t="s">
        <v>2662</v>
      </c>
      <c r="D513" t="s">
        <v>38</v>
      </c>
      <c r="E513" s="58">
        <v>43393</v>
      </c>
      <c r="F513">
        <v>22</v>
      </c>
      <c r="G513" t="s">
        <v>3842</v>
      </c>
      <c r="H513" t="s">
        <v>53</v>
      </c>
      <c r="I513" t="s">
        <v>115</v>
      </c>
      <c r="J513" t="s">
        <v>1922</v>
      </c>
      <c r="K513" t="s">
        <v>3157</v>
      </c>
      <c r="L513" t="s">
        <v>65</v>
      </c>
      <c r="M513" t="b">
        <v>0</v>
      </c>
      <c r="N513" t="s">
        <v>6728</v>
      </c>
      <c r="O513" t="b">
        <v>1</v>
      </c>
      <c r="P513" t="b">
        <v>0</v>
      </c>
      <c r="Q513" t="b">
        <v>1</v>
      </c>
      <c r="R513" t="b">
        <v>1</v>
      </c>
      <c r="S513" t="b">
        <v>0</v>
      </c>
      <c r="T513" t="b">
        <v>1</v>
      </c>
      <c r="U513" t="b">
        <v>1</v>
      </c>
      <c r="V513" t="b">
        <v>1</v>
      </c>
      <c r="W513" t="b">
        <v>0</v>
      </c>
      <c r="X513" t="b">
        <v>0</v>
      </c>
      <c r="Y513" t="b">
        <v>1</v>
      </c>
      <c r="Z513" t="b">
        <v>1</v>
      </c>
      <c r="AA513" t="b">
        <v>0</v>
      </c>
      <c r="AB513" t="s">
        <v>2671</v>
      </c>
      <c r="AC513" t="s">
        <v>8044</v>
      </c>
    </row>
    <row r="514" spans="1:29" x14ac:dyDescent="0.3">
      <c r="A514">
        <v>-73.951836569999998</v>
      </c>
      <c r="B514">
        <v>40.798552600000001</v>
      </c>
      <c r="C514" t="s">
        <v>2372</v>
      </c>
      <c r="D514" t="s">
        <v>38</v>
      </c>
      <c r="E514" s="58">
        <v>43385</v>
      </c>
      <c r="F514">
        <v>16</v>
      </c>
      <c r="G514" t="s">
        <v>105</v>
      </c>
      <c r="H514" t="s">
        <v>176</v>
      </c>
      <c r="I514" t="s">
        <v>53</v>
      </c>
      <c r="J514" t="s">
        <v>79</v>
      </c>
      <c r="K514" t="s">
        <v>4123</v>
      </c>
      <c r="L514" t="s">
        <v>65</v>
      </c>
      <c r="M514" t="b">
        <v>0</v>
      </c>
      <c r="N514" t="s">
        <v>2760</v>
      </c>
      <c r="O514" t="b">
        <v>1</v>
      </c>
      <c r="P514" t="b">
        <v>1</v>
      </c>
      <c r="Q514" t="b">
        <v>1</v>
      </c>
      <c r="R514" t="b">
        <v>1</v>
      </c>
      <c r="S514" t="b">
        <v>0</v>
      </c>
      <c r="T514" t="b">
        <v>1</v>
      </c>
      <c r="U514" t="b">
        <v>1</v>
      </c>
      <c r="V514" t="b">
        <v>0</v>
      </c>
      <c r="W514" t="b">
        <v>0</v>
      </c>
      <c r="X514" t="b">
        <v>1</v>
      </c>
      <c r="Y514" t="b">
        <v>0</v>
      </c>
      <c r="Z514" t="b">
        <v>1</v>
      </c>
      <c r="AA514" t="b">
        <v>1</v>
      </c>
      <c r="AB514" t="s">
        <v>4569</v>
      </c>
      <c r="AC514" t="s">
        <v>8045</v>
      </c>
    </row>
    <row r="515" spans="1:29" x14ac:dyDescent="0.3">
      <c r="A515">
        <v>-73.953932289999997</v>
      </c>
      <c r="B515">
        <v>40.765552599999999</v>
      </c>
      <c r="C515" t="s">
        <v>294</v>
      </c>
      <c r="D515" t="s">
        <v>33</v>
      </c>
      <c r="E515" s="58">
        <v>43389</v>
      </c>
      <c r="F515">
        <v>13</v>
      </c>
      <c r="G515" t="s">
        <v>3842</v>
      </c>
      <c r="H515" t="s">
        <v>176</v>
      </c>
      <c r="I515" t="s">
        <v>53</v>
      </c>
      <c r="J515" t="s">
        <v>89</v>
      </c>
      <c r="K515" t="s">
        <v>1012</v>
      </c>
      <c r="L515" t="s">
        <v>44</v>
      </c>
      <c r="M515">
        <v>6</v>
      </c>
      <c r="N515" t="s">
        <v>4066</v>
      </c>
      <c r="O515" t="b">
        <v>0</v>
      </c>
      <c r="P515" t="b">
        <v>0</v>
      </c>
      <c r="Q515" t="b">
        <v>1</v>
      </c>
      <c r="R515" t="b">
        <v>1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1</v>
      </c>
      <c r="AA515" t="b">
        <v>1</v>
      </c>
      <c r="AB515" t="s">
        <v>1203</v>
      </c>
      <c r="AC515" t="s">
        <v>8046</v>
      </c>
    </row>
    <row r="516" spans="1:29" x14ac:dyDescent="0.3">
      <c r="A516">
        <v>-73.979737049999997</v>
      </c>
      <c r="B516">
        <v>40.771803589999998</v>
      </c>
      <c r="C516" t="s">
        <v>3796</v>
      </c>
      <c r="D516" t="s">
        <v>33</v>
      </c>
      <c r="E516" s="58">
        <v>43390</v>
      </c>
      <c r="F516">
        <v>22</v>
      </c>
      <c r="G516" t="s">
        <v>3842</v>
      </c>
      <c r="H516" t="s">
        <v>176</v>
      </c>
      <c r="I516" t="s">
        <v>1921</v>
      </c>
      <c r="J516" t="s">
        <v>1233</v>
      </c>
      <c r="K516" t="s">
        <v>2382</v>
      </c>
      <c r="L516" t="s">
        <v>65</v>
      </c>
      <c r="M516" t="b">
        <v>0</v>
      </c>
      <c r="N516" t="s">
        <v>5123</v>
      </c>
      <c r="O516" t="b">
        <v>0</v>
      </c>
      <c r="P516" t="b">
        <v>1</v>
      </c>
      <c r="Q516" t="b">
        <v>0</v>
      </c>
      <c r="R516" t="b">
        <v>1</v>
      </c>
      <c r="S516" t="b">
        <v>1</v>
      </c>
      <c r="T516" t="b">
        <v>1</v>
      </c>
      <c r="U516" t="b">
        <v>0</v>
      </c>
      <c r="V516" t="b">
        <v>1</v>
      </c>
      <c r="W516" t="b">
        <v>1</v>
      </c>
      <c r="X516" t="b">
        <v>0</v>
      </c>
      <c r="Y516" t="b">
        <v>1</v>
      </c>
      <c r="Z516" t="b">
        <v>1</v>
      </c>
      <c r="AA516" t="b">
        <v>1</v>
      </c>
      <c r="AB516" t="s">
        <v>369</v>
      </c>
      <c r="AC516" t="s">
        <v>8047</v>
      </c>
    </row>
    <row r="517" spans="1:29" x14ac:dyDescent="0.3">
      <c r="A517">
        <v>-73.980329690000005</v>
      </c>
      <c r="B517">
        <v>40.765176940000003</v>
      </c>
      <c r="C517" t="s">
        <v>943</v>
      </c>
      <c r="D517" t="s">
        <v>38</v>
      </c>
      <c r="E517" s="58">
        <v>43392</v>
      </c>
      <c r="F517">
        <v>25</v>
      </c>
      <c r="G517" t="s">
        <v>3842</v>
      </c>
      <c r="H517" t="s">
        <v>53</v>
      </c>
      <c r="I517" t="s">
        <v>115</v>
      </c>
      <c r="J517" t="s">
        <v>177</v>
      </c>
      <c r="K517" t="s">
        <v>5206</v>
      </c>
      <c r="L517" t="s">
        <v>65</v>
      </c>
      <c r="M517" t="b">
        <v>0</v>
      </c>
      <c r="N517" t="s">
        <v>4895</v>
      </c>
      <c r="O517" t="b">
        <v>0</v>
      </c>
      <c r="P517" t="b">
        <v>0</v>
      </c>
      <c r="Q517" t="b">
        <v>1</v>
      </c>
      <c r="R517" t="b">
        <v>0</v>
      </c>
      <c r="S517" t="b">
        <v>1</v>
      </c>
      <c r="T517" t="b">
        <v>0</v>
      </c>
      <c r="U517" t="b">
        <v>1</v>
      </c>
      <c r="V517" t="b">
        <v>1</v>
      </c>
      <c r="W517" t="b">
        <v>1</v>
      </c>
      <c r="X517" t="b">
        <v>1</v>
      </c>
      <c r="Y517" t="b">
        <v>0</v>
      </c>
      <c r="Z517" t="b">
        <v>0</v>
      </c>
      <c r="AA517" t="b">
        <v>0</v>
      </c>
      <c r="AB517" t="s">
        <v>1660</v>
      </c>
      <c r="AC517" t="s">
        <v>8048</v>
      </c>
    </row>
    <row r="518" spans="1:29" x14ac:dyDescent="0.3">
      <c r="A518">
        <v>-73.969323770000003</v>
      </c>
      <c r="B518">
        <v>40.78770686</v>
      </c>
      <c r="C518" t="s">
        <v>564</v>
      </c>
      <c r="D518" t="s">
        <v>33</v>
      </c>
      <c r="E518" s="58">
        <v>43392</v>
      </c>
      <c r="F518">
        <v>20</v>
      </c>
      <c r="G518" t="s">
        <v>105</v>
      </c>
      <c r="H518" t="s">
        <v>176</v>
      </c>
      <c r="I518" t="s">
        <v>53</v>
      </c>
      <c r="J518" t="s">
        <v>3228</v>
      </c>
      <c r="K518" t="s">
        <v>7046</v>
      </c>
      <c r="L518" t="s">
        <v>65</v>
      </c>
      <c r="M518" t="b">
        <v>0</v>
      </c>
      <c r="N518" t="s">
        <v>2508</v>
      </c>
      <c r="O518" t="b">
        <v>1</v>
      </c>
      <c r="P518" t="b">
        <v>1</v>
      </c>
      <c r="Q518" t="b">
        <v>0</v>
      </c>
      <c r="R518" t="b">
        <v>0</v>
      </c>
      <c r="S518" t="b">
        <v>1</v>
      </c>
      <c r="T518" t="b">
        <v>0</v>
      </c>
      <c r="U518" t="b">
        <v>0</v>
      </c>
      <c r="V518" t="b">
        <v>0</v>
      </c>
      <c r="W518" t="b">
        <v>1</v>
      </c>
      <c r="X518" t="b">
        <v>1</v>
      </c>
      <c r="Y518" t="b">
        <v>1</v>
      </c>
      <c r="Z518" t="b">
        <v>1</v>
      </c>
      <c r="AA518" t="b">
        <v>1</v>
      </c>
      <c r="AB518" t="s">
        <v>340</v>
      </c>
      <c r="AC518" t="s">
        <v>8049</v>
      </c>
    </row>
    <row r="519" spans="1:29" x14ac:dyDescent="0.3">
      <c r="A519">
        <v>-73.955677370000004</v>
      </c>
      <c r="B519">
        <v>40.796528389999999</v>
      </c>
      <c r="C519" t="s">
        <v>1138</v>
      </c>
      <c r="D519" t="s">
        <v>33</v>
      </c>
      <c r="E519" s="58">
        <v>43383</v>
      </c>
      <c r="F519">
        <v>18</v>
      </c>
      <c r="G519" t="s">
        <v>3842</v>
      </c>
      <c r="H519" t="s">
        <v>53</v>
      </c>
      <c r="I519" t="s">
        <v>176</v>
      </c>
      <c r="J519" t="s">
        <v>1142</v>
      </c>
      <c r="K519" t="s">
        <v>3347</v>
      </c>
      <c r="L519" t="s">
        <v>65</v>
      </c>
      <c r="M519" t="b">
        <v>0</v>
      </c>
      <c r="N519" t="s">
        <v>1518</v>
      </c>
      <c r="O519" t="b">
        <v>0</v>
      </c>
      <c r="P519" t="b">
        <v>1</v>
      </c>
      <c r="Q519" t="b">
        <v>1</v>
      </c>
      <c r="R519" t="b">
        <v>1</v>
      </c>
      <c r="S519" t="b">
        <v>1</v>
      </c>
      <c r="T519" t="b">
        <v>1</v>
      </c>
      <c r="U519" t="b">
        <v>0</v>
      </c>
      <c r="V519" t="b">
        <v>1</v>
      </c>
      <c r="W519" t="b">
        <v>0</v>
      </c>
      <c r="X519" t="b">
        <v>1</v>
      </c>
      <c r="Y519" t="b">
        <v>0</v>
      </c>
      <c r="Z519" t="b">
        <v>1</v>
      </c>
      <c r="AA519" t="b">
        <v>0</v>
      </c>
      <c r="AB519" t="s">
        <v>1649</v>
      </c>
      <c r="AC519" t="s">
        <v>8050</v>
      </c>
    </row>
    <row r="520" spans="1:29" x14ac:dyDescent="0.3">
      <c r="A520">
        <v>-73.950121769999996</v>
      </c>
      <c r="B520">
        <v>40.773483159999998</v>
      </c>
      <c r="C520" t="s">
        <v>3637</v>
      </c>
      <c r="D520" t="s">
        <v>38</v>
      </c>
      <c r="E520" s="58">
        <v>43384</v>
      </c>
      <c r="F520">
        <v>11</v>
      </c>
      <c r="G520" t="s">
        <v>48</v>
      </c>
      <c r="H520" t="s">
        <v>53</v>
      </c>
      <c r="I520" t="s">
        <v>1921</v>
      </c>
      <c r="J520" t="s">
        <v>149</v>
      </c>
      <c r="K520" t="s">
        <v>4477</v>
      </c>
      <c r="L520" t="s">
        <v>44</v>
      </c>
      <c r="M520">
        <v>4</v>
      </c>
      <c r="N520" t="s">
        <v>1518</v>
      </c>
      <c r="O520" t="b">
        <v>0</v>
      </c>
      <c r="P520" t="b">
        <v>1</v>
      </c>
      <c r="Q520" t="b">
        <v>1</v>
      </c>
      <c r="R520" t="b">
        <v>0</v>
      </c>
      <c r="S520" t="b">
        <v>1</v>
      </c>
      <c r="T520" t="b">
        <v>1</v>
      </c>
      <c r="U520" t="b">
        <v>0</v>
      </c>
      <c r="V520" t="b">
        <v>0</v>
      </c>
      <c r="W520" t="b">
        <v>1</v>
      </c>
      <c r="X520" t="b">
        <v>1</v>
      </c>
      <c r="Y520" t="b">
        <v>0</v>
      </c>
      <c r="Z520" t="b">
        <v>0</v>
      </c>
      <c r="AA520" t="b">
        <v>0</v>
      </c>
      <c r="AB520" t="s">
        <v>4641</v>
      </c>
      <c r="AC520" t="s">
        <v>8051</v>
      </c>
    </row>
    <row r="521" spans="1:29" x14ac:dyDescent="0.3">
      <c r="A521">
        <v>-73.976429949999996</v>
      </c>
      <c r="B521">
        <v>40.79754956</v>
      </c>
      <c r="C521" t="s">
        <v>160</v>
      </c>
      <c r="D521" t="s">
        <v>38</v>
      </c>
      <c r="E521" s="58">
        <v>43388</v>
      </c>
      <c r="F521">
        <v>27</v>
      </c>
      <c r="G521" t="s">
        <v>48</v>
      </c>
      <c r="H521" t="s">
        <v>176</v>
      </c>
      <c r="I521" t="s">
        <v>53</v>
      </c>
      <c r="J521" t="s">
        <v>43</v>
      </c>
      <c r="K521" t="s">
        <v>6582</v>
      </c>
      <c r="L521" t="s">
        <v>44</v>
      </c>
      <c r="M521">
        <v>12</v>
      </c>
      <c r="N521" t="s">
        <v>2332</v>
      </c>
      <c r="O521" t="b">
        <v>1</v>
      </c>
      <c r="P521" t="b">
        <v>1</v>
      </c>
      <c r="Q521" t="b">
        <v>1</v>
      </c>
      <c r="R521" t="b">
        <v>1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1</v>
      </c>
      <c r="Y521" t="b">
        <v>0</v>
      </c>
      <c r="Z521" t="b">
        <v>0</v>
      </c>
      <c r="AA521" t="b">
        <v>1</v>
      </c>
      <c r="AB521" t="s">
        <v>4569</v>
      </c>
      <c r="AC521" t="s">
        <v>8052</v>
      </c>
    </row>
    <row r="522" spans="1:29" x14ac:dyDescent="0.3">
      <c r="A522">
        <v>-73.962480999999997</v>
      </c>
      <c r="B522">
        <v>40.767032550000003</v>
      </c>
      <c r="C522" t="s">
        <v>539</v>
      </c>
      <c r="D522" t="s">
        <v>33</v>
      </c>
      <c r="E522" s="58">
        <v>43386</v>
      </c>
      <c r="F522">
        <v>9</v>
      </c>
      <c r="G522" t="s">
        <v>105</v>
      </c>
      <c r="H522" t="s">
        <v>42</v>
      </c>
      <c r="I522" t="s">
        <v>5105</v>
      </c>
      <c r="J522" t="s">
        <v>79</v>
      </c>
      <c r="K522" t="s">
        <v>5413</v>
      </c>
      <c r="L522" t="s">
        <v>65</v>
      </c>
      <c r="M522" t="b">
        <v>0</v>
      </c>
      <c r="N522" t="s">
        <v>2833</v>
      </c>
      <c r="O522" t="b">
        <v>1</v>
      </c>
      <c r="P522" t="b">
        <v>0</v>
      </c>
      <c r="Q522" t="b">
        <v>1</v>
      </c>
      <c r="R522" t="b">
        <v>0</v>
      </c>
      <c r="S522" t="b">
        <v>1</v>
      </c>
      <c r="T522" t="b">
        <v>0</v>
      </c>
      <c r="U522" t="b">
        <v>0</v>
      </c>
      <c r="V522" t="b">
        <v>0</v>
      </c>
      <c r="W522" t="b">
        <v>0</v>
      </c>
      <c r="X522" t="b">
        <v>1</v>
      </c>
      <c r="Y522" t="b">
        <v>1</v>
      </c>
      <c r="Z522" t="b">
        <v>0</v>
      </c>
      <c r="AA522" t="b">
        <v>0</v>
      </c>
      <c r="AB522" t="s">
        <v>6392</v>
      </c>
      <c r="AC522" t="s">
        <v>8053</v>
      </c>
    </row>
    <row r="523" spans="1:29" x14ac:dyDescent="0.3">
      <c r="A523">
        <v>-73.969184589999998</v>
      </c>
      <c r="B523">
        <v>40.797810149999997</v>
      </c>
      <c r="C523" t="s">
        <v>3796</v>
      </c>
      <c r="D523" t="s">
        <v>33</v>
      </c>
      <c r="E523" s="58">
        <v>43392</v>
      </c>
      <c r="F523">
        <v>16</v>
      </c>
      <c r="G523" t="s">
        <v>48</v>
      </c>
      <c r="H523" t="s">
        <v>42</v>
      </c>
      <c r="I523" t="s">
        <v>96</v>
      </c>
      <c r="J523" t="s">
        <v>34</v>
      </c>
      <c r="K523" t="s">
        <v>2943</v>
      </c>
      <c r="L523" t="s">
        <v>65</v>
      </c>
      <c r="M523" t="b">
        <v>0</v>
      </c>
      <c r="N523" t="s">
        <v>1207</v>
      </c>
      <c r="O523" t="b">
        <v>1</v>
      </c>
      <c r="P523" t="b">
        <v>1</v>
      </c>
      <c r="Q523" t="b">
        <v>1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1</v>
      </c>
      <c r="X523" t="b">
        <v>1</v>
      </c>
      <c r="Y523" t="b">
        <v>1</v>
      </c>
      <c r="Z523" t="b">
        <v>1</v>
      </c>
      <c r="AA523" t="b">
        <v>1</v>
      </c>
      <c r="AB523" t="s">
        <v>527</v>
      </c>
      <c r="AC523" t="s">
        <v>8054</v>
      </c>
    </row>
    <row r="524" spans="1:29" x14ac:dyDescent="0.3">
      <c r="A524">
        <v>-73.950667559999999</v>
      </c>
      <c r="B524">
        <v>40.777290549999996</v>
      </c>
      <c r="C524" t="s">
        <v>311</v>
      </c>
      <c r="D524" t="s">
        <v>33</v>
      </c>
      <c r="E524" s="58">
        <v>43386</v>
      </c>
      <c r="F524">
        <v>2</v>
      </c>
      <c r="G524" t="s">
        <v>105</v>
      </c>
      <c r="H524" t="s">
        <v>176</v>
      </c>
      <c r="I524" t="s">
        <v>42</v>
      </c>
      <c r="J524" t="s">
        <v>60</v>
      </c>
      <c r="K524" t="s">
        <v>64</v>
      </c>
      <c r="L524" t="s">
        <v>65</v>
      </c>
      <c r="M524" t="b">
        <v>0</v>
      </c>
      <c r="N524" t="s">
        <v>1879</v>
      </c>
      <c r="O524" t="b">
        <v>1</v>
      </c>
      <c r="P524" t="b">
        <v>0</v>
      </c>
      <c r="Q524" t="b">
        <v>1</v>
      </c>
      <c r="R524" t="b">
        <v>0</v>
      </c>
      <c r="S524" t="b">
        <v>1</v>
      </c>
      <c r="T524" t="b">
        <v>1</v>
      </c>
      <c r="U524" t="b">
        <v>0</v>
      </c>
      <c r="V524" t="b">
        <v>1</v>
      </c>
      <c r="W524" t="b">
        <v>0</v>
      </c>
      <c r="X524" t="b">
        <v>0</v>
      </c>
      <c r="Y524" t="b">
        <v>0</v>
      </c>
      <c r="Z524" t="b">
        <v>1</v>
      </c>
      <c r="AA524" t="b">
        <v>1</v>
      </c>
      <c r="AB524" t="s">
        <v>412</v>
      </c>
      <c r="AC524" t="s">
        <v>8055</v>
      </c>
    </row>
    <row r="525" spans="1:29" x14ac:dyDescent="0.3">
      <c r="A525">
        <v>-73.954685049999995</v>
      </c>
      <c r="B525">
        <v>40.768481479999998</v>
      </c>
      <c r="C525" t="s">
        <v>343</v>
      </c>
      <c r="D525" t="s">
        <v>38</v>
      </c>
      <c r="E525" s="58">
        <v>43381</v>
      </c>
      <c r="F525">
        <v>26</v>
      </c>
      <c r="G525" t="s">
        <v>48</v>
      </c>
      <c r="H525" t="s">
        <v>176</v>
      </c>
      <c r="I525" t="s">
        <v>115</v>
      </c>
      <c r="J525" t="s">
        <v>60</v>
      </c>
      <c r="K525" t="s">
        <v>6633</v>
      </c>
      <c r="L525" t="s">
        <v>65</v>
      </c>
      <c r="M525" t="b">
        <v>0</v>
      </c>
      <c r="N525" t="s">
        <v>2951</v>
      </c>
      <c r="O525" t="b">
        <v>0</v>
      </c>
      <c r="P525" t="b">
        <v>1</v>
      </c>
      <c r="Q525" t="b">
        <v>0</v>
      </c>
      <c r="R525" t="b">
        <v>0</v>
      </c>
      <c r="S525" t="b">
        <v>1</v>
      </c>
      <c r="T525" t="b">
        <v>0</v>
      </c>
      <c r="U525" t="b">
        <v>0</v>
      </c>
      <c r="V525" t="b">
        <v>0</v>
      </c>
      <c r="W525" t="b">
        <v>1</v>
      </c>
      <c r="X525" t="b">
        <v>1</v>
      </c>
      <c r="Y525" t="b">
        <v>0</v>
      </c>
      <c r="Z525" t="b">
        <v>0</v>
      </c>
      <c r="AA525" t="b">
        <v>1</v>
      </c>
      <c r="AB525" t="s">
        <v>2233</v>
      </c>
      <c r="AC525" t="s">
        <v>8056</v>
      </c>
    </row>
    <row r="526" spans="1:29" x14ac:dyDescent="0.3">
      <c r="A526">
        <v>-73.954804199999998</v>
      </c>
      <c r="B526">
        <v>40.782017170000003</v>
      </c>
      <c r="C526" t="s">
        <v>215</v>
      </c>
      <c r="D526" t="s">
        <v>33</v>
      </c>
      <c r="E526" s="58">
        <v>43390</v>
      </c>
      <c r="F526">
        <v>25</v>
      </c>
      <c r="G526" t="s">
        <v>48</v>
      </c>
      <c r="H526" t="s">
        <v>53</v>
      </c>
      <c r="I526" t="s">
        <v>176</v>
      </c>
      <c r="J526" t="s">
        <v>5106</v>
      </c>
      <c r="K526" t="s">
        <v>6764</v>
      </c>
      <c r="L526" t="s">
        <v>44</v>
      </c>
      <c r="M526">
        <v>4</v>
      </c>
      <c r="N526" t="s">
        <v>2810</v>
      </c>
      <c r="O526" t="b">
        <v>1</v>
      </c>
      <c r="P526" t="b">
        <v>1</v>
      </c>
      <c r="Q526" t="b">
        <v>1</v>
      </c>
      <c r="R526" t="b">
        <v>0</v>
      </c>
      <c r="S526" t="b">
        <v>1</v>
      </c>
      <c r="T526" t="b">
        <v>1</v>
      </c>
      <c r="U526" t="b">
        <v>0</v>
      </c>
      <c r="V526" t="b">
        <v>0</v>
      </c>
      <c r="W526" t="b">
        <v>0</v>
      </c>
      <c r="X526" t="b">
        <v>0</v>
      </c>
      <c r="Y526" t="b">
        <v>1</v>
      </c>
      <c r="Z526" t="b">
        <v>0</v>
      </c>
      <c r="AA526" t="b">
        <v>0</v>
      </c>
      <c r="AB526" t="s">
        <v>3672</v>
      </c>
      <c r="AC526" t="s">
        <v>8057</v>
      </c>
    </row>
    <row r="527" spans="1:29" x14ac:dyDescent="0.3">
      <c r="A527">
        <v>-73.966424360000005</v>
      </c>
      <c r="B527">
        <v>40.773951220000001</v>
      </c>
      <c r="C527" t="s">
        <v>1663</v>
      </c>
      <c r="D527" t="s">
        <v>33</v>
      </c>
      <c r="E527" s="58">
        <v>43390</v>
      </c>
      <c r="F527">
        <v>2</v>
      </c>
      <c r="G527" t="s">
        <v>48</v>
      </c>
      <c r="H527" t="s">
        <v>176</v>
      </c>
      <c r="I527" t="s">
        <v>737</v>
      </c>
      <c r="J527" t="s">
        <v>54</v>
      </c>
      <c r="K527" t="s">
        <v>4477</v>
      </c>
      <c r="L527" t="s">
        <v>65</v>
      </c>
      <c r="M527" t="b">
        <v>0</v>
      </c>
      <c r="N527" t="s">
        <v>4829</v>
      </c>
      <c r="O527" t="b">
        <v>0</v>
      </c>
      <c r="P527" t="b">
        <v>0</v>
      </c>
      <c r="Q527" t="b">
        <v>1</v>
      </c>
      <c r="R527" t="b">
        <v>0</v>
      </c>
      <c r="S527" t="b">
        <v>0</v>
      </c>
      <c r="T527" t="b">
        <v>1</v>
      </c>
      <c r="U527" t="b">
        <v>1</v>
      </c>
      <c r="V527" t="b">
        <v>0</v>
      </c>
      <c r="W527" t="b">
        <v>1</v>
      </c>
      <c r="X527" t="b">
        <v>1</v>
      </c>
      <c r="Y527" t="b">
        <v>1</v>
      </c>
      <c r="Z527" t="b">
        <v>0</v>
      </c>
      <c r="AA527" t="b">
        <v>1</v>
      </c>
      <c r="AB527" t="s">
        <v>2131</v>
      </c>
      <c r="AC527" t="s">
        <v>8058</v>
      </c>
    </row>
    <row r="528" spans="1:29" x14ac:dyDescent="0.3">
      <c r="A528">
        <v>-73.968117980000002</v>
      </c>
      <c r="B528">
        <v>40.774940430000001</v>
      </c>
      <c r="C528" t="s">
        <v>796</v>
      </c>
      <c r="D528" t="s">
        <v>38</v>
      </c>
      <c r="E528" s="58">
        <v>43392</v>
      </c>
      <c r="F528">
        <v>12</v>
      </c>
      <c r="G528" t="s">
        <v>105</v>
      </c>
      <c r="H528" t="s">
        <v>53</v>
      </c>
      <c r="I528" t="s">
        <v>59</v>
      </c>
      <c r="J528" t="s">
        <v>149</v>
      </c>
      <c r="K528" t="s">
        <v>4123</v>
      </c>
      <c r="L528" t="s">
        <v>44</v>
      </c>
      <c r="M528">
        <v>3</v>
      </c>
      <c r="N528" t="s">
        <v>3773</v>
      </c>
      <c r="O528" t="b">
        <v>1</v>
      </c>
      <c r="P528" t="b">
        <v>1</v>
      </c>
      <c r="Q528" t="b">
        <v>1</v>
      </c>
      <c r="R528" t="b">
        <v>1</v>
      </c>
      <c r="S528" t="b">
        <v>0</v>
      </c>
      <c r="T528" t="b">
        <v>1</v>
      </c>
      <c r="U528" t="b">
        <v>1</v>
      </c>
      <c r="V528" t="b">
        <v>1</v>
      </c>
      <c r="W528" t="b">
        <v>1</v>
      </c>
      <c r="X528" t="b">
        <v>1</v>
      </c>
      <c r="Y528" t="b">
        <v>1</v>
      </c>
      <c r="Z528" t="b">
        <v>1</v>
      </c>
      <c r="AA528" t="b">
        <v>1</v>
      </c>
      <c r="AB528" t="s">
        <v>3274</v>
      </c>
      <c r="AC528" t="s">
        <v>8059</v>
      </c>
    </row>
    <row r="529" spans="1:29" x14ac:dyDescent="0.3">
      <c r="A529">
        <v>-73.972563530000002</v>
      </c>
      <c r="B529">
        <v>40.775729689999999</v>
      </c>
      <c r="C529" t="s">
        <v>802</v>
      </c>
      <c r="D529" t="s">
        <v>38</v>
      </c>
      <c r="E529" s="58">
        <v>43385</v>
      </c>
      <c r="F529">
        <v>8</v>
      </c>
      <c r="G529" t="s">
        <v>105</v>
      </c>
      <c r="H529" t="s">
        <v>176</v>
      </c>
      <c r="I529" t="s">
        <v>176</v>
      </c>
      <c r="J529" t="s">
        <v>5106</v>
      </c>
      <c r="K529" t="s">
        <v>3318</v>
      </c>
      <c r="L529" t="s">
        <v>65</v>
      </c>
      <c r="M529" t="b">
        <v>0</v>
      </c>
      <c r="N529" t="s">
        <v>3632</v>
      </c>
      <c r="O529" t="b">
        <v>1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b">
        <v>1</v>
      </c>
      <c r="V529" t="b">
        <v>0</v>
      </c>
      <c r="W529" t="b">
        <v>1</v>
      </c>
      <c r="X529" t="b">
        <v>0</v>
      </c>
      <c r="Y529" t="b">
        <v>0</v>
      </c>
      <c r="Z529" t="b">
        <v>1</v>
      </c>
      <c r="AA529" t="b">
        <v>1</v>
      </c>
      <c r="AB529" t="s">
        <v>2277</v>
      </c>
      <c r="AC529" t="s">
        <v>8060</v>
      </c>
    </row>
    <row r="530" spans="1:29" x14ac:dyDescent="0.3">
      <c r="A530">
        <v>-73.979386309999995</v>
      </c>
      <c r="B530">
        <v>40.793183480000003</v>
      </c>
      <c r="C530" t="s">
        <v>1389</v>
      </c>
      <c r="D530" t="s">
        <v>33</v>
      </c>
      <c r="E530" s="58">
        <v>43379</v>
      </c>
      <c r="F530">
        <v>9</v>
      </c>
      <c r="G530" t="s">
        <v>3842</v>
      </c>
      <c r="H530" t="s">
        <v>42</v>
      </c>
      <c r="I530" t="s">
        <v>53</v>
      </c>
      <c r="J530" t="s">
        <v>339</v>
      </c>
      <c r="K530" t="s">
        <v>894</v>
      </c>
      <c r="L530" t="s">
        <v>44</v>
      </c>
      <c r="M530">
        <v>25</v>
      </c>
      <c r="N530" t="s">
        <v>2071</v>
      </c>
      <c r="O530" t="b">
        <v>0</v>
      </c>
      <c r="P530" t="b">
        <v>0</v>
      </c>
      <c r="Q530" t="b">
        <v>1</v>
      </c>
      <c r="R530" t="b">
        <v>1</v>
      </c>
      <c r="S530" t="b">
        <v>1</v>
      </c>
      <c r="T530" t="b">
        <v>1</v>
      </c>
      <c r="U530" t="b">
        <v>0</v>
      </c>
      <c r="V530" t="b">
        <v>0</v>
      </c>
      <c r="W530" t="b">
        <v>1</v>
      </c>
      <c r="X530" t="b">
        <v>1</v>
      </c>
      <c r="Y530" t="b">
        <v>1</v>
      </c>
      <c r="Z530" t="b">
        <v>0</v>
      </c>
      <c r="AA530" t="b">
        <v>0</v>
      </c>
      <c r="AB530" t="s">
        <v>3844</v>
      </c>
      <c r="AC530" t="s">
        <v>8061</v>
      </c>
    </row>
    <row r="531" spans="1:29" x14ac:dyDescent="0.3">
      <c r="A531">
        <v>-73.953974459999998</v>
      </c>
      <c r="B531">
        <v>40.783893380000002</v>
      </c>
      <c r="C531" t="s">
        <v>235</v>
      </c>
      <c r="D531" t="s">
        <v>38</v>
      </c>
      <c r="E531" s="58">
        <v>43379</v>
      </c>
      <c r="F531">
        <v>12</v>
      </c>
      <c r="G531" t="s">
        <v>105</v>
      </c>
      <c r="H531" t="s">
        <v>42</v>
      </c>
      <c r="I531" t="s">
        <v>176</v>
      </c>
      <c r="J531" t="s">
        <v>155</v>
      </c>
      <c r="K531" t="s">
        <v>242</v>
      </c>
      <c r="L531" t="s">
        <v>65</v>
      </c>
      <c r="M531" t="b">
        <v>0</v>
      </c>
      <c r="N531" t="s">
        <v>2767</v>
      </c>
      <c r="O531" t="b">
        <v>0</v>
      </c>
      <c r="P531" t="b">
        <v>1</v>
      </c>
      <c r="Q531" t="b">
        <v>0</v>
      </c>
      <c r="R531" t="b">
        <v>1</v>
      </c>
      <c r="S531" t="b">
        <v>1</v>
      </c>
      <c r="T531" t="b">
        <v>0</v>
      </c>
      <c r="U531" t="b">
        <v>0</v>
      </c>
      <c r="V531" t="b">
        <v>1</v>
      </c>
      <c r="W531" t="b">
        <v>0</v>
      </c>
      <c r="X531" t="b">
        <v>1</v>
      </c>
      <c r="Y531" t="b">
        <v>1</v>
      </c>
      <c r="Z531" t="b">
        <v>1</v>
      </c>
      <c r="AA531" t="b">
        <v>0</v>
      </c>
      <c r="AB531" t="s">
        <v>1222</v>
      </c>
      <c r="AC531" t="s">
        <v>8062</v>
      </c>
    </row>
    <row r="532" spans="1:29" x14ac:dyDescent="0.3">
      <c r="A532">
        <v>-73.95560356</v>
      </c>
      <c r="B532">
        <v>40.77587114</v>
      </c>
      <c r="C532" t="s">
        <v>2667</v>
      </c>
      <c r="D532" t="s">
        <v>38</v>
      </c>
      <c r="E532" s="58">
        <v>43385</v>
      </c>
      <c r="F532">
        <v>26</v>
      </c>
      <c r="G532" t="s">
        <v>48</v>
      </c>
      <c r="H532" t="s">
        <v>176</v>
      </c>
      <c r="I532" t="s">
        <v>737</v>
      </c>
      <c r="J532" t="s">
        <v>43</v>
      </c>
      <c r="K532" t="s">
        <v>6422</v>
      </c>
      <c r="L532" t="s">
        <v>44</v>
      </c>
      <c r="M532">
        <v>6</v>
      </c>
      <c r="N532" t="s">
        <v>1241</v>
      </c>
      <c r="O532" t="b">
        <v>0</v>
      </c>
      <c r="P532" t="b">
        <v>0</v>
      </c>
      <c r="Q532" t="b">
        <v>1</v>
      </c>
      <c r="R532" t="b">
        <v>1</v>
      </c>
      <c r="S532" t="b">
        <v>1</v>
      </c>
      <c r="T532" t="b">
        <v>1</v>
      </c>
      <c r="U532" t="b">
        <v>0</v>
      </c>
      <c r="V532" t="b">
        <v>0</v>
      </c>
      <c r="W532" t="b">
        <v>1</v>
      </c>
      <c r="X532" t="b">
        <v>1</v>
      </c>
      <c r="Y532" t="b">
        <v>1</v>
      </c>
      <c r="Z532" t="b">
        <v>1</v>
      </c>
      <c r="AA532" t="b">
        <v>0</v>
      </c>
      <c r="AB532" t="s">
        <v>5750</v>
      </c>
      <c r="AC532" t="s">
        <v>8063</v>
      </c>
    </row>
    <row r="533" spans="1:29" x14ac:dyDescent="0.3">
      <c r="A533">
        <v>-73.949730639999999</v>
      </c>
      <c r="B533">
        <v>40.786399209999999</v>
      </c>
      <c r="C533" t="s">
        <v>1718</v>
      </c>
      <c r="D533" t="s">
        <v>33</v>
      </c>
      <c r="E533" s="58">
        <v>43393</v>
      </c>
      <c r="F533">
        <v>9</v>
      </c>
      <c r="G533" t="s">
        <v>48</v>
      </c>
      <c r="H533" t="s">
        <v>53</v>
      </c>
      <c r="I533" t="s">
        <v>59</v>
      </c>
      <c r="J533" t="s">
        <v>177</v>
      </c>
      <c r="K533" t="s">
        <v>5038</v>
      </c>
      <c r="L533" t="s">
        <v>44</v>
      </c>
      <c r="M533">
        <v>7</v>
      </c>
      <c r="N533" t="s">
        <v>3957</v>
      </c>
      <c r="O533" t="b">
        <v>1</v>
      </c>
      <c r="P533" t="b">
        <v>1</v>
      </c>
      <c r="Q533" t="b">
        <v>1</v>
      </c>
      <c r="R533" t="b">
        <v>1</v>
      </c>
      <c r="S533" t="b">
        <v>1</v>
      </c>
      <c r="T533" t="b">
        <v>0</v>
      </c>
      <c r="U533" t="b">
        <v>1</v>
      </c>
      <c r="V533" t="b">
        <v>0</v>
      </c>
      <c r="W533" t="b">
        <v>0</v>
      </c>
      <c r="X533" t="b">
        <v>1</v>
      </c>
      <c r="Y533" t="b">
        <v>1</v>
      </c>
      <c r="Z533" t="b">
        <v>0</v>
      </c>
      <c r="AA533" t="b">
        <v>0</v>
      </c>
      <c r="AB533" t="s">
        <v>1367</v>
      </c>
      <c r="AC533" t="s">
        <v>8064</v>
      </c>
    </row>
    <row r="534" spans="1:29" x14ac:dyDescent="0.3">
      <c r="A534">
        <v>-73.949827490000004</v>
      </c>
      <c r="B534">
        <v>40.79012479</v>
      </c>
      <c r="C534" t="s">
        <v>3070</v>
      </c>
      <c r="D534" t="s">
        <v>38</v>
      </c>
      <c r="E534" s="58">
        <v>43393</v>
      </c>
      <c r="F534">
        <v>10</v>
      </c>
      <c r="G534" t="s">
        <v>105</v>
      </c>
      <c r="H534" t="s">
        <v>42</v>
      </c>
      <c r="I534" t="s">
        <v>1921</v>
      </c>
      <c r="J534" t="s">
        <v>155</v>
      </c>
      <c r="K534" t="s">
        <v>6823</v>
      </c>
      <c r="L534" t="s">
        <v>44</v>
      </c>
      <c r="M534">
        <v>2</v>
      </c>
      <c r="N534" t="s">
        <v>5652</v>
      </c>
      <c r="O534" t="b">
        <v>1</v>
      </c>
      <c r="P534" t="b">
        <v>1</v>
      </c>
      <c r="Q534" t="b">
        <v>0</v>
      </c>
      <c r="R534" t="b">
        <v>1</v>
      </c>
      <c r="S534" t="b">
        <v>1</v>
      </c>
      <c r="T534" t="b">
        <v>0</v>
      </c>
      <c r="U534" t="b">
        <v>1</v>
      </c>
      <c r="V534" t="b">
        <v>0</v>
      </c>
      <c r="W534" t="b">
        <v>1</v>
      </c>
      <c r="X534" t="b">
        <v>1</v>
      </c>
      <c r="Y534" t="b">
        <v>1</v>
      </c>
      <c r="Z534" t="b">
        <v>0</v>
      </c>
      <c r="AA534" t="b">
        <v>1</v>
      </c>
      <c r="AB534" t="s">
        <v>6492</v>
      </c>
      <c r="AC534" t="s">
        <v>8065</v>
      </c>
    </row>
    <row r="535" spans="1:29" x14ac:dyDescent="0.3">
      <c r="A535">
        <v>-73.963697580000002</v>
      </c>
      <c r="B535">
        <v>40.774509170000002</v>
      </c>
      <c r="C535" t="s">
        <v>612</v>
      </c>
      <c r="D535" t="s">
        <v>38</v>
      </c>
      <c r="E535" s="58">
        <v>43388</v>
      </c>
      <c r="F535">
        <v>25</v>
      </c>
      <c r="G535" t="s">
        <v>105</v>
      </c>
      <c r="H535" t="s">
        <v>53</v>
      </c>
      <c r="I535" t="s">
        <v>53</v>
      </c>
      <c r="J535" t="s">
        <v>5106</v>
      </c>
      <c r="K535" t="s">
        <v>2382</v>
      </c>
      <c r="L535" t="s">
        <v>65</v>
      </c>
      <c r="M535" t="b">
        <v>0</v>
      </c>
      <c r="N535" t="s">
        <v>3066</v>
      </c>
      <c r="O535" t="b">
        <v>0</v>
      </c>
      <c r="P535" t="b">
        <v>1</v>
      </c>
      <c r="Q535" t="b">
        <v>0</v>
      </c>
      <c r="R535" t="b">
        <v>1</v>
      </c>
      <c r="S535" t="b">
        <v>1</v>
      </c>
      <c r="T535" t="b">
        <v>1</v>
      </c>
      <c r="U535" t="b">
        <v>0</v>
      </c>
      <c r="V535" t="b">
        <v>0</v>
      </c>
      <c r="W535" t="b">
        <v>1</v>
      </c>
      <c r="X535" t="b">
        <v>1</v>
      </c>
      <c r="Y535" t="b">
        <v>1</v>
      </c>
      <c r="Z535" t="b">
        <v>0</v>
      </c>
      <c r="AA535" t="b">
        <v>1</v>
      </c>
      <c r="AB535" t="s">
        <v>2792</v>
      </c>
      <c r="AC535" t="s">
        <v>8066</v>
      </c>
    </row>
    <row r="536" spans="1:29" x14ac:dyDescent="0.3">
      <c r="A536">
        <v>-73.956984070000004</v>
      </c>
      <c r="B536">
        <v>40.779470840000002</v>
      </c>
      <c r="C536" t="s">
        <v>1515</v>
      </c>
      <c r="D536" t="s">
        <v>33</v>
      </c>
      <c r="E536" s="58">
        <v>43387</v>
      </c>
      <c r="F536">
        <v>2</v>
      </c>
      <c r="G536" t="s">
        <v>105</v>
      </c>
      <c r="H536" t="s">
        <v>176</v>
      </c>
      <c r="I536" t="s">
        <v>148</v>
      </c>
      <c r="J536" t="s">
        <v>89</v>
      </c>
      <c r="K536" t="s">
        <v>6764</v>
      </c>
      <c r="L536" t="s">
        <v>44</v>
      </c>
      <c r="M536">
        <v>40</v>
      </c>
      <c r="N536" t="s">
        <v>1068</v>
      </c>
      <c r="O536" t="b">
        <v>0</v>
      </c>
      <c r="P536" t="b">
        <v>0</v>
      </c>
      <c r="Q536" t="b">
        <v>1</v>
      </c>
      <c r="R536" t="b">
        <v>0</v>
      </c>
      <c r="S536" t="b">
        <v>0</v>
      </c>
      <c r="T536" t="b">
        <v>0</v>
      </c>
      <c r="U536" t="b">
        <v>1</v>
      </c>
      <c r="V536" t="b">
        <v>1</v>
      </c>
      <c r="W536" t="b">
        <v>1</v>
      </c>
      <c r="X536" t="b">
        <v>1</v>
      </c>
      <c r="Y536" t="b">
        <v>1</v>
      </c>
      <c r="Z536" t="b">
        <v>1</v>
      </c>
      <c r="AA536" t="b">
        <v>0</v>
      </c>
      <c r="AB536" t="s">
        <v>2350</v>
      </c>
      <c r="AC536" t="s">
        <v>8067</v>
      </c>
    </row>
    <row r="537" spans="1:29" x14ac:dyDescent="0.3">
      <c r="A537">
        <v>-73.951458160000001</v>
      </c>
      <c r="B537">
        <v>40.769202020000002</v>
      </c>
      <c r="C537" t="s">
        <v>154</v>
      </c>
      <c r="D537" t="s">
        <v>38</v>
      </c>
      <c r="E537" s="58">
        <v>43385</v>
      </c>
      <c r="F537">
        <v>16</v>
      </c>
      <c r="G537" t="s">
        <v>3842</v>
      </c>
      <c r="H537" t="s">
        <v>176</v>
      </c>
      <c r="I537" t="s">
        <v>53</v>
      </c>
      <c r="J537" t="s">
        <v>1922</v>
      </c>
      <c r="K537" t="s">
        <v>565</v>
      </c>
      <c r="L537" t="s">
        <v>65</v>
      </c>
      <c r="M537" t="b">
        <v>0</v>
      </c>
      <c r="N537" t="s">
        <v>4829</v>
      </c>
      <c r="O537" t="b">
        <v>1</v>
      </c>
      <c r="P537" t="b">
        <v>1</v>
      </c>
      <c r="Q537" t="b">
        <v>0</v>
      </c>
      <c r="R537" t="b">
        <v>0</v>
      </c>
      <c r="S537" t="b">
        <v>0</v>
      </c>
      <c r="T537" t="b">
        <v>1</v>
      </c>
      <c r="U537" t="b">
        <v>1</v>
      </c>
      <c r="V537" t="b">
        <v>1</v>
      </c>
      <c r="W537" t="b">
        <v>0</v>
      </c>
      <c r="X537" t="b">
        <v>0</v>
      </c>
      <c r="Y537" t="b">
        <v>0</v>
      </c>
      <c r="Z537" t="b">
        <v>1</v>
      </c>
      <c r="AA537" t="b">
        <v>1</v>
      </c>
      <c r="AB537" t="s">
        <v>3374</v>
      </c>
      <c r="AC537" t="s">
        <v>8068</v>
      </c>
    </row>
    <row r="538" spans="1:29" x14ac:dyDescent="0.3">
      <c r="A538">
        <v>-73.954448369999994</v>
      </c>
      <c r="B538">
        <v>40.771288550000001</v>
      </c>
      <c r="C538" t="s">
        <v>600</v>
      </c>
      <c r="D538" t="s">
        <v>33</v>
      </c>
      <c r="E538" s="58">
        <v>43388</v>
      </c>
      <c r="F538">
        <v>20</v>
      </c>
      <c r="G538" t="s">
        <v>48</v>
      </c>
      <c r="H538" t="s">
        <v>42</v>
      </c>
      <c r="I538" t="s">
        <v>42</v>
      </c>
      <c r="J538" t="s">
        <v>43</v>
      </c>
      <c r="K538" t="s">
        <v>3843</v>
      </c>
      <c r="L538" t="s">
        <v>44</v>
      </c>
      <c r="M538">
        <v>25</v>
      </c>
      <c r="N538" t="s">
        <v>2150</v>
      </c>
      <c r="O538" t="b">
        <v>0</v>
      </c>
      <c r="P538" t="b">
        <v>1</v>
      </c>
      <c r="Q538" t="b">
        <v>0</v>
      </c>
      <c r="R538" t="b">
        <v>0</v>
      </c>
      <c r="S538" t="b">
        <v>1</v>
      </c>
      <c r="T538" t="b">
        <v>1</v>
      </c>
      <c r="U538" t="b">
        <v>0</v>
      </c>
      <c r="V538" t="b">
        <v>1</v>
      </c>
      <c r="W538" t="b">
        <v>1</v>
      </c>
      <c r="X538" t="b">
        <v>1</v>
      </c>
      <c r="Y538" t="b">
        <v>1</v>
      </c>
      <c r="Z538" t="b">
        <v>1</v>
      </c>
      <c r="AA538" t="b">
        <v>0</v>
      </c>
      <c r="AB538" t="s">
        <v>4197</v>
      </c>
      <c r="AC538" t="s">
        <v>8069</v>
      </c>
    </row>
    <row r="539" spans="1:29" x14ac:dyDescent="0.3">
      <c r="A539">
        <v>-73.973382740000005</v>
      </c>
      <c r="B539">
        <v>40.788891360000001</v>
      </c>
      <c r="C539" t="s">
        <v>612</v>
      </c>
      <c r="D539" t="s">
        <v>33</v>
      </c>
      <c r="E539" s="58">
        <v>43383</v>
      </c>
      <c r="F539">
        <v>7</v>
      </c>
      <c r="G539" t="s">
        <v>3842</v>
      </c>
      <c r="H539" t="s">
        <v>176</v>
      </c>
      <c r="I539" t="s">
        <v>148</v>
      </c>
      <c r="J539" t="s">
        <v>43</v>
      </c>
      <c r="K539" t="s">
        <v>3843</v>
      </c>
      <c r="L539" t="s">
        <v>44</v>
      </c>
      <c r="M539">
        <v>20</v>
      </c>
      <c r="N539" t="s">
        <v>1192</v>
      </c>
      <c r="O539" t="b">
        <v>0</v>
      </c>
      <c r="P539" t="b">
        <v>1</v>
      </c>
      <c r="Q539" t="b">
        <v>1</v>
      </c>
      <c r="R539" t="b">
        <v>1</v>
      </c>
      <c r="S539" t="b">
        <v>0</v>
      </c>
      <c r="T539" t="b">
        <v>1</v>
      </c>
      <c r="U539" t="b">
        <v>0</v>
      </c>
      <c r="V539" t="b">
        <v>0</v>
      </c>
      <c r="W539" t="b">
        <v>1</v>
      </c>
      <c r="X539" t="b">
        <v>0</v>
      </c>
      <c r="Y539" t="b">
        <v>0</v>
      </c>
      <c r="Z539" t="b">
        <v>1</v>
      </c>
      <c r="AA539" t="b">
        <v>1</v>
      </c>
      <c r="AB539" t="s">
        <v>5241</v>
      </c>
      <c r="AC539" t="s">
        <v>8070</v>
      </c>
    </row>
    <row r="540" spans="1:29" x14ac:dyDescent="0.3">
      <c r="A540">
        <v>-73.966994909999997</v>
      </c>
      <c r="B540">
        <v>40.771298719999997</v>
      </c>
      <c r="C540" t="s">
        <v>183</v>
      </c>
      <c r="D540" t="s">
        <v>38</v>
      </c>
      <c r="E540" s="58">
        <v>43386</v>
      </c>
      <c r="F540">
        <v>28</v>
      </c>
      <c r="G540" t="s">
        <v>3842</v>
      </c>
      <c r="H540" t="s">
        <v>42</v>
      </c>
      <c r="I540" t="s">
        <v>42</v>
      </c>
      <c r="J540" t="s">
        <v>155</v>
      </c>
      <c r="K540" t="s">
        <v>4243</v>
      </c>
      <c r="L540" t="s">
        <v>65</v>
      </c>
      <c r="M540" t="b">
        <v>0</v>
      </c>
      <c r="N540" t="s">
        <v>6196</v>
      </c>
      <c r="O540" t="b">
        <v>1</v>
      </c>
      <c r="P540" t="b">
        <v>1</v>
      </c>
      <c r="Q540" t="b">
        <v>1</v>
      </c>
      <c r="R540" t="b">
        <v>1</v>
      </c>
      <c r="S540" t="b">
        <v>0</v>
      </c>
      <c r="T540" t="b">
        <v>1</v>
      </c>
      <c r="U540" t="b">
        <v>1</v>
      </c>
      <c r="V540" t="b">
        <v>1</v>
      </c>
      <c r="W540" t="b">
        <v>0</v>
      </c>
      <c r="X540" t="b">
        <v>0</v>
      </c>
      <c r="Y540" t="b">
        <v>0</v>
      </c>
      <c r="Z540" t="b">
        <v>1</v>
      </c>
      <c r="AA540" t="b">
        <v>1</v>
      </c>
      <c r="AB540" t="s">
        <v>5720</v>
      </c>
      <c r="AC540" t="s">
        <v>8071</v>
      </c>
    </row>
    <row r="541" spans="1:29" x14ac:dyDescent="0.3">
      <c r="A541">
        <v>-73.977098220000002</v>
      </c>
      <c r="B541">
        <v>40.783400540000002</v>
      </c>
      <c r="C541" t="s">
        <v>911</v>
      </c>
      <c r="D541" t="s">
        <v>38</v>
      </c>
      <c r="E541" s="58">
        <v>43380</v>
      </c>
      <c r="F541">
        <v>2</v>
      </c>
      <c r="G541" t="s">
        <v>48</v>
      </c>
      <c r="H541" t="s">
        <v>53</v>
      </c>
      <c r="I541" t="s">
        <v>737</v>
      </c>
      <c r="J541" t="s">
        <v>1142</v>
      </c>
      <c r="K541" t="s">
        <v>1816</v>
      </c>
      <c r="L541" t="s">
        <v>44</v>
      </c>
      <c r="M541">
        <v>7</v>
      </c>
      <c r="N541" t="s">
        <v>3239</v>
      </c>
      <c r="O541" t="b">
        <v>0</v>
      </c>
      <c r="P541" t="b">
        <v>1</v>
      </c>
      <c r="Q541" t="b">
        <v>1</v>
      </c>
      <c r="R541" t="b">
        <v>1</v>
      </c>
      <c r="S541" t="b">
        <v>0</v>
      </c>
      <c r="T541" t="b">
        <v>1</v>
      </c>
      <c r="U541" t="b">
        <v>0</v>
      </c>
      <c r="V541" t="b">
        <v>1</v>
      </c>
      <c r="W541" t="b">
        <v>1</v>
      </c>
      <c r="X541" t="b">
        <v>0</v>
      </c>
      <c r="Y541" t="b">
        <v>1</v>
      </c>
      <c r="Z541" t="b">
        <v>0</v>
      </c>
      <c r="AA541" t="b">
        <v>0</v>
      </c>
      <c r="AB541" t="s">
        <v>6729</v>
      </c>
      <c r="AC541" t="s">
        <v>8072</v>
      </c>
    </row>
    <row r="542" spans="1:29" x14ac:dyDescent="0.3">
      <c r="A542">
        <v>-73.951166259999994</v>
      </c>
      <c r="B542">
        <v>40.789874660000002</v>
      </c>
      <c r="C542" t="s">
        <v>607</v>
      </c>
      <c r="D542" t="s">
        <v>38</v>
      </c>
      <c r="E542" s="58">
        <v>43387</v>
      </c>
      <c r="F542">
        <v>1</v>
      </c>
      <c r="G542" t="s">
        <v>48</v>
      </c>
      <c r="H542" t="s">
        <v>42</v>
      </c>
      <c r="I542" t="s">
        <v>115</v>
      </c>
      <c r="J542" t="s">
        <v>339</v>
      </c>
      <c r="K542" t="s">
        <v>3942</v>
      </c>
      <c r="L542" t="s">
        <v>65</v>
      </c>
      <c r="M542" t="b">
        <v>0</v>
      </c>
      <c r="N542" t="s">
        <v>1084</v>
      </c>
      <c r="O542" t="b">
        <v>1</v>
      </c>
      <c r="P542" t="b">
        <v>1</v>
      </c>
      <c r="Q542" t="b">
        <v>0</v>
      </c>
      <c r="R542" t="b">
        <v>0</v>
      </c>
      <c r="S542" t="b">
        <v>1</v>
      </c>
      <c r="T542" t="b">
        <v>1</v>
      </c>
      <c r="U542" t="b">
        <v>1</v>
      </c>
      <c r="V542" t="b">
        <v>0</v>
      </c>
      <c r="W542" t="b">
        <v>0</v>
      </c>
      <c r="X542" t="b">
        <v>0</v>
      </c>
      <c r="Y542" t="b">
        <v>0</v>
      </c>
      <c r="Z542" t="b">
        <v>1</v>
      </c>
      <c r="AA542" t="b">
        <v>0</v>
      </c>
      <c r="AB542" t="s">
        <v>3679</v>
      </c>
      <c r="AC542" t="s">
        <v>8073</v>
      </c>
    </row>
    <row r="543" spans="1:29" x14ac:dyDescent="0.3">
      <c r="A543">
        <v>-73.962102380000005</v>
      </c>
      <c r="B543">
        <v>40.768673569999997</v>
      </c>
      <c r="C543" t="s">
        <v>175</v>
      </c>
      <c r="D543" t="s">
        <v>33</v>
      </c>
      <c r="E543" s="58">
        <v>43384</v>
      </c>
      <c r="F543">
        <v>19</v>
      </c>
      <c r="G543" t="s">
        <v>105</v>
      </c>
      <c r="H543" t="s">
        <v>42</v>
      </c>
      <c r="I543" t="s">
        <v>59</v>
      </c>
      <c r="J543" t="s">
        <v>34</v>
      </c>
      <c r="K543" t="s">
        <v>531</v>
      </c>
      <c r="L543" t="s">
        <v>65</v>
      </c>
      <c r="M543" t="b">
        <v>0</v>
      </c>
      <c r="N543" t="s">
        <v>4107</v>
      </c>
      <c r="O543" t="b">
        <v>1</v>
      </c>
      <c r="P543" t="b">
        <v>1</v>
      </c>
      <c r="Q543" t="b">
        <v>1</v>
      </c>
      <c r="R543" t="b">
        <v>0</v>
      </c>
      <c r="S543" t="b">
        <v>1</v>
      </c>
      <c r="T543" t="b">
        <v>1</v>
      </c>
      <c r="U543" t="b">
        <v>1</v>
      </c>
      <c r="V543" t="b">
        <v>1</v>
      </c>
      <c r="W543" t="b">
        <v>1</v>
      </c>
      <c r="X543" t="b">
        <v>0</v>
      </c>
      <c r="Y543" t="b">
        <v>0</v>
      </c>
      <c r="Z543" t="b">
        <v>1</v>
      </c>
      <c r="AA543" t="b">
        <v>1</v>
      </c>
      <c r="AB543" t="s">
        <v>229</v>
      </c>
      <c r="AC543" t="s">
        <v>8074</v>
      </c>
    </row>
    <row r="544" spans="1:29" x14ac:dyDescent="0.3">
      <c r="A544">
        <v>-73.973970780000002</v>
      </c>
      <c r="B544">
        <v>40.784884509999998</v>
      </c>
      <c r="C544" t="s">
        <v>411</v>
      </c>
      <c r="D544" t="s">
        <v>38</v>
      </c>
      <c r="E544" s="58">
        <v>43391</v>
      </c>
      <c r="F544">
        <v>28</v>
      </c>
      <c r="G544" t="s">
        <v>105</v>
      </c>
      <c r="H544" t="s">
        <v>53</v>
      </c>
      <c r="I544" t="s">
        <v>96</v>
      </c>
      <c r="J544" t="s">
        <v>3580</v>
      </c>
      <c r="K544" t="s">
        <v>4660</v>
      </c>
      <c r="L544" t="s">
        <v>65</v>
      </c>
      <c r="M544" t="b">
        <v>0</v>
      </c>
      <c r="N544" t="s">
        <v>3140</v>
      </c>
      <c r="O544" t="b">
        <v>1</v>
      </c>
      <c r="P544" t="b">
        <v>1</v>
      </c>
      <c r="Q544" t="b">
        <v>1</v>
      </c>
      <c r="R544" t="b">
        <v>0</v>
      </c>
      <c r="S544" t="b">
        <v>1</v>
      </c>
      <c r="T544" t="b">
        <v>0</v>
      </c>
      <c r="U544" t="b">
        <v>1</v>
      </c>
      <c r="V544" t="b">
        <v>1</v>
      </c>
      <c r="W544" t="b">
        <v>1</v>
      </c>
      <c r="X544" t="b">
        <v>0</v>
      </c>
      <c r="Y544" t="b">
        <v>1</v>
      </c>
      <c r="Z544" t="b">
        <v>0</v>
      </c>
      <c r="AA544" t="b">
        <v>0</v>
      </c>
      <c r="AB544" t="s">
        <v>3468</v>
      </c>
      <c r="AC544" t="s">
        <v>8075</v>
      </c>
    </row>
    <row r="545" spans="1:29" x14ac:dyDescent="0.3">
      <c r="A545">
        <v>-73.960042450000003</v>
      </c>
      <c r="B545">
        <v>40.773943690000003</v>
      </c>
      <c r="C545" t="s">
        <v>677</v>
      </c>
      <c r="D545" t="s">
        <v>33</v>
      </c>
      <c r="E545" s="58">
        <v>43387</v>
      </c>
      <c r="F545">
        <v>4</v>
      </c>
      <c r="G545" t="s">
        <v>3842</v>
      </c>
      <c r="H545" t="s">
        <v>42</v>
      </c>
      <c r="I545" t="s">
        <v>1921</v>
      </c>
      <c r="J545" t="s">
        <v>116</v>
      </c>
      <c r="K545" t="s">
        <v>3461</v>
      </c>
      <c r="L545" t="s">
        <v>65</v>
      </c>
      <c r="M545" t="b">
        <v>0</v>
      </c>
      <c r="N545" t="s">
        <v>6370</v>
      </c>
      <c r="O545" t="b">
        <v>0</v>
      </c>
      <c r="P545" t="b">
        <v>1</v>
      </c>
      <c r="Q545" t="b">
        <v>0</v>
      </c>
      <c r="R545" t="b">
        <v>1</v>
      </c>
      <c r="S545" t="b">
        <v>1</v>
      </c>
      <c r="T545" t="b">
        <v>1</v>
      </c>
      <c r="U545" t="b">
        <v>0</v>
      </c>
      <c r="V545" t="b">
        <v>1</v>
      </c>
      <c r="W545" t="b">
        <v>1</v>
      </c>
      <c r="X545" t="b">
        <v>0</v>
      </c>
      <c r="Y545" t="b">
        <v>0</v>
      </c>
      <c r="Z545" t="b">
        <v>0</v>
      </c>
      <c r="AA545" t="b">
        <v>1</v>
      </c>
      <c r="AB545" t="s">
        <v>2090</v>
      </c>
      <c r="AC545" t="s">
        <v>8076</v>
      </c>
    </row>
    <row r="546" spans="1:29" x14ac:dyDescent="0.3">
      <c r="A546">
        <v>-73.961726600000006</v>
      </c>
      <c r="B546">
        <v>40.798813250000002</v>
      </c>
      <c r="C546" t="s">
        <v>1090</v>
      </c>
      <c r="D546" t="s">
        <v>38</v>
      </c>
      <c r="E546" s="58">
        <v>43380</v>
      </c>
      <c r="F546">
        <v>24</v>
      </c>
      <c r="G546" t="s">
        <v>105</v>
      </c>
      <c r="H546" t="s">
        <v>42</v>
      </c>
      <c r="I546" t="s">
        <v>96</v>
      </c>
      <c r="J546" t="s">
        <v>1142</v>
      </c>
      <c r="K546" t="s">
        <v>809</v>
      </c>
      <c r="L546" t="s">
        <v>44</v>
      </c>
      <c r="M546">
        <v>15</v>
      </c>
      <c r="N546" t="s">
        <v>5784</v>
      </c>
      <c r="O546" t="b">
        <v>0</v>
      </c>
      <c r="P546" t="b">
        <v>0</v>
      </c>
      <c r="Q546" t="b">
        <v>0</v>
      </c>
      <c r="R546" t="b">
        <v>1</v>
      </c>
      <c r="S546" t="b">
        <v>0</v>
      </c>
      <c r="T546" t="b">
        <v>1</v>
      </c>
      <c r="U546" t="b">
        <v>1</v>
      </c>
      <c r="V546" t="b">
        <v>0</v>
      </c>
      <c r="W546" t="b">
        <v>0</v>
      </c>
      <c r="X546" t="b">
        <v>1</v>
      </c>
      <c r="Y546" t="b">
        <v>1</v>
      </c>
      <c r="Z546" t="b">
        <v>0</v>
      </c>
      <c r="AA546" t="b">
        <v>1</v>
      </c>
      <c r="AB546" t="s">
        <v>4924</v>
      </c>
      <c r="AC546" t="s">
        <v>8077</v>
      </c>
    </row>
    <row r="547" spans="1:29" x14ac:dyDescent="0.3">
      <c r="A547">
        <v>-73.969899089999998</v>
      </c>
      <c r="B547">
        <v>40.781935269999998</v>
      </c>
      <c r="C547" t="s">
        <v>1912</v>
      </c>
      <c r="D547" t="s">
        <v>38</v>
      </c>
      <c r="E547" s="58">
        <v>43381</v>
      </c>
      <c r="F547">
        <v>22</v>
      </c>
      <c r="G547" t="s">
        <v>105</v>
      </c>
      <c r="H547" t="s">
        <v>176</v>
      </c>
      <c r="I547" t="s">
        <v>5105</v>
      </c>
      <c r="J547" t="s">
        <v>1922</v>
      </c>
      <c r="K547" t="s">
        <v>2282</v>
      </c>
      <c r="L547" t="s">
        <v>44</v>
      </c>
      <c r="M547">
        <v>4</v>
      </c>
      <c r="N547" t="s">
        <v>7090</v>
      </c>
      <c r="O547" t="b">
        <v>0</v>
      </c>
      <c r="P547" t="b">
        <v>1</v>
      </c>
      <c r="Q547" t="b">
        <v>1</v>
      </c>
      <c r="R547" t="b">
        <v>1</v>
      </c>
      <c r="S547" t="b">
        <v>1</v>
      </c>
      <c r="T547" t="b">
        <v>0</v>
      </c>
      <c r="U547" t="b">
        <v>1</v>
      </c>
      <c r="V547" t="b">
        <v>0</v>
      </c>
      <c r="W547" t="b">
        <v>1</v>
      </c>
      <c r="X547" t="b">
        <v>1</v>
      </c>
      <c r="Y547" t="b">
        <v>1</v>
      </c>
      <c r="Z547" t="b">
        <v>0</v>
      </c>
      <c r="AA547" t="b">
        <v>1</v>
      </c>
      <c r="AB547" t="s">
        <v>1222</v>
      </c>
      <c r="AC547" t="s">
        <v>8078</v>
      </c>
    </row>
    <row r="548" spans="1:29" x14ac:dyDescent="0.3">
      <c r="A548">
        <v>-73.977588690000005</v>
      </c>
      <c r="B548">
        <v>40.793287929999998</v>
      </c>
      <c r="C548" t="s">
        <v>1115</v>
      </c>
      <c r="D548" t="s">
        <v>38</v>
      </c>
      <c r="E548" s="58">
        <v>43390</v>
      </c>
      <c r="F548">
        <v>27</v>
      </c>
      <c r="G548" t="s">
        <v>48</v>
      </c>
      <c r="H548" t="s">
        <v>53</v>
      </c>
      <c r="I548" t="s">
        <v>5105</v>
      </c>
      <c r="J548" t="s">
        <v>619</v>
      </c>
      <c r="K548" t="s">
        <v>4123</v>
      </c>
      <c r="L548" t="s">
        <v>65</v>
      </c>
      <c r="M548" t="b">
        <v>0</v>
      </c>
      <c r="N548" t="s">
        <v>4635</v>
      </c>
      <c r="O548" t="b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  <c r="U548" t="b">
        <v>0</v>
      </c>
      <c r="V548" t="b">
        <v>1</v>
      </c>
      <c r="W548" t="b">
        <v>1</v>
      </c>
      <c r="X548" t="b">
        <v>1</v>
      </c>
      <c r="Y548" t="b">
        <v>1</v>
      </c>
      <c r="Z548" t="b">
        <v>1</v>
      </c>
      <c r="AA548" t="b">
        <v>1</v>
      </c>
      <c r="AB548" t="s">
        <v>1242</v>
      </c>
      <c r="AC548" t="s">
        <v>8079</v>
      </c>
    </row>
    <row r="549" spans="1:29" x14ac:dyDescent="0.3">
      <c r="A549">
        <v>-73.960046460000001</v>
      </c>
      <c r="B549">
        <v>40.784282959999999</v>
      </c>
      <c r="C549" t="s">
        <v>2080</v>
      </c>
      <c r="D549" t="s">
        <v>33</v>
      </c>
      <c r="E549" s="58">
        <v>43386</v>
      </c>
      <c r="F549">
        <v>2</v>
      </c>
      <c r="G549" t="s">
        <v>48</v>
      </c>
      <c r="H549" t="s">
        <v>42</v>
      </c>
      <c r="I549" t="s">
        <v>737</v>
      </c>
      <c r="J549" t="s">
        <v>738</v>
      </c>
      <c r="K549" t="s">
        <v>4123</v>
      </c>
      <c r="L549" t="s">
        <v>44</v>
      </c>
      <c r="M549">
        <v>5</v>
      </c>
      <c r="N549" t="s">
        <v>487</v>
      </c>
      <c r="O549" t="b">
        <v>1</v>
      </c>
      <c r="P549" t="b">
        <v>0</v>
      </c>
      <c r="Q549" t="b">
        <v>0</v>
      </c>
      <c r="R549" t="b">
        <v>1</v>
      </c>
      <c r="S549" t="b">
        <v>1</v>
      </c>
      <c r="T549" t="b">
        <v>1</v>
      </c>
      <c r="U549" t="b">
        <v>0</v>
      </c>
      <c r="V549" t="b">
        <v>1</v>
      </c>
      <c r="W549" t="b">
        <v>1</v>
      </c>
      <c r="X549" t="b">
        <v>0</v>
      </c>
      <c r="Y549" t="b">
        <v>1</v>
      </c>
      <c r="Z549" t="b">
        <v>1</v>
      </c>
      <c r="AA549" t="b">
        <v>0</v>
      </c>
      <c r="AB549" t="s">
        <v>6290</v>
      </c>
      <c r="AC549" t="s">
        <v>8080</v>
      </c>
    </row>
    <row r="550" spans="1:29" x14ac:dyDescent="0.3">
      <c r="A550">
        <v>-73.96480176</v>
      </c>
      <c r="B550">
        <v>40.766439130000002</v>
      </c>
      <c r="C550" t="s">
        <v>363</v>
      </c>
      <c r="D550" t="s">
        <v>38</v>
      </c>
      <c r="E550" s="58">
        <v>43379</v>
      </c>
      <c r="F550">
        <v>25</v>
      </c>
      <c r="G550" t="s">
        <v>105</v>
      </c>
      <c r="H550" t="s">
        <v>53</v>
      </c>
      <c r="I550" t="s">
        <v>115</v>
      </c>
      <c r="J550" t="s">
        <v>3580</v>
      </c>
      <c r="K550" t="s">
        <v>1896</v>
      </c>
      <c r="L550" t="s">
        <v>44</v>
      </c>
      <c r="M550">
        <v>7</v>
      </c>
      <c r="N550" t="s">
        <v>6925</v>
      </c>
      <c r="O550" t="b">
        <v>1</v>
      </c>
      <c r="P550" t="b">
        <v>0</v>
      </c>
      <c r="Q550" t="b">
        <v>0</v>
      </c>
      <c r="R550" t="b">
        <v>1</v>
      </c>
      <c r="S550" t="b">
        <v>0</v>
      </c>
      <c r="T550" t="b">
        <v>1</v>
      </c>
      <c r="U550" t="b">
        <v>1</v>
      </c>
      <c r="V550" t="b">
        <v>0</v>
      </c>
      <c r="W550" t="b">
        <v>0</v>
      </c>
      <c r="X550" t="b">
        <v>1</v>
      </c>
      <c r="Y550" t="b">
        <v>1</v>
      </c>
      <c r="Z550" t="b">
        <v>0</v>
      </c>
      <c r="AA550" t="b">
        <v>1</v>
      </c>
      <c r="AB550" t="s">
        <v>425</v>
      </c>
      <c r="AC550" t="s">
        <v>8081</v>
      </c>
    </row>
    <row r="551" spans="1:29" x14ac:dyDescent="0.3">
      <c r="A551">
        <v>-73.956879349999994</v>
      </c>
      <c r="B551">
        <v>40.787202569999998</v>
      </c>
      <c r="C551" t="s">
        <v>275</v>
      </c>
      <c r="D551" t="s">
        <v>38</v>
      </c>
      <c r="E551" s="58">
        <v>43393</v>
      </c>
      <c r="F551">
        <v>14</v>
      </c>
      <c r="G551" t="s">
        <v>48</v>
      </c>
      <c r="H551" t="s">
        <v>53</v>
      </c>
      <c r="I551" t="s">
        <v>5105</v>
      </c>
      <c r="J551" t="s">
        <v>339</v>
      </c>
      <c r="K551" t="s">
        <v>2823</v>
      </c>
      <c r="L551" t="s">
        <v>65</v>
      </c>
      <c r="M551" t="b">
        <v>0</v>
      </c>
      <c r="N551" t="s">
        <v>3176</v>
      </c>
      <c r="O551" t="b">
        <v>0</v>
      </c>
      <c r="P551" t="b">
        <v>1</v>
      </c>
      <c r="Q551" t="b">
        <v>1</v>
      </c>
      <c r="R551" t="b">
        <v>1</v>
      </c>
      <c r="S551" t="b">
        <v>0</v>
      </c>
      <c r="T551" t="b">
        <v>1</v>
      </c>
      <c r="U551" t="b">
        <v>0</v>
      </c>
      <c r="V551" t="b">
        <v>0</v>
      </c>
      <c r="W551" t="b">
        <v>0</v>
      </c>
      <c r="X551" t="b">
        <v>0</v>
      </c>
      <c r="Y551" t="b">
        <v>1</v>
      </c>
      <c r="Z551" t="b">
        <v>1</v>
      </c>
      <c r="AA551" t="b">
        <v>1</v>
      </c>
      <c r="AB551" t="s">
        <v>2182</v>
      </c>
      <c r="AC551" t="s">
        <v>8082</v>
      </c>
    </row>
    <row r="552" spans="1:29" x14ac:dyDescent="0.3">
      <c r="A552">
        <v>-73.964806300000006</v>
      </c>
      <c r="B552">
        <v>40.798407529999999</v>
      </c>
      <c r="C552" t="s">
        <v>622</v>
      </c>
      <c r="D552" t="s">
        <v>33</v>
      </c>
      <c r="E552" s="58">
        <v>43388</v>
      </c>
      <c r="F552">
        <v>2</v>
      </c>
      <c r="G552" t="s">
        <v>105</v>
      </c>
      <c r="H552" t="s">
        <v>42</v>
      </c>
      <c r="I552" t="s">
        <v>53</v>
      </c>
      <c r="J552" t="s">
        <v>116</v>
      </c>
      <c r="K552" t="s">
        <v>5976</v>
      </c>
      <c r="L552" t="s">
        <v>44</v>
      </c>
      <c r="M552">
        <v>10</v>
      </c>
      <c r="N552" t="s">
        <v>479</v>
      </c>
      <c r="O552" t="b">
        <v>0</v>
      </c>
      <c r="P552" t="b">
        <v>0</v>
      </c>
      <c r="Q552" t="b">
        <v>1</v>
      </c>
      <c r="R552" t="b">
        <v>1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1</v>
      </c>
      <c r="Z552" t="b">
        <v>0</v>
      </c>
      <c r="AA552" t="b">
        <v>1</v>
      </c>
      <c r="AB552" t="s">
        <v>2287</v>
      </c>
      <c r="AC552" t="s">
        <v>8083</v>
      </c>
    </row>
    <row r="553" spans="1:29" x14ac:dyDescent="0.3">
      <c r="A553">
        <v>-73.954368709999997</v>
      </c>
      <c r="B553">
        <v>40.78609213</v>
      </c>
      <c r="C553" t="s">
        <v>520</v>
      </c>
      <c r="D553" t="s">
        <v>33</v>
      </c>
      <c r="E553" s="58">
        <v>43393</v>
      </c>
      <c r="F553">
        <v>29</v>
      </c>
      <c r="G553" t="s">
        <v>48</v>
      </c>
      <c r="H553" t="s">
        <v>176</v>
      </c>
      <c r="I553" t="s">
        <v>176</v>
      </c>
      <c r="J553" t="s">
        <v>155</v>
      </c>
      <c r="K553" t="s">
        <v>6633</v>
      </c>
      <c r="L553" t="s">
        <v>65</v>
      </c>
      <c r="M553" t="b">
        <v>0</v>
      </c>
      <c r="N553" t="s">
        <v>5946</v>
      </c>
      <c r="O553" t="b">
        <v>0</v>
      </c>
      <c r="P553" t="b">
        <v>0</v>
      </c>
      <c r="Q553" t="b">
        <v>1</v>
      </c>
      <c r="R553" t="b">
        <v>0</v>
      </c>
      <c r="S553" t="b">
        <v>0</v>
      </c>
      <c r="T553" t="b">
        <v>1</v>
      </c>
      <c r="U553" t="b">
        <v>1</v>
      </c>
      <c r="V553" t="b">
        <v>0</v>
      </c>
      <c r="W553" t="b">
        <v>0</v>
      </c>
      <c r="X553" t="b">
        <v>1</v>
      </c>
      <c r="Y553" t="b">
        <v>0</v>
      </c>
      <c r="Z553" t="b">
        <v>1</v>
      </c>
      <c r="AA553" t="b">
        <v>0</v>
      </c>
      <c r="AB553" t="s">
        <v>2920</v>
      </c>
      <c r="AC553" t="s">
        <v>8084</v>
      </c>
    </row>
    <row r="554" spans="1:29" x14ac:dyDescent="0.3">
      <c r="A554">
        <v>-73.963808389999997</v>
      </c>
      <c r="B554">
        <v>40.793752550000001</v>
      </c>
      <c r="C554" t="s">
        <v>1292</v>
      </c>
      <c r="D554" t="s">
        <v>38</v>
      </c>
      <c r="E554" s="58">
        <v>43393</v>
      </c>
      <c r="F554">
        <v>15</v>
      </c>
      <c r="G554" t="s">
        <v>48</v>
      </c>
      <c r="H554" t="s">
        <v>53</v>
      </c>
      <c r="I554" t="s">
        <v>42</v>
      </c>
      <c r="J554" t="s">
        <v>705</v>
      </c>
      <c r="K554" t="s">
        <v>809</v>
      </c>
      <c r="L554" t="s">
        <v>44</v>
      </c>
      <c r="M554">
        <v>12</v>
      </c>
      <c r="N554" t="s">
        <v>1311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1</v>
      </c>
      <c r="W554" t="b">
        <v>0</v>
      </c>
      <c r="X554" t="b">
        <v>0</v>
      </c>
      <c r="Y554" t="b">
        <v>1</v>
      </c>
      <c r="Z554" t="b">
        <v>1</v>
      </c>
      <c r="AA554" t="b">
        <v>1</v>
      </c>
      <c r="AB554" t="s">
        <v>380</v>
      </c>
      <c r="AC554" t="s">
        <v>8085</v>
      </c>
    </row>
    <row r="555" spans="1:29" x14ac:dyDescent="0.3">
      <c r="A555">
        <v>-73.963524480000004</v>
      </c>
      <c r="B555">
        <v>40.796041680000002</v>
      </c>
      <c r="C555" t="s">
        <v>1995</v>
      </c>
      <c r="D555" t="s">
        <v>38</v>
      </c>
      <c r="E555" s="58">
        <v>43393</v>
      </c>
      <c r="F555">
        <v>12</v>
      </c>
      <c r="G555" t="s">
        <v>48</v>
      </c>
      <c r="H555" t="s">
        <v>42</v>
      </c>
      <c r="I555" t="s">
        <v>5105</v>
      </c>
      <c r="J555" t="s">
        <v>79</v>
      </c>
      <c r="K555" t="s">
        <v>5180</v>
      </c>
      <c r="L555" t="s">
        <v>44</v>
      </c>
      <c r="M555">
        <v>7</v>
      </c>
      <c r="N555" t="s">
        <v>1408</v>
      </c>
      <c r="O555" t="b">
        <v>1</v>
      </c>
      <c r="P555" t="b">
        <v>1</v>
      </c>
      <c r="Q555" t="b">
        <v>1</v>
      </c>
      <c r="R555" t="b">
        <v>1</v>
      </c>
      <c r="S555" t="b">
        <v>1</v>
      </c>
      <c r="T555" t="b">
        <v>1</v>
      </c>
      <c r="U555" t="b">
        <v>1</v>
      </c>
      <c r="V555" t="b">
        <v>0</v>
      </c>
      <c r="W555" t="b">
        <v>0</v>
      </c>
      <c r="X555" t="b">
        <v>0</v>
      </c>
      <c r="Y555" t="b">
        <v>0</v>
      </c>
      <c r="Z555" t="b">
        <v>1</v>
      </c>
      <c r="AA555" t="b">
        <v>0</v>
      </c>
      <c r="AB555" t="s">
        <v>5188</v>
      </c>
      <c r="AC555" t="s">
        <v>8086</v>
      </c>
    </row>
    <row r="556" spans="1:29" x14ac:dyDescent="0.3">
      <c r="A556">
        <v>-73.953599389999994</v>
      </c>
      <c r="B556">
        <v>40.772940869999999</v>
      </c>
      <c r="C556" t="s">
        <v>314</v>
      </c>
      <c r="D556" t="s">
        <v>38</v>
      </c>
      <c r="E556" s="58">
        <v>43385</v>
      </c>
      <c r="F556">
        <v>5</v>
      </c>
      <c r="G556" t="s">
        <v>48</v>
      </c>
      <c r="H556" t="s">
        <v>53</v>
      </c>
      <c r="I556" t="s">
        <v>737</v>
      </c>
      <c r="J556" t="s">
        <v>1922</v>
      </c>
      <c r="K556" t="s">
        <v>442</v>
      </c>
      <c r="L556" t="s">
        <v>65</v>
      </c>
      <c r="M556" t="b">
        <v>0</v>
      </c>
      <c r="N556" t="s">
        <v>1084</v>
      </c>
      <c r="O556" t="b">
        <v>0</v>
      </c>
      <c r="P556" t="b">
        <v>0</v>
      </c>
      <c r="Q556" t="b">
        <v>1</v>
      </c>
      <c r="R556" t="b">
        <v>1</v>
      </c>
      <c r="S556" t="b">
        <v>0</v>
      </c>
      <c r="T556" t="b">
        <v>1</v>
      </c>
      <c r="U556" t="b">
        <v>0</v>
      </c>
      <c r="V556" t="b">
        <v>1</v>
      </c>
      <c r="W556" t="b">
        <v>1</v>
      </c>
      <c r="X556" t="b">
        <v>1</v>
      </c>
      <c r="Y556" t="b">
        <v>1</v>
      </c>
      <c r="Z556" t="b">
        <v>0</v>
      </c>
      <c r="AA556" t="b">
        <v>0</v>
      </c>
      <c r="AB556" t="s">
        <v>2338</v>
      </c>
      <c r="AC556" t="s">
        <v>8087</v>
      </c>
    </row>
    <row r="557" spans="1:29" x14ac:dyDescent="0.3">
      <c r="A557">
        <v>-73.968474369999996</v>
      </c>
      <c r="B557">
        <v>40.772376309999999</v>
      </c>
      <c r="C557" t="s">
        <v>317</v>
      </c>
      <c r="D557" t="s">
        <v>33</v>
      </c>
      <c r="E557" s="58">
        <v>43385</v>
      </c>
      <c r="F557">
        <v>28</v>
      </c>
      <c r="G557" t="s">
        <v>105</v>
      </c>
      <c r="H557" t="s">
        <v>176</v>
      </c>
      <c r="I557" t="s">
        <v>42</v>
      </c>
      <c r="J557" t="s">
        <v>2942</v>
      </c>
      <c r="K557" t="s">
        <v>4123</v>
      </c>
      <c r="L557" t="s">
        <v>44</v>
      </c>
      <c r="M557">
        <v>8</v>
      </c>
      <c r="N557" t="s">
        <v>2189</v>
      </c>
      <c r="O557" t="b">
        <v>1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1</v>
      </c>
      <c r="X557" t="b">
        <v>0</v>
      </c>
      <c r="Y557" t="b">
        <v>1</v>
      </c>
      <c r="Z557" t="b">
        <v>0</v>
      </c>
      <c r="AA557" t="b">
        <v>0</v>
      </c>
      <c r="AB557" t="s">
        <v>954</v>
      </c>
      <c r="AC557" t="s">
        <v>8088</v>
      </c>
    </row>
    <row r="558" spans="1:29" x14ac:dyDescent="0.3">
      <c r="A558">
        <v>-73.976945569999998</v>
      </c>
      <c r="B558">
        <v>40.786422000000002</v>
      </c>
      <c r="C558" t="s">
        <v>879</v>
      </c>
      <c r="D558" t="s">
        <v>33</v>
      </c>
      <c r="E558" s="58">
        <v>43391</v>
      </c>
      <c r="F558">
        <v>20</v>
      </c>
      <c r="G558" t="s">
        <v>3842</v>
      </c>
      <c r="H558" t="s">
        <v>176</v>
      </c>
      <c r="I558" t="s">
        <v>53</v>
      </c>
      <c r="J558" t="s">
        <v>738</v>
      </c>
      <c r="K558" t="s">
        <v>49</v>
      </c>
      <c r="L558" t="s">
        <v>44</v>
      </c>
      <c r="M558">
        <v>40</v>
      </c>
      <c r="N558" t="s">
        <v>2003</v>
      </c>
      <c r="O558" t="b">
        <v>0</v>
      </c>
      <c r="P558" t="b">
        <v>0</v>
      </c>
      <c r="Q558" t="b">
        <v>0</v>
      </c>
      <c r="R558" t="b">
        <v>0</v>
      </c>
      <c r="S558" t="b">
        <v>1</v>
      </c>
      <c r="T558" t="b">
        <v>1</v>
      </c>
      <c r="U558" t="b">
        <v>1</v>
      </c>
      <c r="V558" t="b">
        <v>0</v>
      </c>
      <c r="W558" t="b">
        <v>1</v>
      </c>
      <c r="X558" t="b">
        <v>1</v>
      </c>
      <c r="Y558" t="b">
        <v>1</v>
      </c>
      <c r="Z558" t="b">
        <v>1</v>
      </c>
      <c r="AA558" t="b">
        <v>0</v>
      </c>
      <c r="AB558" t="s">
        <v>5241</v>
      </c>
      <c r="AC558" t="s">
        <v>8089</v>
      </c>
    </row>
    <row r="559" spans="1:29" x14ac:dyDescent="0.3">
      <c r="A559">
        <v>-73.980253750000003</v>
      </c>
      <c r="B559">
        <v>40.779382099999999</v>
      </c>
      <c r="C559" t="s">
        <v>2662</v>
      </c>
      <c r="D559" t="s">
        <v>33</v>
      </c>
      <c r="E559" s="58">
        <v>43379</v>
      </c>
      <c r="F559">
        <v>29</v>
      </c>
      <c r="G559" t="s">
        <v>48</v>
      </c>
      <c r="H559" t="s">
        <v>176</v>
      </c>
      <c r="I559" t="s">
        <v>115</v>
      </c>
      <c r="J559" t="s">
        <v>89</v>
      </c>
      <c r="K559" t="s">
        <v>7178</v>
      </c>
      <c r="L559" t="s">
        <v>65</v>
      </c>
      <c r="M559" t="b">
        <v>0</v>
      </c>
      <c r="N559" t="s">
        <v>3773</v>
      </c>
      <c r="O559" t="b">
        <v>0</v>
      </c>
      <c r="P559" t="b">
        <v>0</v>
      </c>
      <c r="Q559" t="b">
        <v>1</v>
      </c>
      <c r="R559" t="b">
        <v>1</v>
      </c>
      <c r="S559" t="b">
        <v>1</v>
      </c>
      <c r="T559" t="b">
        <v>1</v>
      </c>
      <c r="U559" t="b">
        <v>1</v>
      </c>
      <c r="V559" t="b">
        <v>0</v>
      </c>
      <c r="W559" t="b">
        <v>1</v>
      </c>
      <c r="X559" t="b">
        <v>0</v>
      </c>
      <c r="Y559" t="b">
        <v>0</v>
      </c>
      <c r="Z559" t="b">
        <v>1</v>
      </c>
      <c r="AA559" t="b">
        <v>0</v>
      </c>
      <c r="AB559" t="s">
        <v>360</v>
      </c>
      <c r="AC559" t="s">
        <v>8090</v>
      </c>
    </row>
    <row r="560" spans="1:29" x14ac:dyDescent="0.3">
      <c r="A560">
        <v>-73.957419470000005</v>
      </c>
      <c r="B560">
        <v>40.794480380000003</v>
      </c>
      <c r="C560" t="s">
        <v>863</v>
      </c>
      <c r="D560" t="s">
        <v>33</v>
      </c>
      <c r="E560" s="58">
        <v>43387</v>
      </c>
      <c r="F560">
        <v>7</v>
      </c>
      <c r="G560" t="s">
        <v>105</v>
      </c>
      <c r="H560" t="s">
        <v>42</v>
      </c>
      <c r="I560" t="s">
        <v>59</v>
      </c>
      <c r="J560" t="s">
        <v>177</v>
      </c>
      <c r="K560" t="s">
        <v>3471</v>
      </c>
      <c r="L560" t="s">
        <v>44</v>
      </c>
      <c r="M560">
        <v>6</v>
      </c>
      <c r="N560" t="s">
        <v>823</v>
      </c>
      <c r="O560" t="b">
        <v>0</v>
      </c>
      <c r="P560" t="b">
        <v>1</v>
      </c>
      <c r="Q560" t="b">
        <v>0</v>
      </c>
      <c r="R560" t="b">
        <v>0</v>
      </c>
      <c r="S560" t="b">
        <v>1</v>
      </c>
      <c r="T560" t="b">
        <v>1</v>
      </c>
      <c r="U560" t="b">
        <v>0</v>
      </c>
      <c r="V560" t="b">
        <v>0</v>
      </c>
      <c r="W560" t="b">
        <v>1</v>
      </c>
      <c r="X560" t="b">
        <v>0</v>
      </c>
      <c r="Y560" t="b">
        <v>0</v>
      </c>
      <c r="Z560" t="b">
        <v>0</v>
      </c>
      <c r="AA560" t="b">
        <v>0</v>
      </c>
      <c r="AB560" t="s">
        <v>836</v>
      </c>
      <c r="AC560" t="s">
        <v>8091</v>
      </c>
    </row>
    <row r="561" spans="1:29" x14ac:dyDescent="0.3">
      <c r="A561">
        <v>-73.961658029999995</v>
      </c>
      <c r="B561">
        <v>40.796598549999999</v>
      </c>
      <c r="C561" t="s">
        <v>2861</v>
      </c>
      <c r="D561" t="s">
        <v>38</v>
      </c>
      <c r="E561" s="58">
        <v>43386</v>
      </c>
      <c r="F561">
        <v>24</v>
      </c>
      <c r="G561" t="s">
        <v>105</v>
      </c>
      <c r="H561" t="s">
        <v>42</v>
      </c>
      <c r="I561" t="s">
        <v>96</v>
      </c>
      <c r="J561" t="s">
        <v>3580</v>
      </c>
      <c r="K561" t="s">
        <v>1005</v>
      </c>
      <c r="L561" t="s">
        <v>65</v>
      </c>
      <c r="M561" t="b">
        <v>0</v>
      </c>
      <c r="N561" t="s">
        <v>3542</v>
      </c>
      <c r="O561" t="b">
        <v>1</v>
      </c>
      <c r="P561" t="b">
        <v>1</v>
      </c>
      <c r="Q561" t="b">
        <v>1</v>
      </c>
      <c r="R561" t="b">
        <v>0</v>
      </c>
      <c r="S561" t="b">
        <v>0</v>
      </c>
      <c r="T561" t="b">
        <v>0</v>
      </c>
      <c r="U561" t="b">
        <v>0</v>
      </c>
      <c r="V561" t="b">
        <v>1</v>
      </c>
      <c r="W561" t="b">
        <v>0</v>
      </c>
      <c r="X561" t="b">
        <v>1</v>
      </c>
      <c r="Y561" t="b">
        <v>0</v>
      </c>
      <c r="Z561" t="b">
        <v>0</v>
      </c>
      <c r="AA561" t="b">
        <v>0</v>
      </c>
      <c r="AB561" t="s">
        <v>3158</v>
      </c>
      <c r="AC561" t="s">
        <v>8092</v>
      </c>
    </row>
    <row r="562" spans="1:29" x14ac:dyDescent="0.3">
      <c r="A562">
        <v>-73.959024560000003</v>
      </c>
      <c r="B562">
        <v>40.777353869999999</v>
      </c>
      <c r="C562" t="s">
        <v>204</v>
      </c>
      <c r="D562" t="s">
        <v>33</v>
      </c>
      <c r="E562" s="58">
        <v>43382</v>
      </c>
      <c r="F562">
        <v>21</v>
      </c>
      <c r="G562" t="s">
        <v>48</v>
      </c>
      <c r="H562" t="s">
        <v>176</v>
      </c>
      <c r="I562" t="s">
        <v>53</v>
      </c>
      <c r="J562" t="s">
        <v>177</v>
      </c>
      <c r="K562" t="s">
        <v>4814</v>
      </c>
      <c r="L562" t="s">
        <v>44</v>
      </c>
      <c r="M562">
        <v>40</v>
      </c>
      <c r="N562" t="s">
        <v>858</v>
      </c>
      <c r="O562" t="b">
        <v>0</v>
      </c>
      <c r="P562" t="b">
        <v>0</v>
      </c>
      <c r="Q562" t="b">
        <v>1</v>
      </c>
      <c r="R562" t="b">
        <v>1</v>
      </c>
      <c r="S562" t="b">
        <v>1</v>
      </c>
      <c r="T562" t="b">
        <v>1</v>
      </c>
      <c r="U562" t="b">
        <v>0</v>
      </c>
      <c r="V562" t="b">
        <v>1</v>
      </c>
      <c r="W562" t="b">
        <v>0</v>
      </c>
      <c r="X562" t="b">
        <v>1</v>
      </c>
      <c r="Y562" t="b">
        <v>0</v>
      </c>
      <c r="Z562" t="b">
        <v>1</v>
      </c>
      <c r="AA562" t="b">
        <v>1</v>
      </c>
      <c r="AB562" t="s">
        <v>601</v>
      </c>
      <c r="AC562" t="s">
        <v>8093</v>
      </c>
    </row>
    <row r="563" spans="1:29" x14ac:dyDescent="0.3">
      <c r="A563">
        <v>-73.974463670000006</v>
      </c>
      <c r="B563">
        <v>40.77325037</v>
      </c>
      <c r="C563" t="s">
        <v>520</v>
      </c>
      <c r="D563" t="s">
        <v>33</v>
      </c>
      <c r="E563" s="58">
        <v>43388</v>
      </c>
      <c r="F563">
        <v>10</v>
      </c>
      <c r="G563" t="s">
        <v>3842</v>
      </c>
      <c r="H563" t="s">
        <v>42</v>
      </c>
      <c r="I563" t="s">
        <v>1921</v>
      </c>
      <c r="J563" t="s">
        <v>3228</v>
      </c>
      <c r="K563" t="s">
        <v>1816</v>
      </c>
      <c r="L563" t="s">
        <v>65</v>
      </c>
      <c r="M563" t="b">
        <v>0</v>
      </c>
      <c r="N563" t="s">
        <v>2150</v>
      </c>
      <c r="O563" t="b">
        <v>1</v>
      </c>
      <c r="P563" t="b">
        <v>0</v>
      </c>
      <c r="Q563" t="b">
        <v>1</v>
      </c>
      <c r="R563" t="b">
        <v>0</v>
      </c>
      <c r="S563" t="b">
        <v>0</v>
      </c>
      <c r="T563" t="b">
        <v>1</v>
      </c>
      <c r="U563" t="b">
        <v>1</v>
      </c>
      <c r="V563" t="b">
        <v>1</v>
      </c>
      <c r="W563" t="b">
        <v>0</v>
      </c>
      <c r="X563" t="b">
        <v>1</v>
      </c>
      <c r="Y563" t="b">
        <v>0</v>
      </c>
      <c r="Z563" t="b">
        <v>1</v>
      </c>
      <c r="AA563" t="b">
        <v>1</v>
      </c>
      <c r="AB563" t="s">
        <v>4727</v>
      </c>
      <c r="AC563" t="s">
        <v>8094</v>
      </c>
    </row>
    <row r="564" spans="1:29" x14ac:dyDescent="0.3">
      <c r="A564">
        <v>-73.976871500000001</v>
      </c>
      <c r="B564">
        <v>40.792391289999998</v>
      </c>
      <c r="C564" t="s">
        <v>235</v>
      </c>
      <c r="D564" t="s">
        <v>33</v>
      </c>
      <c r="E564" s="58">
        <v>43389</v>
      </c>
      <c r="F564">
        <v>14</v>
      </c>
      <c r="G564" t="s">
        <v>48</v>
      </c>
      <c r="H564" t="s">
        <v>176</v>
      </c>
      <c r="I564" t="s">
        <v>148</v>
      </c>
      <c r="J564" t="s">
        <v>3228</v>
      </c>
      <c r="K564" t="s">
        <v>5558</v>
      </c>
      <c r="L564" t="s">
        <v>65</v>
      </c>
      <c r="M564" t="b">
        <v>0</v>
      </c>
      <c r="N564" t="s">
        <v>4500</v>
      </c>
      <c r="O564" t="b">
        <v>1</v>
      </c>
      <c r="P564" t="b">
        <v>0</v>
      </c>
      <c r="Q564" t="b">
        <v>0</v>
      </c>
      <c r="R564" t="b">
        <v>0</v>
      </c>
      <c r="S564" t="b">
        <v>1</v>
      </c>
      <c r="T564" t="b">
        <v>0</v>
      </c>
      <c r="U564" t="b">
        <v>0</v>
      </c>
      <c r="V564" t="b">
        <v>0</v>
      </c>
      <c r="W564" t="b">
        <v>1</v>
      </c>
      <c r="X564" t="b">
        <v>0</v>
      </c>
      <c r="Y564" t="b">
        <v>0</v>
      </c>
      <c r="Z564" t="b">
        <v>0</v>
      </c>
      <c r="AA564" t="b">
        <v>0</v>
      </c>
      <c r="AB564" t="s">
        <v>380</v>
      </c>
      <c r="AC564" t="s">
        <v>8095</v>
      </c>
    </row>
    <row r="565" spans="1:29" x14ac:dyDescent="0.3">
      <c r="A565">
        <v>-73.980701339999996</v>
      </c>
      <c r="B565">
        <v>40.774585999999999</v>
      </c>
      <c r="C565" t="s">
        <v>1578</v>
      </c>
      <c r="D565" t="s">
        <v>38</v>
      </c>
      <c r="E565" s="58">
        <v>43383</v>
      </c>
      <c r="F565">
        <v>14</v>
      </c>
      <c r="G565" t="s">
        <v>105</v>
      </c>
      <c r="H565" t="s">
        <v>42</v>
      </c>
      <c r="I565" t="s">
        <v>737</v>
      </c>
      <c r="J565" t="s">
        <v>3580</v>
      </c>
      <c r="K565" t="s">
        <v>4308</v>
      </c>
      <c r="L565" t="s">
        <v>65</v>
      </c>
      <c r="M565" t="b">
        <v>0</v>
      </c>
      <c r="N565" t="s">
        <v>236</v>
      </c>
      <c r="O565" t="b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1</v>
      </c>
      <c r="V565" t="b">
        <v>1</v>
      </c>
      <c r="W565" t="b">
        <v>0</v>
      </c>
      <c r="X565" t="b">
        <v>0</v>
      </c>
      <c r="Y565" t="b">
        <v>1</v>
      </c>
      <c r="Z565" t="b">
        <v>1</v>
      </c>
      <c r="AA565" t="b">
        <v>0</v>
      </c>
      <c r="AB565" t="s">
        <v>4327</v>
      </c>
      <c r="AC565" t="s">
        <v>8096</v>
      </c>
    </row>
    <row r="566" spans="1:29" x14ac:dyDescent="0.3">
      <c r="A566">
        <v>-73.970137230000006</v>
      </c>
      <c r="B566">
        <v>40.793873150000003</v>
      </c>
      <c r="C566" t="s">
        <v>119</v>
      </c>
      <c r="D566" t="s">
        <v>38</v>
      </c>
      <c r="E566" s="58">
        <v>43380</v>
      </c>
      <c r="F566">
        <v>5</v>
      </c>
      <c r="G566" t="s">
        <v>3842</v>
      </c>
      <c r="H566" t="s">
        <v>176</v>
      </c>
      <c r="I566" t="s">
        <v>96</v>
      </c>
      <c r="J566" t="s">
        <v>1922</v>
      </c>
      <c r="K566" t="s">
        <v>4069</v>
      </c>
      <c r="L566" t="s">
        <v>65</v>
      </c>
      <c r="M566" t="b">
        <v>0</v>
      </c>
      <c r="N566" t="s">
        <v>6675</v>
      </c>
      <c r="O566" t="b">
        <v>1</v>
      </c>
      <c r="P566" t="b">
        <v>1</v>
      </c>
      <c r="Q566" t="b">
        <v>1</v>
      </c>
      <c r="R566" t="b">
        <v>0</v>
      </c>
      <c r="S566" t="b">
        <v>0</v>
      </c>
      <c r="T566" t="b">
        <v>1</v>
      </c>
      <c r="U566" t="b">
        <v>0</v>
      </c>
      <c r="V566" t="b">
        <v>0</v>
      </c>
      <c r="W566" t="b">
        <v>1</v>
      </c>
      <c r="X566" t="b">
        <v>1</v>
      </c>
      <c r="Y566" t="b">
        <v>1</v>
      </c>
      <c r="Z566" t="b">
        <v>0</v>
      </c>
      <c r="AA566" t="b">
        <v>0</v>
      </c>
      <c r="AB566" t="s">
        <v>2555</v>
      </c>
      <c r="AC566" t="s">
        <v>8097</v>
      </c>
    </row>
    <row r="567" spans="1:29" x14ac:dyDescent="0.3">
      <c r="A567">
        <v>-73.962613450000006</v>
      </c>
      <c r="B567">
        <v>40.779829579999998</v>
      </c>
      <c r="C567" t="s">
        <v>2511</v>
      </c>
      <c r="D567" t="s">
        <v>33</v>
      </c>
      <c r="E567" s="58">
        <v>43391</v>
      </c>
      <c r="F567">
        <v>18</v>
      </c>
      <c r="G567" t="s">
        <v>105</v>
      </c>
      <c r="H567" t="s">
        <v>53</v>
      </c>
      <c r="I567" t="s">
        <v>1921</v>
      </c>
      <c r="J567" t="s">
        <v>1922</v>
      </c>
      <c r="K567" t="s">
        <v>3341</v>
      </c>
      <c r="L567" t="s">
        <v>65</v>
      </c>
      <c r="M567" t="b">
        <v>0</v>
      </c>
      <c r="N567" t="s">
        <v>864</v>
      </c>
      <c r="O567" t="b">
        <v>1</v>
      </c>
      <c r="P567" t="b">
        <v>0</v>
      </c>
      <c r="Q567" t="b">
        <v>1</v>
      </c>
      <c r="R567" t="b">
        <v>1</v>
      </c>
      <c r="S567" t="b">
        <v>0</v>
      </c>
      <c r="T567" t="b">
        <v>1</v>
      </c>
      <c r="U567" t="b">
        <v>0</v>
      </c>
      <c r="V567" t="b">
        <v>0</v>
      </c>
      <c r="W567" t="b">
        <v>0</v>
      </c>
      <c r="X567" t="b">
        <v>1</v>
      </c>
      <c r="Y567" t="b">
        <v>0</v>
      </c>
      <c r="Z567" t="b">
        <v>0</v>
      </c>
      <c r="AA567" t="b">
        <v>1</v>
      </c>
      <c r="AB567" t="s">
        <v>1455</v>
      </c>
      <c r="AC567" t="s">
        <v>8098</v>
      </c>
    </row>
    <row r="568" spans="1:29" x14ac:dyDescent="0.3">
      <c r="A568">
        <v>-73.968827680000004</v>
      </c>
      <c r="B568">
        <v>40.788413660000003</v>
      </c>
      <c r="C568" t="s">
        <v>709</v>
      </c>
      <c r="D568" t="s">
        <v>33</v>
      </c>
      <c r="E568" s="58">
        <v>43387</v>
      </c>
      <c r="F568">
        <v>24</v>
      </c>
      <c r="G568" t="s">
        <v>48</v>
      </c>
      <c r="H568" t="s">
        <v>176</v>
      </c>
      <c r="I568" t="s">
        <v>59</v>
      </c>
      <c r="J568" t="s">
        <v>155</v>
      </c>
      <c r="K568" t="s">
        <v>2362</v>
      </c>
      <c r="L568" t="s">
        <v>44</v>
      </c>
      <c r="M568">
        <v>25</v>
      </c>
      <c r="N568" t="s">
        <v>2332</v>
      </c>
      <c r="O568" t="b">
        <v>1</v>
      </c>
      <c r="P568" t="b">
        <v>0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b">
        <v>1</v>
      </c>
      <c r="W568" t="b">
        <v>1</v>
      </c>
      <c r="X568" t="b">
        <v>1</v>
      </c>
      <c r="Y568" t="b">
        <v>0</v>
      </c>
      <c r="Z568" t="b">
        <v>1</v>
      </c>
      <c r="AA568" t="b">
        <v>0</v>
      </c>
      <c r="AB568" t="s">
        <v>3437</v>
      </c>
      <c r="AC568" t="s">
        <v>8099</v>
      </c>
    </row>
    <row r="569" spans="1:29" x14ac:dyDescent="0.3">
      <c r="A569">
        <v>-73.967405760000005</v>
      </c>
      <c r="B569">
        <v>40.768274259999998</v>
      </c>
      <c r="C569" t="s">
        <v>3753</v>
      </c>
      <c r="D569" t="s">
        <v>38</v>
      </c>
      <c r="E569" s="58">
        <v>43393</v>
      </c>
      <c r="F569">
        <v>14</v>
      </c>
      <c r="G569" t="s">
        <v>3842</v>
      </c>
      <c r="H569" t="s">
        <v>176</v>
      </c>
      <c r="I569" t="s">
        <v>1921</v>
      </c>
      <c r="J569" t="s">
        <v>43</v>
      </c>
      <c r="K569" t="s">
        <v>4020</v>
      </c>
      <c r="L569" t="s">
        <v>44</v>
      </c>
      <c r="M569">
        <v>12</v>
      </c>
      <c r="N569" t="s">
        <v>4576</v>
      </c>
      <c r="O569" t="b">
        <v>0</v>
      </c>
      <c r="P569" t="b">
        <v>1</v>
      </c>
      <c r="Q569" t="b">
        <v>1</v>
      </c>
      <c r="R569" t="b">
        <v>0</v>
      </c>
      <c r="S569" t="b">
        <v>1</v>
      </c>
      <c r="T569" t="b">
        <v>1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1</v>
      </c>
      <c r="AA569" t="b">
        <v>1</v>
      </c>
      <c r="AB569" t="s">
        <v>635</v>
      </c>
      <c r="AC569" t="s">
        <v>8100</v>
      </c>
    </row>
    <row r="570" spans="1:29" x14ac:dyDescent="0.3">
      <c r="A570">
        <v>-73.952734710000001</v>
      </c>
      <c r="B570">
        <v>40.78687541</v>
      </c>
      <c r="C570" t="s">
        <v>435</v>
      </c>
      <c r="D570" t="s">
        <v>38</v>
      </c>
      <c r="E570" s="58">
        <v>43390</v>
      </c>
      <c r="F570">
        <v>2</v>
      </c>
      <c r="G570" t="s">
        <v>105</v>
      </c>
      <c r="H570" t="s">
        <v>42</v>
      </c>
      <c r="I570" t="s">
        <v>115</v>
      </c>
      <c r="J570" t="s">
        <v>149</v>
      </c>
      <c r="K570" t="s">
        <v>6725</v>
      </c>
      <c r="L570" t="s">
        <v>65</v>
      </c>
      <c r="M570" t="b">
        <v>0</v>
      </c>
      <c r="N570" t="s">
        <v>5420</v>
      </c>
      <c r="O570" t="b">
        <v>1</v>
      </c>
      <c r="P570" t="b">
        <v>1</v>
      </c>
      <c r="Q570" t="b">
        <v>0</v>
      </c>
      <c r="R570" t="b">
        <v>1</v>
      </c>
      <c r="S570" t="b">
        <v>1</v>
      </c>
      <c r="T570" t="b">
        <v>1</v>
      </c>
      <c r="U570" t="b">
        <v>0</v>
      </c>
      <c r="V570" t="b">
        <v>0</v>
      </c>
      <c r="W570" t="b">
        <v>1</v>
      </c>
      <c r="X570" t="b">
        <v>0</v>
      </c>
      <c r="Y570" t="b">
        <v>0</v>
      </c>
      <c r="Z570" t="b">
        <v>1</v>
      </c>
      <c r="AA570" t="b">
        <v>1</v>
      </c>
      <c r="AB570" t="s">
        <v>5720</v>
      </c>
      <c r="AC570" t="s">
        <v>8101</v>
      </c>
    </row>
    <row r="571" spans="1:29" x14ac:dyDescent="0.3">
      <c r="A571">
        <v>-73.970210539999997</v>
      </c>
      <c r="B571">
        <v>40.780816440000002</v>
      </c>
      <c r="C571" t="s">
        <v>2016</v>
      </c>
      <c r="D571" t="s">
        <v>38</v>
      </c>
      <c r="E571" s="58">
        <v>43390</v>
      </c>
      <c r="F571">
        <v>26</v>
      </c>
      <c r="G571" t="s">
        <v>105</v>
      </c>
      <c r="H571" t="s">
        <v>42</v>
      </c>
      <c r="I571" t="s">
        <v>148</v>
      </c>
      <c r="J571" t="s">
        <v>705</v>
      </c>
      <c r="K571" t="s">
        <v>150</v>
      </c>
      <c r="L571" t="s">
        <v>44</v>
      </c>
      <c r="M571">
        <v>5</v>
      </c>
      <c r="N571" t="s">
        <v>1016</v>
      </c>
      <c r="O571" t="b">
        <v>1</v>
      </c>
      <c r="P571" t="b">
        <v>0</v>
      </c>
      <c r="Q571" t="b">
        <v>1</v>
      </c>
      <c r="R571" t="b">
        <v>0</v>
      </c>
      <c r="S571" t="b">
        <v>0</v>
      </c>
      <c r="T571" t="b">
        <v>0</v>
      </c>
      <c r="U571" t="b">
        <v>1</v>
      </c>
      <c r="V571" t="b">
        <v>1</v>
      </c>
      <c r="W571" t="b">
        <v>0</v>
      </c>
      <c r="X571" t="b">
        <v>1</v>
      </c>
      <c r="Y571" t="b">
        <v>0</v>
      </c>
      <c r="Z571" t="b">
        <v>0</v>
      </c>
      <c r="AA571" t="b">
        <v>0</v>
      </c>
      <c r="AB571" t="s">
        <v>3446</v>
      </c>
      <c r="AC571" t="s">
        <v>8102</v>
      </c>
    </row>
    <row r="572" spans="1:29" x14ac:dyDescent="0.3">
      <c r="A572">
        <v>-73.96500039</v>
      </c>
      <c r="B572">
        <v>40.785563889999999</v>
      </c>
      <c r="C572" t="s">
        <v>612</v>
      </c>
      <c r="D572" t="s">
        <v>38</v>
      </c>
      <c r="E572" s="58">
        <v>43384</v>
      </c>
      <c r="F572">
        <v>12</v>
      </c>
      <c r="G572" t="s">
        <v>105</v>
      </c>
      <c r="H572" t="s">
        <v>42</v>
      </c>
      <c r="I572" t="s">
        <v>42</v>
      </c>
      <c r="J572" t="s">
        <v>2942</v>
      </c>
      <c r="K572" t="s">
        <v>2169</v>
      </c>
      <c r="L572" t="s">
        <v>65</v>
      </c>
      <c r="M572" t="b">
        <v>0</v>
      </c>
      <c r="N572" t="s">
        <v>2451</v>
      </c>
      <c r="O572" t="b">
        <v>0</v>
      </c>
      <c r="P572" t="b">
        <v>1</v>
      </c>
      <c r="Q572" t="b">
        <v>1</v>
      </c>
      <c r="R572" t="b">
        <v>1</v>
      </c>
      <c r="S572" t="b">
        <v>1</v>
      </c>
      <c r="T572" t="b">
        <v>1</v>
      </c>
      <c r="U572" t="b">
        <v>1</v>
      </c>
      <c r="V572" t="b">
        <v>0</v>
      </c>
      <c r="W572" t="b">
        <v>1</v>
      </c>
      <c r="X572" t="b">
        <v>1</v>
      </c>
      <c r="Y572" t="b">
        <v>1</v>
      </c>
      <c r="Z572" t="b">
        <v>0</v>
      </c>
      <c r="AA572" t="b">
        <v>1</v>
      </c>
      <c r="AB572" t="s">
        <v>1216</v>
      </c>
      <c r="AC572" t="s">
        <v>8103</v>
      </c>
    </row>
    <row r="573" spans="1:29" x14ac:dyDescent="0.3">
      <c r="A573">
        <v>-73.95652303</v>
      </c>
      <c r="B573">
        <v>40.77082609</v>
      </c>
      <c r="C573" t="s">
        <v>530</v>
      </c>
      <c r="D573" t="s">
        <v>38</v>
      </c>
      <c r="E573" s="58">
        <v>43381</v>
      </c>
      <c r="F573">
        <v>22</v>
      </c>
      <c r="G573" t="s">
        <v>48</v>
      </c>
      <c r="H573" t="s">
        <v>42</v>
      </c>
      <c r="I573" t="s">
        <v>96</v>
      </c>
      <c r="J573" t="s">
        <v>155</v>
      </c>
      <c r="K573" t="s">
        <v>2503</v>
      </c>
      <c r="L573" t="s">
        <v>44</v>
      </c>
      <c r="M573">
        <v>15</v>
      </c>
      <c r="N573" t="s">
        <v>3200</v>
      </c>
      <c r="O573" t="b">
        <v>0</v>
      </c>
      <c r="P573" t="b">
        <v>0</v>
      </c>
      <c r="Q573" t="b">
        <v>0</v>
      </c>
      <c r="R573" t="b">
        <v>1</v>
      </c>
      <c r="S573" t="b">
        <v>0</v>
      </c>
      <c r="T573" t="b">
        <v>1</v>
      </c>
      <c r="U573" t="b">
        <v>1</v>
      </c>
      <c r="V573" t="b">
        <v>0</v>
      </c>
      <c r="W573" t="b">
        <v>0</v>
      </c>
      <c r="X573" t="b">
        <v>1</v>
      </c>
      <c r="Y573" t="b">
        <v>1</v>
      </c>
      <c r="Z573" t="b">
        <v>0</v>
      </c>
      <c r="AA573" t="b">
        <v>0</v>
      </c>
      <c r="AB573" t="s">
        <v>3483</v>
      </c>
      <c r="AC573" t="s">
        <v>8104</v>
      </c>
    </row>
    <row r="574" spans="1:29" x14ac:dyDescent="0.3">
      <c r="A574">
        <v>-73.968692540000006</v>
      </c>
      <c r="B574">
        <v>40.790854410000001</v>
      </c>
      <c r="C574" t="s">
        <v>709</v>
      </c>
      <c r="D574" t="s">
        <v>38</v>
      </c>
      <c r="E574" s="58">
        <v>43390</v>
      </c>
      <c r="F574">
        <v>24</v>
      </c>
      <c r="G574" t="s">
        <v>3842</v>
      </c>
      <c r="H574" t="s">
        <v>42</v>
      </c>
      <c r="I574" t="s">
        <v>148</v>
      </c>
      <c r="J574" t="s">
        <v>60</v>
      </c>
      <c r="K574" t="s">
        <v>6299</v>
      </c>
      <c r="L574" t="s">
        <v>44</v>
      </c>
      <c r="M574">
        <v>20</v>
      </c>
      <c r="N574" t="s">
        <v>2951</v>
      </c>
      <c r="O574" t="b">
        <v>1</v>
      </c>
      <c r="P574" t="b">
        <v>1</v>
      </c>
      <c r="Q574" t="b">
        <v>1</v>
      </c>
      <c r="R574" t="b">
        <v>0</v>
      </c>
      <c r="S574" t="b">
        <v>1</v>
      </c>
      <c r="T574" t="b">
        <v>0</v>
      </c>
      <c r="U574" t="b">
        <v>0</v>
      </c>
      <c r="V574" t="b">
        <v>1</v>
      </c>
      <c r="W574" t="b">
        <v>1</v>
      </c>
      <c r="X574" t="b">
        <v>0</v>
      </c>
      <c r="Y574" t="b">
        <v>1</v>
      </c>
      <c r="Z574" t="b">
        <v>1</v>
      </c>
      <c r="AA574" t="b">
        <v>0</v>
      </c>
      <c r="AB574" t="s">
        <v>4165</v>
      </c>
      <c r="AC574" t="s">
        <v>8105</v>
      </c>
    </row>
    <row r="575" spans="1:29" x14ac:dyDescent="0.3">
      <c r="A575">
        <v>-73.961602159999998</v>
      </c>
      <c r="B575">
        <v>40.795287899999998</v>
      </c>
      <c r="C575" t="s">
        <v>1906</v>
      </c>
      <c r="D575" t="s">
        <v>38</v>
      </c>
      <c r="E575" s="58">
        <v>43385</v>
      </c>
      <c r="F575">
        <v>6</v>
      </c>
      <c r="G575" t="s">
        <v>48</v>
      </c>
      <c r="H575" t="s">
        <v>42</v>
      </c>
      <c r="I575" t="s">
        <v>176</v>
      </c>
      <c r="J575" t="s">
        <v>89</v>
      </c>
      <c r="K575" t="s">
        <v>5971</v>
      </c>
      <c r="L575" t="s">
        <v>65</v>
      </c>
      <c r="M575" t="b">
        <v>0</v>
      </c>
      <c r="N575" t="s">
        <v>3536</v>
      </c>
      <c r="O575" t="b">
        <v>1</v>
      </c>
      <c r="P575" t="b">
        <v>0</v>
      </c>
      <c r="Q575" t="b">
        <v>1</v>
      </c>
      <c r="R575" t="b">
        <v>0</v>
      </c>
      <c r="S575" t="b">
        <v>1</v>
      </c>
      <c r="T575" t="b">
        <v>1</v>
      </c>
      <c r="U575" t="b">
        <v>1</v>
      </c>
      <c r="V575" t="b">
        <v>1</v>
      </c>
      <c r="W575" t="b">
        <v>1</v>
      </c>
      <c r="X575" t="b">
        <v>1</v>
      </c>
      <c r="Y575" t="b">
        <v>1</v>
      </c>
      <c r="Z575" t="b">
        <v>1</v>
      </c>
      <c r="AA575" t="b">
        <v>0</v>
      </c>
      <c r="AB575" t="s">
        <v>5150</v>
      </c>
      <c r="AC575" t="s">
        <v>8106</v>
      </c>
    </row>
    <row r="576" spans="1:29" x14ac:dyDescent="0.3">
      <c r="A576">
        <v>-73.954048610000001</v>
      </c>
      <c r="B576">
        <v>40.772541609999998</v>
      </c>
      <c r="C576" t="s">
        <v>471</v>
      </c>
      <c r="D576" t="s">
        <v>38</v>
      </c>
      <c r="E576" s="58">
        <v>43387</v>
      </c>
      <c r="F576">
        <v>4</v>
      </c>
      <c r="G576" t="s">
        <v>48</v>
      </c>
      <c r="H576" t="s">
        <v>53</v>
      </c>
      <c r="I576" t="s">
        <v>53</v>
      </c>
      <c r="J576" t="s">
        <v>705</v>
      </c>
      <c r="K576" t="s">
        <v>4742</v>
      </c>
      <c r="L576" t="s">
        <v>65</v>
      </c>
      <c r="M576" t="b">
        <v>0</v>
      </c>
      <c r="N576" t="s">
        <v>4406</v>
      </c>
      <c r="O576" t="b">
        <v>1</v>
      </c>
      <c r="P576" t="b">
        <v>0</v>
      </c>
      <c r="Q576" t="b">
        <v>1</v>
      </c>
      <c r="R576" t="b">
        <v>0</v>
      </c>
      <c r="S576" t="b">
        <v>0</v>
      </c>
      <c r="T576" t="b">
        <v>1</v>
      </c>
      <c r="U576" t="b">
        <v>1</v>
      </c>
      <c r="V576" t="b">
        <v>0</v>
      </c>
      <c r="W576" t="b">
        <v>1</v>
      </c>
      <c r="X576" t="b">
        <v>1</v>
      </c>
      <c r="Y576" t="b">
        <v>1</v>
      </c>
      <c r="Z576" t="b">
        <v>0</v>
      </c>
      <c r="AA576" t="b">
        <v>1</v>
      </c>
      <c r="AB576" t="s">
        <v>2025</v>
      </c>
      <c r="AC576" t="s">
        <v>8107</v>
      </c>
    </row>
    <row r="577" spans="1:29" x14ac:dyDescent="0.3">
      <c r="A577">
        <v>-73.951308679999997</v>
      </c>
      <c r="B577">
        <v>40.768280570000002</v>
      </c>
      <c r="C577" t="s">
        <v>1595</v>
      </c>
      <c r="D577" t="s">
        <v>33</v>
      </c>
      <c r="E577" s="58">
        <v>43381</v>
      </c>
      <c r="F577">
        <v>13</v>
      </c>
      <c r="G577" t="s">
        <v>48</v>
      </c>
      <c r="H577" t="s">
        <v>176</v>
      </c>
      <c r="I577" t="s">
        <v>176</v>
      </c>
      <c r="J577" t="s">
        <v>60</v>
      </c>
      <c r="K577" t="s">
        <v>4381</v>
      </c>
      <c r="L577" t="s">
        <v>44</v>
      </c>
      <c r="M577">
        <v>7</v>
      </c>
      <c r="N577" t="s">
        <v>1522</v>
      </c>
      <c r="O577" t="b">
        <v>1</v>
      </c>
      <c r="P577" t="b">
        <v>0</v>
      </c>
      <c r="Q577" t="b">
        <v>1</v>
      </c>
      <c r="R577" t="b">
        <v>0</v>
      </c>
      <c r="S577" t="b">
        <v>0</v>
      </c>
      <c r="T577" t="b">
        <v>1</v>
      </c>
      <c r="U577" t="b">
        <v>0</v>
      </c>
      <c r="V577" t="b">
        <v>1</v>
      </c>
      <c r="W577" t="b">
        <v>1</v>
      </c>
      <c r="X577" t="b">
        <v>1</v>
      </c>
      <c r="Y577" t="b">
        <v>1</v>
      </c>
      <c r="Z577" t="b">
        <v>0</v>
      </c>
      <c r="AA577" t="b">
        <v>0</v>
      </c>
      <c r="AB577" t="s">
        <v>144</v>
      </c>
      <c r="AC577" t="s">
        <v>8108</v>
      </c>
    </row>
    <row r="578" spans="1:29" x14ac:dyDescent="0.3">
      <c r="A578">
        <v>-73.976535060000003</v>
      </c>
      <c r="B578">
        <v>40.765742930000002</v>
      </c>
      <c r="C578" t="s">
        <v>6895</v>
      </c>
      <c r="D578" t="s">
        <v>33</v>
      </c>
      <c r="E578" s="58">
        <v>43380</v>
      </c>
      <c r="F578">
        <v>4</v>
      </c>
      <c r="G578" t="s">
        <v>3842</v>
      </c>
      <c r="H578" t="s">
        <v>176</v>
      </c>
      <c r="I578" t="s">
        <v>53</v>
      </c>
      <c r="J578" t="s">
        <v>738</v>
      </c>
      <c r="K578" t="s">
        <v>4123</v>
      </c>
      <c r="L578" t="s">
        <v>44</v>
      </c>
      <c r="M578">
        <v>6</v>
      </c>
      <c r="N578" t="s">
        <v>222</v>
      </c>
      <c r="O578" t="b">
        <v>0</v>
      </c>
      <c r="P578" t="b">
        <v>1</v>
      </c>
      <c r="Q578" t="b">
        <v>1</v>
      </c>
      <c r="R578" t="b">
        <v>0</v>
      </c>
      <c r="S578" t="b">
        <v>1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1</v>
      </c>
      <c r="Z578" t="b">
        <v>1</v>
      </c>
      <c r="AA578" t="b">
        <v>1</v>
      </c>
      <c r="AB578" t="s">
        <v>3820</v>
      </c>
      <c r="AC578" t="s">
        <v>8109</v>
      </c>
    </row>
    <row r="579" spans="1:29" x14ac:dyDescent="0.3">
      <c r="A579">
        <v>-73.952029620000005</v>
      </c>
      <c r="B579">
        <v>40.787513099999998</v>
      </c>
      <c r="C579" t="s">
        <v>502</v>
      </c>
      <c r="D579" t="s">
        <v>33</v>
      </c>
      <c r="E579" s="58">
        <v>43385</v>
      </c>
      <c r="F579">
        <v>22</v>
      </c>
      <c r="G579" t="s">
        <v>48</v>
      </c>
      <c r="H579" t="s">
        <v>176</v>
      </c>
      <c r="I579" t="s">
        <v>115</v>
      </c>
      <c r="J579" t="s">
        <v>1142</v>
      </c>
      <c r="K579" t="s">
        <v>442</v>
      </c>
      <c r="L579" t="s">
        <v>65</v>
      </c>
      <c r="M579" t="b">
        <v>0</v>
      </c>
      <c r="N579" t="s">
        <v>4416</v>
      </c>
      <c r="O579" t="b">
        <v>0</v>
      </c>
      <c r="P579" t="b">
        <v>0</v>
      </c>
      <c r="Q579" t="b">
        <v>0</v>
      </c>
      <c r="R579" t="b">
        <v>1</v>
      </c>
      <c r="S579" t="b">
        <v>0</v>
      </c>
      <c r="T579" t="b">
        <v>1</v>
      </c>
      <c r="U579" t="b">
        <v>1</v>
      </c>
      <c r="V579" t="b">
        <v>1</v>
      </c>
      <c r="W579" t="b">
        <v>0</v>
      </c>
      <c r="X579" t="b">
        <v>0</v>
      </c>
      <c r="Y579" t="b">
        <v>1</v>
      </c>
      <c r="Z579" t="b">
        <v>0</v>
      </c>
      <c r="AA579" t="b">
        <v>0</v>
      </c>
      <c r="AB579" t="s">
        <v>425</v>
      </c>
      <c r="AC579" t="s">
        <v>8110</v>
      </c>
    </row>
    <row r="580" spans="1:29" x14ac:dyDescent="0.3">
      <c r="A580">
        <v>-73.965688009999994</v>
      </c>
      <c r="B580">
        <v>40.786285139999997</v>
      </c>
      <c r="C580" t="s">
        <v>1221</v>
      </c>
      <c r="D580" t="s">
        <v>33</v>
      </c>
      <c r="E580" s="58">
        <v>43385</v>
      </c>
      <c r="F580">
        <v>14</v>
      </c>
      <c r="G580" t="s">
        <v>48</v>
      </c>
      <c r="H580" t="s">
        <v>53</v>
      </c>
      <c r="I580" t="s">
        <v>148</v>
      </c>
      <c r="J580" t="s">
        <v>97</v>
      </c>
      <c r="K580" t="s">
        <v>4177</v>
      </c>
      <c r="L580" t="s">
        <v>44</v>
      </c>
      <c r="M580">
        <v>2</v>
      </c>
      <c r="N580" t="s">
        <v>1421</v>
      </c>
      <c r="O580" t="b">
        <v>1</v>
      </c>
      <c r="P580" t="b">
        <v>0</v>
      </c>
      <c r="Q580" t="b">
        <v>0</v>
      </c>
      <c r="R580" t="b">
        <v>0</v>
      </c>
      <c r="S580" t="b">
        <v>1</v>
      </c>
      <c r="T580" t="b">
        <v>0</v>
      </c>
      <c r="U580" t="b">
        <v>1</v>
      </c>
      <c r="V580" t="b">
        <v>0</v>
      </c>
      <c r="W580" t="b">
        <v>0</v>
      </c>
      <c r="X580" t="b">
        <v>1</v>
      </c>
      <c r="Y580" t="b">
        <v>0</v>
      </c>
      <c r="Z580" t="b">
        <v>1</v>
      </c>
      <c r="AA580" t="b">
        <v>0</v>
      </c>
      <c r="AB580" t="s">
        <v>2131</v>
      </c>
      <c r="AC580" t="s">
        <v>8111</v>
      </c>
    </row>
    <row r="581" spans="1:29" x14ac:dyDescent="0.3">
      <c r="A581">
        <v>-73.9730402</v>
      </c>
      <c r="B581">
        <v>40.78415871</v>
      </c>
      <c r="C581" t="s">
        <v>1574</v>
      </c>
      <c r="D581" t="s">
        <v>33</v>
      </c>
      <c r="E581" s="58">
        <v>43382</v>
      </c>
      <c r="F581">
        <v>16</v>
      </c>
      <c r="G581" t="s">
        <v>48</v>
      </c>
      <c r="H581" t="s">
        <v>176</v>
      </c>
      <c r="I581" t="s">
        <v>59</v>
      </c>
      <c r="J581" t="s">
        <v>1233</v>
      </c>
      <c r="K581" t="s">
        <v>4785</v>
      </c>
      <c r="L581" t="s">
        <v>44</v>
      </c>
      <c r="M581">
        <v>6</v>
      </c>
      <c r="N581" t="s">
        <v>2970</v>
      </c>
      <c r="O581" t="b">
        <v>0</v>
      </c>
      <c r="P581" t="b">
        <v>1</v>
      </c>
      <c r="Q581" t="b">
        <v>0</v>
      </c>
      <c r="R581" t="b">
        <v>1</v>
      </c>
      <c r="S581" t="b">
        <v>1</v>
      </c>
      <c r="T581" t="b">
        <v>0</v>
      </c>
      <c r="U581" t="b">
        <v>1</v>
      </c>
      <c r="V581" t="b">
        <v>1</v>
      </c>
      <c r="W581" t="b">
        <v>1</v>
      </c>
      <c r="X581" t="b">
        <v>0</v>
      </c>
      <c r="Y581" t="b">
        <v>0</v>
      </c>
      <c r="Z581" t="b">
        <v>1</v>
      </c>
      <c r="AA581" t="b">
        <v>0</v>
      </c>
      <c r="AB581" t="s">
        <v>6268</v>
      </c>
      <c r="AC581" t="s">
        <v>8112</v>
      </c>
    </row>
    <row r="582" spans="1:29" x14ac:dyDescent="0.3">
      <c r="A582">
        <v>-73.966724819999996</v>
      </c>
      <c r="B582">
        <v>40.773077030000003</v>
      </c>
      <c r="C582" t="s">
        <v>790</v>
      </c>
      <c r="D582" t="s">
        <v>33</v>
      </c>
      <c r="E582" s="58">
        <v>43389</v>
      </c>
      <c r="F582">
        <v>29</v>
      </c>
      <c r="G582" t="s">
        <v>48</v>
      </c>
      <c r="H582" t="s">
        <v>53</v>
      </c>
      <c r="I582" t="s">
        <v>5105</v>
      </c>
      <c r="J582" t="s">
        <v>2942</v>
      </c>
      <c r="K582" t="s">
        <v>4572</v>
      </c>
      <c r="L582" t="s">
        <v>65</v>
      </c>
      <c r="M582" t="b">
        <v>0</v>
      </c>
      <c r="N582" t="s">
        <v>5529</v>
      </c>
      <c r="O582" t="b">
        <v>1</v>
      </c>
      <c r="P582" t="b">
        <v>0</v>
      </c>
      <c r="Q582" t="b">
        <v>0</v>
      </c>
      <c r="R582" t="b">
        <v>0</v>
      </c>
      <c r="S582" t="b">
        <v>1</v>
      </c>
      <c r="T582" t="b">
        <v>1</v>
      </c>
      <c r="U582" t="b">
        <v>1</v>
      </c>
      <c r="V582" t="b">
        <v>1</v>
      </c>
      <c r="W582" t="b">
        <v>0</v>
      </c>
      <c r="X582" t="b">
        <v>1</v>
      </c>
      <c r="Y582" t="b">
        <v>1</v>
      </c>
      <c r="Z582" t="b">
        <v>0</v>
      </c>
      <c r="AA582" t="b">
        <v>0</v>
      </c>
      <c r="AB582" t="s">
        <v>3437</v>
      </c>
      <c r="AC582" t="s">
        <v>8113</v>
      </c>
    </row>
    <row r="583" spans="1:29" x14ac:dyDescent="0.3">
      <c r="A583">
        <v>-73.95034948</v>
      </c>
      <c r="B583">
        <v>40.77867363</v>
      </c>
      <c r="C583" t="s">
        <v>1578</v>
      </c>
      <c r="D583" t="s">
        <v>38</v>
      </c>
      <c r="E583" s="58">
        <v>43387</v>
      </c>
      <c r="F583">
        <v>4</v>
      </c>
      <c r="G583" t="s">
        <v>105</v>
      </c>
      <c r="H583" t="s">
        <v>53</v>
      </c>
      <c r="I583" t="s">
        <v>1921</v>
      </c>
      <c r="J583" t="s">
        <v>2942</v>
      </c>
      <c r="K583" t="s">
        <v>981</v>
      </c>
      <c r="L583" t="s">
        <v>44</v>
      </c>
      <c r="M583">
        <v>30</v>
      </c>
      <c r="N583" t="s">
        <v>4688</v>
      </c>
      <c r="O583" t="b">
        <v>0</v>
      </c>
      <c r="P583" t="b">
        <v>0</v>
      </c>
      <c r="Q583" t="b">
        <v>1</v>
      </c>
      <c r="R583" t="b">
        <v>1</v>
      </c>
      <c r="S583" t="b">
        <v>0</v>
      </c>
      <c r="T583" t="b">
        <v>0</v>
      </c>
      <c r="U583" t="b">
        <v>1</v>
      </c>
      <c r="V583" t="b">
        <v>0</v>
      </c>
      <c r="W583" t="b">
        <v>1</v>
      </c>
      <c r="X583" t="b">
        <v>1</v>
      </c>
      <c r="Y583" t="b">
        <v>1</v>
      </c>
      <c r="Z583" t="b">
        <v>0</v>
      </c>
      <c r="AA583" t="b">
        <v>0</v>
      </c>
      <c r="AB583" t="s">
        <v>5887</v>
      </c>
      <c r="AC583" t="s">
        <v>8114</v>
      </c>
    </row>
    <row r="584" spans="1:29" x14ac:dyDescent="0.3">
      <c r="A584">
        <v>-73.965672240000004</v>
      </c>
      <c r="B584">
        <v>40.785840899999997</v>
      </c>
      <c r="C584" t="s">
        <v>1920</v>
      </c>
      <c r="D584" t="s">
        <v>38</v>
      </c>
      <c r="E584" s="58">
        <v>43392</v>
      </c>
      <c r="F584">
        <v>24</v>
      </c>
      <c r="G584" t="s">
        <v>48</v>
      </c>
      <c r="H584" t="s">
        <v>53</v>
      </c>
      <c r="I584" t="s">
        <v>5105</v>
      </c>
      <c r="J584" t="s">
        <v>1233</v>
      </c>
      <c r="K584" t="s">
        <v>5649</v>
      </c>
      <c r="L584" t="s">
        <v>65</v>
      </c>
      <c r="M584" t="b">
        <v>0</v>
      </c>
      <c r="N584" t="s">
        <v>3957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1</v>
      </c>
      <c r="U584" t="b">
        <v>1</v>
      </c>
      <c r="V584" t="b">
        <v>1</v>
      </c>
      <c r="W584" t="b">
        <v>0</v>
      </c>
      <c r="X584" t="b">
        <v>1</v>
      </c>
      <c r="Y584" t="b">
        <v>1</v>
      </c>
      <c r="Z584" t="b">
        <v>0</v>
      </c>
      <c r="AA584" t="b">
        <v>1</v>
      </c>
      <c r="AB584" t="s">
        <v>1751</v>
      </c>
      <c r="AC584" t="s">
        <v>8115</v>
      </c>
    </row>
    <row r="585" spans="1:29" x14ac:dyDescent="0.3">
      <c r="A585">
        <v>-73.970823679999995</v>
      </c>
      <c r="B585">
        <v>40.782400760000002</v>
      </c>
      <c r="C585" t="s">
        <v>879</v>
      </c>
      <c r="D585" t="s">
        <v>33</v>
      </c>
      <c r="E585" s="58">
        <v>43386</v>
      </c>
      <c r="F585">
        <v>25</v>
      </c>
      <c r="G585" t="s">
        <v>105</v>
      </c>
      <c r="H585" t="s">
        <v>176</v>
      </c>
      <c r="I585" t="s">
        <v>148</v>
      </c>
      <c r="J585" t="s">
        <v>89</v>
      </c>
      <c r="K585" t="s">
        <v>4317</v>
      </c>
      <c r="L585" t="s">
        <v>65</v>
      </c>
      <c r="M585" t="b">
        <v>0</v>
      </c>
      <c r="N585" t="s">
        <v>6050</v>
      </c>
      <c r="O585" t="b">
        <v>1</v>
      </c>
      <c r="P585" t="b">
        <v>1</v>
      </c>
      <c r="Q585" t="b">
        <v>0</v>
      </c>
      <c r="R585" t="b">
        <v>0</v>
      </c>
      <c r="S585" t="b">
        <v>1</v>
      </c>
      <c r="T585" t="b">
        <v>1</v>
      </c>
      <c r="U585" t="b">
        <v>1</v>
      </c>
      <c r="V585" t="b">
        <v>1</v>
      </c>
      <c r="W585" t="b">
        <v>1</v>
      </c>
      <c r="X585" t="b">
        <v>1</v>
      </c>
      <c r="Y585" t="b">
        <v>0</v>
      </c>
      <c r="Z585" t="b">
        <v>0</v>
      </c>
      <c r="AA585" t="b">
        <v>0</v>
      </c>
      <c r="AB585" t="s">
        <v>6801</v>
      </c>
      <c r="AC585" t="s">
        <v>8116</v>
      </c>
    </row>
    <row r="586" spans="1:29" x14ac:dyDescent="0.3">
      <c r="A586">
        <v>-73.96124648</v>
      </c>
      <c r="B586">
        <v>40.79968847</v>
      </c>
      <c r="C586" t="s">
        <v>68</v>
      </c>
      <c r="D586" t="s">
        <v>33</v>
      </c>
      <c r="E586" s="58">
        <v>43391</v>
      </c>
      <c r="F586">
        <v>1</v>
      </c>
      <c r="G586" t="s">
        <v>48</v>
      </c>
      <c r="H586" t="s">
        <v>53</v>
      </c>
      <c r="I586" t="s">
        <v>176</v>
      </c>
      <c r="J586" t="s">
        <v>177</v>
      </c>
      <c r="K586" t="s">
        <v>3157</v>
      </c>
      <c r="L586" t="s">
        <v>65</v>
      </c>
      <c r="M586" t="b">
        <v>0</v>
      </c>
      <c r="N586" t="s">
        <v>2074</v>
      </c>
      <c r="O586" t="b">
        <v>1</v>
      </c>
      <c r="P586" t="b">
        <v>1</v>
      </c>
      <c r="Q586" t="b">
        <v>0</v>
      </c>
      <c r="R586" t="b">
        <v>0</v>
      </c>
      <c r="S586" t="b">
        <v>0</v>
      </c>
      <c r="T586" t="b">
        <v>1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s">
        <v>3884</v>
      </c>
      <c r="AC586" t="s">
        <v>8117</v>
      </c>
    </row>
    <row r="587" spans="1:29" x14ac:dyDescent="0.3">
      <c r="A587">
        <v>-73.973609170000003</v>
      </c>
      <c r="B587">
        <v>40.76971442</v>
      </c>
      <c r="C587" t="s">
        <v>2077</v>
      </c>
      <c r="D587" t="s">
        <v>38</v>
      </c>
      <c r="E587" s="58">
        <v>43391</v>
      </c>
      <c r="F587">
        <v>13</v>
      </c>
      <c r="G587" t="s">
        <v>3842</v>
      </c>
      <c r="H587" t="s">
        <v>176</v>
      </c>
      <c r="I587" t="s">
        <v>5105</v>
      </c>
      <c r="J587" t="s">
        <v>1142</v>
      </c>
      <c r="K587" t="s">
        <v>7307</v>
      </c>
      <c r="L587" t="s">
        <v>44</v>
      </c>
      <c r="M587">
        <v>6</v>
      </c>
      <c r="N587" t="s">
        <v>1853</v>
      </c>
      <c r="O587" t="b">
        <v>1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1</v>
      </c>
      <c r="V587" t="b">
        <v>1</v>
      </c>
      <c r="W587" t="b">
        <v>1</v>
      </c>
      <c r="X587" t="b">
        <v>1</v>
      </c>
      <c r="Y587" t="b">
        <v>1</v>
      </c>
      <c r="Z587" t="b">
        <v>1</v>
      </c>
      <c r="AA587" t="b">
        <v>0</v>
      </c>
      <c r="AB587" t="s">
        <v>5124</v>
      </c>
      <c r="AC587" t="s">
        <v>8118</v>
      </c>
    </row>
    <row r="588" spans="1:29" x14ac:dyDescent="0.3">
      <c r="A588">
        <v>-73.978773680000003</v>
      </c>
      <c r="B588">
        <v>40.789385209999999</v>
      </c>
      <c r="C588" t="s">
        <v>52</v>
      </c>
      <c r="D588" t="s">
        <v>38</v>
      </c>
      <c r="E588" s="58">
        <v>43379</v>
      </c>
      <c r="F588">
        <v>4</v>
      </c>
      <c r="G588" t="s">
        <v>105</v>
      </c>
      <c r="H588" t="s">
        <v>176</v>
      </c>
      <c r="I588" t="s">
        <v>737</v>
      </c>
      <c r="J588" t="s">
        <v>116</v>
      </c>
      <c r="K588" t="s">
        <v>5038</v>
      </c>
      <c r="L588" t="s">
        <v>44</v>
      </c>
      <c r="M588">
        <v>40</v>
      </c>
      <c r="N588" t="s">
        <v>4066</v>
      </c>
      <c r="O588" t="b">
        <v>1</v>
      </c>
      <c r="P588" t="b">
        <v>1</v>
      </c>
      <c r="Q588" t="b">
        <v>0</v>
      </c>
      <c r="R588" t="b">
        <v>0</v>
      </c>
      <c r="S588" t="b">
        <v>1</v>
      </c>
      <c r="T588" t="b">
        <v>1</v>
      </c>
      <c r="U588" t="b">
        <v>0</v>
      </c>
      <c r="V588" t="b">
        <v>1</v>
      </c>
      <c r="W588" t="b">
        <v>1</v>
      </c>
      <c r="X588" t="b">
        <v>1</v>
      </c>
      <c r="Y588" t="b">
        <v>0</v>
      </c>
      <c r="Z588" t="b">
        <v>0</v>
      </c>
      <c r="AA588" t="b">
        <v>1</v>
      </c>
      <c r="AB588" t="s">
        <v>2402</v>
      </c>
      <c r="AC588" t="s">
        <v>8119</v>
      </c>
    </row>
    <row r="589" spans="1:29" x14ac:dyDescent="0.3">
      <c r="A589">
        <v>-73.977107009999997</v>
      </c>
      <c r="B589">
        <v>40.77914586</v>
      </c>
      <c r="C589" t="s">
        <v>756</v>
      </c>
      <c r="D589" t="s">
        <v>38</v>
      </c>
      <c r="E589" s="58">
        <v>43379</v>
      </c>
      <c r="F589">
        <v>20</v>
      </c>
      <c r="G589" t="s">
        <v>105</v>
      </c>
      <c r="H589" t="s">
        <v>42</v>
      </c>
      <c r="I589" t="s">
        <v>5105</v>
      </c>
      <c r="J589" t="s">
        <v>177</v>
      </c>
      <c r="K589" t="s">
        <v>700</v>
      </c>
      <c r="L589" t="s">
        <v>65</v>
      </c>
      <c r="M589" t="b">
        <v>0</v>
      </c>
      <c r="N589" t="s">
        <v>1907</v>
      </c>
      <c r="O589" t="b">
        <v>0</v>
      </c>
      <c r="P589" t="b">
        <v>0</v>
      </c>
      <c r="Q589" t="b">
        <v>0</v>
      </c>
      <c r="R589" t="b">
        <v>1</v>
      </c>
      <c r="S589" t="b">
        <v>0</v>
      </c>
      <c r="T589" t="b">
        <v>1</v>
      </c>
      <c r="U589" t="b">
        <v>0</v>
      </c>
      <c r="V589" t="b">
        <v>1</v>
      </c>
      <c r="W589" t="b">
        <v>0</v>
      </c>
      <c r="X589" t="b">
        <v>0</v>
      </c>
      <c r="Y589" t="b">
        <v>1</v>
      </c>
      <c r="Z589" t="b">
        <v>1</v>
      </c>
      <c r="AA589" t="b">
        <v>0</v>
      </c>
      <c r="AB589" t="s">
        <v>436</v>
      </c>
      <c r="AC589" t="s">
        <v>8120</v>
      </c>
    </row>
    <row r="590" spans="1:29" x14ac:dyDescent="0.3">
      <c r="A590">
        <v>-73.977133230000007</v>
      </c>
      <c r="B590">
        <v>40.779986659999999</v>
      </c>
      <c r="C590" t="s">
        <v>483</v>
      </c>
      <c r="D590" t="s">
        <v>33</v>
      </c>
      <c r="E590" s="58">
        <v>43383</v>
      </c>
      <c r="F590">
        <v>18</v>
      </c>
      <c r="G590" t="s">
        <v>105</v>
      </c>
      <c r="H590" t="s">
        <v>42</v>
      </c>
      <c r="I590" t="s">
        <v>53</v>
      </c>
      <c r="J590" t="s">
        <v>97</v>
      </c>
      <c r="K590" t="s">
        <v>3152</v>
      </c>
      <c r="L590" t="s">
        <v>65</v>
      </c>
      <c r="M590" t="b">
        <v>0</v>
      </c>
      <c r="N590" t="s">
        <v>5673</v>
      </c>
      <c r="O590" t="b">
        <v>0</v>
      </c>
      <c r="P590" t="b">
        <v>1</v>
      </c>
      <c r="Q590" t="b">
        <v>0</v>
      </c>
      <c r="R590" t="b">
        <v>0</v>
      </c>
      <c r="S590" t="b">
        <v>0</v>
      </c>
      <c r="T590" t="b">
        <v>1</v>
      </c>
      <c r="U590" t="b">
        <v>0</v>
      </c>
      <c r="V590" t="b">
        <v>0</v>
      </c>
      <c r="W590" t="b">
        <v>0</v>
      </c>
      <c r="X590" t="b">
        <v>1</v>
      </c>
      <c r="Y590" t="b">
        <v>1</v>
      </c>
      <c r="Z590" t="b">
        <v>0</v>
      </c>
      <c r="AA590" t="b">
        <v>0</v>
      </c>
      <c r="AB590" t="s">
        <v>5792</v>
      </c>
      <c r="AC590" t="s">
        <v>8121</v>
      </c>
    </row>
    <row r="591" spans="1:29" x14ac:dyDescent="0.3">
      <c r="A591">
        <v>-73.976383240000004</v>
      </c>
      <c r="B591">
        <v>40.790175740000002</v>
      </c>
      <c r="C591" t="s">
        <v>873</v>
      </c>
      <c r="D591" t="s">
        <v>38</v>
      </c>
      <c r="E591" s="58">
        <v>43384</v>
      </c>
      <c r="F591">
        <v>6</v>
      </c>
      <c r="G591" t="s">
        <v>105</v>
      </c>
      <c r="H591" t="s">
        <v>53</v>
      </c>
      <c r="I591" t="s">
        <v>737</v>
      </c>
      <c r="J591" t="s">
        <v>5106</v>
      </c>
      <c r="K591" t="s">
        <v>4123</v>
      </c>
      <c r="L591" t="s">
        <v>44</v>
      </c>
      <c r="M591">
        <v>12</v>
      </c>
      <c r="N591" t="s">
        <v>4712</v>
      </c>
      <c r="O591" t="b">
        <v>1</v>
      </c>
      <c r="P591" t="b">
        <v>1</v>
      </c>
      <c r="Q591" t="b">
        <v>0</v>
      </c>
      <c r="R591" t="b">
        <v>0</v>
      </c>
      <c r="S591" t="b">
        <v>1</v>
      </c>
      <c r="T591" t="b">
        <v>0</v>
      </c>
      <c r="U591" t="b">
        <v>1</v>
      </c>
      <c r="V591" t="b">
        <v>1</v>
      </c>
      <c r="W591" t="b">
        <v>0</v>
      </c>
      <c r="X591" t="b">
        <v>0</v>
      </c>
      <c r="Y591" t="b">
        <v>1</v>
      </c>
      <c r="Z591" t="b">
        <v>0</v>
      </c>
      <c r="AA591" t="b">
        <v>0</v>
      </c>
      <c r="AB591" t="s">
        <v>974</v>
      </c>
      <c r="AC591" t="s">
        <v>8122</v>
      </c>
    </row>
    <row r="592" spans="1:29" x14ac:dyDescent="0.3">
      <c r="A592">
        <v>-73.976794299999995</v>
      </c>
      <c r="B592">
        <v>40.789289859999997</v>
      </c>
      <c r="C592" t="s">
        <v>764</v>
      </c>
      <c r="D592" t="s">
        <v>33</v>
      </c>
      <c r="E592" s="58">
        <v>43381</v>
      </c>
      <c r="F592">
        <v>3</v>
      </c>
      <c r="G592" t="s">
        <v>3842</v>
      </c>
      <c r="H592" t="s">
        <v>53</v>
      </c>
      <c r="I592" t="s">
        <v>96</v>
      </c>
      <c r="J592" t="s">
        <v>2942</v>
      </c>
      <c r="K592" t="s">
        <v>3341</v>
      </c>
      <c r="L592" t="s">
        <v>44</v>
      </c>
      <c r="M592">
        <v>2</v>
      </c>
      <c r="N592" t="s">
        <v>5687</v>
      </c>
      <c r="O592" t="b">
        <v>0</v>
      </c>
      <c r="P592" t="b">
        <v>1</v>
      </c>
      <c r="Q592" t="b">
        <v>1</v>
      </c>
      <c r="R592" t="b">
        <v>0</v>
      </c>
      <c r="S592" t="b">
        <v>0</v>
      </c>
      <c r="T592" t="b">
        <v>0</v>
      </c>
      <c r="U592" t="b">
        <v>1</v>
      </c>
      <c r="V592" t="b">
        <v>0</v>
      </c>
      <c r="W592" t="b">
        <v>1</v>
      </c>
      <c r="X592" t="b">
        <v>1</v>
      </c>
      <c r="Y592" t="b">
        <v>1</v>
      </c>
      <c r="Z592" t="b">
        <v>0</v>
      </c>
      <c r="AA592" t="b">
        <v>0</v>
      </c>
      <c r="AB592" t="s">
        <v>2962</v>
      </c>
      <c r="AC592" t="s">
        <v>8123</v>
      </c>
    </row>
    <row r="593" spans="1:29" x14ac:dyDescent="0.3">
      <c r="A593">
        <v>-73.96101152</v>
      </c>
      <c r="B593">
        <v>40.799810659999999</v>
      </c>
      <c r="C593" t="s">
        <v>294</v>
      </c>
      <c r="D593" t="s">
        <v>33</v>
      </c>
      <c r="E593" s="58">
        <v>43391</v>
      </c>
      <c r="F593">
        <v>23</v>
      </c>
      <c r="G593" t="s">
        <v>48</v>
      </c>
      <c r="H593" t="s">
        <v>176</v>
      </c>
      <c r="I593" t="s">
        <v>5105</v>
      </c>
      <c r="J593" t="s">
        <v>155</v>
      </c>
      <c r="K593" t="s">
        <v>2685</v>
      </c>
      <c r="L593" t="s">
        <v>44</v>
      </c>
      <c r="M593">
        <v>6</v>
      </c>
      <c r="N593" t="s">
        <v>2737</v>
      </c>
      <c r="O593" t="b">
        <v>0</v>
      </c>
      <c r="P593" t="b">
        <v>0</v>
      </c>
      <c r="Q593" t="b">
        <v>0</v>
      </c>
      <c r="R593" t="b">
        <v>1</v>
      </c>
      <c r="S593" t="b">
        <v>1</v>
      </c>
      <c r="T593" t="b">
        <v>1</v>
      </c>
      <c r="U593" t="b">
        <v>0</v>
      </c>
      <c r="V593" t="b">
        <v>0</v>
      </c>
      <c r="W593" t="b">
        <v>1</v>
      </c>
      <c r="X593" t="b">
        <v>1</v>
      </c>
      <c r="Y593" t="b">
        <v>1</v>
      </c>
      <c r="Z593" t="b">
        <v>0</v>
      </c>
      <c r="AA593" t="b">
        <v>1</v>
      </c>
      <c r="AB593" t="s">
        <v>914</v>
      </c>
      <c r="AC593" t="s">
        <v>8124</v>
      </c>
    </row>
    <row r="594" spans="1:29" x14ac:dyDescent="0.3">
      <c r="A594">
        <v>-73.975440849999998</v>
      </c>
      <c r="B594">
        <v>40.769431150000003</v>
      </c>
      <c r="C594" t="s">
        <v>431</v>
      </c>
      <c r="D594" t="s">
        <v>38</v>
      </c>
      <c r="E594" s="58">
        <v>43387</v>
      </c>
      <c r="F594">
        <v>13</v>
      </c>
      <c r="G594" t="s">
        <v>105</v>
      </c>
      <c r="H594" t="s">
        <v>53</v>
      </c>
      <c r="I594" t="s">
        <v>737</v>
      </c>
      <c r="J594" t="s">
        <v>149</v>
      </c>
      <c r="K594" t="s">
        <v>3157</v>
      </c>
      <c r="L594" t="s">
        <v>65</v>
      </c>
      <c r="M594" t="b">
        <v>0</v>
      </c>
      <c r="N594" t="s">
        <v>151</v>
      </c>
      <c r="O594" t="b">
        <v>1</v>
      </c>
      <c r="P594" t="b">
        <v>0</v>
      </c>
      <c r="Q594" t="b">
        <v>1</v>
      </c>
      <c r="R594" t="b">
        <v>0</v>
      </c>
      <c r="S594" t="b">
        <v>0</v>
      </c>
      <c r="T594" t="b">
        <v>1</v>
      </c>
      <c r="U594" t="b">
        <v>1</v>
      </c>
      <c r="V594" t="b">
        <v>1</v>
      </c>
      <c r="W594" t="b">
        <v>1</v>
      </c>
      <c r="X594" t="b">
        <v>1</v>
      </c>
      <c r="Y594" t="b">
        <v>0</v>
      </c>
      <c r="Z594" t="b">
        <v>0</v>
      </c>
      <c r="AA594" t="b">
        <v>0</v>
      </c>
      <c r="AB594" t="s">
        <v>5896</v>
      </c>
      <c r="AC594" t="s">
        <v>8125</v>
      </c>
    </row>
    <row r="595" spans="1:29" x14ac:dyDescent="0.3">
      <c r="A595">
        <v>-73.970291900000007</v>
      </c>
      <c r="B595">
        <v>40.76857614</v>
      </c>
      <c r="C595" t="s">
        <v>571</v>
      </c>
      <c r="D595" t="s">
        <v>38</v>
      </c>
      <c r="E595" s="58">
        <v>43390</v>
      </c>
      <c r="F595">
        <v>27</v>
      </c>
      <c r="G595" t="s">
        <v>3842</v>
      </c>
      <c r="H595" t="s">
        <v>53</v>
      </c>
      <c r="I595" t="s">
        <v>148</v>
      </c>
      <c r="J595" t="s">
        <v>60</v>
      </c>
      <c r="K595" t="s">
        <v>4020</v>
      </c>
      <c r="L595" t="s">
        <v>65</v>
      </c>
      <c r="M595" t="b">
        <v>0</v>
      </c>
      <c r="N595" t="s">
        <v>1871</v>
      </c>
      <c r="O595" t="b">
        <v>1</v>
      </c>
      <c r="P595" t="b">
        <v>0</v>
      </c>
      <c r="Q595" t="b">
        <v>0</v>
      </c>
      <c r="R595" t="b">
        <v>1</v>
      </c>
      <c r="S595" t="b">
        <v>0</v>
      </c>
      <c r="T595" t="b">
        <v>1</v>
      </c>
      <c r="U595" t="b">
        <v>1</v>
      </c>
      <c r="V595" t="b">
        <v>0</v>
      </c>
      <c r="W595" t="b">
        <v>0</v>
      </c>
      <c r="X595" t="b">
        <v>1</v>
      </c>
      <c r="Y595" t="b">
        <v>1</v>
      </c>
      <c r="Z595" t="b">
        <v>0</v>
      </c>
      <c r="AA595" t="b">
        <v>1</v>
      </c>
      <c r="AB595" t="s">
        <v>6280</v>
      </c>
      <c r="AC595" t="s">
        <v>8126</v>
      </c>
    </row>
    <row r="596" spans="1:29" x14ac:dyDescent="0.3">
      <c r="A596">
        <v>-73.952966410000002</v>
      </c>
      <c r="B596">
        <v>40.79041308</v>
      </c>
      <c r="C596" t="s">
        <v>1832</v>
      </c>
      <c r="D596" t="s">
        <v>33</v>
      </c>
      <c r="E596" s="58">
        <v>43388</v>
      </c>
      <c r="F596">
        <v>16</v>
      </c>
      <c r="G596" t="s">
        <v>105</v>
      </c>
      <c r="H596" t="s">
        <v>176</v>
      </c>
      <c r="I596" t="s">
        <v>1921</v>
      </c>
      <c r="J596" t="s">
        <v>738</v>
      </c>
      <c r="K596" t="s">
        <v>6166</v>
      </c>
      <c r="L596" t="s">
        <v>44</v>
      </c>
      <c r="M596">
        <v>8</v>
      </c>
      <c r="N596" t="s">
        <v>3166</v>
      </c>
      <c r="O596" t="b">
        <v>0</v>
      </c>
      <c r="P596" t="b">
        <v>1</v>
      </c>
      <c r="Q596" t="b">
        <v>0</v>
      </c>
      <c r="R596" t="b">
        <v>0</v>
      </c>
      <c r="S596" t="b">
        <v>1</v>
      </c>
      <c r="T596" t="b">
        <v>1</v>
      </c>
      <c r="U596" t="b">
        <v>0</v>
      </c>
      <c r="V596" t="b">
        <v>0</v>
      </c>
      <c r="W596" t="b">
        <v>1</v>
      </c>
      <c r="X596" t="b">
        <v>0</v>
      </c>
      <c r="Y596" t="b">
        <v>1</v>
      </c>
      <c r="Z596" t="b">
        <v>1</v>
      </c>
      <c r="AA596" t="b">
        <v>1</v>
      </c>
      <c r="AB596" t="s">
        <v>7224</v>
      </c>
      <c r="AC596" t="s">
        <v>8127</v>
      </c>
    </row>
    <row r="597" spans="1:29" x14ac:dyDescent="0.3">
      <c r="A597">
        <v>-73.966258740000001</v>
      </c>
      <c r="B597">
        <v>40.785274430000001</v>
      </c>
      <c r="C597" t="s">
        <v>2864</v>
      </c>
      <c r="D597" t="s">
        <v>38</v>
      </c>
      <c r="E597" s="58">
        <v>43392</v>
      </c>
      <c r="F597">
        <v>27</v>
      </c>
      <c r="G597" t="s">
        <v>48</v>
      </c>
      <c r="H597" t="s">
        <v>53</v>
      </c>
      <c r="I597" t="s">
        <v>96</v>
      </c>
      <c r="J597" t="s">
        <v>619</v>
      </c>
      <c r="K597" t="s">
        <v>5038</v>
      </c>
      <c r="L597" t="s">
        <v>44</v>
      </c>
      <c r="M597">
        <v>20</v>
      </c>
      <c r="N597" t="s">
        <v>3773</v>
      </c>
      <c r="O597" t="b">
        <v>1</v>
      </c>
      <c r="P597" t="b">
        <v>0</v>
      </c>
      <c r="Q597" t="b">
        <v>0</v>
      </c>
      <c r="R597" t="b">
        <v>1</v>
      </c>
      <c r="S597" t="b">
        <v>1</v>
      </c>
      <c r="T597" t="b">
        <v>0</v>
      </c>
      <c r="U597" t="b">
        <v>1</v>
      </c>
      <c r="V597" t="b">
        <v>0</v>
      </c>
      <c r="W597" t="b">
        <v>0</v>
      </c>
      <c r="X597" t="b">
        <v>1</v>
      </c>
      <c r="Y597" t="b">
        <v>1</v>
      </c>
      <c r="Z597" t="b">
        <v>0</v>
      </c>
      <c r="AA597" t="b">
        <v>1</v>
      </c>
      <c r="AB597" t="s">
        <v>1637</v>
      </c>
      <c r="AC597" t="s">
        <v>8128</v>
      </c>
    </row>
    <row r="598" spans="1:29" x14ac:dyDescent="0.3">
      <c r="A598">
        <v>-73.960172689999993</v>
      </c>
      <c r="B598">
        <v>40.774563280000002</v>
      </c>
      <c r="C598" t="s">
        <v>928</v>
      </c>
      <c r="D598" t="s">
        <v>38</v>
      </c>
      <c r="E598" s="58">
        <v>43393</v>
      </c>
      <c r="F598">
        <v>5</v>
      </c>
      <c r="G598" t="s">
        <v>105</v>
      </c>
      <c r="H598" t="s">
        <v>53</v>
      </c>
      <c r="I598" t="s">
        <v>59</v>
      </c>
      <c r="J598" t="s">
        <v>43</v>
      </c>
      <c r="K598" t="s">
        <v>1636</v>
      </c>
      <c r="L598" t="s">
        <v>44</v>
      </c>
      <c r="M598">
        <v>7</v>
      </c>
      <c r="N598" t="s">
        <v>4635</v>
      </c>
      <c r="O598" t="b">
        <v>1</v>
      </c>
      <c r="P598" t="b">
        <v>0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1</v>
      </c>
      <c r="X598" t="b">
        <v>0</v>
      </c>
      <c r="Y598" t="b">
        <v>1</v>
      </c>
      <c r="Z598" t="b">
        <v>0</v>
      </c>
      <c r="AA598" t="b">
        <v>1</v>
      </c>
      <c r="AB598" t="s">
        <v>374</v>
      </c>
      <c r="AC598" t="s">
        <v>8129</v>
      </c>
    </row>
    <row r="599" spans="1:29" x14ac:dyDescent="0.3">
      <c r="A599">
        <v>-73.975741389999996</v>
      </c>
      <c r="B599">
        <v>40.767706850000003</v>
      </c>
      <c r="C599" t="s">
        <v>221</v>
      </c>
      <c r="D599" t="s">
        <v>33</v>
      </c>
      <c r="E599" s="58">
        <v>43384</v>
      </c>
      <c r="F599">
        <v>4</v>
      </c>
      <c r="G599" t="s">
        <v>3842</v>
      </c>
      <c r="H599" t="s">
        <v>176</v>
      </c>
      <c r="I599" t="s">
        <v>59</v>
      </c>
      <c r="J599" t="s">
        <v>43</v>
      </c>
      <c r="K599" t="s">
        <v>1754</v>
      </c>
      <c r="L599" t="s">
        <v>65</v>
      </c>
      <c r="M599" t="b">
        <v>0</v>
      </c>
      <c r="N599" t="s">
        <v>6252</v>
      </c>
      <c r="O599" t="b">
        <v>0</v>
      </c>
      <c r="P599" t="b">
        <v>1</v>
      </c>
      <c r="Q599" t="b">
        <v>1</v>
      </c>
      <c r="R599" t="b">
        <v>0</v>
      </c>
      <c r="S599" t="b">
        <v>1</v>
      </c>
      <c r="T599" t="b">
        <v>0</v>
      </c>
      <c r="U599" t="b">
        <v>0</v>
      </c>
      <c r="V599" t="b">
        <v>1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s">
        <v>7360</v>
      </c>
      <c r="AC599" t="s">
        <v>8130</v>
      </c>
    </row>
    <row r="600" spans="1:29" x14ac:dyDescent="0.3">
      <c r="A600">
        <v>-73.975113629999996</v>
      </c>
      <c r="B600">
        <v>40.767926510000002</v>
      </c>
      <c r="C600" t="s">
        <v>722</v>
      </c>
      <c r="D600" t="s">
        <v>38</v>
      </c>
      <c r="E600" s="58">
        <v>43382</v>
      </c>
      <c r="F600">
        <v>21</v>
      </c>
      <c r="G600" t="s">
        <v>48</v>
      </c>
      <c r="H600" t="s">
        <v>176</v>
      </c>
      <c r="I600" t="s">
        <v>115</v>
      </c>
      <c r="J600" t="s">
        <v>1142</v>
      </c>
      <c r="K600" t="s">
        <v>3859</v>
      </c>
      <c r="L600" t="s">
        <v>65</v>
      </c>
      <c r="M600" t="b">
        <v>0</v>
      </c>
      <c r="N600" t="s">
        <v>1907</v>
      </c>
      <c r="O600" t="b">
        <v>0</v>
      </c>
      <c r="P600" t="b">
        <v>0</v>
      </c>
      <c r="Q600" t="b">
        <v>0</v>
      </c>
      <c r="R600" t="b">
        <v>1</v>
      </c>
      <c r="S600" t="b">
        <v>1</v>
      </c>
      <c r="T600" t="b">
        <v>0</v>
      </c>
      <c r="U600" t="b">
        <v>0</v>
      </c>
      <c r="V600" t="b">
        <v>1</v>
      </c>
      <c r="W600" t="b">
        <v>1</v>
      </c>
      <c r="X600" t="b">
        <v>0</v>
      </c>
      <c r="Y600" t="b">
        <v>1</v>
      </c>
      <c r="Z600" t="b">
        <v>0</v>
      </c>
      <c r="AA600" t="b">
        <v>0</v>
      </c>
      <c r="AB600" t="s">
        <v>5951</v>
      </c>
      <c r="AC600" t="s">
        <v>8131</v>
      </c>
    </row>
    <row r="601" spans="1:29" x14ac:dyDescent="0.3">
      <c r="A601">
        <v>-73.979873799999993</v>
      </c>
      <c r="B601">
        <v>40.796393209999998</v>
      </c>
      <c r="C601" t="s">
        <v>1521</v>
      </c>
      <c r="D601" t="s">
        <v>33</v>
      </c>
      <c r="E601" s="58">
        <v>43390</v>
      </c>
      <c r="F601">
        <v>8</v>
      </c>
      <c r="G601" t="s">
        <v>3842</v>
      </c>
      <c r="H601" t="s">
        <v>42</v>
      </c>
      <c r="I601" t="s">
        <v>5105</v>
      </c>
      <c r="J601" t="s">
        <v>149</v>
      </c>
      <c r="K601" t="s">
        <v>5971</v>
      </c>
      <c r="L601" t="s">
        <v>44</v>
      </c>
      <c r="M601">
        <v>7</v>
      </c>
      <c r="N601" t="s">
        <v>6252</v>
      </c>
      <c r="O601" t="b">
        <v>1</v>
      </c>
      <c r="P601" t="b">
        <v>1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b">
        <v>1</v>
      </c>
      <c r="W601" t="b">
        <v>1</v>
      </c>
      <c r="X601" t="b">
        <v>1</v>
      </c>
      <c r="Y601" t="b">
        <v>1</v>
      </c>
      <c r="Z601" t="b">
        <v>1</v>
      </c>
      <c r="AA601" t="b">
        <v>1</v>
      </c>
      <c r="AB601" t="s">
        <v>2350</v>
      </c>
      <c r="AC601" t="s">
        <v>8132</v>
      </c>
    </row>
    <row r="602" spans="1:29" x14ac:dyDescent="0.3">
      <c r="A602">
        <v>-73.975847799999997</v>
      </c>
      <c r="B602">
        <v>40.771665900000002</v>
      </c>
      <c r="C602" t="s">
        <v>773</v>
      </c>
      <c r="D602" t="s">
        <v>33</v>
      </c>
      <c r="E602" s="58">
        <v>43385</v>
      </c>
      <c r="F602">
        <v>19</v>
      </c>
      <c r="G602" t="s">
        <v>48</v>
      </c>
      <c r="H602" t="s">
        <v>176</v>
      </c>
      <c r="I602" t="s">
        <v>1921</v>
      </c>
      <c r="J602" t="s">
        <v>619</v>
      </c>
      <c r="K602" t="s">
        <v>4123</v>
      </c>
      <c r="L602" t="s">
        <v>44</v>
      </c>
      <c r="M602">
        <v>25</v>
      </c>
      <c r="N602" t="s">
        <v>4208</v>
      </c>
      <c r="O602" t="b">
        <v>0</v>
      </c>
      <c r="P602" t="b">
        <v>1</v>
      </c>
      <c r="Q602" t="b">
        <v>0</v>
      </c>
      <c r="R602" t="b">
        <v>1</v>
      </c>
      <c r="S602" t="b">
        <v>1</v>
      </c>
      <c r="T602" t="b">
        <v>0</v>
      </c>
      <c r="U602" t="b">
        <v>1</v>
      </c>
      <c r="V602" t="b">
        <v>0</v>
      </c>
      <c r="W602" t="b">
        <v>0</v>
      </c>
      <c r="X602" t="b">
        <v>0</v>
      </c>
      <c r="Y602" t="b">
        <v>0</v>
      </c>
      <c r="Z602" t="b">
        <v>1</v>
      </c>
      <c r="AA602" t="b">
        <v>1</v>
      </c>
      <c r="AB602" t="s">
        <v>810</v>
      </c>
      <c r="AC602" t="s">
        <v>8133</v>
      </c>
    </row>
    <row r="603" spans="1:29" x14ac:dyDescent="0.3">
      <c r="A603">
        <v>-73.972400590000007</v>
      </c>
      <c r="B603">
        <v>40.77629589</v>
      </c>
      <c r="C603" t="s">
        <v>1521</v>
      </c>
      <c r="D603" t="s">
        <v>38</v>
      </c>
      <c r="E603" s="58">
        <v>43386</v>
      </c>
      <c r="F603">
        <v>14</v>
      </c>
      <c r="G603" t="s">
        <v>48</v>
      </c>
      <c r="H603" t="s">
        <v>42</v>
      </c>
      <c r="I603" t="s">
        <v>42</v>
      </c>
      <c r="J603" t="s">
        <v>54</v>
      </c>
      <c r="K603" t="s">
        <v>2973</v>
      </c>
      <c r="L603" t="s">
        <v>65</v>
      </c>
      <c r="M603" t="b">
        <v>0</v>
      </c>
      <c r="N603" t="s">
        <v>1766</v>
      </c>
      <c r="O603" t="b">
        <v>1</v>
      </c>
      <c r="P603" t="b">
        <v>0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1</v>
      </c>
      <c r="X603" t="b">
        <v>0</v>
      </c>
      <c r="Y603" t="b">
        <v>1</v>
      </c>
      <c r="Z603" t="b">
        <v>1</v>
      </c>
      <c r="AA603" t="b">
        <v>1</v>
      </c>
      <c r="AB603" t="s">
        <v>5792</v>
      </c>
      <c r="AC603" t="s">
        <v>8134</v>
      </c>
    </row>
    <row r="604" spans="1:29" x14ac:dyDescent="0.3">
      <c r="A604">
        <v>-73.975593939999996</v>
      </c>
      <c r="B604">
        <v>40.772890750000002</v>
      </c>
      <c r="C604" t="s">
        <v>52</v>
      </c>
      <c r="D604" t="s">
        <v>33</v>
      </c>
      <c r="E604" s="58">
        <v>43387</v>
      </c>
      <c r="F604">
        <v>7</v>
      </c>
      <c r="G604" t="s">
        <v>48</v>
      </c>
      <c r="H604" t="s">
        <v>53</v>
      </c>
      <c r="I604" t="s">
        <v>737</v>
      </c>
      <c r="J604" t="s">
        <v>149</v>
      </c>
      <c r="K604" t="s">
        <v>6800</v>
      </c>
      <c r="L604" t="s">
        <v>65</v>
      </c>
      <c r="M604" t="b">
        <v>0</v>
      </c>
      <c r="N604" t="s">
        <v>2970</v>
      </c>
      <c r="O604" t="b">
        <v>1</v>
      </c>
      <c r="P604" t="b">
        <v>1</v>
      </c>
      <c r="Q604" t="b">
        <v>1</v>
      </c>
      <c r="R604" t="b">
        <v>0</v>
      </c>
      <c r="S604" t="b">
        <v>0</v>
      </c>
      <c r="T604" t="b">
        <v>1</v>
      </c>
      <c r="U604" t="b">
        <v>1</v>
      </c>
      <c r="V604" t="b">
        <v>1</v>
      </c>
      <c r="W604" t="b">
        <v>1</v>
      </c>
      <c r="X604" t="b">
        <v>0</v>
      </c>
      <c r="Y604" t="b">
        <v>1</v>
      </c>
      <c r="Z604" t="b">
        <v>1</v>
      </c>
      <c r="AA604" t="b">
        <v>0</v>
      </c>
      <c r="AB604" t="s">
        <v>1854</v>
      </c>
      <c r="AC604" t="s">
        <v>8135</v>
      </c>
    </row>
    <row r="605" spans="1:29" x14ac:dyDescent="0.3">
      <c r="A605">
        <v>-73.978370060000003</v>
      </c>
      <c r="B605">
        <v>40.777409319999997</v>
      </c>
      <c r="C605" t="s">
        <v>1015</v>
      </c>
      <c r="D605" t="s">
        <v>33</v>
      </c>
      <c r="E605" s="58">
        <v>43391</v>
      </c>
      <c r="F605">
        <v>14</v>
      </c>
      <c r="G605" t="s">
        <v>105</v>
      </c>
      <c r="H605" t="s">
        <v>176</v>
      </c>
      <c r="I605" t="s">
        <v>96</v>
      </c>
      <c r="J605" t="s">
        <v>619</v>
      </c>
      <c r="K605" t="s">
        <v>1381</v>
      </c>
      <c r="L605" t="s">
        <v>44</v>
      </c>
      <c r="M605">
        <v>8</v>
      </c>
      <c r="N605" t="s">
        <v>2737</v>
      </c>
      <c r="O605" t="b">
        <v>0</v>
      </c>
      <c r="P605" t="b">
        <v>1</v>
      </c>
      <c r="Q605" t="b">
        <v>1</v>
      </c>
      <c r="R605" t="b">
        <v>1</v>
      </c>
      <c r="S605" t="b">
        <v>1</v>
      </c>
      <c r="T605" t="b">
        <v>1</v>
      </c>
      <c r="U605" t="b">
        <v>1</v>
      </c>
      <c r="V605" t="b">
        <v>0</v>
      </c>
      <c r="W605" t="b">
        <v>0</v>
      </c>
      <c r="X605" t="b">
        <v>1</v>
      </c>
      <c r="Y605" t="b">
        <v>1</v>
      </c>
      <c r="Z605" t="b">
        <v>1</v>
      </c>
      <c r="AA605" t="b">
        <v>1</v>
      </c>
      <c r="AB605" t="s">
        <v>4501</v>
      </c>
      <c r="AC605" t="s">
        <v>8136</v>
      </c>
    </row>
    <row r="606" spans="1:29" x14ac:dyDescent="0.3">
      <c r="A606">
        <v>-73.977366169999996</v>
      </c>
      <c r="B606">
        <v>40.767354930000003</v>
      </c>
      <c r="C606" t="s">
        <v>114</v>
      </c>
      <c r="D606" t="s">
        <v>38</v>
      </c>
      <c r="E606" s="58">
        <v>43389</v>
      </c>
      <c r="F606">
        <v>6</v>
      </c>
      <c r="G606" t="s">
        <v>3842</v>
      </c>
      <c r="H606" t="s">
        <v>176</v>
      </c>
      <c r="I606" t="s">
        <v>148</v>
      </c>
      <c r="J606" t="s">
        <v>3580</v>
      </c>
      <c r="K606" t="s">
        <v>49</v>
      </c>
      <c r="L606" t="s">
        <v>44</v>
      </c>
      <c r="M606">
        <v>7</v>
      </c>
      <c r="N606" t="s">
        <v>5149</v>
      </c>
      <c r="O606" t="b">
        <v>0</v>
      </c>
      <c r="P606" t="b">
        <v>1</v>
      </c>
      <c r="Q606" t="b">
        <v>0</v>
      </c>
      <c r="R606" t="b">
        <v>0</v>
      </c>
      <c r="S606" t="b">
        <v>0</v>
      </c>
      <c r="T606" t="b">
        <v>1</v>
      </c>
      <c r="U606" t="b">
        <v>1</v>
      </c>
      <c r="V606" t="b">
        <v>1</v>
      </c>
      <c r="W606" t="b">
        <v>1</v>
      </c>
      <c r="X606" t="b">
        <v>1</v>
      </c>
      <c r="Y606" t="b">
        <v>1</v>
      </c>
      <c r="Z606" t="b">
        <v>1</v>
      </c>
      <c r="AA606" t="b">
        <v>1</v>
      </c>
      <c r="AB606" t="s">
        <v>5699</v>
      </c>
      <c r="AC606" t="s">
        <v>8137</v>
      </c>
    </row>
    <row r="607" spans="1:29" x14ac:dyDescent="0.3">
      <c r="A607">
        <v>-73.966673159999999</v>
      </c>
      <c r="B607">
        <v>40.78318565</v>
      </c>
      <c r="C607" t="s">
        <v>218</v>
      </c>
      <c r="D607" t="s">
        <v>38</v>
      </c>
      <c r="E607" s="58">
        <v>43384</v>
      </c>
      <c r="F607">
        <v>12</v>
      </c>
      <c r="G607" t="s">
        <v>3842</v>
      </c>
      <c r="H607" t="s">
        <v>176</v>
      </c>
      <c r="I607" t="s">
        <v>5105</v>
      </c>
      <c r="J607" t="s">
        <v>5106</v>
      </c>
      <c r="K607" t="s">
        <v>2362</v>
      </c>
      <c r="L607" t="s">
        <v>44</v>
      </c>
      <c r="M607">
        <v>6</v>
      </c>
      <c r="N607" t="s">
        <v>405</v>
      </c>
      <c r="O607" t="b">
        <v>1</v>
      </c>
      <c r="P607" t="b">
        <v>1</v>
      </c>
      <c r="Q607" t="b">
        <v>1</v>
      </c>
      <c r="R607" t="b">
        <v>1</v>
      </c>
      <c r="S607" t="b">
        <v>1</v>
      </c>
      <c r="T607" t="b">
        <v>1</v>
      </c>
      <c r="U607" t="b">
        <v>1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1</v>
      </c>
      <c r="AB607" t="s">
        <v>6268</v>
      </c>
      <c r="AC607" t="s">
        <v>8138</v>
      </c>
    </row>
    <row r="608" spans="1:29" x14ac:dyDescent="0.3">
      <c r="A608">
        <v>-73.97467211</v>
      </c>
      <c r="B608">
        <v>40.767291159999999</v>
      </c>
      <c r="C608" t="s">
        <v>82</v>
      </c>
      <c r="D608" t="s">
        <v>38</v>
      </c>
      <c r="E608" s="58">
        <v>43393</v>
      </c>
      <c r="F608">
        <v>16</v>
      </c>
      <c r="G608" t="s">
        <v>3842</v>
      </c>
      <c r="H608" t="s">
        <v>53</v>
      </c>
      <c r="I608" t="s">
        <v>148</v>
      </c>
      <c r="J608" t="s">
        <v>43</v>
      </c>
      <c r="K608" t="s">
        <v>1558</v>
      </c>
      <c r="L608" t="s">
        <v>65</v>
      </c>
      <c r="M608" t="b">
        <v>0</v>
      </c>
      <c r="N608" t="s">
        <v>1016</v>
      </c>
      <c r="O608" t="b">
        <v>1</v>
      </c>
      <c r="P608" t="b">
        <v>1</v>
      </c>
      <c r="Q608" t="b">
        <v>1</v>
      </c>
      <c r="R608" t="b">
        <v>1</v>
      </c>
      <c r="S608" t="b">
        <v>0</v>
      </c>
      <c r="T608" t="b">
        <v>1</v>
      </c>
      <c r="U608" t="b">
        <v>0</v>
      </c>
      <c r="V608" t="b">
        <v>1</v>
      </c>
      <c r="W608" t="b">
        <v>0</v>
      </c>
      <c r="X608" t="b">
        <v>0</v>
      </c>
      <c r="Y608" t="b">
        <v>1</v>
      </c>
      <c r="Z608" t="b">
        <v>0</v>
      </c>
      <c r="AA608" t="b">
        <v>1</v>
      </c>
      <c r="AB608" t="s">
        <v>295</v>
      </c>
      <c r="AC608" t="s">
        <v>8139</v>
      </c>
    </row>
    <row r="609" spans="1:29" x14ac:dyDescent="0.3">
      <c r="A609">
        <v>-73.969707099999994</v>
      </c>
      <c r="B609">
        <v>40.793089500000001</v>
      </c>
      <c r="C609" t="s">
        <v>320</v>
      </c>
      <c r="D609" t="s">
        <v>33</v>
      </c>
      <c r="E609" s="58">
        <v>43384</v>
      </c>
      <c r="F609">
        <v>17</v>
      </c>
      <c r="G609" t="s">
        <v>48</v>
      </c>
      <c r="H609" t="s">
        <v>42</v>
      </c>
      <c r="I609" t="s">
        <v>42</v>
      </c>
      <c r="J609" t="s">
        <v>116</v>
      </c>
      <c r="K609" t="s">
        <v>6166</v>
      </c>
      <c r="L609" t="s">
        <v>44</v>
      </c>
      <c r="M609">
        <v>15</v>
      </c>
      <c r="N609" t="s">
        <v>2902</v>
      </c>
      <c r="O609" t="b">
        <v>1</v>
      </c>
      <c r="P609" t="b">
        <v>1</v>
      </c>
      <c r="Q609" t="b">
        <v>0</v>
      </c>
      <c r="R609" t="b">
        <v>0</v>
      </c>
      <c r="S609" t="b">
        <v>1</v>
      </c>
      <c r="T609" t="b">
        <v>1</v>
      </c>
      <c r="U609" t="b">
        <v>0</v>
      </c>
      <c r="V609" t="b">
        <v>1</v>
      </c>
      <c r="W609" t="b">
        <v>1</v>
      </c>
      <c r="X609" t="b">
        <v>1</v>
      </c>
      <c r="Y609" t="b">
        <v>1</v>
      </c>
      <c r="Z609" t="b">
        <v>1</v>
      </c>
      <c r="AA609" t="b">
        <v>1</v>
      </c>
      <c r="AB609" t="s">
        <v>3104</v>
      </c>
      <c r="AC609" t="s">
        <v>8140</v>
      </c>
    </row>
    <row r="610" spans="1:29" x14ac:dyDescent="0.3">
      <c r="A610">
        <v>-73.965332750000002</v>
      </c>
      <c r="B610">
        <v>40.77313917</v>
      </c>
      <c r="C610" t="s">
        <v>100</v>
      </c>
      <c r="D610" t="s">
        <v>33</v>
      </c>
      <c r="E610" s="58">
        <v>43386</v>
      </c>
      <c r="F610">
        <v>13</v>
      </c>
      <c r="G610" t="s">
        <v>105</v>
      </c>
      <c r="H610" t="s">
        <v>53</v>
      </c>
      <c r="I610" t="s">
        <v>115</v>
      </c>
      <c r="J610" t="s">
        <v>149</v>
      </c>
      <c r="K610" t="s">
        <v>2362</v>
      </c>
      <c r="L610" t="s">
        <v>65</v>
      </c>
      <c r="M610" t="b">
        <v>0</v>
      </c>
      <c r="N610" t="s">
        <v>589</v>
      </c>
      <c r="O610" t="b">
        <v>0</v>
      </c>
      <c r="P610" t="b">
        <v>0</v>
      </c>
      <c r="Q610" t="b">
        <v>1</v>
      </c>
      <c r="R610" t="b">
        <v>0</v>
      </c>
      <c r="S610" t="b">
        <v>1</v>
      </c>
      <c r="T610" t="b">
        <v>0</v>
      </c>
      <c r="U610" t="b">
        <v>0</v>
      </c>
      <c r="V610" t="b">
        <v>1</v>
      </c>
      <c r="W610" t="b">
        <v>1</v>
      </c>
      <c r="X610" t="b">
        <v>0</v>
      </c>
      <c r="Y610" t="b">
        <v>0</v>
      </c>
      <c r="Z610" t="b">
        <v>0</v>
      </c>
      <c r="AA610" t="b">
        <v>0</v>
      </c>
      <c r="AB610" t="s">
        <v>3888</v>
      </c>
      <c r="AC610" t="s">
        <v>8141</v>
      </c>
    </row>
    <row r="611" spans="1:29" x14ac:dyDescent="0.3">
      <c r="A611">
        <v>-73.959454769999994</v>
      </c>
      <c r="B611">
        <v>40.78392333</v>
      </c>
      <c r="C611" t="s">
        <v>764</v>
      </c>
      <c r="D611" t="s">
        <v>38</v>
      </c>
      <c r="E611" s="58">
        <v>43390</v>
      </c>
      <c r="F611">
        <v>23</v>
      </c>
      <c r="G611" t="s">
        <v>48</v>
      </c>
      <c r="H611" t="s">
        <v>53</v>
      </c>
      <c r="I611" t="s">
        <v>42</v>
      </c>
      <c r="J611" t="s">
        <v>1142</v>
      </c>
      <c r="K611" t="s">
        <v>2311</v>
      </c>
      <c r="L611" t="s">
        <v>65</v>
      </c>
      <c r="M611" t="b">
        <v>0</v>
      </c>
      <c r="N611" t="s">
        <v>982</v>
      </c>
      <c r="O611" t="b">
        <v>1</v>
      </c>
      <c r="P611" t="b">
        <v>1</v>
      </c>
      <c r="Q611" t="b">
        <v>0</v>
      </c>
      <c r="R611" t="b">
        <v>0</v>
      </c>
      <c r="S611" t="b">
        <v>0</v>
      </c>
      <c r="T611" t="b">
        <v>1</v>
      </c>
      <c r="U611" t="b">
        <v>0</v>
      </c>
      <c r="V611" t="b">
        <v>0</v>
      </c>
      <c r="W611" t="b">
        <v>1</v>
      </c>
      <c r="X611" t="b">
        <v>0</v>
      </c>
      <c r="Y611" t="b">
        <v>1</v>
      </c>
      <c r="Z611" t="b">
        <v>0</v>
      </c>
      <c r="AA611" t="b">
        <v>1</v>
      </c>
      <c r="AB611" t="s">
        <v>5330</v>
      </c>
      <c r="AC611" t="s">
        <v>8142</v>
      </c>
    </row>
    <row r="612" spans="1:29" x14ac:dyDescent="0.3">
      <c r="A612">
        <v>-73.979922729999998</v>
      </c>
      <c r="B612">
        <v>40.79589636</v>
      </c>
      <c r="C612" t="s">
        <v>796</v>
      </c>
      <c r="D612" t="s">
        <v>33</v>
      </c>
      <c r="E612" s="58">
        <v>43383</v>
      </c>
      <c r="F612">
        <v>14</v>
      </c>
      <c r="G612" t="s">
        <v>3842</v>
      </c>
      <c r="H612" t="s">
        <v>176</v>
      </c>
      <c r="I612" t="s">
        <v>53</v>
      </c>
      <c r="J612" t="s">
        <v>43</v>
      </c>
      <c r="K612" t="s">
        <v>2927</v>
      </c>
      <c r="L612" t="s">
        <v>44</v>
      </c>
      <c r="M612">
        <v>6</v>
      </c>
      <c r="N612" t="s">
        <v>6476</v>
      </c>
      <c r="O612" t="b">
        <v>0</v>
      </c>
      <c r="P612" t="b">
        <v>1</v>
      </c>
      <c r="Q612" t="b">
        <v>0</v>
      </c>
      <c r="R612" t="b">
        <v>1</v>
      </c>
      <c r="S612" t="b">
        <v>1</v>
      </c>
      <c r="T612" t="b">
        <v>0</v>
      </c>
      <c r="U612" t="b">
        <v>0</v>
      </c>
      <c r="V612" t="b">
        <v>1</v>
      </c>
      <c r="W612" t="b">
        <v>0</v>
      </c>
      <c r="X612" t="b">
        <v>0</v>
      </c>
      <c r="Y612" t="b">
        <v>1</v>
      </c>
      <c r="Z612" t="b">
        <v>0</v>
      </c>
      <c r="AA612" t="b">
        <v>0</v>
      </c>
      <c r="AB612" t="s">
        <v>4407</v>
      </c>
      <c r="AC612" t="s">
        <v>8143</v>
      </c>
    </row>
    <row r="613" spans="1:29" x14ac:dyDescent="0.3">
      <c r="A613">
        <v>-73.956027669999997</v>
      </c>
      <c r="B613">
        <v>40.78782666</v>
      </c>
      <c r="C613" t="s">
        <v>2654</v>
      </c>
      <c r="D613" t="s">
        <v>38</v>
      </c>
      <c r="E613" s="58">
        <v>43392</v>
      </c>
      <c r="F613">
        <v>29</v>
      </c>
      <c r="G613" t="s">
        <v>105</v>
      </c>
      <c r="H613" t="s">
        <v>42</v>
      </c>
      <c r="I613" t="s">
        <v>176</v>
      </c>
      <c r="J613" t="s">
        <v>89</v>
      </c>
      <c r="K613" t="s">
        <v>4069</v>
      </c>
      <c r="L613" t="s">
        <v>44</v>
      </c>
      <c r="M613">
        <v>12</v>
      </c>
      <c r="N613" t="s">
        <v>140</v>
      </c>
      <c r="O613" t="b">
        <v>1</v>
      </c>
      <c r="P613" t="b">
        <v>1</v>
      </c>
      <c r="Q613" t="b">
        <v>1</v>
      </c>
      <c r="R613" t="b">
        <v>1</v>
      </c>
      <c r="S613" t="b">
        <v>1</v>
      </c>
      <c r="T613" t="b">
        <v>1</v>
      </c>
      <c r="U613" t="b">
        <v>1</v>
      </c>
      <c r="V613" t="b">
        <v>0</v>
      </c>
      <c r="W613" t="b">
        <v>1</v>
      </c>
      <c r="X613" t="b">
        <v>1</v>
      </c>
      <c r="Y613" t="b">
        <v>0</v>
      </c>
      <c r="Z613" t="b">
        <v>0</v>
      </c>
      <c r="AA613" t="b">
        <v>0</v>
      </c>
      <c r="AB613" t="s">
        <v>5733</v>
      </c>
      <c r="AC613" t="s">
        <v>8144</v>
      </c>
    </row>
    <row r="614" spans="1:29" x14ac:dyDescent="0.3">
      <c r="A614">
        <v>-73.961419390000003</v>
      </c>
      <c r="B614">
        <v>40.78367497</v>
      </c>
      <c r="C614" t="s">
        <v>517</v>
      </c>
      <c r="D614" t="s">
        <v>38</v>
      </c>
      <c r="E614" s="58">
        <v>43381</v>
      </c>
      <c r="F614">
        <v>7</v>
      </c>
      <c r="G614" t="s">
        <v>105</v>
      </c>
      <c r="H614" t="s">
        <v>53</v>
      </c>
      <c r="I614" t="s">
        <v>96</v>
      </c>
      <c r="J614" t="s">
        <v>5106</v>
      </c>
      <c r="K614" t="s">
        <v>5933</v>
      </c>
      <c r="L614" t="s">
        <v>65</v>
      </c>
      <c r="M614" t="b">
        <v>0</v>
      </c>
      <c r="N614" t="s">
        <v>6242</v>
      </c>
      <c r="O614" t="b">
        <v>0</v>
      </c>
      <c r="P614" t="b">
        <v>1</v>
      </c>
      <c r="Q614" t="b">
        <v>0</v>
      </c>
      <c r="R614" t="b">
        <v>0</v>
      </c>
      <c r="S614" t="b">
        <v>1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1</v>
      </c>
      <c r="Z614" t="b">
        <v>0</v>
      </c>
      <c r="AA614" t="b">
        <v>0</v>
      </c>
      <c r="AB614" t="s">
        <v>743</v>
      </c>
      <c r="AC614" t="s">
        <v>8145</v>
      </c>
    </row>
    <row r="615" spans="1:29" x14ac:dyDescent="0.3">
      <c r="A615">
        <v>-73.978588340000002</v>
      </c>
      <c r="B615">
        <v>40.776329760000003</v>
      </c>
      <c r="C615" t="s">
        <v>1404</v>
      </c>
      <c r="D615" t="s">
        <v>33</v>
      </c>
      <c r="E615" s="58">
        <v>43390</v>
      </c>
      <c r="F615">
        <v>14</v>
      </c>
      <c r="G615" t="s">
        <v>105</v>
      </c>
      <c r="H615" t="s">
        <v>176</v>
      </c>
      <c r="I615" t="s">
        <v>176</v>
      </c>
      <c r="J615" t="s">
        <v>116</v>
      </c>
      <c r="K615" t="s">
        <v>672</v>
      </c>
      <c r="L615" t="s">
        <v>44</v>
      </c>
      <c r="M615">
        <v>40</v>
      </c>
      <c r="N615" t="s">
        <v>359</v>
      </c>
      <c r="O615" t="b">
        <v>1</v>
      </c>
      <c r="P615" t="b">
        <v>0</v>
      </c>
      <c r="Q615" t="b">
        <v>1</v>
      </c>
      <c r="R615" t="b">
        <v>1</v>
      </c>
      <c r="S615" t="b">
        <v>0</v>
      </c>
      <c r="T615" t="b">
        <v>0</v>
      </c>
      <c r="U615" t="b">
        <v>1</v>
      </c>
      <c r="V615" t="b">
        <v>1</v>
      </c>
      <c r="W615" t="b">
        <v>1</v>
      </c>
      <c r="X615" t="b">
        <v>0</v>
      </c>
      <c r="Y615" t="b">
        <v>0</v>
      </c>
      <c r="Z615" t="b">
        <v>1</v>
      </c>
      <c r="AA615" t="b">
        <v>0</v>
      </c>
      <c r="AB615" t="s">
        <v>6579</v>
      </c>
      <c r="AC615" t="s">
        <v>8146</v>
      </c>
    </row>
    <row r="616" spans="1:29" x14ac:dyDescent="0.3">
      <c r="A616">
        <v>-73.953696050000005</v>
      </c>
      <c r="B616">
        <v>40.776634950000002</v>
      </c>
      <c r="C616" t="s">
        <v>2803</v>
      </c>
      <c r="D616" t="s">
        <v>38</v>
      </c>
      <c r="E616" s="58">
        <v>43381</v>
      </c>
      <c r="F616">
        <v>15</v>
      </c>
      <c r="G616" t="s">
        <v>3842</v>
      </c>
      <c r="H616" t="s">
        <v>53</v>
      </c>
      <c r="I616" t="s">
        <v>42</v>
      </c>
      <c r="J616" t="s">
        <v>79</v>
      </c>
      <c r="K616" t="s">
        <v>4477</v>
      </c>
      <c r="L616" t="s">
        <v>65</v>
      </c>
      <c r="M616" t="b">
        <v>0</v>
      </c>
      <c r="N616" t="s">
        <v>1985</v>
      </c>
      <c r="O616" t="b">
        <v>0</v>
      </c>
      <c r="P616" t="b">
        <v>0</v>
      </c>
      <c r="Q616" t="b">
        <v>1</v>
      </c>
      <c r="R616" t="b">
        <v>1</v>
      </c>
      <c r="S616" t="b">
        <v>0</v>
      </c>
      <c r="T616" t="b">
        <v>1</v>
      </c>
      <c r="U616" t="b">
        <v>1</v>
      </c>
      <c r="V616" t="b">
        <v>1</v>
      </c>
      <c r="W616" t="b">
        <v>1</v>
      </c>
      <c r="X616" t="b">
        <v>1</v>
      </c>
      <c r="Y616" t="b">
        <v>1</v>
      </c>
      <c r="Z616" t="b">
        <v>1</v>
      </c>
      <c r="AA616" t="b">
        <v>0</v>
      </c>
      <c r="AB616" t="s">
        <v>1637</v>
      </c>
      <c r="AC616" t="s">
        <v>8147</v>
      </c>
    </row>
    <row r="617" spans="1:29" x14ac:dyDescent="0.3">
      <c r="A617">
        <v>-73.952209289999999</v>
      </c>
      <c r="B617">
        <v>40.788481859999997</v>
      </c>
      <c r="C617" t="s">
        <v>320</v>
      </c>
      <c r="D617" t="s">
        <v>33</v>
      </c>
      <c r="E617" s="58">
        <v>43391</v>
      </c>
      <c r="F617">
        <v>12</v>
      </c>
      <c r="G617" t="s">
        <v>105</v>
      </c>
      <c r="H617" t="s">
        <v>53</v>
      </c>
      <c r="I617" t="s">
        <v>115</v>
      </c>
      <c r="J617" t="s">
        <v>149</v>
      </c>
      <c r="K617" t="s">
        <v>3758</v>
      </c>
      <c r="L617" t="s">
        <v>44</v>
      </c>
      <c r="M617">
        <v>10</v>
      </c>
      <c r="N617" t="s">
        <v>2877</v>
      </c>
      <c r="O617" t="b">
        <v>1</v>
      </c>
      <c r="P617" t="b">
        <v>1</v>
      </c>
      <c r="Q617" t="b">
        <v>0</v>
      </c>
      <c r="R617" t="b">
        <v>1</v>
      </c>
      <c r="S617" t="b">
        <v>1</v>
      </c>
      <c r="T617" t="b">
        <v>1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1</v>
      </c>
      <c r="AA617" t="b">
        <v>1</v>
      </c>
      <c r="AB617" t="s">
        <v>6579</v>
      </c>
      <c r="AC617" t="s">
        <v>8148</v>
      </c>
    </row>
    <row r="618" spans="1:29" x14ac:dyDescent="0.3">
      <c r="A618">
        <v>-73.979238480000006</v>
      </c>
      <c r="B618">
        <v>40.79991218</v>
      </c>
      <c r="C618" t="s">
        <v>1000</v>
      </c>
      <c r="D618" t="s">
        <v>33</v>
      </c>
      <c r="E618" s="58">
        <v>43384</v>
      </c>
      <c r="F618">
        <v>17</v>
      </c>
      <c r="G618" t="s">
        <v>105</v>
      </c>
      <c r="H618" t="s">
        <v>176</v>
      </c>
      <c r="I618" t="s">
        <v>115</v>
      </c>
      <c r="J618" t="s">
        <v>34</v>
      </c>
      <c r="K618" t="s">
        <v>4069</v>
      </c>
      <c r="L618" t="s">
        <v>44</v>
      </c>
      <c r="M618">
        <v>40</v>
      </c>
      <c r="N618" t="s">
        <v>7250</v>
      </c>
      <c r="O618" t="b">
        <v>1</v>
      </c>
      <c r="P618" t="b">
        <v>0</v>
      </c>
      <c r="Q618" t="b">
        <v>1</v>
      </c>
      <c r="R618" t="b">
        <v>1</v>
      </c>
      <c r="S618" t="b">
        <v>1</v>
      </c>
      <c r="T618" t="b">
        <v>1</v>
      </c>
      <c r="U618" t="b">
        <v>1</v>
      </c>
      <c r="V618" t="b">
        <v>0</v>
      </c>
      <c r="W618" t="b">
        <v>1</v>
      </c>
      <c r="X618" t="b">
        <v>1</v>
      </c>
      <c r="Y618" t="b">
        <v>1</v>
      </c>
      <c r="Z618" t="b">
        <v>1</v>
      </c>
      <c r="AA618" t="b">
        <v>0</v>
      </c>
      <c r="AB618" t="s">
        <v>5392</v>
      </c>
      <c r="AC618" t="s">
        <v>8149</v>
      </c>
    </row>
    <row r="619" spans="1:29" x14ac:dyDescent="0.3">
      <c r="A619">
        <v>-73.972454429999999</v>
      </c>
      <c r="B619">
        <v>40.788212600000001</v>
      </c>
      <c r="C619" t="s">
        <v>1578</v>
      </c>
      <c r="D619" t="s">
        <v>38</v>
      </c>
      <c r="E619" s="58">
        <v>43380</v>
      </c>
      <c r="F619">
        <v>9</v>
      </c>
      <c r="G619" t="s">
        <v>48</v>
      </c>
      <c r="H619" t="s">
        <v>176</v>
      </c>
      <c r="I619" t="s">
        <v>59</v>
      </c>
      <c r="J619" t="s">
        <v>149</v>
      </c>
      <c r="K619" t="s">
        <v>4742</v>
      </c>
      <c r="L619" t="s">
        <v>44</v>
      </c>
      <c r="M619">
        <v>25</v>
      </c>
      <c r="N619" t="s">
        <v>2865</v>
      </c>
      <c r="O619" t="b">
        <v>1</v>
      </c>
      <c r="P619" t="b">
        <v>1</v>
      </c>
      <c r="Q619" t="b">
        <v>1</v>
      </c>
      <c r="R619" t="b">
        <v>0</v>
      </c>
      <c r="S619" t="b">
        <v>0</v>
      </c>
      <c r="T619" t="b">
        <v>1</v>
      </c>
      <c r="U619" t="b">
        <v>1</v>
      </c>
      <c r="V619" t="b">
        <v>1</v>
      </c>
      <c r="W619" t="b">
        <v>1</v>
      </c>
      <c r="X619" t="b">
        <v>1</v>
      </c>
      <c r="Y619" t="b">
        <v>1</v>
      </c>
      <c r="Z619" t="b">
        <v>1</v>
      </c>
      <c r="AA619" t="b">
        <v>0</v>
      </c>
      <c r="AB619" t="s">
        <v>2194</v>
      </c>
      <c r="AC619" t="s">
        <v>8150</v>
      </c>
    </row>
    <row r="620" spans="1:29" x14ac:dyDescent="0.3">
      <c r="A620">
        <v>-73.955814180000004</v>
      </c>
      <c r="B620">
        <v>40.78454902</v>
      </c>
      <c r="C620" t="s">
        <v>1326</v>
      </c>
      <c r="D620" t="s">
        <v>33</v>
      </c>
      <c r="E620" s="58">
        <v>43384</v>
      </c>
      <c r="F620">
        <v>22</v>
      </c>
      <c r="G620" t="s">
        <v>48</v>
      </c>
      <c r="H620" t="s">
        <v>42</v>
      </c>
      <c r="I620" t="s">
        <v>5105</v>
      </c>
      <c r="J620" t="s">
        <v>155</v>
      </c>
      <c r="K620" t="s">
        <v>7072</v>
      </c>
      <c r="L620" t="s">
        <v>44</v>
      </c>
      <c r="M620">
        <v>15</v>
      </c>
      <c r="N620" t="s">
        <v>706</v>
      </c>
      <c r="O620" t="b">
        <v>1</v>
      </c>
      <c r="P620" t="b">
        <v>1</v>
      </c>
      <c r="Q620" t="b">
        <v>0</v>
      </c>
      <c r="R620" t="b">
        <v>0</v>
      </c>
      <c r="S620" t="b">
        <v>0</v>
      </c>
      <c r="T620" t="b">
        <v>1</v>
      </c>
      <c r="U620" t="b">
        <v>0</v>
      </c>
      <c r="V620" t="b">
        <v>1</v>
      </c>
      <c r="W620" t="b">
        <v>1</v>
      </c>
      <c r="X620" t="b">
        <v>1</v>
      </c>
      <c r="Y620" t="b">
        <v>0</v>
      </c>
      <c r="Z620" t="b">
        <v>1</v>
      </c>
      <c r="AA620" t="b">
        <v>1</v>
      </c>
      <c r="AB620" t="s">
        <v>3672</v>
      </c>
      <c r="AC620" t="s">
        <v>8151</v>
      </c>
    </row>
    <row r="621" spans="1:29" x14ac:dyDescent="0.3">
      <c r="A621">
        <v>-73.957635679999996</v>
      </c>
      <c r="B621">
        <v>40.790635299999998</v>
      </c>
      <c r="C621" t="s">
        <v>486</v>
      </c>
      <c r="D621" t="s">
        <v>38</v>
      </c>
      <c r="E621" s="58">
        <v>43391</v>
      </c>
      <c r="F621">
        <v>15</v>
      </c>
      <c r="G621" t="s">
        <v>105</v>
      </c>
      <c r="H621" t="s">
        <v>53</v>
      </c>
      <c r="I621" t="s">
        <v>59</v>
      </c>
      <c r="J621" t="s">
        <v>60</v>
      </c>
      <c r="K621" t="s">
        <v>4237</v>
      </c>
      <c r="L621" t="s">
        <v>65</v>
      </c>
      <c r="M621" t="b">
        <v>0</v>
      </c>
      <c r="N621" t="s">
        <v>6476</v>
      </c>
      <c r="O621" t="b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1</v>
      </c>
      <c r="X621" t="b">
        <v>0</v>
      </c>
      <c r="Y621" t="b">
        <v>1</v>
      </c>
      <c r="Z621" t="b">
        <v>0</v>
      </c>
      <c r="AA621" t="b">
        <v>0</v>
      </c>
      <c r="AB621" t="s">
        <v>3274</v>
      </c>
      <c r="AC621" t="s">
        <v>8152</v>
      </c>
    </row>
    <row r="622" spans="1:29" x14ac:dyDescent="0.3">
      <c r="A622">
        <v>-73.975357829999993</v>
      </c>
      <c r="B622">
        <v>40.781289559999998</v>
      </c>
      <c r="C622" t="s">
        <v>343</v>
      </c>
      <c r="D622" t="s">
        <v>33</v>
      </c>
      <c r="E622" s="58">
        <v>43384</v>
      </c>
      <c r="F622">
        <v>12</v>
      </c>
      <c r="G622" t="s">
        <v>105</v>
      </c>
      <c r="H622" t="s">
        <v>176</v>
      </c>
      <c r="I622" t="s">
        <v>96</v>
      </c>
      <c r="J622" t="s">
        <v>54</v>
      </c>
      <c r="K622" t="s">
        <v>5038</v>
      </c>
      <c r="L622" t="s">
        <v>65</v>
      </c>
      <c r="M622" t="b">
        <v>0</v>
      </c>
      <c r="N622" t="s">
        <v>487</v>
      </c>
      <c r="O622" t="b">
        <v>0</v>
      </c>
      <c r="P622" t="b">
        <v>1</v>
      </c>
      <c r="Q622" t="b">
        <v>1</v>
      </c>
      <c r="R622" t="b">
        <v>1</v>
      </c>
      <c r="S622" t="b">
        <v>1</v>
      </c>
      <c r="T622" t="b">
        <v>1</v>
      </c>
      <c r="U622" t="b">
        <v>0</v>
      </c>
      <c r="V622" t="b">
        <v>1</v>
      </c>
      <c r="W622" t="b">
        <v>1</v>
      </c>
      <c r="X622" t="b">
        <v>0</v>
      </c>
      <c r="Y622" t="b">
        <v>0</v>
      </c>
      <c r="Z622" t="b">
        <v>1</v>
      </c>
      <c r="AA622" t="b">
        <v>1</v>
      </c>
      <c r="AB622" t="s">
        <v>2402</v>
      </c>
      <c r="AC622" t="s">
        <v>8153</v>
      </c>
    </row>
    <row r="623" spans="1:29" x14ac:dyDescent="0.3">
      <c r="A623">
        <v>-73.974577310000001</v>
      </c>
      <c r="B623">
        <v>40.767028150000002</v>
      </c>
      <c r="C623" t="s">
        <v>1240</v>
      </c>
      <c r="D623" t="s">
        <v>33</v>
      </c>
      <c r="E623" s="58">
        <v>43386</v>
      </c>
      <c r="F623">
        <v>2</v>
      </c>
      <c r="G623" t="s">
        <v>48</v>
      </c>
      <c r="H623" t="s">
        <v>176</v>
      </c>
      <c r="I623" t="s">
        <v>96</v>
      </c>
      <c r="J623" t="s">
        <v>155</v>
      </c>
      <c r="K623" t="s">
        <v>3859</v>
      </c>
      <c r="L623" t="s">
        <v>65</v>
      </c>
      <c r="M623" t="b">
        <v>0</v>
      </c>
      <c r="N623" t="s">
        <v>1263</v>
      </c>
      <c r="O623" t="b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b">
        <v>1</v>
      </c>
      <c r="V623" t="b">
        <v>1</v>
      </c>
      <c r="W623" t="b">
        <v>0</v>
      </c>
      <c r="X623" t="b">
        <v>0</v>
      </c>
      <c r="Y623" t="b">
        <v>0</v>
      </c>
      <c r="Z623" t="b">
        <v>0</v>
      </c>
      <c r="AA623" t="b">
        <v>1</v>
      </c>
      <c r="AB623" t="s">
        <v>5399</v>
      </c>
      <c r="AC623" t="s">
        <v>8154</v>
      </c>
    </row>
    <row r="624" spans="1:29" x14ac:dyDescent="0.3">
      <c r="A624">
        <v>-73.969512120000005</v>
      </c>
      <c r="B624">
        <v>40.784707930000003</v>
      </c>
      <c r="C624" t="s">
        <v>1133</v>
      </c>
      <c r="D624" t="s">
        <v>33</v>
      </c>
      <c r="E624" s="58">
        <v>43385</v>
      </c>
      <c r="F624">
        <v>5</v>
      </c>
      <c r="G624" t="s">
        <v>48</v>
      </c>
      <c r="H624" t="s">
        <v>42</v>
      </c>
      <c r="I624" t="s">
        <v>96</v>
      </c>
      <c r="J624" t="s">
        <v>738</v>
      </c>
      <c r="K624" t="s">
        <v>4742</v>
      </c>
      <c r="L624" t="s">
        <v>44</v>
      </c>
      <c r="M624">
        <v>40</v>
      </c>
      <c r="N624" t="s">
        <v>4688</v>
      </c>
      <c r="O624" t="b">
        <v>0</v>
      </c>
      <c r="P624" t="b">
        <v>0</v>
      </c>
      <c r="Q624" t="b">
        <v>0</v>
      </c>
      <c r="R624" t="b">
        <v>1</v>
      </c>
      <c r="S624" t="b">
        <v>1</v>
      </c>
      <c r="T624" t="b">
        <v>0</v>
      </c>
      <c r="U624" t="b">
        <v>0</v>
      </c>
      <c r="V624" t="b">
        <v>1</v>
      </c>
      <c r="W624" t="b">
        <v>1</v>
      </c>
      <c r="X624" t="b">
        <v>0</v>
      </c>
      <c r="Y624" t="b">
        <v>0</v>
      </c>
      <c r="Z624" t="b">
        <v>0</v>
      </c>
      <c r="AA624" t="b">
        <v>1</v>
      </c>
      <c r="AB624" t="s">
        <v>2459</v>
      </c>
      <c r="AC624" t="s">
        <v>8155</v>
      </c>
    </row>
    <row r="625" spans="1:29" x14ac:dyDescent="0.3">
      <c r="A625">
        <v>-73.965926719999999</v>
      </c>
      <c r="B625">
        <v>40.798626599999999</v>
      </c>
      <c r="C625" t="s">
        <v>1063</v>
      </c>
      <c r="D625" t="s">
        <v>38</v>
      </c>
      <c r="E625" s="58">
        <v>43386</v>
      </c>
      <c r="F625">
        <v>13</v>
      </c>
      <c r="G625" t="s">
        <v>48</v>
      </c>
      <c r="H625" t="s">
        <v>42</v>
      </c>
      <c r="I625" t="s">
        <v>148</v>
      </c>
      <c r="J625" t="s">
        <v>177</v>
      </c>
      <c r="K625" t="s">
        <v>3318</v>
      </c>
      <c r="L625" t="s">
        <v>65</v>
      </c>
      <c r="M625" t="b">
        <v>0</v>
      </c>
      <c r="N625" t="s">
        <v>3239</v>
      </c>
      <c r="O625" t="b">
        <v>0</v>
      </c>
      <c r="P625" t="b">
        <v>1</v>
      </c>
      <c r="Q625" t="b">
        <v>0</v>
      </c>
      <c r="R625" t="b">
        <v>1</v>
      </c>
      <c r="S625" t="b">
        <v>0</v>
      </c>
      <c r="T625" t="b">
        <v>0</v>
      </c>
      <c r="U625" t="b">
        <v>0</v>
      </c>
      <c r="V625" t="b">
        <v>1</v>
      </c>
      <c r="W625" t="b">
        <v>0</v>
      </c>
      <c r="X625" t="b">
        <v>0</v>
      </c>
      <c r="Y625" t="b">
        <v>0</v>
      </c>
      <c r="Z625" t="b">
        <v>1</v>
      </c>
      <c r="AA625" t="b">
        <v>1</v>
      </c>
      <c r="AB625" t="s">
        <v>5392</v>
      </c>
      <c r="AC625" t="s">
        <v>8156</v>
      </c>
    </row>
    <row r="626" spans="1:29" x14ac:dyDescent="0.3">
      <c r="A626">
        <v>-73.961722620000003</v>
      </c>
      <c r="B626">
        <v>40.771082710000002</v>
      </c>
      <c r="C626" t="s">
        <v>1574</v>
      </c>
      <c r="D626" t="s">
        <v>33</v>
      </c>
      <c r="E626" s="58">
        <v>43392</v>
      </c>
      <c r="F626">
        <v>27</v>
      </c>
      <c r="G626" t="s">
        <v>3842</v>
      </c>
      <c r="H626" t="s">
        <v>176</v>
      </c>
      <c r="I626" t="s">
        <v>59</v>
      </c>
      <c r="J626" t="s">
        <v>705</v>
      </c>
      <c r="K626" t="s">
        <v>1785</v>
      </c>
      <c r="L626" t="s">
        <v>65</v>
      </c>
      <c r="M626" t="b">
        <v>0</v>
      </c>
      <c r="N626" t="s">
        <v>6570</v>
      </c>
      <c r="O626" t="b">
        <v>1</v>
      </c>
      <c r="P626" t="b">
        <v>1</v>
      </c>
      <c r="Q626" t="b">
        <v>0</v>
      </c>
      <c r="R626" t="b">
        <v>0</v>
      </c>
      <c r="S626" t="b">
        <v>1</v>
      </c>
      <c r="T626" t="b">
        <v>1</v>
      </c>
      <c r="U626" t="b">
        <v>1</v>
      </c>
      <c r="V626" t="b">
        <v>0</v>
      </c>
      <c r="W626" t="b">
        <v>1</v>
      </c>
      <c r="X626" t="b">
        <v>0</v>
      </c>
      <c r="Y626" t="b">
        <v>1</v>
      </c>
      <c r="Z626" t="b">
        <v>1</v>
      </c>
      <c r="AA626" t="b">
        <v>1</v>
      </c>
      <c r="AB626" t="s">
        <v>5638</v>
      </c>
      <c r="AC626" t="s">
        <v>8157</v>
      </c>
    </row>
    <row r="627" spans="1:29" x14ac:dyDescent="0.3">
      <c r="A627">
        <v>-73.969561110000001</v>
      </c>
      <c r="B627">
        <v>40.789204259999998</v>
      </c>
      <c r="C627" t="s">
        <v>1439</v>
      </c>
      <c r="D627" t="s">
        <v>38</v>
      </c>
      <c r="E627" s="58">
        <v>43387</v>
      </c>
      <c r="F627">
        <v>20</v>
      </c>
      <c r="G627" t="s">
        <v>3842</v>
      </c>
      <c r="H627" t="s">
        <v>42</v>
      </c>
      <c r="I627" t="s">
        <v>148</v>
      </c>
      <c r="J627" t="s">
        <v>89</v>
      </c>
      <c r="K627" t="s">
        <v>3887</v>
      </c>
      <c r="L627" t="s">
        <v>65</v>
      </c>
      <c r="M627" t="b">
        <v>0</v>
      </c>
      <c r="N627" t="s">
        <v>4576</v>
      </c>
      <c r="O627" t="b">
        <v>0</v>
      </c>
      <c r="P627" t="b">
        <v>0</v>
      </c>
      <c r="Q627" t="b">
        <v>1</v>
      </c>
      <c r="R627" t="b">
        <v>1</v>
      </c>
      <c r="S627" t="b">
        <v>0</v>
      </c>
      <c r="T627" t="b">
        <v>1</v>
      </c>
      <c r="U627" t="b">
        <v>0</v>
      </c>
      <c r="V627" t="b">
        <v>0</v>
      </c>
      <c r="W627" t="b">
        <v>1</v>
      </c>
      <c r="X627" t="b">
        <v>0</v>
      </c>
      <c r="Y627" t="b">
        <v>0</v>
      </c>
      <c r="Z627" t="b">
        <v>1</v>
      </c>
      <c r="AA627" t="b">
        <v>0</v>
      </c>
      <c r="AB627" t="s">
        <v>4383</v>
      </c>
      <c r="AC627" t="s">
        <v>8158</v>
      </c>
    </row>
    <row r="628" spans="1:29" x14ac:dyDescent="0.3">
      <c r="A628">
        <v>-73.966617959999994</v>
      </c>
      <c r="B628">
        <v>40.771985110000003</v>
      </c>
      <c r="C628" t="s">
        <v>963</v>
      </c>
      <c r="D628" t="s">
        <v>33</v>
      </c>
      <c r="E628" s="58">
        <v>43384</v>
      </c>
      <c r="F628">
        <v>23</v>
      </c>
      <c r="G628" t="s">
        <v>48</v>
      </c>
      <c r="H628" t="s">
        <v>176</v>
      </c>
      <c r="I628" t="s">
        <v>176</v>
      </c>
      <c r="J628" t="s">
        <v>339</v>
      </c>
      <c r="K628" t="s">
        <v>981</v>
      </c>
      <c r="L628" t="s">
        <v>44</v>
      </c>
      <c r="M628">
        <v>5</v>
      </c>
      <c r="N628" t="s">
        <v>1241</v>
      </c>
      <c r="O628" t="b">
        <v>0</v>
      </c>
      <c r="P628" t="b">
        <v>0</v>
      </c>
      <c r="Q628" t="b">
        <v>1</v>
      </c>
      <c r="R628" t="b">
        <v>1</v>
      </c>
      <c r="S628" t="b">
        <v>1</v>
      </c>
      <c r="T628" t="b">
        <v>1</v>
      </c>
      <c r="U628" t="b">
        <v>1</v>
      </c>
      <c r="V628" t="b">
        <v>1</v>
      </c>
      <c r="W628" t="b">
        <v>0</v>
      </c>
      <c r="X628" t="b">
        <v>0</v>
      </c>
      <c r="Y628" t="b">
        <v>1</v>
      </c>
      <c r="Z628" t="b">
        <v>0</v>
      </c>
      <c r="AA628" t="b">
        <v>1</v>
      </c>
      <c r="AB628" t="s">
        <v>6487</v>
      </c>
      <c r="AC628" t="s">
        <v>8159</v>
      </c>
    </row>
    <row r="629" spans="1:29" x14ac:dyDescent="0.3">
      <c r="A629">
        <v>-73.957660480000001</v>
      </c>
      <c r="B629">
        <v>40.783776009999997</v>
      </c>
      <c r="C629" t="s">
        <v>1254</v>
      </c>
      <c r="D629" t="s">
        <v>33</v>
      </c>
      <c r="E629" s="58">
        <v>43392</v>
      </c>
      <c r="F629">
        <v>8</v>
      </c>
      <c r="G629" t="s">
        <v>105</v>
      </c>
      <c r="H629" t="s">
        <v>53</v>
      </c>
      <c r="I629" t="s">
        <v>5105</v>
      </c>
      <c r="J629" t="s">
        <v>619</v>
      </c>
      <c r="K629" t="s">
        <v>1666</v>
      </c>
      <c r="L629" t="s">
        <v>65</v>
      </c>
      <c r="M629" t="b">
        <v>0</v>
      </c>
      <c r="N629" t="s">
        <v>4066</v>
      </c>
      <c r="O629" t="b">
        <v>0</v>
      </c>
      <c r="P629" t="b">
        <v>1</v>
      </c>
      <c r="Q629" t="b">
        <v>0</v>
      </c>
      <c r="R629" t="b">
        <v>0</v>
      </c>
      <c r="S629" t="b">
        <v>0</v>
      </c>
      <c r="T629" t="b">
        <v>1</v>
      </c>
      <c r="U629" t="b">
        <v>1</v>
      </c>
      <c r="V629" t="b">
        <v>1</v>
      </c>
      <c r="W629" t="b">
        <v>1</v>
      </c>
      <c r="X629" t="b">
        <v>1</v>
      </c>
      <c r="Y629" t="b">
        <v>1</v>
      </c>
      <c r="Z629" t="b">
        <v>1</v>
      </c>
      <c r="AA629" t="b">
        <v>1</v>
      </c>
      <c r="AB629" t="s">
        <v>1801</v>
      </c>
      <c r="AC629" t="s">
        <v>8160</v>
      </c>
    </row>
    <row r="630" spans="1:29" x14ac:dyDescent="0.3">
      <c r="A630">
        <v>-73.980005379999994</v>
      </c>
      <c r="B630">
        <v>40.768314439999997</v>
      </c>
      <c r="C630" t="s">
        <v>390</v>
      </c>
      <c r="D630" t="s">
        <v>38</v>
      </c>
      <c r="E630" s="58">
        <v>43381</v>
      </c>
      <c r="F630">
        <v>27</v>
      </c>
      <c r="G630" t="s">
        <v>48</v>
      </c>
      <c r="H630" t="s">
        <v>42</v>
      </c>
      <c r="I630" t="s">
        <v>42</v>
      </c>
      <c r="J630" t="s">
        <v>1233</v>
      </c>
      <c r="K630" t="s">
        <v>6166</v>
      </c>
      <c r="L630" t="s">
        <v>44</v>
      </c>
      <c r="M630">
        <v>5</v>
      </c>
      <c r="N630" t="s">
        <v>1106</v>
      </c>
      <c r="O630" t="b">
        <v>0</v>
      </c>
      <c r="P630" t="b">
        <v>0</v>
      </c>
      <c r="Q630" t="b">
        <v>1</v>
      </c>
      <c r="R630" t="b">
        <v>0</v>
      </c>
      <c r="S630" t="b">
        <v>0</v>
      </c>
      <c r="T630" t="b">
        <v>1</v>
      </c>
      <c r="U630" t="b">
        <v>0</v>
      </c>
      <c r="V630" t="b">
        <v>0</v>
      </c>
      <c r="W630" t="b">
        <v>1</v>
      </c>
      <c r="X630" t="b">
        <v>0</v>
      </c>
      <c r="Y630" t="b">
        <v>0</v>
      </c>
      <c r="Z630" t="b">
        <v>1</v>
      </c>
      <c r="AA630" t="b">
        <v>0</v>
      </c>
      <c r="AB630" t="s">
        <v>7114</v>
      </c>
      <c r="AC630" t="s">
        <v>8161</v>
      </c>
    </row>
    <row r="631" spans="1:29" x14ac:dyDescent="0.3">
      <c r="A631">
        <v>-73.973222770000007</v>
      </c>
      <c r="B631">
        <v>40.780767259999998</v>
      </c>
      <c r="C631" t="s">
        <v>435</v>
      </c>
      <c r="D631" t="s">
        <v>38</v>
      </c>
      <c r="E631" s="58">
        <v>43388</v>
      </c>
      <c r="F631">
        <v>14</v>
      </c>
      <c r="G631" t="s">
        <v>3842</v>
      </c>
      <c r="H631" t="s">
        <v>53</v>
      </c>
      <c r="I631" t="s">
        <v>737</v>
      </c>
      <c r="J631" t="s">
        <v>1142</v>
      </c>
      <c r="K631" t="s">
        <v>2517</v>
      </c>
      <c r="L631" t="s">
        <v>44</v>
      </c>
      <c r="M631">
        <v>15</v>
      </c>
      <c r="N631" t="s">
        <v>4573</v>
      </c>
      <c r="O631" t="b">
        <v>1</v>
      </c>
      <c r="P631" t="b">
        <v>1</v>
      </c>
      <c r="Q631" t="b">
        <v>0</v>
      </c>
      <c r="R631" t="b">
        <v>0</v>
      </c>
      <c r="S631" t="b">
        <v>1</v>
      </c>
      <c r="T631" t="b">
        <v>1</v>
      </c>
      <c r="U631" t="b">
        <v>1</v>
      </c>
      <c r="V631" t="b">
        <v>0</v>
      </c>
      <c r="W631" t="b">
        <v>0</v>
      </c>
      <c r="X631" t="b">
        <v>0</v>
      </c>
      <c r="Y631" t="b">
        <v>0</v>
      </c>
      <c r="Z631" t="b">
        <v>1</v>
      </c>
      <c r="AA631" t="b">
        <v>0</v>
      </c>
      <c r="AB631" t="s">
        <v>690</v>
      </c>
      <c r="AC631" t="s">
        <v>8162</v>
      </c>
    </row>
    <row r="632" spans="1:29" x14ac:dyDescent="0.3">
      <c r="A632">
        <v>-73.958733140000007</v>
      </c>
      <c r="B632">
        <v>40.791533549999997</v>
      </c>
      <c r="C632" t="s">
        <v>936</v>
      </c>
      <c r="D632" t="s">
        <v>38</v>
      </c>
      <c r="E632" s="58">
        <v>43381</v>
      </c>
      <c r="F632">
        <v>15</v>
      </c>
      <c r="G632" t="s">
        <v>105</v>
      </c>
      <c r="H632" t="s">
        <v>53</v>
      </c>
      <c r="I632" t="s">
        <v>59</v>
      </c>
      <c r="J632" t="s">
        <v>54</v>
      </c>
      <c r="K632" t="s">
        <v>3208</v>
      </c>
      <c r="L632" t="s">
        <v>65</v>
      </c>
      <c r="M632" t="b">
        <v>0</v>
      </c>
      <c r="N632" t="s">
        <v>6854</v>
      </c>
      <c r="O632" t="b">
        <v>1</v>
      </c>
      <c r="P632" t="b">
        <v>0</v>
      </c>
      <c r="Q632" t="b">
        <v>0</v>
      </c>
      <c r="R632" t="b">
        <v>1</v>
      </c>
      <c r="S632" t="b">
        <v>0</v>
      </c>
      <c r="T632" t="b">
        <v>0</v>
      </c>
      <c r="U632" t="b">
        <v>1</v>
      </c>
      <c r="V632" t="b">
        <v>0</v>
      </c>
      <c r="W632" t="b">
        <v>0</v>
      </c>
      <c r="X632" t="b">
        <v>1</v>
      </c>
      <c r="Y632" t="b">
        <v>1</v>
      </c>
      <c r="Z632" t="b">
        <v>0</v>
      </c>
      <c r="AA632" t="b">
        <v>0</v>
      </c>
      <c r="AB632" t="s">
        <v>836</v>
      </c>
      <c r="AC632" t="s">
        <v>8163</v>
      </c>
    </row>
    <row r="633" spans="1:29" x14ac:dyDescent="0.3">
      <c r="A633">
        <v>-73.953016129999995</v>
      </c>
      <c r="B633">
        <v>40.777147909999997</v>
      </c>
      <c r="C633" t="s">
        <v>1424</v>
      </c>
      <c r="D633" t="s">
        <v>38</v>
      </c>
      <c r="E633" s="58">
        <v>43389</v>
      </c>
      <c r="F633">
        <v>11</v>
      </c>
      <c r="G633" t="s">
        <v>3842</v>
      </c>
      <c r="H633" t="s">
        <v>53</v>
      </c>
      <c r="I633" t="s">
        <v>737</v>
      </c>
      <c r="J633" t="s">
        <v>43</v>
      </c>
      <c r="K633" t="s">
        <v>6633</v>
      </c>
      <c r="L633" t="s">
        <v>44</v>
      </c>
      <c r="M633">
        <v>6</v>
      </c>
      <c r="N633" t="s">
        <v>7271</v>
      </c>
      <c r="O633" t="b">
        <v>1</v>
      </c>
      <c r="P633" t="b">
        <v>0</v>
      </c>
      <c r="Q633" t="b">
        <v>1</v>
      </c>
      <c r="R633" t="b">
        <v>1</v>
      </c>
      <c r="S633" t="b">
        <v>0</v>
      </c>
      <c r="T633" t="b">
        <v>1</v>
      </c>
      <c r="U633" t="b">
        <v>0</v>
      </c>
      <c r="V633" t="b">
        <v>0</v>
      </c>
      <c r="W633" t="b">
        <v>1</v>
      </c>
      <c r="X633" t="b">
        <v>0</v>
      </c>
      <c r="Y633" t="b">
        <v>0</v>
      </c>
      <c r="Z633" t="b">
        <v>1</v>
      </c>
      <c r="AA633" t="b">
        <v>0</v>
      </c>
      <c r="AB633" t="s">
        <v>1497</v>
      </c>
      <c r="AC633" t="s">
        <v>8164</v>
      </c>
    </row>
    <row r="634" spans="1:29" x14ac:dyDescent="0.3">
      <c r="A634">
        <v>-73.965073070000003</v>
      </c>
      <c r="B634">
        <v>40.788320779999999</v>
      </c>
      <c r="C634" t="s">
        <v>1663</v>
      </c>
      <c r="D634" t="s">
        <v>38</v>
      </c>
      <c r="E634" s="58">
        <v>43390</v>
      </c>
      <c r="F634">
        <v>1</v>
      </c>
      <c r="G634" t="s">
        <v>105</v>
      </c>
      <c r="H634" t="s">
        <v>176</v>
      </c>
      <c r="I634" t="s">
        <v>115</v>
      </c>
      <c r="J634" t="s">
        <v>177</v>
      </c>
      <c r="K634" t="s">
        <v>1896</v>
      </c>
      <c r="L634" t="s">
        <v>65</v>
      </c>
      <c r="M634" t="b">
        <v>0</v>
      </c>
      <c r="N634" t="s">
        <v>5946</v>
      </c>
      <c r="O634" t="b">
        <v>1</v>
      </c>
      <c r="P634" t="b">
        <v>0</v>
      </c>
      <c r="Q634" t="b">
        <v>1</v>
      </c>
      <c r="R634" t="b">
        <v>1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1</v>
      </c>
      <c r="Y634" t="b">
        <v>1</v>
      </c>
      <c r="Z634" t="b">
        <v>1</v>
      </c>
      <c r="AA634" t="b">
        <v>1</v>
      </c>
      <c r="AB634" t="s">
        <v>4013</v>
      </c>
      <c r="AC634" t="s">
        <v>8165</v>
      </c>
    </row>
    <row r="635" spans="1:29" x14ac:dyDescent="0.3">
      <c r="A635">
        <v>-73.964430629999995</v>
      </c>
      <c r="B635">
        <v>40.792916750000003</v>
      </c>
      <c r="C635" t="s">
        <v>870</v>
      </c>
      <c r="D635" t="s">
        <v>33</v>
      </c>
      <c r="E635" s="58">
        <v>43379</v>
      </c>
      <c r="F635">
        <v>21</v>
      </c>
      <c r="G635" t="s">
        <v>3842</v>
      </c>
      <c r="H635" t="s">
        <v>53</v>
      </c>
      <c r="I635" t="s">
        <v>59</v>
      </c>
      <c r="J635" t="s">
        <v>149</v>
      </c>
      <c r="K635" t="s">
        <v>1688</v>
      </c>
      <c r="L635" t="s">
        <v>65</v>
      </c>
      <c r="M635" t="b">
        <v>0</v>
      </c>
      <c r="N635" t="s">
        <v>7271</v>
      </c>
      <c r="O635" t="b">
        <v>0</v>
      </c>
      <c r="P635" t="b">
        <v>0</v>
      </c>
      <c r="Q635" t="b">
        <v>1</v>
      </c>
      <c r="R635" t="b">
        <v>1</v>
      </c>
      <c r="S635" t="b">
        <v>0</v>
      </c>
      <c r="T635" t="b">
        <v>0</v>
      </c>
      <c r="U635" t="b">
        <v>0</v>
      </c>
      <c r="V635" t="b">
        <v>1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s">
        <v>5924</v>
      </c>
      <c r="AC635" t="s">
        <v>8166</v>
      </c>
    </row>
    <row r="636" spans="1:29" x14ac:dyDescent="0.3">
      <c r="A636">
        <v>-73.977789430000001</v>
      </c>
      <c r="B636">
        <v>40.797554609999999</v>
      </c>
      <c r="C636" t="s">
        <v>225</v>
      </c>
      <c r="D636" t="s">
        <v>33</v>
      </c>
      <c r="E636" s="58">
        <v>43389</v>
      </c>
      <c r="F636">
        <v>3</v>
      </c>
      <c r="G636" t="s">
        <v>105</v>
      </c>
      <c r="H636" t="s">
        <v>53</v>
      </c>
      <c r="I636" t="s">
        <v>176</v>
      </c>
      <c r="J636" t="s">
        <v>54</v>
      </c>
      <c r="K636" t="s">
        <v>6367</v>
      </c>
      <c r="L636" t="s">
        <v>65</v>
      </c>
      <c r="M636" t="b">
        <v>0</v>
      </c>
      <c r="N636" t="s">
        <v>2349</v>
      </c>
      <c r="O636" t="b">
        <v>0</v>
      </c>
      <c r="P636" t="b">
        <v>1</v>
      </c>
      <c r="Q636" t="b">
        <v>1</v>
      </c>
      <c r="R636" t="b">
        <v>1</v>
      </c>
      <c r="S636" t="b">
        <v>1</v>
      </c>
      <c r="T636" t="b">
        <v>1</v>
      </c>
      <c r="U636" t="b">
        <v>1</v>
      </c>
      <c r="V636" t="b">
        <v>1</v>
      </c>
      <c r="W636" t="b">
        <v>0</v>
      </c>
      <c r="X636" t="b">
        <v>0</v>
      </c>
      <c r="Y636" t="b">
        <v>1</v>
      </c>
      <c r="Z636" t="b">
        <v>0</v>
      </c>
      <c r="AA636" t="b">
        <v>1</v>
      </c>
      <c r="AB636" t="s">
        <v>2668</v>
      </c>
      <c r="AC636" t="s">
        <v>8167</v>
      </c>
    </row>
    <row r="637" spans="1:29" x14ac:dyDescent="0.3">
      <c r="A637">
        <v>-73.967093360000007</v>
      </c>
      <c r="B637">
        <v>40.773171910000002</v>
      </c>
      <c r="C637" t="s">
        <v>4378</v>
      </c>
      <c r="D637" t="s">
        <v>38</v>
      </c>
      <c r="E637" s="58">
        <v>43393</v>
      </c>
      <c r="F637">
        <v>17</v>
      </c>
      <c r="G637" t="s">
        <v>105</v>
      </c>
      <c r="H637" t="s">
        <v>53</v>
      </c>
      <c r="I637" t="s">
        <v>59</v>
      </c>
      <c r="J637" t="s">
        <v>1922</v>
      </c>
      <c r="K637" t="s">
        <v>3461</v>
      </c>
      <c r="L637" t="s">
        <v>65</v>
      </c>
      <c r="M637" t="b">
        <v>0</v>
      </c>
      <c r="N637" t="s">
        <v>201</v>
      </c>
      <c r="O637" t="b">
        <v>1</v>
      </c>
      <c r="P637" t="b">
        <v>1</v>
      </c>
      <c r="Q637" t="b">
        <v>0</v>
      </c>
      <c r="R637" t="b">
        <v>1</v>
      </c>
      <c r="S637" t="b">
        <v>1</v>
      </c>
      <c r="T637" t="b">
        <v>1</v>
      </c>
      <c r="U637" t="b">
        <v>1</v>
      </c>
      <c r="V637" t="b">
        <v>0</v>
      </c>
      <c r="W637" t="b">
        <v>0</v>
      </c>
      <c r="X637" t="b">
        <v>1</v>
      </c>
      <c r="Y637" t="b">
        <v>1</v>
      </c>
      <c r="Z637" t="b">
        <v>0</v>
      </c>
      <c r="AA637" t="b">
        <v>0</v>
      </c>
      <c r="AB637" t="s">
        <v>380</v>
      </c>
      <c r="AC637" t="s">
        <v>8168</v>
      </c>
    </row>
    <row r="638" spans="1:29" x14ac:dyDescent="0.3">
      <c r="A638">
        <v>-73.964414790000006</v>
      </c>
      <c r="B638">
        <v>40.778969719999999</v>
      </c>
      <c r="C638" t="s">
        <v>4236</v>
      </c>
      <c r="D638" t="s">
        <v>33</v>
      </c>
      <c r="E638" s="58">
        <v>43391</v>
      </c>
      <c r="F638">
        <v>28</v>
      </c>
      <c r="G638" t="s">
        <v>105</v>
      </c>
      <c r="H638" t="s">
        <v>176</v>
      </c>
      <c r="I638" t="s">
        <v>148</v>
      </c>
      <c r="J638" t="s">
        <v>3228</v>
      </c>
      <c r="K638" t="s">
        <v>2458</v>
      </c>
      <c r="L638" t="s">
        <v>65</v>
      </c>
      <c r="M638" t="b">
        <v>0</v>
      </c>
      <c r="N638" t="s">
        <v>4208</v>
      </c>
      <c r="O638" t="b">
        <v>1</v>
      </c>
      <c r="P638" t="b">
        <v>0</v>
      </c>
      <c r="Q638" t="b">
        <v>0</v>
      </c>
      <c r="R638" t="b">
        <v>0</v>
      </c>
      <c r="S638" t="b">
        <v>0</v>
      </c>
      <c r="T638" t="b">
        <v>1</v>
      </c>
      <c r="U638" t="b">
        <v>0</v>
      </c>
      <c r="V638" t="b">
        <v>0</v>
      </c>
      <c r="W638" t="b">
        <v>1</v>
      </c>
      <c r="X638" t="b">
        <v>1</v>
      </c>
      <c r="Y638" t="b">
        <v>0</v>
      </c>
      <c r="Z638" t="b">
        <v>1</v>
      </c>
      <c r="AA638" t="b">
        <v>0</v>
      </c>
      <c r="AB638" t="s">
        <v>1073</v>
      </c>
      <c r="AC638" t="s">
        <v>8169</v>
      </c>
    </row>
    <row r="639" spans="1:29" x14ac:dyDescent="0.3">
      <c r="A639">
        <v>-73.973536080000002</v>
      </c>
      <c r="B639">
        <v>40.77027691</v>
      </c>
      <c r="C639" t="s">
        <v>564</v>
      </c>
      <c r="D639" t="s">
        <v>33</v>
      </c>
      <c r="E639" s="58">
        <v>43393</v>
      </c>
      <c r="F639">
        <v>19</v>
      </c>
      <c r="G639" t="s">
        <v>105</v>
      </c>
      <c r="H639" t="s">
        <v>53</v>
      </c>
      <c r="I639" t="s">
        <v>5105</v>
      </c>
      <c r="J639" t="s">
        <v>738</v>
      </c>
      <c r="K639" t="s">
        <v>4110</v>
      </c>
      <c r="L639" t="s">
        <v>44</v>
      </c>
      <c r="M639">
        <v>30</v>
      </c>
      <c r="N639" t="s">
        <v>6641</v>
      </c>
      <c r="O639" t="b">
        <v>0</v>
      </c>
      <c r="P639" t="b">
        <v>1</v>
      </c>
      <c r="Q639" t="b">
        <v>1</v>
      </c>
      <c r="R639" t="b">
        <v>1</v>
      </c>
      <c r="S639" t="b">
        <v>1</v>
      </c>
      <c r="T639" t="b">
        <v>1</v>
      </c>
      <c r="U639" t="b">
        <v>0</v>
      </c>
      <c r="V639" t="b">
        <v>1</v>
      </c>
      <c r="W639" t="b">
        <v>1</v>
      </c>
      <c r="X639" t="b">
        <v>0</v>
      </c>
      <c r="Y639" t="b">
        <v>1</v>
      </c>
      <c r="Z639" t="b">
        <v>1</v>
      </c>
      <c r="AA639" t="b">
        <v>0</v>
      </c>
      <c r="AB639" t="s">
        <v>4327</v>
      </c>
      <c r="AC639" t="s">
        <v>8170</v>
      </c>
    </row>
    <row r="640" spans="1:29" x14ac:dyDescent="0.3">
      <c r="A640">
        <v>-73.972694430000004</v>
      </c>
      <c r="B640">
        <v>40.799853880000001</v>
      </c>
      <c r="C640" t="s">
        <v>6554</v>
      </c>
      <c r="D640" t="s">
        <v>33</v>
      </c>
      <c r="E640" s="58">
        <v>43383</v>
      </c>
      <c r="F640">
        <v>14</v>
      </c>
      <c r="G640" t="s">
        <v>3842</v>
      </c>
      <c r="H640" t="s">
        <v>53</v>
      </c>
      <c r="I640" t="s">
        <v>42</v>
      </c>
      <c r="J640" t="s">
        <v>705</v>
      </c>
      <c r="K640" t="s">
        <v>2311</v>
      </c>
      <c r="L640" t="s">
        <v>65</v>
      </c>
      <c r="M640" t="b">
        <v>0</v>
      </c>
      <c r="N640" t="s">
        <v>332</v>
      </c>
      <c r="O640" t="b">
        <v>0</v>
      </c>
      <c r="P640" t="b">
        <v>0</v>
      </c>
      <c r="Q640" t="b">
        <v>0</v>
      </c>
      <c r="R640" t="b">
        <v>0</v>
      </c>
      <c r="S640" t="b">
        <v>1</v>
      </c>
      <c r="T640" t="b">
        <v>1</v>
      </c>
      <c r="U640" t="b">
        <v>0</v>
      </c>
      <c r="V640" t="b">
        <v>0</v>
      </c>
      <c r="W640" t="b">
        <v>0</v>
      </c>
      <c r="X640" t="b">
        <v>1</v>
      </c>
      <c r="Y640" t="b">
        <v>1</v>
      </c>
      <c r="Z640" t="b">
        <v>0</v>
      </c>
      <c r="AA640" t="b">
        <v>0</v>
      </c>
      <c r="AB640" t="s">
        <v>2350</v>
      </c>
      <c r="AC640" t="s">
        <v>8171</v>
      </c>
    </row>
    <row r="641" spans="1:29" x14ac:dyDescent="0.3">
      <c r="A641">
        <v>-73.96929797</v>
      </c>
      <c r="B641">
        <v>40.797548380000002</v>
      </c>
      <c r="C641" t="s">
        <v>6554</v>
      </c>
      <c r="D641" t="s">
        <v>38</v>
      </c>
      <c r="E641" s="58">
        <v>43392</v>
      </c>
      <c r="F641">
        <v>22</v>
      </c>
      <c r="G641" t="s">
        <v>3842</v>
      </c>
      <c r="H641" t="s">
        <v>42</v>
      </c>
      <c r="I641" t="s">
        <v>1921</v>
      </c>
      <c r="J641" t="s">
        <v>43</v>
      </c>
      <c r="K641" t="s">
        <v>3347</v>
      </c>
      <c r="L641" t="s">
        <v>44</v>
      </c>
      <c r="M641">
        <v>30</v>
      </c>
      <c r="N641" t="s">
        <v>7258</v>
      </c>
      <c r="O641" t="b">
        <v>1</v>
      </c>
      <c r="P641" t="b">
        <v>0</v>
      </c>
      <c r="Q641" t="b">
        <v>1</v>
      </c>
      <c r="R641" t="b">
        <v>0</v>
      </c>
      <c r="S641" t="b">
        <v>1</v>
      </c>
      <c r="T641" t="b">
        <v>1</v>
      </c>
      <c r="U641" t="b">
        <v>1</v>
      </c>
      <c r="V641" t="b">
        <v>0</v>
      </c>
      <c r="W641" t="b">
        <v>1</v>
      </c>
      <c r="X641" t="b">
        <v>0</v>
      </c>
      <c r="Y641" t="b">
        <v>0</v>
      </c>
      <c r="Z641" t="b">
        <v>1</v>
      </c>
      <c r="AA641" t="b">
        <v>0</v>
      </c>
      <c r="AB641" t="s">
        <v>6729</v>
      </c>
      <c r="AC641" t="s">
        <v>8172</v>
      </c>
    </row>
    <row r="642" spans="1:29" x14ac:dyDescent="0.3">
      <c r="A642">
        <v>-73.980527609999996</v>
      </c>
      <c r="B642">
        <v>40.783921399999997</v>
      </c>
      <c r="C642" t="s">
        <v>1301</v>
      </c>
      <c r="D642" t="s">
        <v>33</v>
      </c>
      <c r="E642" s="58">
        <v>43382</v>
      </c>
      <c r="F642">
        <v>30</v>
      </c>
      <c r="G642" t="s">
        <v>105</v>
      </c>
      <c r="H642" t="s">
        <v>176</v>
      </c>
      <c r="I642" t="s">
        <v>42</v>
      </c>
      <c r="J642" t="s">
        <v>1233</v>
      </c>
      <c r="K642" t="s">
        <v>4660</v>
      </c>
      <c r="L642" t="s">
        <v>65</v>
      </c>
      <c r="M642" t="b">
        <v>0</v>
      </c>
      <c r="N642" t="s">
        <v>874</v>
      </c>
      <c r="O642" t="b">
        <v>1</v>
      </c>
      <c r="P642" t="b">
        <v>1</v>
      </c>
      <c r="Q642" t="b">
        <v>1</v>
      </c>
      <c r="R642" t="b">
        <v>0</v>
      </c>
      <c r="S642" t="b">
        <v>1</v>
      </c>
      <c r="T642" t="b">
        <v>0</v>
      </c>
      <c r="U642" t="b">
        <v>0</v>
      </c>
      <c r="V642" t="b">
        <v>1</v>
      </c>
      <c r="W642" t="b">
        <v>0</v>
      </c>
      <c r="X642" t="b">
        <v>0</v>
      </c>
      <c r="Y642" t="b">
        <v>0</v>
      </c>
      <c r="Z642" t="b">
        <v>0</v>
      </c>
      <c r="AA642" t="b">
        <v>1</v>
      </c>
      <c r="AB642" t="s">
        <v>601</v>
      </c>
      <c r="AC642" t="s">
        <v>8173</v>
      </c>
    </row>
    <row r="643" spans="1:29" x14ac:dyDescent="0.3">
      <c r="A643">
        <v>-73.971033439999999</v>
      </c>
      <c r="B643">
        <v>40.794556849999999</v>
      </c>
      <c r="C643" t="s">
        <v>4236</v>
      </c>
      <c r="D643" t="s">
        <v>33</v>
      </c>
      <c r="E643" s="58">
        <v>43387</v>
      </c>
      <c r="F643">
        <v>23</v>
      </c>
      <c r="G643" t="s">
        <v>105</v>
      </c>
      <c r="H643" t="s">
        <v>53</v>
      </c>
      <c r="I643" t="s">
        <v>42</v>
      </c>
      <c r="J643" t="s">
        <v>5106</v>
      </c>
      <c r="K643" t="s">
        <v>1259</v>
      </c>
      <c r="L643" t="s">
        <v>65</v>
      </c>
      <c r="M643" t="b">
        <v>0</v>
      </c>
      <c r="N643" t="s">
        <v>2170</v>
      </c>
      <c r="O643" t="b">
        <v>1</v>
      </c>
      <c r="P643" t="b">
        <v>1</v>
      </c>
      <c r="Q643" t="b">
        <v>1</v>
      </c>
      <c r="R643" t="b">
        <v>1</v>
      </c>
      <c r="S643" t="b">
        <v>1</v>
      </c>
      <c r="T643" t="b">
        <v>0</v>
      </c>
      <c r="U643" t="b">
        <v>1</v>
      </c>
      <c r="V643" t="b">
        <v>1</v>
      </c>
      <c r="W643" t="b">
        <v>1</v>
      </c>
      <c r="X643" t="b">
        <v>0</v>
      </c>
      <c r="Y643" t="b">
        <v>0</v>
      </c>
      <c r="Z643" t="b">
        <v>0</v>
      </c>
      <c r="AA643" t="b">
        <v>1</v>
      </c>
      <c r="AB643" t="s">
        <v>7114</v>
      </c>
      <c r="AC643" t="s">
        <v>8174</v>
      </c>
    </row>
    <row r="644" spans="1:29" x14ac:dyDescent="0.3">
      <c r="A644">
        <v>-73.974511329999999</v>
      </c>
      <c r="B644">
        <v>40.783252480000002</v>
      </c>
      <c r="C644" t="s">
        <v>764</v>
      </c>
      <c r="D644" t="s">
        <v>33</v>
      </c>
      <c r="E644" s="58">
        <v>43393</v>
      </c>
      <c r="F644">
        <v>8</v>
      </c>
      <c r="G644" t="s">
        <v>3842</v>
      </c>
      <c r="H644" t="s">
        <v>42</v>
      </c>
      <c r="I644" t="s">
        <v>115</v>
      </c>
      <c r="J644" t="s">
        <v>116</v>
      </c>
      <c r="K644" t="s">
        <v>3859</v>
      </c>
      <c r="L644" t="s">
        <v>65</v>
      </c>
      <c r="M644" t="b">
        <v>0</v>
      </c>
      <c r="N644" t="s">
        <v>3334</v>
      </c>
      <c r="O644" t="b">
        <v>1</v>
      </c>
      <c r="P644" t="b">
        <v>1</v>
      </c>
      <c r="Q644" t="b">
        <v>0</v>
      </c>
      <c r="R644" t="b">
        <v>1</v>
      </c>
      <c r="S644" t="b">
        <v>0</v>
      </c>
      <c r="T644" t="b">
        <v>0</v>
      </c>
      <c r="U644" t="b">
        <v>0</v>
      </c>
      <c r="V644" t="b">
        <v>1</v>
      </c>
      <c r="W644" t="b">
        <v>1</v>
      </c>
      <c r="X644" t="b">
        <v>0</v>
      </c>
      <c r="Y644" t="b">
        <v>0</v>
      </c>
      <c r="Z644" t="b">
        <v>0</v>
      </c>
      <c r="AA644" t="b">
        <v>1</v>
      </c>
      <c r="AB644" t="s">
        <v>5874</v>
      </c>
      <c r="AC644" t="s">
        <v>8175</v>
      </c>
    </row>
    <row r="645" spans="1:29" x14ac:dyDescent="0.3">
      <c r="A645">
        <v>-73.970863109999996</v>
      </c>
      <c r="B645">
        <v>40.786865779999999</v>
      </c>
      <c r="C645" t="s">
        <v>289</v>
      </c>
      <c r="D645" t="s">
        <v>38</v>
      </c>
      <c r="E645" s="58">
        <v>43387</v>
      </c>
      <c r="F645">
        <v>13</v>
      </c>
      <c r="G645" t="s">
        <v>105</v>
      </c>
      <c r="H645" t="s">
        <v>176</v>
      </c>
      <c r="I645" t="s">
        <v>176</v>
      </c>
      <c r="J645" t="s">
        <v>155</v>
      </c>
      <c r="K645" t="s">
        <v>4308</v>
      </c>
      <c r="L645" t="s">
        <v>44</v>
      </c>
      <c r="M645">
        <v>4</v>
      </c>
      <c r="N645" t="s">
        <v>3188</v>
      </c>
      <c r="O645" t="b">
        <v>0</v>
      </c>
      <c r="P645" t="b">
        <v>0</v>
      </c>
      <c r="Q645" t="b">
        <v>0</v>
      </c>
      <c r="R645" t="b">
        <v>0</v>
      </c>
      <c r="S645" t="b">
        <v>1</v>
      </c>
      <c r="T645" t="b">
        <v>0</v>
      </c>
      <c r="U645" t="b">
        <v>1</v>
      </c>
      <c r="V645" t="b">
        <v>1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s">
        <v>2795</v>
      </c>
      <c r="AC645" t="s">
        <v>8176</v>
      </c>
    </row>
    <row r="646" spans="1:29" x14ac:dyDescent="0.3">
      <c r="A646">
        <v>-73.977393640000003</v>
      </c>
      <c r="B646">
        <v>40.768048550000003</v>
      </c>
      <c r="C646" t="s">
        <v>2372</v>
      </c>
      <c r="D646" t="s">
        <v>33</v>
      </c>
      <c r="E646" s="58">
        <v>43393</v>
      </c>
      <c r="F646">
        <v>27</v>
      </c>
      <c r="G646" t="s">
        <v>105</v>
      </c>
      <c r="H646" t="s">
        <v>176</v>
      </c>
      <c r="I646" t="s">
        <v>737</v>
      </c>
      <c r="J646" t="s">
        <v>1922</v>
      </c>
      <c r="K646" t="s">
        <v>6367</v>
      </c>
      <c r="L646" t="s">
        <v>44</v>
      </c>
      <c r="M646">
        <v>10</v>
      </c>
      <c r="N646" t="s">
        <v>5529</v>
      </c>
      <c r="O646" t="b">
        <v>0</v>
      </c>
      <c r="P646" t="b">
        <v>1</v>
      </c>
      <c r="Q646" t="b">
        <v>1</v>
      </c>
      <c r="R646" t="b">
        <v>1</v>
      </c>
      <c r="S646" t="b">
        <v>0</v>
      </c>
      <c r="T646" t="b">
        <v>0</v>
      </c>
      <c r="U646" t="b">
        <v>1</v>
      </c>
      <c r="V646" t="b">
        <v>0</v>
      </c>
      <c r="W646" t="b">
        <v>0</v>
      </c>
      <c r="X646" t="b">
        <v>0</v>
      </c>
      <c r="Y646" t="b">
        <v>1</v>
      </c>
      <c r="Z646" t="b">
        <v>0</v>
      </c>
      <c r="AA646" t="b">
        <v>1</v>
      </c>
      <c r="AB646" t="s">
        <v>2338</v>
      </c>
      <c r="AC646" t="s">
        <v>8177</v>
      </c>
    </row>
    <row r="647" spans="1:29" x14ac:dyDescent="0.3">
      <c r="A647">
        <v>-73.953163239999995</v>
      </c>
      <c r="B647">
        <v>40.791502119999997</v>
      </c>
      <c r="C647" t="s">
        <v>3750</v>
      </c>
      <c r="D647" t="s">
        <v>33</v>
      </c>
      <c r="E647" s="58">
        <v>43392</v>
      </c>
      <c r="F647">
        <v>20</v>
      </c>
      <c r="G647" t="s">
        <v>105</v>
      </c>
      <c r="H647" t="s">
        <v>176</v>
      </c>
      <c r="I647" t="s">
        <v>176</v>
      </c>
      <c r="J647" t="s">
        <v>2942</v>
      </c>
      <c r="K647" t="s">
        <v>4237</v>
      </c>
      <c r="L647" t="s">
        <v>44</v>
      </c>
      <c r="M647">
        <v>8</v>
      </c>
      <c r="N647" t="s">
        <v>3957</v>
      </c>
      <c r="O647" t="b">
        <v>0</v>
      </c>
      <c r="P647" t="b">
        <v>1</v>
      </c>
      <c r="Q647" t="b">
        <v>1</v>
      </c>
      <c r="R647" t="b">
        <v>1</v>
      </c>
      <c r="S647" t="b">
        <v>1</v>
      </c>
      <c r="T647" t="b">
        <v>0</v>
      </c>
      <c r="U647" t="b">
        <v>0</v>
      </c>
      <c r="V647" t="b">
        <v>1</v>
      </c>
      <c r="W647" t="b">
        <v>1</v>
      </c>
      <c r="X647" t="b">
        <v>1</v>
      </c>
      <c r="Y647" t="b">
        <v>1</v>
      </c>
      <c r="Z647" t="b">
        <v>1</v>
      </c>
      <c r="AA647" t="b">
        <v>0</v>
      </c>
      <c r="AB647" t="s">
        <v>4031</v>
      </c>
      <c r="AC647" t="s">
        <v>8178</v>
      </c>
    </row>
    <row r="648" spans="1:29" x14ac:dyDescent="0.3">
      <c r="A648">
        <v>-73.962497929999998</v>
      </c>
      <c r="B648">
        <v>40.769407180000002</v>
      </c>
      <c r="C648" t="s">
        <v>3796</v>
      </c>
      <c r="D648" t="s">
        <v>38</v>
      </c>
      <c r="E648" s="58">
        <v>43383</v>
      </c>
      <c r="F648">
        <v>3</v>
      </c>
      <c r="G648" t="s">
        <v>48</v>
      </c>
      <c r="H648" t="s">
        <v>176</v>
      </c>
      <c r="I648" t="s">
        <v>1921</v>
      </c>
      <c r="J648" t="s">
        <v>116</v>
      </c>
      <c r="K648" t="s">
        <v>1005</v>
      </c>
      <c r="L648" t="s">
        <v>44</v>
      </c>
      <c r="M648">
        <v>6</v>
      </c>
      <c r="N648" t="s">
        <v>348</v>
      </c>
      <c r="O648" t="b">
        <v>1</v>
      </c>
      <c r="P648" t="b">
        <v>1</v>
      </c>
      <c r="Q648" t="b">
        <v>1</v>
      </c>
      <c r="R648" t="b">
        <v>0</v>
      </c>
      <c r="S648" t="b">
        <v>0</v>
      </c>
      <c r="T648" t="b">
        <v>1</v>
      </c>
      <c r="U648" t="b">
        <v>1</v>
      </c>
      <c r="V648" t="b">
        <v>0</v>
      </c>
      <c r="W648" t="b">
        <v>1</v>
      </c>
      <c r="X648" t="b">
        <v>1</v>
      </c>
      <c r="Y648" t="b">
        <v>0</v>
      </c>
      <c r="Z648" t="b">
        <v>1</v>
      </c>
      <c r="AA648" t="b">
        <v>0</v>
      </c>
      <c r="AB648" t="s">
        <v>2407</v>
      </c>
      <c r="AC648" t="s">
        <v>8179</v>
      </c>
    </row>
    <row r="649" spans="1:29" x14ac:dyDescent="0.3">
      <c r="A649">
        <v>-73.959809770000007</v>
      </c>
      <c r="B649">
        <v>40.793994730000001</v>
      </c>
      <c r="C649" t="s">
        <v>85</v>
      </c>
      <c r="D649" t="s">
        <v>38</v>
      </c>
      <c r="E649" s="58">
        <v>43388</v>
      </c>
      <c r="F649">
        <v>5</v>
      </c>
      <c r="G649" t="s">
        <v>105</v>
      </c>
      <c r="H649" t="s">
        <v>176</v>
      </c>
      <c r="I649" t="s">
        <v>115</v>
      </c>
      <c r="J649" t="s">
        <v>116</v>
      </c>
      <c r="K649" t="s">
        <v>977</v>
      </c>
      <c r="L649" t="s">
        <v>65</v>
      </c>
      <c r="M649" t="b">
        <v>0</v>
      </c>
      <c r="N649" t="s">
        <v>3931</v>
      </c>
      <c r="O649" t="b">
        <v>0</v>
      </c>
      <c r="P649" t="b">
        <v>1</v>
      </c>
      <c r="Q649" t="b">
        <v>1</v>
      </c>
      <c r="R649" t="b">
        <v>1</v>
      </c>
      <c r="S649" t="b">
        <v>0</v>
      </c>
      <c r="T649" t="b">
        <v>1</v>
      </c>
      <c r="U649" t="b">
        <v>1</v>
      </c>
      <c r="V649" t="b">
        <v>0</v>
      </c>
      <c r="W649" t="b">
        <v>1</v>
      </c>
      <c r="X649" t="b">
        <v>1</v>
      </c>
      <c r="Y649" t="b">
        <v>1</v>
      </c>
      <c r="Z649" t="b">
        <v>1</v>
      </c>
      <c r="AA649" t="b">
        <v>1</v>
      </c>
      <c r="AB649" t="s">
        <v>5284</v>
      </c>
      <c r="AC649" t="s">
        <v>8180</v>
      </c>
    </row>
    <row r="650" spans="1:29" x14ac:dyDescent="0.3">
      <c r="A650">
        <v>-73.956349549999999</v>
      </c>
      <c r="B650">
        <v>40.792444199999998</v>
      </c>
      <c r="C650" t="s">
        <v>1042</v>
      </c>
      <c r="D650" t="s">
        <v>33</v>
      </c>
      <c r="E650" s="58">
        <v>43382</v>
      </c>
      <c r="F650">
        <v>9</v>
      </c>
      <c r="G650" t="s">
        <v>48</v>
      </c>
      <c r="H650" t="s">
        <v>176</v>
      </c>
      <c r="I650" t="s">
        <v>5105</v>
      </c>
      <c r="J650" t="s">
        <v>54</v>
      </c>
      <c r="K650" t="s">
        <v>6623</v>
      </c>
      <c r="L650" t="s">
        <v>65</v>
      </c>
      <c r="M650" t="b">
        <v>0</v>
      </c>
      <c r="N650" t="s">
        <v>6841</v>
      </c>
      <c r="O650" t="b">
        <v>0</v>
      </c>
      <c r="P650" t="b">
        <v>0</v>
      </c>
      <c r="Q650" t="b">
        <v>0</v>
      </c>
      <c r="R650" t="b">
        <v>1</v>
      </c>
      <c r="S650" t="b">
        <v>0</v>
      </c>
      <c r="T650" t="b">
        <v>1</v>
      </c>
      <c r="U650" t="b">
        <v>0</v>
      </c>
      <c r="V650" t="b">
        <v>0</v>
      </c>
      <c r="W650" t="b">
        <v>0</v>
      </c>
      <c r="X650" t="b">
        <v>0</v>
      </c>
      <c r="Y650" t="b">
        <v>1</v>
      </c>
      <c r="Z650" t="b">
        <v>1</v>
      </c>
      <c r="AA650" t="b">
        <v>1</v>
      </c>
      <c r="AB650" t="s">
        <v>2748</v>
      </c>
      <c r="AC650" t="s">
        <v>8181</v>
      </c>
    </row>
    <row r="651" spans="1:29" x14ac:dyDescent="0.3">
      <c r="A651">
        <v>-73.965489149999996</v>
      </c>
      <c r="B651">
        <v>40.789864049999998</v>
      </c>
      <c r="C651" t="s">
        <v>2122</v>
      </c>
      <c r="D651" t="s">
        <v>33</v>
      </c>
      <c r="E651" s="58">
        <v>43385</v>
      </c>
      <c r="F651">
        <v>29</v>
      </c>
      <c r="G651" t="s">
        <v>105</v>
      </c>
      <c r="H651" t="s">
        <v>53</v>
      </c>
      <c r="I651" t="s">
        <v>42</v>
      </c>
      <c r="J651" t="s">
        <v>54</v>
      </c>
      <c r="K651" t="s">
        <v>2503</v>
      </c>
      <c r="L651" t="s">
        <v>44</v>
      </c>
      <c r="M651">
        <v>15</v>
      </c>
      <c r="N651" t="s">
        <v>6370</v>
      </c>
      <c r="O651" t="b">
        <v>1</v>
      </c>
      <c r="P651" t="b">
        <v>0</v>
      </c>
      <c r="Q651" t="b">
        <v>0</v>
      </c>
      <c r="R651" t="b">
        <v>1</v>
      </c>
      <c r="S651" t="b">
        <v>1</v>
      </c>
      <c r="T651" t="b">
        <v>0</v>
      </c>
      <c r="U651" t="b">
        <v>0</v>
      </c>
      <c r="V651" t="b">
        <v>0</v>
      </c>
      <c r="W651" t="b">
        <v>1</v>
      </c>
      <c r="X651" t="b">
        <v>1</v>
      </c>
      <c r="Y651" t="b">
        <v>1</v>
      </c>
      <c r="Z651" t="b">
        <v>0</v>
      </c>
      <c r="AA651" t="b">
        <v>0</v>
      </c>
      <c r="AB651" t="s">
        <v>2350</v>
      </c>
      <c r="AC651" t="s">
        <v>8182</v>
      </c>
    </row>
    <row r="652" spans="1:29" x14ac:dyDescent="0.3">
      <c r="A652">
        <v>-73.978426080000006</v>
      </c>
      <c r="B652">
        <v>40.7661838</v>
      </c>
      <c r="C652" t="s">
        <v>1170</v>
      </c>
      <c r="D652" t="s">
        <v>38</v>
      </c>
      <c r="E652" s="58">
        <v>43393</v>
      </c>
      <c r="F652">
        <v>6</v>
      </c>
      <c r="G652" t="s">
        <v>3842</v>
      </c>
      <c r="H652" t="s">
        <v>53</v>
      </c>
      <c r="I652" t="s">
        <v>148</v>
      </c>
      <c r="J652" t="s">
        <v>339</v>
      </c>
      <c r="K652" t="s">
        <v>3248</v>
      </c>
      <c r="L652" t="s">
        <v>44</v>
      </c>
      <c r="M652">
        <v>4</v>
      </c>
      <c r="N652" t="s">
        <v>3542</v>
      </c>
      <c r="O652" t="b">
        <v>1</v>
      </c>
      <c r="P652" t="b">
        <v>0</v>
      </c>
      <c r="Q652" t="b">
        <v>1</v>
      </c>
      <c r="R652" t="b">
        <v>1</v>
      </c>
      <c r="S652" t="b">
        <v>1</v>
      </c>
      <c r="T652" t="b">
        <v>0</v>
      </c>
      <c r="U652" t="b">
        <v>1</v>
      </c>
      <c r="V652" t="b">
        <v>1</v>
      </c>
      <c r="W652" t="b">
        <v>0</v>
      </c>
      <c r="X652" t="b">
        <v>0</v>
      </c>
      <c r="Y652" t="b">
        <v>1</v>
      </c>
      <c r="Z652" t="b">
        <v>1</v>
      </c>
      <c r="AA652" t="b">
        <v>0</v>
      </c>
      <c r="AB652" t="s">
        <v>2920</v>
      </c>
      <c r="AC652" t="s">
        <v>8183</v>
      </c>
    </row>
    <row r="653" spans="1:29" x14ac:dyDescent="0.3">
      <c r="A653">
        <v>-73.964273660000003</v>
      </c>
      <c r="B653">
        <v>40.775583169999997</v>
      </c>
      <c r="C653" t="s">
        <v>544</v>
      </c>
      <c r="D653" t="s">
        <v>38</v>
      </c>
      <c r="E653" s="58">
        <v>43384</v>
      </c>
      <c r="F653">
        <v>25</v>
      </c>
      <c r="G653" t="s">
        <v>48</v>
      </c>
      <c r="H653" t="s">
        <v>53</v>
      </c>
      <c r="I653" t="s">
        <v>115</v>
      </c>
      <c r="J653" t="s">
        <v>5106</v>
      </c>
      <c r="K653" t="s">
        <v>1181</v>
      </c>
      <c r="L653" t="s">
        <v>44</v>
      </c>
      <c r="M653">
        <v>6</v>
      </c>
      <c r="N653" t="s">
        <v>4712</v>
      </c>
      <c r="O653" t="b">
        <v>1</v>
      </c>
      <c r="P653" t="b">
        <v>0</v>
      </c>
      <c r="Q653" t="b">
        <v>1</v>
      </c>
      <c r="R653" t="b">
        <v>0</v>
      </c>
      <c r="S653" t="b">
        <v>0</v>
      </c>
      <c r="T653" t="b">
        <v>0</v>
      </c>
      <c r="U653" t="b">
        <v>1</v>
      </c>
      <c r="V653" t="b">
        <v>0</v>
      </c>
      <c r="W653" t="b">
        <v>0</v>
      </c>
      <c r="X653" t="b">
        <v>1</v>
      </c>
      <c r="Y653" t="b">
        <v>1</v>
      </c>
      <c r="Z653" t="b">
        <v>0</v>
      </c>
      <c r="AA653" t="b">
        <v>1</v>
      </c>
      <c r="AB653" t="s">
        <v>412</v>
      </c>
      <c r="AC653" t="s">
        <v>8184</v>
      </c>
    </row>
    <row r="654" spans="1:29" x14ac:dyDescent="0.3">
      <c r="A654">
        <v>-73.962710169999994</v>
      </c>
      <c r="B654">
        <v>40.774174299999999</v>
      </c>
      <c r="C654" t="s">
        <v>124</v>
      </c>
      <c r="D654" t="s">
        <v>38</v>
      </c>
      <c r="E654" s="58">
        <v>43382</v>
      </c>
      <c r="F654">
        <v>22</v>
      </c>
      <c r="G654" t="s">
        <v>48</v>
      </c>
      <c r="H654" t="s">
        <v>53</v>
      </c>
      <c r="I654" t="s">
        <v>96</v>
      </c>
      <c r="J654" t="s">
        <v>1233</v>
      </c>
      <c r="K654" t="s">
        <v>1896</v>
      </c>
      <c r="L654" t="s">
        <v>65</v>
      </c>
      <c r="M654" t="b">
        <v>0</v>
      </c>
      <c r="N654" t="s">
        <v>3140</v>
      </c>
      <c r="O654" t="b">
        <v>1</v>
      </c>
      <c r="P654" t="b">
        <v>0</v>
      </c>
      <c r="Q654" t="b">
        <v>0</v>
      </c>
      <c r="R654" t="b">
        <v>0</v>
      </c>
      <c r="S654" t="b">
        <v>0</v>
      </c>
      <c r="T654" t="b">
        <v>1</v>
      </c>
      <c r="U654" t="b">
        <v>1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s">
        <v>3312</v>
      </c>
      <c r="AC654" t="s">
        <v>8185</v>
      </c>
    </row>
    <row r="655" spans="1:29" x14ac:dyDescent="0.3">
      <c r="A655">
        <v>-73.957724339999999</v>
      </c>
      <c r="B655">
        <v>40.7775903</v>
      </c>
      <c r="C655" t="s">
        <v>1221</v>
      </c>
      <c r="D655" t="s">
        <v>38</v>
      </c>
      <c r="E655" s="58">
        <v>43391</v>
      </c>
      <c r="F655">
        <v>2</v>
      </c>
      <c r="G655" t="s">
        <v>105</v>
      </c>
      <c r="H655" t="s">
        <v>42</v>
      </c>
      <c r="I655" t="s">
        <v>59</v>
      </c>
      <c r="J655" t="s">
        <v>60</v>
      </c>
      <c r="K655" t="s">
        <v>3182</v>
      </c>
      <c r="L655" t="s">
        <v>44</v>
      </c>
      <c r="M655">
        <v>4</v>
      </c>
      <c r="N655" t="s">
        <v>359</v>
      </c>
      <c r="O655" t="b">
        <v>1</v>
      </c>
      <c r="P655" t="b">
        <v>0</v>
      </c>
      <c r="Q655" t="b">
        <v>1</v>
      </c>
      <c r="R655" t="b">
        <v>1</v>
      </c>
      <c r="S655" t="b">
        <v>1</v>
      </c>
      <c r="T655" t="b">
        <v>1</v>
      </c>
      <c r="U655" t="b">
        <v>0</v>
      </c>
      <c r="V655" t="b">
        <v>0</v>
      </c>
      <c r="W655" t="b">
        <v>1</v>
      </c>
      <c r="X655" t="b">
        <v>0</v>
      </c>
      <c r="Y655" t="b">
        <v>0</v>
      </c>
      <c r="Z655" t="b">
        <v>1</v>
      </c>
      <c r="AA655" t="b">
        <v>1</v>
      </c>
      <c r="AB655" t="s">
        <v>3483</v>
      </c>
      <c r="AC655" t="s">
        <v>8186</v>
      </c>
    </row>
    <row r="656" spans="1:29" x14ac:dyDescent="0.3">
      <c r="A656">
        <v>-73.967588579999997</v>
      </c>
      <c r="B656">
        <v>40.76799638</v>
      </c>
      <c r="C656" t="s">
        <v>921</v>
      </c>
      <c r="D656" t="s">
        <v>38</v>
      </c>
      <c r="E656" s="58">
        <v>43391</v>
      </c>
      <c r="F656">
        <v>13</v>
      </c>
      <c r="G656" t="s">
        <v>105</v>
      </c>
      <c r="H656" t="s">
        <v>53</v>
      </c>
      <c r="I656" t="s">
        <v>176</v>
      </c>
      <c r="J656" t="s">
        <v>1233</v>
      </c>
      <c r="K656" t="s">
        <v>977</v>
      </c>
      <c r="L656" t="s">
        <v>44</v>
      </c>
      <c r="M656">
        <v>15</v>
      </c>
      <c r="N656" t="s">
        <v>1907</v>
      </c>
      <c r="O656" t="b">
        <v>1</v>
      </c>
      <c r="P656" t="b">
        <v>0</v>
      </c>
      <c r="Q656" t="b">
        <v>0</v>
      </c>
      <c r="R656" t="b">
        <v>1</v>
      </c>
      <c r="S656" t="b">
        <v>1</v>
      </c>
      <c r="T656" t="b">
        <v>1</v>
      </c>
      <c r="U656" t="b">
        <v>1</v>
      </c>
      <c r="V656" t="b">
        <v>1</v>
      </c>
      <c r="W656" t="b">
        <v>0</v>
      </c>
      <c r="X656" t="b">
        <v>0</v>
      </c>
      <c r="Y656" t="b">
        <v>1</v>
      </c>
      <c r="Z656" t="b">
        <v>1</v>
      </c>
      <c r="AA656" t="b">
        <v>1</v>
      </c>
      <c r="AB656" t="s">
        <v>2350</v>
      </c>
      <c r="AC656" t="s">
        <v>8187</v>
      </c>
    </row>
    <row r="657" spans="1:29" x14ac:dyDescent="0.3">
      <c r="A657">
        <v>-73.977147860000002</v>
      </c>
      <c r="B657">
        <v>40.797898940000003</v>
      </c>
      <c r="C657" t="s">
        <v>3750</v>
      </c>
      <c r="D657" t="s">
        <v>38</v>
      </c>
      <c r="E657" s="58">
        <v>43393</v>
      </c>
      <c r="F657">
        <v>5</v>
      </c>
      <c r="G657" t="s">
        <v>48</v>
      </c>
      <c r="H657" t="s">
        <v>176</v>
      </c>
      <c r="I657" t="s">
        <v>115</v>
      </c>
      <c r="J657" t="s">
        <v>705</v>
      </c>
      <c r="K657" t="s">
        <v>2823</v>
      </c>
      <c r="L657" t="s">
        <v>65</v>
      </c>
      <c r="M657" t="b">
        <v>0</v>
      </c>
      <c r="N657" t="s">
        <v>2584</v>
      </c>
      <c r="O657" t="b">
        <v>0</v>
      </c>
      <c r="P657" t="b">
        <v>1</v>
      </c>
      <c r="Q657" t="b">
        <v>0</v>
      </c>
      <c r="R657" t="b">
        <v>1</v>
      </c>
      <c r="S657" t="b">
        <v>0</v>
      </c>
      <c r="T657" t="b">
        <v>0</v>
      </c>
      <c r="U657" t="b">
        <v>1</v>
      </c>
      <c r="V657" t="b">
        <v>1</v>
      </c>
      <c r="W657" t="b">
        <v>1</v>
      </c>
      <c r="X657" t="b">
        <v>0</v>
      </c>
      <c r="Y657" t="b">
        <v>1</v>
      </c>
      <c r="Z657" t="b">
        <v>0</v>
      </c>
      <c r="AA657" t="b">
        <v>0</v>
      </c>
      <c r="AB657" t="s">
        <v>3315</v>
      </c>
      <c r="AC657" t="s">
        <v>8188</v>
      </c>
    </row>
    <row r="658" spans="1:29" x14ac:dyDescent="0.3">
      <c r="A658">
        <v>-73.972237570000004</v>
      </c>
      <c r="B658">
        <v>40.784408849999998</v>
      </c>
      <c r="C658" t="s">
        <v>250</v>
      </c>
      <c r="D658" t="s">
        <v>38</v>
      </c>
      <c r="E658" s="58">
        <v>43388</v>
      </c>
      <c r="F658">
        <v>28</v>
      </c>
      <c r="G658" t="s">
        <v>3842</v>
      </c>
      <c r="H658" t="s">
        <v>53</v>
      </c>
      <c r="I658" t="s">
        <v>96</v>
      </c>
      <c r="J658" t="s">
        <v>2942</v>
      </c>
      <c r="K658" t="s">
        <v>4572</v>
      </c>
      <c r="L658" t="s">
        <v>44</v>
      </c>
      <c r="M658">
        <v>6</v>
      </c>
      <c r="N658" t="s">
        <v>6024</v>
      </c>
      <c r="O658" t="b">
        <v>0</v>
      </c>
      <c r="P658" t="b">
        <v>0</v>
      </c>
      <c r="Q658" t="b">
        <v>1</v>
      </c>
      <c r="R658" t="b">
        <v>0</v>
      </c>
      <c r="S658" t="b">
        <v>1</v>
      </c>
      <c r="T658" t="b">
        <v>0</v>
      </c>
      <c r="U658" t="b">
        <v>0</v>
      </c>
      <c r="V658" t="b">
        <v>1</v>
      </c>
      <c r="W658" t="b">
        <v>0</v>
      </c>
      <c r="X658" t="b">
        <v>0</v>
      </c>
      <c r="Y658" t="b">
        <v>0</v>
      </c>
      <c r="Z658" t="b">
        <v>1</v>
      </c>
      <c r="AA658" t="b">
        <v>0</v>
      </c>
      <c r="AB658" t="s">
        <v>5887</v>
      </c>
      <c r="AC658" t="s">
        <v>8189</v>
      </c>
    </row>
    <row r="659" spans="1:29" x14ac:dyDescent="0.3">
      <c r="A659">
        <v>-73.969744430000006</v>
      </c>
      <c r="B659">
        <v>40.775667519999999</v>
      </c>
      <c r="C659" t="s">
        <v>2430</v>
      </c>
      <c r="D659" t="s">
        <v>33</v>
      </c>
      <c r="E659" s="58">
        <v>43380</v>
      </c>
      <c r="F659">
        <v>27</v>
      </c>
      <c r="G659" t="s">
        <v>3842</v>
      </c>
      <c r="H659" t="s">
        <v>53</v>
      </c>
      <c r="I659" t="s">
        <v>737</v>
      </c>
      <c r="J659" t="s">
        <v>149</v>
      </c>
      <c r="K659" t="s">
        <v>3351</v>
      </c>
      <c r="L659" t="s">
        <v>65</v>
      </c>
      <c r="M659" t="b">
        <v>0</v>
      </c>
      <c r="N659" t="s">
        <v>1311</v>
      </c>
      <c r="O659" t="b">
        <v>0</v>
      </c>
      <c r="P659" t="b">
        <v>0</v>
      </c>
      <c r="Q659" t="b">
        <v>0</v>
      </c>
      <c r="R659" t="b">
        <v>1</v>
      </c>
      <c r="S659" t="b">
        <v>1</v>
      </c>
      <c r="T659" t="b">
        <v>0</v>
      </c>
      <c r="U659" t="b">
        <v>0</v>
      </c>
      <c r="V659" t="b">
        <v>1</v>
      </c>
      <c r="W659" t="b">
        <v>1</v>
      </c>
      <c r="X659" t="b">
        <v>1</v>
      </c>
      <c r="Y659" t="b">
        <v>0</v>
      </c>
      <c r="Z659" t="b">
        <v>1</v>
      </c>
      <c r="AA659" t="b">
        <v>0</v>
      </c>
      <c r="AB659" t="s">
        <v>7278</v>
      </c>
      <c r="AC659" t="s">
        <v>8190</v>
      </c>
    </row>
    <row r="660" spans="1:29" x14ac:dyDescent="0.3">
      <c r="A660">
        <v>-73.960853</v>
      </c>
      <c r="B660">
        <v>40.778887529999999</v>
      </c>
      <c r="C660" t="s">
        <v>3400</v>
      </c>
      <c r="D660" t="s">
        <v>38</v>
      </c>
      <c r="E660" s="58">
        <v>43379</v>
      </c>
      <c r="F660">
        <v>25</v>
      </c>
      <c r="G660" t="s">
        <v>105</v>
      </c>
      <c r="H660" t="s">
        <v>176</v>
      </c>
      <c r="I660" t="s">
        <v>1921</v>
      </c>
      <c r="J660" t="s">
        <v>3580</v>
      </c>
      <c r="K660" t="s">
        <v>1813</v>
      </c>
      <c r="L660" t="s">
        <v>65</v>
      </c>
      <c r="M660" t="b">
        <v>0</v>
      </c>
      <c r="N660" t="s">
        <v>6398</v>
      </c>
      <c r="O660" t="b">
        <v>0</v>
      </c>
      <c r="P660" t="b">
        <v>0</v>
      </c>
      <c r="Q660" t="b">
        <v>0</v>
      </c>
      <c r="R660" t="b">
        <v>1</v>
      </c>
      <c r="S660" t="b">
        <v>1</v>
      </c>
      <c r="T660" t="b">
        <v>1</v>
      </c>
      <c r="U660" t="b">
        <v>0</v>
      </c>
      <c r="V660" t="b">
        <v>1</v>
      </c>
      <c r="W660" t="b">
        <v>1</v>
      </c>
      <c r="X660" t="b">
        <v>0</v>
      </c>
      <c r="Y660" t="b">
        <v>0</v>
      </c>
      <c r="Z660" t="b">
        <v>1</v>
      </c>
      <c r="AA660" t="b">
        <v>0</v>
      </c>
      <c r="AB660" t="s">
        <v>1293</v>
      </c>
      <c r="AC660" t="s">
        <v>8191</v>
      </c>
    </row>
    <row r="661" spans="1:29" x14ac:dyDescent="0.3">
      <c r="A661">
        <v>-73.963215129999995</v>
      </c>
      <c r="B661">
        <v>40.780655709999998</v>
      </c>
      <c r="C661" t="s">
        <v>622</v>
      </c>
      <c r="D661" t="s">
        <v>38</v>
      </c>
      <c r="E661" s="58">
        <v>43382</v>
      </c>
      <c r="F661">
        <v>8</v>
      </c>
      <c r="G661" t="s">
        <v>3842</v>
      </c>
      <c r="H661" t="s">
        <v>53</v>
      </c>
      <c r="I661" t="s">
        <v>1921</v>
      </c>
      <c r="J661" t="s">
        <v>339</v>
      </c>
      <c r="K661" t="s">
        <v>1558</v>
      </c>
      <c r="L661" t="s">
        <v>65</v>
      </c>
      <c r="M661" t="b">
        <v>0</v>
      </c>
      <c r="N661" t="s">
        <v>701</v>
      </c>
      <c r="O661" t="b">
        <v>0</v>
      </c>
      <c r="P661" t="b">
        <v>0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b">
        <v>0</v>
      </c>
      <c r="W661" t="b">
        <v>0</v>
      </c>
      <c r="X661" t="b">
        <v>1</v>
      </c>
      <c r="Y661" t="b">
        <v>0</v>
      </c>
      <c r="Z661" t="b">
        <v>1</v>
      </c>
      <c r="AA661" t="b">
        <v>1</v>
      </c>
      <c r="AB661" t="s">
        <v>511</v>
      </c>
      <c r="AC661" t="s">
        <v>8192</v>
      </c>
    </row>
    <row r="662" spans="1:29" x14ac:dyDescent="0.3">
      <c r="A662">
        <v>-73.96996403</v>
      </c>
      <c r="B662">
        <v>40.786056299999998</v>
      </c>
      <c r="C662" t="s">
        <v>1962</v>
      </c>
      <c r="D662" t="s">
        <v>33</v>
      </c>
      <c r="E662" s="58">
        <v>43382</v>
      </c>
      <c r="F662">
        <v>23</v>
      </c>
      <c r="G662" t="s">
        <v>3842</v>
      </c>
      <c r="H662" t="s">
        <v>53</v>
      </c>
      <c r="I662" t="s">
        <v>42</v>
      </c>
      <c r="J662" t="s">
        <v>79</v>
      </c>
      <c r="K662" t="s">
        <v>3453</v>
      </c>
      <c r="L662" t="s">
        <v>65</v>
      </c>
      <c r="M662" t="b">
        <v>0</v>
      </c>
      <c r="N662" t="s">
        <v>424</v>
      </c>
      <c r="O662" t="b">
        <v>0</v>
      </c>
      <c r="P662" t="b">
        <v>1</v>
      </c>
      <c r="Q662" t="b">
        <v>0</v>
      </c>
      <c r="R662" t="b">
        <v>1</v>
      </c>
      <c r="S662" t="b">
        <v>1</v>
      </c>
      <c r="T662" t="b">
        <v>1</v>
      </c>
      <c r="U662" t="b">
        <v>0</v>
      </c>
      <c r="V662" t="b">
        <v>1</v>
      </c>
      <c r="W662" t="b">
        <v>0</v>
      </c>
      <c r="X662" t="b">
        <v>0</v>
      </c>
      <c r="Y662" t="b">
        <v>1</v>
      </c>
      <c r="Z662" t="b">
        <v>0</v>
      </c>
      <c r="AA662" t="b">
        <v>0</v>
      </c>
      <c r="AB662" t="s">
        <v>2025</v>
      </c>
      <c r="AC662" t="s">
        <v>8193</v>
      </c>
    </row>
    <row r="663" spans="1:29" x14ac:dyDescent="0.3">
      <c r="A663">
        <v>-73.950145689999999</v>
      </c>
      <c r="B663">
        <v>40.78306663</v>
      </c>
      <c r="C663" t="s">
        <v>1138</v>
      </c>
      <c r="D663" t="s">
        <v>38</v>
      </c>
      <c r="E663" s="58">
        <v>43391</v>
      </c>
      <c r="F663">
        <v>1</v>
      </c>
      <c r="G663" t="s">
        <v>105</v>
      </c>
      <c r="H663" t="s">
        <v>53</v>
      </c>
      <c r="I663" t="s">
        <v>42</v>
      </c>
      <c r="J663" t="s">
        <v>177</v>
      </c>
      <c r="K663" t="s">
        <v>1813</v>
      </c>
      <c r="L663" t="s">
        <v>65</v>
      </c>
      <c r="M663" t="b">
        <v>0</v>
      </c>
      <c r="N663" t="s">
        <v>4860</v>
      </c>
      <c r="O663" t="b">
        <v>1</v>
      </c>
      <c r="P663" t="b">
        <v>0</v>
      </c>
      <c r="Q663" t="b">
        <v>1</v>
      </c>
      <c r="R663" t="b">
        <v>0</v>
      </c>
      <c r="S663" t="b">
        <v>1</v>
      </c>
      <c r="T663" t="b">
        <v>1</v>
      </c>
      <c r="U663" t="b">
        <v>1</v>
      </c>
      <c r="V663" t="b">
        <v>0</v>
      </c>
      <c r="W663" t="b">
        <v>1</v>
      </c>
      <c r="X663" t="b">
        <v>0</v>
      </c>
      <c r="Y663" t="b">
        <v>0</v>
      </c>
      <c r="Z663" t="b">
        <v>0</v>
      </c>
      <c r="AA663" t="b">
        <v>1</v>
      </c>
      <c r="AB663" t="s">
        <v>3104</v>
      </c>
      <c r="AC663" t="s">
        <v>8194</v>
      </c>
    </row>
    <row r="664" spans="1:29" x14ac:dyDescent="0.3">
      <c r="A664">
        <v>-73.96211495</v>
      </c>
      <c r="B664">
        <v>40.797280479999998</v>
      </c>
      <c r="C664" t="s">
        <v>1076</v>
      </c>
      <c r="D664" t="s">
        <v>38</v>
      </c>
      <c r="E664" s="58">
        <v>43379</v>
      </c>
      <c r="F664">
        <v>20</v>
      </c>
      <c r="G664" t="s">
        <v>3842</v>
      </c>
      <c r="H664" t="s">
        <v>42</v>
      </c>
      <c r="I664" t="s">
        <v>115</v>
      </c>
      <c r="J664" t="s">
        <v>3228</v>
      </c>
      <c r="K664" t="s">
        <v>2927</v>
      </c>
      <c r="L664" t="s">
        <v>44</v>
      </c>
      <c r="M664">
        <v>2</v>
      </c>
      <c r="N664" t="s">
        <v>1766</v>
      </c>
      <c r="O664" t="b">
        <v>1</v>
      </c>
      <c r="P664" t="b">
        <v>0</v>
      </c>
      <c r="Q664" t="b">
        <v>0</v>
      </c>
      <c r="R664" t="b">
        <v>1</v>
      </c>
      <c r="S664" t="b">
        <v>0</v>
      </c>
      <c r="T664" t="b">
        <v>1</v>
      </c>
      <c r="U664" t="b">
        <v>1</v>
      </c>
      <c r="V664" t="b">
        <v>1</v>
      </c>
      <c r="W664" t="b">
        <v>1</v>
      </c>
      <c r="X664" t="b">
        <v>0</v>
      </c>
      <c r="Y664" t="b">
        <v>0</v>
      </c>
      <c r="Z664" t="b">
        <v>1</v>
      </c>
      <c r="AA664" t="b">
        <v>1</v>
      </c>
      <c r="AB664" t="s">
        <v>3679</v>
      </c>
      <c r="AC664" t="s">
        <v>8195</v>
      </c>
    </row>
    <row r="665" spans="1:29" x14ac:dyDescent="0.3">
      <c r="A665">
        <v>-73.973700930000007</v>
      </c>
      <c r="B665">
        <v>40.782407679999999</v>
      </c>
      <c r="C665" t="s">
        <v>908</v>
      </c>
      <c r="D665" t="s">
        <v>33</v>
      </c>
      <c r="E665" s="58">
        <v>43384</v>
      </c>
      <c r="F665">
        <v>12</v>
      </c>
      <c r="G665" t="s">
        <v>105</v>
      </c>
      <c r="H665" t="s">
        <v>53</v>
      </c>
      <c r="I665" t="s">
        <v>115</v>
      </c>
      <c r="J665" t="s">
        <v>54</v>
      </c>
      <c r="K665" t="s">
        <v>442</v>
      </c>
      <c r="L665" t="s">
        <v>44</v>
      </c>
      <c r="M665">
        <v>7</v>
      </c>
      <c r="N665" t="s">
        <v>6806</v>
      </c>
      <c r="O665" t="b">
        <v>1</v>
      </c>
      <c r="P665" t="b">
        <v>1</v>
      </c>
      <c r="Q665" t="b">
        <v>0</v>
      </c>
      <c r="R665" t="b">
        <v>0</v>
      </c>
      <c r="S665" t="b">
        <v>0</v>
      </c>
      <c r="T665" t="b">
        <v>1</v>
      </c>
      <c r="U665" t="b">
        <v>1</v>
      </c>
      <c r="V665" t="b">
        <v>0</v>
      </c>
      <c r="W665" t="b">
        <v>0</v>
      </c>
      <c r="X665" t="b">
        <v>1</v>
      </c>
      <c r="Y665" t="b">
        <v>1</v>
      </c>
      <c r="Z665" t="b">
        <v>0</v>
      </c>
      <c r="AA665" t="b">
        <v>0</v>
      </c>
      <c r="AB665" t="s">
        <v>1649</v>
      </c>
      <c r="AC665" t="s">
        <v>8196</v>
      </c>
    </row>
    <row r="666" spans="1:29" x14ac:dyDescent="0.3">
      <c r="A666">
        <v>-73.977958860000001</v>
      </c>
      <c r="B666">
        <v>40.799842419999997</v>
      </c>
      <c r="C666" t="s">
        <v>790</v>
      </c>
      <c r="D666" t="s">
        <v>38</v>
      </c>
      <c r="E666" s="58">
        <v>43382</v>
      </c>
      <c r="F666">
        <v>23</v>
      </c>
      <c r="G666" t="s">
        <v>48</v>
      </c>
      <c r="H666" t="s">
        <v>176</v>
      </c>
      <c r="I666" t="s">
        <v>5105</v>
      </c>
      <c r="J666" t="s">
        <v>3580</v>
      </c>
      <c r="K666" t="s">
        <v>5429</v>
      </c>
      <c r="L666" t="s">
        <v>65</v>
      </c>
      <c r="M666" t="b">
        <v>0</v>
      </c>
      <c r="N666" t="s">
        <v>701</v>
      </c>
      <c r="O666" t="b">
        <v>0</v>
      </c>
      <c r="P666" t="b">
        <v>0</v>
      </c>
      <c r="Q666" t="b">
        <v>0</v>
      </c>
      <c r="R666" t="b">
        <v>1</v>
      </c>
      <c r="S666" t="b">
        <v>0</v>
      </c>
      <c r="T666" t="b">
        <v>1</v>
      </c>
      <c r="U666" t="b">
        <v>0</v>
      </c>
      <c r="V666" t="b">
        <v>1</v>
      </c>
      <c r="W666" t="b">
        <v>0</v>
      </c>
      <c r="X666" t="b">
        <v>0</v>
      </c>
      <c r="Y666" t="b">
        <v>0</v>
      </c>
      <c r="Z666" t="b">
        <v>0</v>
      </c>
      <c r="AA666" t="b">
        <v>1</v>
      </c>
      <c r="AB666" t="s">
        <v>1473</v>
      </c>
      <c r="AC666" t="s">
        <v>8197</v>
      </c>
    </row>
    <row r="667" spans="1:29" x14ac:dyDescent="0.3">
      <c r="A667">
        <v>-73.976353180000004</v>
      </c>
      <c r="B667">
        <v>40.794887510000002</v>
      </c>
      <c r="C667" t="s">
        <v>175</v>
      </c>
      <c r="D667" t="s">
        <v>33</v>
      </c>
      <c r="E667" s="58">
        <v>43379</v>
      </c>
      <c r="F667">
        <v>11</v>
      </c>
      <c r="G667" t="s">
        <v>105</v>
      </c>
      <c r="H667" t="s">
        <v>176</v>
      </c>
      <c r="I667" t="s">
        <v>59</v>
      </c>
      <c r="J667" t="s">
        <v>738</v>
      </c>
      <c r="K667" t="s">
        <v>3883</v>
      </c>
      <c r="L667" t="s">
        <v>65</v>
      </c>
      <c r="M667" t="b">
        <v>0</v>
      </c>
      <c r="N667" t="s">
        <v>5295</v>
      </c>
      <c r="O667" t="b">
        <v>0</v>
      </c>
      <c r="P667" t="b">
        <v>0</v>
      </c>
      <c r="Q667" t="b">
        <v>1</v>
      </c>
      <c r="R667" t="b">
        <v>1</v>
      </c>
      <c r="S667" t="b">
        <v>0</v>
      </c>
      <c r="T667" t="b">
        <v>1</v>
      </c>
      <c r="U667" t="b">
        <v>0</v>
      </c>
      <c r="V667" t="b">
        <v>0</v>
      </c>
      <c r="W667" t="b">
        <v>1</v>
      </c>
      <c r="X667" t="b">
        <v>1</v>
      </c>
      <c r="Y667" t="b">
        <v>0</v>
      </c>
      <c r="Z667" t="b">
        <v>1</v>
      </c>
      <c r="AA667" t="b">
        <v>0</v>
      </c>
      <c r="AB667" t="s">
        <v>1216</v>
      </c>
      <c r="AC667" t="s">
        <v>8198</v>
      </c>
    </row>
    <row r="668" spans="1:29" x14ac:dyDescent="0.3">
      <c r="A668">
        <v>-73.973426450000005</v>
      </c>
      <c r="B668">
        <v>40.772251869999998</v>
      </c>
      <c r="C668" t="s">
        <v>1015</v>
      </c>
      <c r="D668" t="s">
        <v>33</v>
      </c>
      <c r="E668" s="58">
        <v>43379</v>
      </c>
      <c r="F668">
        <v>7</v>
      </c>
      <c r="G668" t="s">
        <v>48</v>
      </c>
      <c r="H668" t="s">
        <v>53</v>
      </c>
      <c r="I668" t="s">
        <v>53</v>
      </c>
      <c r="J668" t="s">
        <v>705</v>
      </c>
      <c r="K668" t="s">
        <v>3461</v>
      </c>
      <c r="L668" t="s">
        <v>44</v>
      </c>
      <c r="M668">
        <v>15</v>
      </c>
      <c r="N668" t="s">
        <v>752</v>
      </c>
      <c r="O668" t="b">
        <v>1</v>
      </c>
      <c r="P668" t="b">
        <v>0</v>
      </c>
      <c r="Q668" t="b">
        <v>1</v>
      </c>
      <c r="R668" t="b">
        <v>0</v>
      </c>
      <c r="S668" t="b">
        <v>0</v>
      </c>
      <c r="T668" t="b">
        <v>1</v>
      </c>
      <c r="U668" t="b">
        <v>0</v>
      </c>
      <c r="V668" t="b">
        <v>1</v>
      </c>
      <c r="W668" t="b">
        <v>1</v>
      </c>
      <c r="X668" t="b">
        <v>0</v>
      </c>
      <c r="Y668" t="b">
        <v>0</v>
      </c>
      <c r="Z668" t="b">
        <v>1</v>
      </c>
      <c r="AA668" t="b">
        <v>0</v>
      </c>
      <c r="AB668" t="s">
        <v>2182</v>
      </c>
      <c r="AC668" t="s">
        <v>8199</v>
      </c>
    </row>
    <row r="669" spans="1:29" x14ac:dyDescent="0.3">
      <c r="A669">
        <v>-73.97610727</v>
      </c>
      <c r="B669">
        <v>40.797674929999999</v>
      </c>
      <c r="C669" t="s">
        <v>2085</v>
      </c>
      <c r="D669" t="s">
        <v>33</v>
      </c>
      <c r="E669" s="58">
        <v>43393</v>
      </c>
      <c r="F669">
        <v>15</v>
      </c>
      <c r="G669" t="s">
        <v>48</v>
      </c>
      <c r="H669" t="s">
        <v>53</v>
      </c>
      <c r="I669" t="s">
        <v>737</v>
      </c>
      <c r="J669" t="s">
        <v>177</v>
      </c>
      <c r="K669" t="s">
        <v>3887</v>
      </c>
      <c r="L669" t="s">
        <v>44</v>
      </c>
      <c r="M669">
        <v>5</v>
      </c>
      <c r="N669" t="s">
        <v>2833</v>
      </c>
      <c r="O669" t="b">
        <v>1</v>
      </c>
      <c r="P669" t="b">
        <v>0</v>
      </c>
      <c r="Q669" t="b">
        <v>1</v>
      </c>
      <c r="R669" t="b">
        <v>0</v>
      </c>
      <c r="S669" t="b">
        <v>0</v>
      </c>
      <c r="T669" t="b">
        <v>0</v>
      </c>
      <c r="U669" t="b">
        <v>1</v>
      </c>
      <c r="V669" t="b">
        <v>0</v>
      </c>
      <c r="W669" t="b">
        <v>0</v>
      </c>
      <c r="X669" t="b">
        <v>1</v>
      </c>
      <c r="Y669" t="b">
        <v>0</v>
      </c>
      <c r="Z669" t="b">
        <v>0</v>
      </c>
      <c r="AA669" t="b">
        <v>1</v>
      </c>
      <c r="AB669" t="s">
        <v>836</v>
      </c>
      <c r="AC669" t="s">
        <v>8200</v>
      </c>
    </row>
    <row r="670" spans="1:29" x14ac:dyDescent="0.3">
      <c r="A670">
        <v>-73.97529351</v>
      </c>
      <c r="B670">
        <v>40.769007680000001</v>
      </c>
      <c r="C670" t="s">
        <v>268</v>
      </c>
      <c r="D670" t="s">
        <v>33</v>
      </c>
      <c r="E670" s="58">
        <v>43391</v>
      </c>
      <c r="F670">
        <v>22</v>
      </c>
      <c r="G670" t="s">
        <v>3842</v>
      </c>
      <c r="H670" t="s">
        <v>53</v>
      </c>
      <c r="I670" t="s">
        <v>42</v>
      </c>
      <c r="J670" t="s">
        <v>3228</v>
      </c>
      <c r="K670" t="s">
        <v>1688</v>
      </c>
      <c r="L670" t="s">
        <v>65</v>
      </c>
      <c r="M670" t="b">
        <v>0</v>
      </c>
      <c r="N670" t="s">
        <v>2833</v>
      </c>
      <c r="O670" t="b">
        <v>1</v>
      </c>
      <c r="P670" t="b">
        <v>0</v>
      </c>
      <c r="Q670" t="b">
        <v>0</v>
      </c>
      <c r="R670" t="b">
        <v>0</v>
      </c>
      <c r="S670" t="b">
        <v>1</v>
      </c>
      <c r="T670" t="b">
        <v>1</v>
      </c>
      <c r="U670" t="b">
        <v>0</v>
      </c>
      <c r="V670" t="b">
        <v>0</v>
      </c>
      <c r="W670" t="b">
        <v>1</v>
      </c>
      <c r="X670" t="b">
        <v>1</v>
      </c>
      <c r="Y670" t="b">
        <v>0</v>
      </c>
      <c r="Z670" t="b">
        <v>0</v>
      </c>
      <c r="AA670" t="b">
        <v>1</v>
      </c>
      <c r="AB670" t="s">
        <v>1428</v>
      </c>
      <c r="AC670" t="s">
        <v>8201</v>
      </c>
    </row>
    <row r="671" spans="1:29" x14ac:dyDescent="0.3">
      <c r="A671">
        <v>-73.972196100000005</v>
      </c>
      <c r="B671">
        <v>40.793691320000001</v>
      </c>
      <c r="C671" t="s">
        <v>1278</v>
      </c>
      <c r="D671" t="s">
        <v>38</v>
      </c>
      <c r="E671" s="58">
        <v>43379</v>
      </c>
      <c r="F671">
        <v>24</v>
      </c>
      <c r="G671" t="s">
        <v>3842</v>
      </c>
      <c r="H671" t="s">
        <v>176</v>
      </c>
      <c r="I671" t="s">
        <v>53</v>
      </c>
      <c r="J671" t="s">
        <v>116</v>
      </c>
      <c r="K671" t="s">
        <v>3341</v>
      </c>
      <c r="L671" t="s">
        <v>44</v>
      </c>
      <c r="M671">
        <v>5</v>
      </c>
      <c r="N671" t="s">
        <v>257</v>
      </c>
      <c r="O671" t="b">
        <v>1</v>
      </c>
      <c r="P671" t="b">
        <v>0</v>
      </c>
      <c r="Q671" t="b">
        <v>1</v>
      </c>
      <c r="R671" t="b">
        <v>0</v>
      </c>
      <c r="S671" t="b">
        <v>1</v>
      </c>
      <c r="T671" t="b">
        <v>0</v>
      </c>
      <c r="U671" t="b">
        <v>0</v>
      </c>
      <c r="V671" t="b">
        <v>0</v>
      </c>
      <c r="W671" t="b">
        <v>0</v>
      </c>
      <c r="X671" t="b">
        <v>1</v>
      </c>
      <c r="Y671" t="b">
        <v>1</v>
      </c>
      <c r="Z671" t="b">
        <v>0</v>
      </c>
      <c r="AA671" t="b">
        <v>1</v>
      </c>
      <c r="AB671" t="s">
        <v>4197</v>
      </c>
      <c r="AC671" t="s">
        <v>8202</v>
      </c>
    </row>
    <row r="672" spans="1:29" x14ac:dyDescent="0.3">
      <c r="A672">
        <v>-73.975708269999998</v>
      </c>
      <c r="B672">
        <v>40.778311600000002</v>
      </c>
      <c r="C672" t="s">
        <v>2593</v>
      </c>
      <c r="D672" t="s">
        <v>33</v>
      </c>
      <c r="E672" s="58">
        <v>43386</v>
      </c>
      <c r="F672">
        <v>11</v>
      </c>
      <c r="G672" t="s">
        <v>3842</v>
      </c>
      <c r="H672" t="s">
        <v>176</v>
      </c>
      <c r="I672" t="s">
        <v>53</v>
      </c>
      <c r="J672" t="s">
        <v>60</v>
      </c>
      <c r="K672" t="s">
        <v>2362</v>
      </c>
      <c r="L672" t="s">
        <v>44</v>
      </c>
      <c r="M672">
        <v>10</v>
      </c>
      <c r="N672" t="s">
        <v>664</v>
      </c>
      <c r="O672" t="b">
        <v>1</v>
      </c>
      <c r="P672" t="b">
        <v>0</v>
      </c>
      <c r="Q672" t="b">
        <v>1</v>
      </c>
      <c r="R672" t="b">
        <v>0</v>
      </c>
      <c r="S672" t="b">
        <v>0</v>
      </c>
      <c r="T672" t="b">
        <v>1</v>
      </c>
      <c r="U672" t="b">
        <v>0</v>
      </c>
      <c r="V672" t="b">
        <v>0</v>
      </c>
      <c r="W672" t="b">
        <v>0</v>
      </c>
      <c r="X672" t="b">
        <v>0</v>
      </c>
      <c r="Y672" t="b">
        <v>1</v>
      </c>
      <c r="Z672" t="b">
        <v>1</v>
      </c>
      <c r="AA672" t="b">
        <v>0</v>
      </c>
      <c r="AB672" t="s">
        <v>499</v>
      </c>
      <c r="AC672" t="s">
        <v>8203</v>
      </c>
    </row>
    <row r="673" spans="1:29" x14ac:dyDescent="0.3">
      <c r="A673">
        <v>-73.952967130000005</v>
      </c>
      <c r="B673">
        <v>40.795822260000001</v>
      </c>
      <c r="C673" t="s">
        <v>870</v>
      </c>
      <c r="D673" t="s">
        <v>33</v>
      </c>
      <c r="E673" s="58">
        <v>43388</v>
      </c>
      <c r="F673">
        <v>29</v>
      </c>
      <c r="G673" t="s">
        <v>105</v>
      </c>
      <c r="H673" t="s">
        <v>42</v>
      </c>
      <c r="I673" t="s">
        <v>59</v>
      </c>
      <c r="J673" t="s">
        <v>339</v>
      </c>
      <c r="K673" t="s">
        <v>565</v>
      </c>
      <c r="L673" t="s">
        <v>65</v>
      </c>
      <c r="M673" t="b">
        <v>0</v>
      </c>
      <c r="N673" t="s">
        <v>2451</v>
      </c>
      <c r="O673" t="b">
        <v>0</v>
      </c>
      <c r="P673" t="b">
        <v>1</v>
      </c>
      <c r="Q673" t="b">
        <v>1</v>
      </c>
      <c r="R673" t="b">
        <v>1</v>
      </c>
      <c r="S673" t="b">
        <v>0</v>
      </c>
      <c r="T673" t="b">
        <v>1</v>
      </c>
      <c r="U673" t="b">
        <v>1</v>
      </c>
      <c r="V673" t="b">
        <v>0</v>
      </c>
      <c r="W673" t="b">
        <v>0</v>
      </c>
      <c r="X673" t="b">
        <v>0</v>
      </c>
      <c r="Y673" t="b">
        <v>1</v>
      </c>
      <c r="Z673" t="b">
        <v>0</v>
      </c>
      <c r="AA673" t="b">
        <v>0</v>
      </c>
      <c r="AB673" t="s">
        <v>3552</v>
      </c>
      <c r="AC673" t="s">
        <v>8204</v>
      </c>
    </row>
    <row r="674" spans="1:29" x14ac:dyDescent="0.3">
      <c r="A674">
        <v>-73.978636289999997</v>
      </c>
      <c r="B674">
        <v>40.795473080000001</v>
      </c>
      <c r="C674" t="s">
        <v>111</v>
      </c>
      <c r="D674" t="s">
        <v>38</v>
      </c>
      <c r="E674" s="58">
        <v>43386</v>
      </c>
      <c r="F674">
        <v>22</v>
      </c>
      <c r="G674" t="s">
        <v>3842</v>
      </c>
      <c r="H674" t="s">
        <v>42</v>
      </c>
      <c r="I674" t="s">
        <v>148</v>
      </c>
      <c r="J674" t="s">
        <v>116</v>
      </c>
      <c r="K674" t="s">
        <v>2685</v>
      </c>
      <c r="L674" t="s">
        <v>44</v>
      </c>
      <c r="M674">
        <v>3</v>
      </c>
      <c r="N674" t="s">
        <v>7250</v>
      </c>
      <c r="O674" t="b">
        <v>0</v>
      </c>
      <c r="P674" t="b">
        <v>1</v>
      </c>
      <c r="Q674" t="b">
        <v>0</v>
      </c>
      <c r="R674" t="b">
        <v>0</v>
      </c>
      <c r="S674" t="b">
        <v>0</v>
      </c>
      <c r="T674" t="b">
        <v>1</v>
      </c>
      <c r="U674" t="b">
        <v>0</v>
      </c>
      <c r="V674" t="b">
        <v>0</v>
      </c>
      <c r="W674" t="b">
        <v>0</v>
      </c>
      <c r="X674" t="b">
        <v>1</v>
      </c>
      <c r="Y674" t="b">
        <v>1</v>
      </c>
      <c r="Z674" t="b">
        <v>0</v>
      </c>
      <c r="AA674" t="b">
        <v>1</v>
      </c>
      <c r="AB674" t="s">
        <v>6227</v>
      </c>
      <c r="AC674" t="s">
        <v>8205</v>
      </c>
    </row>
    <row r="675" spans="1:29" x14ac:dyDescent="0.3">
      <c r="A675">
        <v>-73.964669610000001</v>
      </c>
      <c r="B675">
        <v>40.793285570000002</v>
      </c>
      <c r="C675" t="s">
        <v>1775</v>
      </c>
      <c r="D675" t="s">
        <v>33</v>
      </c>
      <c r="E675" s="58">
        <v>43380</v>
      </c>
      <c r="F675">
        <v>26</v>
      </c>
      <c r="G675" t="s">
        <v>48</v>
      </c>
      <c r="H675" t="s">
        <v>42</v>
      </c>
      <c r="I675" t="s">
        <v>148</v>
      </c>
      <c r="J675" t="s">
        <v>89</v>
      </c>
      <c r="K675" t="s">
        <v>4477</v>
      </c>
      <c r="L675" t="s">
        <v>44</v>
      </c>
      <c r="M675">
        <v>5</v>
      </c>
      <c r="N675" t="s">
        <v>151</v>
      </c>
      <c r="O675" t="b">
        <v>0</v>
      </c>
      <c r="P675" t="b">
        <v>0</v>
      </c>
      <c r="Q675" t="b">
        <v>1</v>
      </c>
      <c r="R675" t="b">
        <v>0</v>
      </c>
      <c r="S675" t="b">
        <v>1</v>
      </c>
      <c r="T675" t="b">
        <v>0</v>
      </c>
      <c r="U675" t="b">
        <v>0</v>
      </c>
      <c r="V675" t="b">
        <v>1</v>
      </c>
      <c r="W675" t="b">
        <v>1</v>
      </c>
      <c r="X675" t="b">
        <v>0</v>
      </c>
      <c r="Y675" t="b">
        <v>1</v>
      </c>
      <c r="Z675" t="b">
        <v>1</v>
      </c>
      <c r="AA675" t="b">
        <v>0</v>
      </c>
      <c r="AB675" t="s">
        <v>5921</v>
      </c>
      <c r="AC675" t="s">
        <v>8206</v>
      </c>
    </row>
    <row r="676" spans="1:29" x14ac:dyDescent="0.3">
      <c r="A676">
        <v>-73.968257010000002</v>
      </c>
      <c r="B676">
        <v>40.792725939999997</v>
      </c>
      <c r="C676" t="s">
        <v>2053</v>
      </c>
      <c r="D676" t="s">
        <v>33</v>
      </c>
      <c r="E676" s="58">
        <v>43389</v>
      </c>
      <c r="F676">
        <v>16</v>
      </c>
      <c r="G676" t="s">
        <v>3842</v>
      </c>
      <c r="H676" t="s">
        <v>176</v>
      </c>
      <c r="I676" t="s">
        <v>42</v>
      </c>
      <c r="J676" t="s">
        <v>738</v>
      </c>
      <c r="K676" t="s">
        <v>1472</v>
      </c>
      <c r="L676" t="s">
        <v>44</v>
      </c>
      <c r="M676">
        <v>3</v>
      </c>
      <c r="N676" t="s">
        <v>5420</v>
      </c>
      <c r="O676" t="b">
        <v>1</v>
      </c>
      <c r="P676" t="b">
        <v>1</v>
      </c>
      <c r="Q676" t="b">
        <v>1</v>
      </c>
      <c r="R676" t="b">
        <v>0</v>
      </c>
      <c r="S676" t="b">
        <v>1</v>
      </c>
      <c r="T676" t="b">
        <v>1</v>
      </c>
      <c r="U676" t="b">
        <v>1</v>
      </c>
      <c r="V676" t="b">
        <v>1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s">
        <v>665</v>
      </c>
      <c r="AC676" t="s">
        <v>8207</v>
      </c>
    </row>
    <row r="677" spans="1:29" x14ac:dyDescent="0.3">
      <c r="A677">
        <v>-73.950275730000001</v>
      </c>
      <c r="B677">
        <v>40.775637770000003</v>
      </c>
      <c r="C677" t="s">
        <v>539</v>
      </c>
      <c r="D677" t="s">
        <v>33</v>
      </c>
      <c r="E677" s="58">
        <v>43391</v>
      </c>
      <c r="F677">
        <v>3</v>
      </c>
      <c r="G677" t="s">
        <v>3842</v>
      </c>
      <c r="H677" t="s">
        <v>42</v>
      </c>
      <c r="I677" t="s">
        <v>96</v>
      </c>
      <c r="J677" t="s">
        <v>339</v>
      </c>
      <c r="K677" t="s">
        <v>49</v>
      </c>
      <c r="L677" t="s">
        <v>44</v>
      </c>
      <c r="M677">
        <v>2</v>
      </c>
      <c r="N677" t="s">
        <v>456</v>
      </c>
      <c r="O677" t="b">
        <v>0</v>
      </c>
      <c r="P677" t="b">
        <v>0</v>
      </c>
      <c r="Q677" t="b">
        <v>1</v>
      </c>
      <c r="R677" t="b">
        <v>0</v>
      </c>
      <c r="S677" t="b">
        <v>1</v>
      </c>
      <c r="T677" t="b">
        <v>1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1</v>
      </c>
      <c r="AA677" t="b">
        <v>1</v>
      </c>
      <c r="AB677" t="s">
        <v>974</v>
      </c>
      <c r="AC677" t="s">
        <v>8208</v>
      </c>
    </row>
    <row r="678" spans="1:29" x14ac:dyDescent="0.3">
      <c r="A678">
        <v>-73.977636430000004</v>
      </c>
      <c r="B678">
        <v>40.767759660000003</v>
      </c>
      <c r="C678" t="s">
        <v>3964</v>
      </c>
      <c r="D678" t="s">
        <v>33</v>
      </c>
      <c r="E678" s="58">
        <v>43385</v>
      </c>
      <c r="F678">
        <v>20</v>
      </c>
      <c r="G678" t="s">
        <v>105</v>
      </c>
      <c r="H678" t="s">
        <v>53</v>
      </c>
      <c r="I678" t="s">
        <v>59</v>
      </c>
      <c r="J678" t="s">
        <v>1142</v>
      </c>
      <c r="K678" t="s">
        <v>6764</v>
      </c>
      <c r="L678" t="s">
        <v>65</v>
      </c>
      <c r="M678" t="b">
        <v>0</v>
      </c>
      <c r="N678" t="s">
        <v>359</v>
      </c>
      <c r="O678" t="b">
        <v>1</v>
      </c>
      <c r="P678" t="b">
        <v>1</v>
      </c>
      <c r="Q678" t="b">
        <v>0</v>
      </c>
      <c r="R678" t="b">
        <v>1</v>
      </c>
      <c r="S678" t="b">
        <v>1</v>
      </c>
      <c r="T678" t="b">
        <v>0</v>
      </c>
      <c r="U678" t="b">
        <v>0</v>
      </c>
      <c r="V678" t="b">
        <v>0</v>
      </c>
      <c r="W678" t="b">
        <v>1</v>
      </c>
      <c r="X678" t="b">
        <v>1</v>
      </c>
      <c r="Y678" t="b">
        <v>0</v>
      </c>
      <c r="Z678" t="b">
        <v>1</v>
      </c>
      <c r="AA678" t="b">
        <v>0</v>
      </c>
      <c r="AB678" t="s">
        <v>445</v>
      </c>
      <c r="AC678" t="s">
        <v>8209</v>
      </c>
    </row>
    <row r="679" spans="1:29" x14ac:dyDescent="0.3">
      <c r="A679">
        <v>-73.968651269999995</v>
      </c>
      <c r="B679">
        <v>40.779098730000001</v>
      </c>
      <c r="C679" t="s">
        <v>154</v>
      </c>
      <c r="D679" t="s">
        <v>38</v>
      </c>
      <c r="E679" s="58">
        <v>43392</v>
      </c>
      <c r="F679">
        <v>14</v>
      </c>
      <c r="G679" t="s">
        <v>105</v>
      </c>
      <c r="H679" t="s">
        <v>53</v>
      </c>
      <c r="I679" t="s">
        <v>59</v>
      </c>
      <c r="J679" t="s">
        <v>1142</v>
      </c>
      <c r="K679" t="s">
        <v>6823</v>
      </c>
      <c r="L679" t="s">
        <v>44</v>
      </c>
      <c r="M679">
        <v>15</v>
      </c>
      <c r="N679" t="s">
        <v>449</v>
      </c>
      <c r="O679" t="b">
        <v>0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  <c r="U679" t="b">
        <v>0</v>
      </c>
      <c r="V679" t="b">
        <v>0</v>
      </c>
      <c r="W679" t="b">
        <v>1</v>
      </c>
      <c r="X679" t="b">
        <v>1</v>
      </c>
      <c r="Y679" t="b">
        <v>0</v>
      </c>
      <c r="Z679" t="b">
        <v>0</v>
      </c>
      <c r="AA679" t="b">
        <v>1</v>
      </c>
      <c r="AB679" t="s">
        <v>2671</v>
      </c>
      <c r="AC679" t="s">
        <v>8210</v>
      </c>
    </row>
    <row r="680" spans="1:29" x14ac:dyDescent="0.3">
      <c r="A680">
        <v>-73.950681520000003</v>
      </c>
      <c r="B680">
        <v>40.77102009</v>
      </c>
      <c r="C680" t="s">
        <v>680</v>
      </c>
      <c r="D680" t="s">
        <v>33</v>
      </c>
      <c r="E680" s="58">
        <v>43386</v>
      </c>
      <c r="F680">
        <v>3</v>
      </c>
      <c r="G680" t="s">
        <v>48</v>
      </c>
      <c r="H680" t="s">
        <v>176</v>
      </c>
      <c r="I680" t="s">
        <v>176</v>
      </c>
      <c r="J680" t="s">
        <v>3580</v>
      </c>
      <c r="K680" t="s">
        <v>1934</v>
      </c>
      <c r="L680" t="s">
        <v>65</v>
      </c>
      <c r="M680" t="b">
        <v>0</v>
      </c>
      <c r="N680" t="s">
        <v>1555</v>
      </c>
      <c r="O680" t="b">
        <v>1</v>
      </c>
      <c r="P680" t="b">
        <v>1</v>
      </c>
      <c r="Q680" t="b">
        <v>1</v>
      </c>
      <c r="R680" t="b">
        <v>1</v>
      </c>
      <c r="S680" t="b">
        <v>0</v>
      </c>
      <c r="T680" t="b">
        <v>0</v>
      </c>
      <c r="U680" t="b">
        <v>1</v>
      </c>
      <c r="V680" t="b">
        <v>0</v>
      </c>
      <c r="W680" t="b">
        <v>0</v>
      </c>
      <c r="X680" t="b">
        <v>0</v>
      </c>
      <c r="Y680" t="b">
        <v>0</v>
      </c>
      <c r="Z680" t="b">
        <v>1</v>
      </c>
      <c r="AA680" t="b">
        <v>1</v>
      </c>
      <c r="AB680" t="s">
        <v>4695</v>
      </c>
      <c r="AC680" t="s">
        <v>8211</v>
      </c>
    </row>
    <row r="681" spans="1:29" x14ac:dyDescent="0.3">
      <c r="A681">
        <v>-73.953949789999996</v>
      </c>
      <c r="B681">
        <v>40.789378399999997</v>
      </c>
      <c r="C681" t="s">
        <v>311</v>
      </c>
      <c r="D681" t="s">
        <v>38</v>
      </c>
      <c r="E681" s="58">
        <v>43386</v>
      </c>
      <c r="F681">
        <v>1</v>
      </c>
      <c r="G681" t="s">
        <v>105</v>
      </c>
      <c r="H681" t="s">
        <v>42</v>
      </c>
      <c r="I681" t="s">
        <v>53</v>
      </c>
      <c r="J681" t="s">
        <v>3228</v>
      </c>
      <c r="K681" t="s">
        <v>242</v>
      </c>
      <c r="L681" t="s">
        <v>44</v>
      </c>
      <c r="M681">
        <v>30</v>
      </c>
      <c r="N681" t="s">
        <v>7271</v>
      </c>
      <c r="O681" t="b">
        <v>1</v>
      </c>
      <c r="P681" t="b">
        <v>0</v>
      </c>
      <c r="Q681" t="b">
        <v>1</v>
      </c>
      <c r="R681" t="b">
        <v>1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1</v>
      </c>
      <c r="Y681" t="b">
        <v>0</v>
      </c>
      <c r="Z681" t="b">
        <v>1</v>
      </c>
      <c r="AA681" t="b">
        <v>1</v>
      </c>
      <c r="AB681" t="s">
        <v>1455</v>
      </c>
      <c r="AC681" t="s">
        <v>8212</v>
      </c>
    </row>
    <row r="682" spans="1:29" x14ac:dyDescent="0.3">
      <c r="A682">
        <v>-73.955472439999994</v>
      </c>
      <c r="B682">
        <v>40.777096100000001</v>
      </c>
      <c r="C682" t="s">
        <v>298</v>
      </c>
      <c r="D682" t="s">
        <v>38</v>
      </c>
      <c r="E682" s="58">
        <v>43389</v>
      </c>
      <c r="F682">
        <v>26</v>
      </c>
      <c r="G682" t="s">
        <v>3842</v>
      </c>
      <c r="H682" t="s">
        <v>53</v>
      </c>
      <c r="I682" t="s">
        <v>176</v>
      </c>
      <c r="J682" t="s">
        <v>3228</v>
      </c>
      <c r="K682" t="s">
        <v>150</v>
      </c>
      <c r="L682" t="s">
        <v>65</v>
      </c>
      <c r="M682" t="b">
        <v>0</v>
      </c>
      <c r="N682" t="s">
        <v>5149</v>
      </c>
      <c r="O682" t="b">
        <v>0</v>
      </c>
      <c r="P682" t="b">
        <v>1</v>
      </c>
      <c r="Q682" t="b">
        <v>1</v>
      </c>
      <c r="R682" t="b">
        <v>1</v>
      </c>
      <c r="S682" t="b">
        <v>0</v>
      </c>
      <c r="T682" t="b">
        <v>1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s">
        <v>1242</v>
      </c>
      <c r="AC682" t="s">
        <v>8213</v>
      </c>
    </row>
    <row r="683" spans="1:29" x14ac:dyDescent="0.3">
      <c r="A683">
        <v>-73.973050939999993</v>
      </c>
      <c r="B683">
        <v>40.799259810000002</v>
      </c>
      <c r="C683" t="s">
        <v>2244</v>
      </c>
      <c r="D683" t="s">
        <v>33</v>
      </c>
      <c r="E683" s="58">
        <v>43388</v>
      </c>
      <c r="F683">
        <v>21</v>
      </c>
      <c r="G683" t="s">
        <v>105</v>
      </c>
      <c r="H683" t="s">
        <v>176</v>
      </c>
      <c r="I683" t="s">
        <v>53</v>
      </c>
      <c r="J683" t="s">
        <v>60</v>
      </c>
      <c r="K683" t="s">
        <v>4785</v>
      </c>
      <c r="L683" t="s">
        <v>65</v>
      </c>
      <c r="M683" t="b">
        <v>0</v>
      </c>
      <c r="N683" t="s">
        <v>2204</v>
      </c>
      <c r="O683" t="b">
        <v>0</v>
      </c>
      <c r="P683" t="b">
        <v>1</v>
      </c>
      <c r="Q683" t="b">
        <v>0</v>
      </c>
      <c r="R683" t="b">
        <v>0</v>
      </c>
      <c r="S683" t="b">
        <v>1</v>
      </c>
      <c r="T683" t="b">
        <v>1</v>
      </c>
      <c r="U683" t="b">
        <v>1</v>
      </c>
      <c r="V683" t="b">
        <v>0</v>
      </c>
      <c r="W683" t="b">
        <v>0</v>
      </c>
      <c r="X683" t="b">
        <v>0</v>
      </c>
      <c r="Y683" t="b">
        <v>0</v>
      </c>
      <c r="Z683" t="b">
        <v>1</v>
      </c>
      <c r="AA683" t="b">
        <v>1</v>
      </c>
      <c r="AB683" t="s">
        <v>2182</v>
      </c>
      <c r="AC683" t="s">
        <v>8214</v>
      </c>
    </row>
    <row r="684" spans="1:29" x14ac:dyDescent="0.3">
      <c r="A684">
        <v>-73.975786420000006</v>
      </c>
      <c r="B684">
        <v>40.787477920000001</v>
      </c>
      <c r="C684" t="s">
        <v>133</v>
      </c>
      <c r="D684" t="s">
        <v>33</v>
      </c>
      <c r="E684" s="58">
        <v>43393</v>
      </c>
      <c r="F684">
        <v>15</v>
      </c>
      <c r="G684" t="s">
        <v>48</v>
      </c>
      <c r="H684" t="s">
        <v>42</v>
      </c>
      <c r="I684" t="s">
        <v>148</v>
      </c>
      <c r="J684" t="s">
        <v>177</v>
      </c>
      <c r="K684" t="s">
        <v>3050</v>
      </c>
      <c r="L684" t="s">
        <v>44</v>
      </c>
      <c r="M684">
        <v>30</v>
      </c>
      <c r="N684" t="s">
        <v>4566</v>
      </c>
      <c r="O684" t="b">
        <v>0</v>
      </c>
      <c r="P684" t="b">
        <v>0</v>
      </c>
      <c r="Q684" t="b">
        <v>0</v>
      </c>
      <c r="R684" t="b">
        <v>1</v>
      </c>
      <c r="S684" t="b">
        <v>1</v>
      </c>
      <c r="T684" t="b">
        <v>0</v>
      </c>
      <c r="U684" t="b">
        <v>1</v>
      </c>
      <c r="V684" t="b">
        <v>1</v>
      </c>
      <c r="W684" t="b">
        <v>0</v>
      </c>
      <c r="X684" t="b">
        <v>1</v>
      </c>
      <c r="Y684" t="b">
        <v>0</v>
      </c>
      <c r="Z684" t="b">
        <v>0</v>
      </c>
      <c r="AA684" t="b">
        <v>1</v>
      </c>
      <c r="AB684" t="s">
        <v>803</v>
      </c>
      <c r="AC684" t="s">
        <v>8215</v>
      </c>
    </row>
    <row r="685" spans="1:29" x14ac:dyDescent="0.3">
      <c r="A685">
        <v>-73.960138569999998</v>
      </c>
      <c r="B685">
        <v>40.793868439999997</v>
      </c>
      <c r="C685" t="s">
        <v>183</v>
      </c>
      <c r="D685" t="s">
        <v>33</v>
      </c>
      <c r="E685" s="58">
        <v>43389</v>
      </c>
      <c r="F685">
        <v>1</v>
      </c>
      <c r="G685" t="s">
        <v>3842</v>
      </c>
      <c r="H685" t="s">
        <v>53</v>
      </c>
      <c r="I685" t="s">
        <v>42</v>
      </c>
      <c r="J685" t="s">
        <v>619</v>
      </c>
      <c r="K685" t="s">
        <v>1785</v>
      </c>
      <c r="L685" t="s">
        <v>65</v>
      </c>
      <c r="M685" t="b">
        <v>0</v>
      </c>
      <c r="N685" t="s">
        <v>4566</v>
      </c>
      <c r="O685" t="b">
        <v>0</v>
      </c>
      <c r="P685" t="b">
        <v>0</v>
      </c>
      <c r="Q685" t="b">
        <v>1</v>
      </c>
      <c r="R685" t="b">
        <v>1</v>
      </c>
      <c r="S685" t="b">
        <v>0</v>
      </c>
      <c r="T685" t="b">
        <v>1</v>
      </c>
      <c r="U685" t="b">
        <v>0</v>
      </c>
      <c r="V685" t="b">
        <v>0</v>
      </c>
      <c r="W685" t="b">
        <v>0</v>
      </c>
      <c r="X685" t="b">
        <v>1</v>
      </c>
      <c r="Y685" t="b">
        <v>0</v>
      </c>
      <c r="Z685" t="b">
        <v>1</v>
      </c>
      <c r="AA685" t="b">
        <v>1</v>
      </c>
      <c r="AB685" t="s">
        <v>3549</v>
      </c>
      <c r="AC685" t="s">
        <v>8216</v>
      </c>
    </row>
    <row r="686" spans="1:29" x14ac:dyDescent="0.3">
      <c r="A686">
        <v>-73.951941959999999</v>
      </c>
      <c r="B686">
        <v>40.769576579999999</v>
      </c>
      <c r="C686" t="s">
        <v>32</v>
      </c>
      <c r="D686" t="s">
        <v>33</v>
      </c>
      <c r="E686" s="58">
        <v>43391</v>
      </c>
      <c r="F686">
        <v>17</v>
      </c>
      <c r="G686" t="s">
        <v>48</v>
      </c>
      <c r="H686" t="s">
        <v>42</v>
      </c>
      <c r="I686" t="s">
        <v>737</v>
      </c>
      <c r="J686" t="s">
        <v>149</v>
      </c>
      <c r="K686" t="s">
        <v>3859</v>
      </c>
      <c r="L686" t="s">
        <v>65</v>
      </c>
      <c r="M686" t="b">
        <v>0</v>
      </c>
      <c r="N686" t="s">
        <v>6335</v>
      </c>
      <c r="O686" t="b">
        <v>0</v>
      </c>
      <c r="P686" t="b">
        <v>1</v>
      </c>
      <c r="Q686" t="b">
        <v>0</v>
      </c>
      <c r="R686" t="b">
        <v>0</v>
      </c>
      <c r="S686" t="b">
        <v>1</v>
      </c>
      <c r="T686" t="b">
        <v>0</v>
      </c>
      <c r="U686" t="b">
        <v>1</v>
      </c>
      <c r="V686" t="b">
        <v>0</v>
      </c>
      <c r="W686" t="b">
        <v>1</v>
      </c>
      <c r="X686" t="b">
        <v>0</v>
      </c>
      <c r="Y686" t="b">
        <v>0</v>
      </c>
      <c r="Z686" t="b">
        <v>1</v>
      </c>
      <c r="AA686" t="b">
        <v>1</v>
      </c>
      <c r="AB686" t="s">
        <v>5699</v>
      </c>
      <c r="AC686" t="s">
        <v>8217</v>
      </c>
    </row>
    <row r="687" spans="1:29" x14ac:dyDescent="0.3">
      <c r="A687">
        <v>-73.963655729999999</v>
      </c>
      <c r="B687">
        <v>40.795260339999999</v>
      </c>
      <c r="C687" t="s">
        <v>183</v>
      </c>
      <c r="D687" t="s">
        <v>38</v>
      </c>
      <c r="E687" s="58">
        <v>43385</v>
      </c>
      <c r="F687">
        <v>2</v>
      </c>
      <c r="G687" t="s">
        <v>105</v>
      </c>
      <c r="H687" t="s">
        <v>176</v>
      </c>
      <c r="I687" t="s">
        <v>148</v>
      </c>
      <c r="J687" t="s">
        <v>60</v>
      </c>
      <c r="K687" t="s">
        <v>3248</v>
      </c>
      <c r="L687" t="s">
        <v>65</v>
      </c>
      <c r="M687" t="b">
        <v>0</v>
      </c>
      <c r="N687" t="s">
        <v>1068</v>
      </c>
      <c r="O687" t="b">
        <v>1</v>
      </c>
      <c r="P687" t="b">
        <v>1</v>
      </c>
      <c r="Q687" t="b">
        <v>1</v>
      </c>
      <c r="R687" t="b">
        <v>0</v>
      </c>
      <c r="S687" t="b">
        <v>1</v>
      </c>
      <c r="T687" t="b">
        <v>0</v>
      </c>
      <c r="U687" t="b">
        <v>0</v>
      </c>
      <c r="V687" t="b">
        <v>1</v>
      </c>
      <c r="W687" t="b">
        <v>1</v>
      </c>
      <c r="X687" t="b">
        <v>0</v>
      </c>
      <c r="Y687" t="b">
        <v>0</v>
      </c>
      <c r="Z687" t="b">
        <v>0</v>
      </c>
      <c r="AA687" t="b">
        <v>0</v>
      </c>
      <c r="AB687" t="s">
        <v>5960</v>
      </c>
      <c r="AC687" t="s">
        <v>8218</v>
      </c>
    </row>
    <row r="688" spans="1:29" x14ac:dyDescent="0.3">
      <c r="A688">
        <v>-73.963188900000006</v>
      </c>
      <c r="B688">
        <v>40.797398970000003</v>
      </c>
      <c r="C688" t="s">
        <v>726</v>
      </c>
      <c r="D688" t="s">
        <v>38</v>
      </c>
      <c r="E688" s="58">
        <v>43383</v>
      </c>
      <c r="F688">
        <v>29</v>
      </c>
      <c r="G688" t="s">
        <v>105</v>
      </c>
      <c r="H688" t="s">
        <v>42</v>
      </c>
      <c r="I688" t="s">
        <v>59</v>
      </c>
      <c r="J688" t="s">
        <v>339</v>
      </c>
      <c r="K688" t="s">
        <v>5957</v>
      </c>
      <c r="L688" t="s">
        <v>65</v>
      </c>
      <c r="M688" t="b">
        <v>0</v>
      </c>
      <c r="N688" t="s">
        <v>1374</v>
      </c>
      <c r="O688" t="b">
        <v>0</v>
      </c>
      <c r="P688" t="b">
        <v>0</v>
      </c>
      <c r="Q688" t="b">
        <v>0</v>
      </c>
      <c r="R688" t="b">
        <v>1</v>
      </c>
      <c r="S688" t="b">
        <v>1</v>
      </c>
      <c r="T688" t="b">
        <v>0</v>
      </c>
      <c r="U688" t="b">
        <v>1</v>
      </c>
      <c r="V688" t="b">
        <v>1</v>
      </c>
      <c r="W688" t="b">
        <v>0</v>
      </c>
      <c r="X688" t="b">
        <v>0</v>
      </c>
      <c r="Y688" t="b">
        <v>0</v>
      </c>
      <c r="Z688" t="b">
        <v>0</v>
      </c>
      <c r="AA688" t="b">
        <v>1</v>
      </c>
      <c r="AB688" t="s">
        <v>3061</v>
      </c>
      <c r="AC688" t="s">
        <v>8219</v>
      </c>
    </row>
    <row r="689" spans="1:29" x14ac:dyDescent="0.3">
      <c r="A689">
        <v>-73.972356930000004</v>
      </c>
      <c r="B689">
        <v>40.782059070000003</v>
      </c>
      <c r="C689" t="s">
        <v>1366</v>
      </c>
      <c r="D689" t="s">
        <v>38</v>
      </c>
      <c r="E689" s="58">
        <v>43379</v>
      </c>
      <c r="F689">
        <v>20</v>
      </c>
      <c r="G689" t="s">
        <v>48</v>
      </c>
      <c r="H689" t="s">
        <v>176</v>
      </c>
      <c r="I689" t="s">
        <v>737</v>
      </c>
      <c r="J689" t="s">
        <v>149</v>
      </c>
      <c r="K689" t="s">
        <v>1666</v>
      </c>
      <c r="L689" t="s">
        <v>65</v>
      </c>
      <c r="M689" t="b">
        <v>0</v>
      </c>
      <c r="N689" t="s">
        <v>6373</v>
      </c>
      <c r="O689" t="b">
        <v>0</v>
      </c>
      <c r="P689" t="b">
        <v>1</v>
      </c>
      <c r="Q689" t="b">
        <v>1</v>
      </c>
      <c r="R689" t="b">
        <v>1</v>
      </c>
      <c r="S689" t="b">
        <v>1</v>
      </c>
      <c r="T689" t="b">
        <v>1</v>
      </c>
      <c r="U689" t="b">
        <v>0</v>
      </c>
      <c r="V689" t="b">
        <v>0</v>
      </c>
      <c r="W689" t="b">
        <v>1</v>
      </c>
      <c r="X689" t="b">
        <v>1</v>
      </c>
      <c r="Y689" t="b">
        <v>1</v>
      </c>
      <c r="Z689" t="b">
        <v>0</v>
      </c>
      <c r="AA689" t="b">
        <v>0</v>
      </c>
      <c r="AB689" t="s">
        <v>4407</v>
      </c>
      <c r="AC689" t="s">
        <v>8220</v>
      </c>
    </row>
    <row r="690" spans="1:29" x14ac:dyDescent="0.3">
      <c r="A690">
        <v>-73.956968180000004</v>
      </c>
      <c r="B690">
        <v>40.786255529999998</v>
      </c>
      <c r="C690" t="s">
        <v>689</v>
      </c>
      <c r="D690" t="s">
        <v>33</v>
      </c>
      <c r="E690" s="58">
        <v>43390</v>
      </c>
      <c r="F690">
        <v>6</v>
      </c>
      <c r="G690" t="s">
        <v>3842</v>
      </c>
      <c r="H690" t="s">
        <v>42</v>
      </c>
      <c r="I690" t="s">
        <v>115</v>
      </c>
      <c r="J690" t="s">
        <v>619</v>
      </c>
      <c r="K690" t="s">
        <v>4123</v>
      </c>
      <c r="L690" t="s">
        <v>44</v>
      </c>
      <c r="M690">
        <v>4</v>
      </c>
      <c r="N690" t="s">
        <v>7250</v>
      </c>
      <c r="O690" t="b">
        <v>1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1</v>
      </c>
      <c r="W690" t="b">
        <v>1</v>
      </c>
      <c r="X690" t="b">
        <v>1</v>
      </c>
      <c r="Y690" t="b">
        <v>0</v>
      </c>
      <c r="Z690" t="b">
        <v>1</v>
      </c>
      <c r="AA690" t="b">
        <v>1</v>
      </c>
      <c r="AB690" t="s">
        <v>4147</v>
      </c>
      <c r="AC690" t="s">
        <v>8221</v>
      </c>
    </row>
    <row r="691" spans="1:29" x14ac:dyDescent="0.3">
      <c r="A691">
        <v>-73.975278520000003</v>
      </c>
      <c r="B691">
        <v>40.791837979999997</v>
      </c>
      <c r="C691" t="s">
        <v>1035</v>
      </c>
      <c r="D691" t="s">
        <v>38</v>
      </c>
      <c r="E691" s="58">
        <v>43387</v>
      </c>
      <c r="F691">
        <v>8</v>
      </c>
      <c r="G691" t="s">
        <v>105</v>
      </c>
      <c r="H691" t="s">
        <v>53</v>
      </c>
      <c r="I691" t="s">
        <v>737</v>
      </c>
      <c r="J691" t="s">
        <v>1142</v>
      </c>
      <c r="K691" t="s">
        <v>4110</v>
      </c>
      <c r="L691" t="s">
        <v>65</v>
      </c>
      <c r="M691" t="b">
        <v>0</v>
      </c>
      <c r="N691" t="s">
        <v>3716</v>
      </c>
      <c r="O691" t="b">
        <v>0</v>
      </c>
      <c r="P691" t="b">
        <v>1</v>
      </c>
      <c r="Q691" t="b">
        <v>1</v>
      </c>
      <c r="R691" t="b">
        <v>1</v>
      </c>
      <c r="S691" t="b">
        <v>1</v>
      </c>
      <c r="T691" t="b">
        <v>1</v>
      </c>
      <c r="U691" t="b">
        <v>0</v>
      </c>
      <c r="V691" t="b">
        <v>1</v>
      </c>
      <c r="W691" t="b">
        <v>0</v>
      </c>
      <c r="X691" t="b">
        <v>0</v>
      </c>
      <c r="Y691" t="b">
        <v>1</v>
      </c>
      <c r="Z691" t="b">
        <v>0</v>
      </c>
      <c r="AA691" t="b">
        <v>0</v>
      </c>
      <c r="AB691" t="s">
        <v>2643</v>
      </c>
      <c r="AC691" t="s">
        <v>8222</v>
      </c>
    </row>
    <row r="692" spans="1:29" x14ac:dyDescent="0.3">
      <c r="A692">
        <v>-73.970983140000001</v>
      </c>
      <c r="B692">
        <v>40.771066359999999</v>
      </c>
      <c r="C692" t="s">
        <v>642</v>
      </c>
      <c r="D692" t="s">
        <v>33</v>
      </c>
      <c r="E692" s="58">
        <v>43391</v>
      </c>
      <c r="F692">
        <v>29</v>
      </c>
      <c r="G692" t="s">
        <v>105</v>
      </c>
      <c r="H692" t="s">
        <v>176</v>
      </c>
      <c r="I692" t="s">
        <v>737</v>
      </c>
      <c r="J692" t="s">
        <v>89</v>
      </c>
      <c r="K692" t="s">
        <v>3843</v>
      </c>
      <c r="L692" t="s">
        <v>65</v>
      </c>
      <c r="M692" t="b">
        <v>0</v>
      </c>
      <c r="N692" t="s">
        <v>3176</v>
      </c>
      <c r="O692" t="b">
        <v>1</v>
      </c>
      <c r="P692" t="b">
        <v>1</v>
      </c>
      <c r="Q692" t="b">
        <v>0</v>
      </c>
      <c r="R692" t="b">
        <v>0</v>
      </c>
      <c r="S692" t="b">
        <v>0</v>
      </c>
      <c r="T692" t="b">
        <v>1</v>
      </c>
      <c r="U692" t="b">
        <v>1</v>
      </c>
      <c r="V692" t="b">
        <v>1</v>
      </c>
      <c r="W692" t="b">
        <v>1</v>
      </c>
      <c r="X692" t="b">
        <v>0</v>
      </c>
      <c r="Y692" t="b">
        <v>0</v>
      </c>
      <c r="Z692" t="b">
        <v>1</v>
      </c>
      <c r="AA692" t="b">
        <v>0</v>
      </c>
      <c r="AB692" t="s">
        <v>1046</v>
      </c>
      <c r="AC692" t="s">
        <v>8223</v>
      </c>
    </row>
    <row r="693" spans="1:29" x14ac:dyDescent="0.3">
      <c r="A693">
        <v>-73.967784210000005</v>
      </c>
      <c r="B693">
        <v>40.782604939999999</v>
      </c>
      <c r="C693" t="s">
        <v>1115</v>
      </c>
      <c r="D693" t="s">
        <v>33</v>
      </c>
      <c r="E693" s="58">
        <v>43385</v>
      </c>
      <c r="F693">
        <v>16</v>
      </c>
      <c r="G693" t="s">
        <v>3842</v>
      </c>
      <c r="H693" t="s">
        <v>176</v>
      </c>
      <c r="I693" t="s">
        <v>148</v>
      </c>
      <c r="J693" t="s">
        <v>155</v>
      </c>
      <c r="K693" t="s">
        <v>5429</v>
      </c>
      <c r="L693" t="s">
        <v>44</v>
      </c>
      <c r="M693">
        <v>25</v>
      </c>
      <c r="N693" t="s">
        <v>6398</v>
      </c>
      <c r="O693" t="b">
        <v>0</v>
      </c>
      <c r="P693" t="b">
        <v>0</v>
      </c>
      <c r="Q693" t="b">
        <v>1</v>
      </c>
      <c r="R693" t="b">
        <v>0</v>
      </c>
      <c r="S693" t="b">
        <v>1</v>
      </c>
      <c r="T693" t="b">
        <v>1</v>
      </c>
      <c r="U693" t="b">
        <v>1</v>
      </c>
      <c r="V693" t="b">
        <v>0</v>
      </c>
      <c r="W693" t="b">
        <v>1</v>
      </c>
      <c r="X693" t="b">
        <v>1</v>
      </c>
      <c r="Y693" t="b">
        <v>0</v>
      </c>
      <c r="Z693" t="b">
        <v>0</v>
      </c>
      <c r="AA693" t="b">
        <v>0</v>
      </c>
      <c r="AB693" t="s">
        <v>1293</v>
      </c>
      <c r="AC693" t="s">
        <v>8224</v>
      </c>
    </row>
    <row r="694" spans="1:29" x14ac:dyDescent="0.3">
      <c r="A694">
        <v>-73.965200929999995</v>
      </c>
      <c r="B694">
        <v>40.778946740000002</v>
      </c>
      <c r="C694" t="s">
        <v>627</v>
      </c>
      <c r="D694" t="s">
        <v>33</v>
      </c>
      <c r="E694" s="58">
        <v>43380</v>
      </c>
      <c r="F694">
        <v>19</v>
      </c>
      <c r="G694" t="s">
        <v>105</v>
      </c>
      <c r="H694" t="s">
        <v>176</v>
      </c>
      <c r="I694" t="s">
        <v>59</v>
      </c>
      <c r="J694" t="s">
        <v>619</v>
      </c>
      <c r="K694" t="s">
        <v>4791</v>
      </c>
      <c r="L694" t="s">
        <v>44</v>
      </c>
      <c r="M694">
        <v>10</v>
      </c>
      <c r="N694" t="s">
        <v>7271</v>
      </c>
      <c r="O694" t="b">
        <v>0</v>
      </c>
      <c r="P694" t="b">
        <v>0</v>
      </c>
      <c r="Q694" t="b">
        <v>1</v>
      </c>
      <c r="R694" t="b">
        <v>1</v>
      </c>
      <c r="S694" t="b">
        <v>1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1</v>
      </c>
      <c r="AA694" t="b">
        <v>0</v>
      </c>
      <c r="AB694" t="s">
        <v>2025</v>
      </c>
      <c r="AC694" t="s">
        <v>8225</v>
      </c>
    </row>
    <row r="695" spans="1:29" x14ac:dyDescent="0.3">
      <c r="A695">
        <v>-73.973537989999997</v>
      </c>
      <c r="B695">
        <v>40.770064179999999</v>
      </c>
      <c r="C695" t="s">
        <v>1648</v>
      </c>
      <c r="D695" t="s">
        <v>33</v>
      </c>
      <c r="E695" s="58">
        <v>43384</v>
      </c>
      <c r="F695">
        <v>1</v>
      </c>
      <c r="G695" t="s">
        <v>48</v>
      </c>
      <c r="H695" t="s">
        <v>42</v>
      </c>
      <c r="I695" t="s">
        <v>737</v>
      </c>
      <c r="J695" t="s">
        <v>97</v>
      </c>
      <c r="K695" t="s">
        <v>4791</v>
      </c>
      <c r="L695" t="s">
        <v>65</v>
      </c>
      <c r="M695" t="b">
        <v>0</v>
      </c>
      <c r="N695" t="s">
        <v>3424</v>
      </c>
      <c r="O695" t="b">
        <v>1</v>
      </c>
      <c r="P695" t="b">
        <v>0</v>
      </c>
      <c r="Q695" t="b">
        <v>1</v>
      </c>
      <c r="R695" t="b">
        <v>1</v>
      </c>
      <c r="S695" t="b">
        <v>0</v>
      </c>
      <c r="T695" t="b">
        <v>1</v>
      </c>
      <c r="U695" t="b">
        <v>0</v>
      </c>
      <c r="V695" t="b">
        <v>1</v>
      </c>
      <c r="W695" t="b">
        <v>0</v>
      </c>
      <c r="X695" t="b">
        <v>1</v>
      </c>
      <c r="Y695" t="b">
        <v>1</v>
      </c>
      <c r="Z695" t="b">
        <v>0</v>
      </c>
      <c r="AA695" t="b">
        <v>1</v>
      </c>
      <c r="AB695" t="s">
        <v>669</v>
      </c>
      <c r="AC695" t="s">
        <v>8226</v>
      </c>
    </row>
    <row r="696" spans="1:29" x14ac:dyDescent="0.3">
      <c r="A696">
        <v>-73.977548479999996</v>
      </c>
      <c r="B696">
        <v>40.77785076</v>
      </c>
      <c r="C696" t="s">
        <v>873</v>
      </c>
      <c r="D696" t="s">
        <v>33</v>
      </c>
      <c r="E696" s="58">
        <v>43380</v>
      </c>
      <c r="F696">
        <v>3</v>
      </c>
      <c r="G696" t="s">
        <v>105</v>
      </c>
      <c r="H696" t="s">
        <v>42</v>
      </c>
      <c r="I696" t="s">
        <v>148</v>
      </c>
      <c r="J696" t="s">
        <v>2942</v>
      </c>
      <c r="K696" t="s">
        <v>1816</v>
      </c>
      <c r="L696" t="s">
        <v>44</v>
      </c>
      <c r="M696">
        <v>7</v>
      </c>
      <c r="N696" t="s">
        <v>5436</v>
      </c>
      <c r="O696" t="b">
        <v>0</v>
      </c>
      <c r="P696" t="b">
        <v>1</v>
      </c>
      <c r="Q696" t="b">
        <v>1</v>
      </c>
      <c r="R696" t="b">
        <v>1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1</v>
      </c>
      <c r="Y696" t="b">
        <v>1</v>
      </c>
      <c r="Z696" t="b">
        <v>1</v>
      </c>
      <c r="AA696" t="b">
        <v>1</v>
      </c>
      <c r="AB696" t="s">
        <v>3104</v>
      </c>
      <c r="AC696" t="s">
        <v>8227</v>
      </c>
    </row>
    <row r="697" spans="1:29" x14ac:dyDescent="0.3">
      <c r="A697">
        <v>-73.961962630000002</v>
      </c>
      <c r="B697">
        <v>40.767310870000003</v>
      </c>
      <c r="C697" t="s">
        <v>175</v>
      </c>
      <c r="D697" t="s">
        <v>38</v>
      </c>
      <c r="E697" s="58">
        <v>43393</v>
      </c>
      <c r="F697">
        <v>28</v>
      </c>
      <c r="G697" t="s">
        <v>105</v>
      </c>
      <c r="H697" t="s">
        <v>53</v>
      </c>
      <c r="I697" t="s">
        <v>148</v>
      </c>
      <c r="J697" t="s">
        <v>2942</v>
      </c>
      <c r="K697" t="s">
        <v>1259</v>
      </c>
      <c r="L697" t="s">
        <v>44</v>
      </c>
      <c r="M697">
        <v>25</v>
      </c>
      <c r="N697" t="s">
        <v>4406</v>
      </c>
      <c r="O697" t="b">
        <v>0</v>
      </c>
      <c r="P697" t="b">
        <v>1</v>
      </c>
      <c r="Q697" t="b">
        <v>0</v>
      </c>
      <c r="R697" t="b">
        <v>0</v>
      </c>
      <c r="S697" t="b">
        <v>1</v>
      </c>
      <c r="T697" t="b">
        <v>1</v>
      </c>
      <c r="U697" t="b">
        <v>0</v>
      </c>
      <c r="V697" t="b">
        <v>0</v>
      </c>
      <c r="W697" t="b">
        <v>1</v>
      </c>
      <c r="X697" t="b">
        <v>0</v>
      </c>
      <c r="Y697" t="b">
        <v>0</v>
      </c>
      <c r="Z697" t="b">
        <v>0</v>
      </c>
      <c r="AA697" t="b">
        <v>0</v>
      </c>
      <c r="AB697" t="s">
        <v>2287</v>
      </c>
      <c r="AC697" t="s">
        <v>8228</v>
      </c>
    </row>
    <row r="698" spans="1:29" x14ac:dyDescent="0.3">
      <c r="A698">
        <v>-73.972084960000004</v>
      </c>
      <c r="B698">
        <v>40.765819450000002</v>
      </c>
      <c r="C698" t="s">
        <v>1076</v>
      </c>
      <c r="D698" t="s">
        <v>38</v>
      </c>
      <c r="E698" s="58">
        <v>43379</v>
      </c>
      <c r="F698">
        <v>3</v>
      </c>
      <c r="G698" t="s">
        <v>3842</v>
      </c>
      <c r="H698" t="s">
        <v>176</v>
      </c>
      <c r="I698" t="s">
        <v>737</v>
      </c>
      <c r="J698" t="s">
        <v>1233</v>
      </c>
      <c r="K698" t="s">
        <v>2517</v>
      </c>
      <c r="L698" t="s">
        <v>44</v>
      </c>
      <c r="M698">
        <v>8</v>
      </c>
      <c r="N698" t="s">
        <v>359</v>
      </c>
      <c r="O698" t="b">
        <v>0</v>
      </c>
      <c r="P698" t="b">
        <v>1</v>
      </c>
      <c r="Q698" t="b">
        <v>1</v>
      </c>
      <c r="R698" t="b">
        <v>0</v>
      </c>
      <c r="S698" t="b">
        <v>1</v>
      </c>
      <c r="T698" t="b">
        <v>1</v>
      </c>
      <c r="U698" t="b">
        <v>1</v>
      </c>
      <c r="V698" t="b">
        <v>0</v>
      </c>
      <c r="W698" t="b">
        <v>0</v>
      </c>
      <c r="X698" t="b">
        <v>0</v>
      </c>
      <c r="Y698" t="b">
        <v>0</v>
      </c>
      <c r="Z698" t="b">
        <v>1</v>
      </c>
      <c r="AA698" t="b">
        <v>0</v>
      </c>
      <c r="AB698" t="s">
        <v>7356</v>
      </c>
      <c r="AC698" t="s">
        <v>8229</v>
      </c>
    </row>
    <row r="699" spans="1:29" x14ac:dyDescent="0.3">
      <c r="A699">
        <v>-73.962886299999994</v>
      </c>
      <c r="B699">
        <v>40.769669579999999</v>
      </c>
      <c r="C699" t="s">
        <v>1056</v>
      </c>
      <c r="D699" t="s">
        <v>33</v>
      </c>
      <c r="E699" s="58">
        <v>43392</v>
      </c>
      <c r="F699">
        <v>5</v>
      </c>
      <c r="G699" t="s">
        <v>48</v>
      </c>
      <c r="H699" t="s">
        <v>176</v>
      </c>
      <c r="I699" t="s">
        <v>53</v>
      </c>
      <c r="J699" t="s">
        <v>619</v>
      </c>
      <c r="K699" t="s">
        <v>5323</v>
      </c>
      <c r="L699" t="s">
        <v>44</v>
      </c>
      <c r="M699">
        <v>3</v>
      </c>
      <c r="N699" t="s">
        <v>7012</v>
      </c>
      <c r="O699" t="b">
        <v>0</v>
      </c>
      <c r="P699" t="b">
        <v>0</v>
      </c>
      <c r="Q699" t="b">
        <v>0</v>
      </c>
      <c r="R699" t="b">
        <v>1</v>
      </c>
      <c r="S699" t="b">
        <v>0</v>
      </c>
      <c r="T699" t="b">
        <v>1</v>
      </c>
      <c r="U699" t="b">
        <v>1</v>
      </c>
      <c r="V699" t="b">
        <v>1</v>
      </c>
      <c r="W699" t="b">
        <v>1</v>
      </c>
      <c r="X699" t="b">
        <v>1</v>
      </c>
      <c r="Y699" t="b">
        <v>0</v>
      </c>
      <c r="Z699" t="b">
        <v>1</v>
      </c>
      <c r="AA699" t="b">
        <v>0</v>
      </c>
      <c r="AB699" t="s">
        <v>369</v>
      </c>
      <c r="AC699" t="s">
        <v>8230</v>
      </c>
    </row>
    <row r="700" spans="1:29" x14ac:dyDescent="0.3">
      <c r="A700">
        <v>-73.976305909999994</v>
      </c>
      <c r="B700">
        <v>40.798819880000003</v>
      </c>
      <c r="C700" t="s">
        <v>502</v>
      </c>
      <c r="D700" t="s">
        <v>38</v>
      </c>
      <c r="E700" s="58">
        <v>43385</v>
      </c>
      <c r="F700">
        <v>27</v>
      </c>
      <c r="G700" t="s">
        <v>3842</v>
      </c>
      <c r="H700" t="s">
        <v>42</v>
      </c>
      <c r="I700" t="s">
        <v>59</v>
      </c>
      <c r="J700" t="s">
        <v>619</v>
      </c>
      <c r="K700" t="s">
        <v>6725</v>
      </c>
      <c r="L700" t="s">
        <v>44</v>
      </c>
      <c r="M700">
        <v>7</v>
      </c>
      <c r="N700" t="s">
        <v>6570</v>
      </c>
      <c r="O700" t="b">
        <v>1</v>
      </c>
      <c r="P700" t="b">
        <v>1</v>
      </c>
      <c r="Q700" t="b">
        <v>0</v>
      </c>
      <c r="R700" t="b">
        <v>1</v>
      </c>
      <c r="S700" t="b">
        <v>1</v>
      </c>
      <c r="T700" t="b">
        <v>0</v>
      </c>
      <c r="U700" t="b">
        <v>0</v>
      </c>
      <c r="V700" t="b">
        <v>1</v>
      </c>
      <c r="W700" t="b">
        <v>0</v>
      </c>
      <c r="X700" t="b">
        <v>0</v>
      </c>
      <c r="Y700" t="b">
        <v>0</v>
      </c>
      <c r="Z700" t="b">
        <v>1</v>
      </c>
      <c r="AA700" t="b">
        <v>1</v>
      </c>
      <c r="AB700" t="s">
        <v>954</v>
      </c>
      <c r="AC700" t="s">
        <v>8231</v>
      </c>
    </row>
    <row r="701" spans="1:29" x14ac:dyDescent="0.3">
      <c r="A701">
        <v>-73.966033069999995</v>
      </c>
      <c r="B701">
        <v>40.78425842</v>
      </c>
      <c r="C701" t="s">
        <v>127</v>
      </c>
      <c r="D701" t="s">
        <v>33</v>
      </c>
      <c r="E701" s="58">
        <v>43391</v>
      </c>
      <c r="F701">
        <v>12</v>
      </c>
      <c r="G701" t="s">
        <v>105</v>
      </c>
      <c r="H701" t="s">
        <v>42</v>
      </c>
      <c r="I701" t="s">
        <v>1921</v>
      </c>
      <c r="J701" t="s">
        <v>3580</v>
      </c>
      <c r="K701" t="s">
        <v>6299</v>
      </c>
      <c r="L701" t="s">
        <v>44</v>
      </c>
      <c r="M701">
        <v>40</v>
      </c>
      <c r="N701" t="s">
        <v>5473</v>
      </c>
      <c r="O701" t="b">
        <v>1</v>
      </c>
      <c r="P701" t="b">
        <v>1</v>
      </c>
      <c r="Q701" t="b">
        <v>1</v>
      </c>
      <c r="R701" t="b">
        <v>1</v>
      </c>
      <c r="S701" t="b">
        <v>1</v>
      </c>
      <c r="T701" t="b">
        <v>0</v>
      </c>
      <c r="U701" t="b">
        <v>1</v>
      </c>
      <c r="V701" t="b">
        <v>1</v>
      </c>
      <c r="W701" t="b">
        <v>0</v>
      </c>
      <c r="X701" t="b">
        <v>1</v>
      </c>
      <c r="Y701" t="b">
        <v>1</v>
      </c>
      <c r="Z701" t="b">
        <v>1</v>
      </c>
      <c r="AA701" t="b">
        <v>0</v>
      </c>
      <c r="AB701" t="s">
        <v>2514</v>
      </c>
      <c r="AC701" t="s">
        <v>8232</v>
      </c>
    </row>
    <row r="702" spans="1:29" x14ac:dyDescent="0.3">
      <c r="A702">
        <v>-73.964415669999994</v>
      </c>
      <c r="B702">
        <v>40.798915190000002</v>
      </c>
      <c r="C702" t="s">
        <v>1780</v>
      </c>
      <c r="D702" t="s">
        <v>33</v>
      </c>
      <c r="E702" s="58">
        <v>43380</v>
      </c>
      <c r="F702">
        <v>12</v>
      </c>
      <c r="G702" t="s">
        <v>105</v>
      </c>
      <c r="H702" t="s">
        <v>53</v>
      </c>
      <c r="I702" t="s">
        <v>737</v>
      </c>
      <c r="J702" t="s">
        <v>43</v>
      </c>
      <c r="K702" t="s">
        <v>3341</v>
      </c>
      <c r="L702" t="s">
        <v>65</v>
      </c>
      <c r="M702" t="b">
        <v>0</v>
      </c>
      <c r="N702" t="s">
        <v>1494</v>
      </c>
      <c r="O702" t="b">
        <v>0</v>
      </c>
      <c r="P702" t="b">
        <v>0</v>
      </c>
      <c r="Q702" t="b">
        <v>1</v>
      </c>
      <c r="R702" t="b">
        <v>0</v>
      </c>
      <c r="S702" t="b">
        <v>0</v>
      </c>
      <c r="T702" t="b">
        <v>0</v>
      </c>
      <c r="U702" t="b">
        <v>1</v>
      </c>
      <c r="V702" t="b">
        <v>1</v>
      </c>
      <c r="W702" t="b">
        <v>0</v>
      </c>
      <c r="X702" t="b">
        <v>1</v>
      </c>
      <c r="Y702" t="b">
        <v>1</v>
      </c>
      <c r="Z702" t="b">
        <v>0</v>
      </c>
      <c r="AA702" t="b">
        <v>0</v>
      </c>
      <c r="AB702" t="s">
        <v>3884</v>
      </c>
      <c r="AC702" t="s">
        <v>8233</v>
      </c>
    </row>
    <row r="703" spans="1:29" x14ac:dyDescent="0.3">
      <c r="A703">
        <v>-73.979529409999998</v>
      </c>
      <c r="B703">
        <v>40.78013799</v>
      </c>
      <c r="C703" t="s">
        <v>2217</v>
      </c>
      <c r="D703" t="s">
        <v>33</v>
      </c>
      <c r="E703" s="58">
        <v>43391</v>
      </c>
      <c r="F703">
        <v>20</v>
      </c>
      <c r="G703" t="s">
        <v>3842</v>
      </c>
      <c r="H703" t="s">
        <v>53</v>
      </c>
      <c r="I703" t="s">
        <v>176</v>
      </c>
      <c r="J703" t="s">
        <v>155</v>
      </c>
      <c r="K703" t="s">
        <v>3208</v>
      </c>
      <c r="L703" t="s">
        <v>65</v>
      </c>
      <c r="M703" t="b">
        <v>0</v>
      </c>
      <c r="N703" t="s">
        <v>7250</v>
      </c>
      <c r="O703" t="b">
        <v>0</v>
      </c>
      <c r="P703" t="b">
        <v>1</v>
      </c>
      <c r="Q703" t="b">
        <v>1</v>
      </c>
      <c r="R703" t="b">
        <v>0</v>
      </c>
      <c r="S703" t="b">
        <v>1</v>
      </c>
      <c r="T703" t="b">
        <v>0</v>
      </c>
      <c r="U703" t="b">
        <v>1</v>
      </c>
      <c r="V703" t="b">
        <v>0</v>
      </c>
      <c r="W703" t="b">
        <v>0</v>
      </c>
      <c r="X703" t="b">
        <v>1</v>
      </c>
      <c r="Y703" t="b">
        <v>0</v>
      </c>
      <c r="Z703" t="b">
        <v>1</v>
      </c>
      <c r="AA703" t="b">
        <v>1</v>
      </c>
      <c r="AB703" t="s">
        <v>7356</v>
      </c>
      <c r="AC703" t="s">
        <v>8234</v>
      </c>
    </row>
    <row r="704" spans="1:29" x14ac:dyDescent="0.3">
      <c r="A704">
        <v>-73.970576809999997</v>
      </c>
      <c r="B704">
        <v>40.775889040000003</v>
      </c>
      <c r="C704" t="s">
        <v>1663</v>
      </c>
      <c r="D704" t="s">
        <v>38</v>
      </c>
      <c r="E704" s="58">
        <v>43392</v>
      </c>
      <c r="F704">
        <v>13</v>
      </c>
      <c r="G704" t="s">
        <v>3842</v>
      </c>
      <c r="H704" t="s">
        <v>42</v>
      </c>
      <c r="I704" t="s">
        <v>176</v>
      </c>
      <c r="J704" t="s">
        <v>5106</v>
      </c>
      <c r="K704" t="s">
        <v>1843</v>
      </c>
      <c r="L704" t="s">
        <v>44</v>
      </c>
      <c r="M704">
        <v>10</v>
      </c>
      <c r="N704" t="s">
        <v>201</v>
      </c>
      <c r="O704" t="b">
        <v>1</v>
      </c>
      <c r="P704" t="b">
        <v>1</v>
      </c>
      <c r="Q704" t="b">
        <v>1</v>
      </c>
      <c r="R704" t="b">
        <v>0</v>
      </c>
      <c r="S704" t="b">
        <v>1</v>
      </c>
      <c r="T704" t="b">
        <v>1</v>
      </c>
      <c r="U704" t="b">
        <v>0</v>
      </c>
      <c r="V704" t="b">
        <v>0</v>
      </c>
      <c r="W704" t="b">
        <v>1</v>
      </c>
      <c r="X704" t="b">
        <v>0</v>
      </c>
      <c r="Y704" t="b">
        <v>1</v>
      </c>
      <c r="Z704" t="b">
        <v>0</v>
      </c>
      <c r="AA704" t="b">
        <v>1</v>
      </c>
      <c r="AB704" t="s">
        <v>3274</v>
      </c>
      <c r="AC704" t="s">
        <v>8235</v>
      </c>
    </row>
    <row r="705" spans="1:29" x14ac:dyDescent="0.3">
      <c r="A705">
        <v>-73.976933009999996</v>
      </c>
      <c r="B705">
        <v>40.782730829999998</v>
      </c>
      <c r="C705" t="s">
        <v>343</v>
      </c>
      <c r="D705" t="s">
        <v>33</v>
      </c>
      <c r="E705" s="58">
        <v>43392</v>
      </c>
      <c r="F705">
        <v>20</v>
      </c>
      <c r="G705" t="s">
        <v>3842</v>
      </c>
      <c r="H705" t="s">
        <v>176</v>
      </c>
      <c r="I705" t="s">
        <v>115</v>
      </c>
      <c r="J705" t="s">
        <v>619</v>
      </c>
      <c r="K705" t="s">
        <v>5429</v>
      </c>
      <c r="L705" t="s">
        <v>44</v>
      </c>
      <c r="M705">
        <v>10</v>
      </c>
      <c r="N705" t="s">
        <v>4876</v>
      </c>
      <c r="O705" t="b">
        <v>1</v>
      </c>
      <c r="P705" t="b">
        <v>0</v>
      </c>
      <c r="Q705" t="b">
        <v>0</v>
      </c>
      <c r="R705" t="b">
        <v>1</v>
      </c>
      <c r="S705" t="b">
        <v>1</v>
      </c>
      <c r="T705" t="b">
        <v>1</v>
      </c>
      <c r="U705" t="b">
        <v>0</v>
      </c>
      <c r="V705" t="b">
        <v>0</v>
      </c>
      <c r="W705" t="b">
        <v>1</v>
      </c>
      <c r="X705" t="b">
        <v>0</v>
      </c>
      <c r="Y705" t="b">
        <v>1</v>
      </c>
      <c r="Z705" t="b">
        <v>1</v>
      </c>
      <c r="AA705" t="b">
        <v>1</v>
      </c>
      <c r="AB705" t="s">
        <v>488</v>
      </c>
      <c r="AC705" t="s">
        <v>8236</v>
      </c>
    </row>
    <row r="706" spans="1:29" x14ac:dyDescent="0.3">
      <c r="A706">
        <v>-73.979166269999993</v>
      </c>
      <c r="B706">
        <v>40.780384929999997</v>
      </c>
      <c r="C706" t="s">
        <v>331</v>
      </c>
      <c r="D706" t="s">
        <v>33</v>
      </c>
      <c r="E706" s="58">
        <v>43380</v>
      </c>
      <c r="F706">
        <v>9</v>
      </c>
      <c r="G706" t="s">
        <v>48</v>
      </c>
      <c r="H706" t="s">
        <v>53</v>
      </c>
      <c r="I706" t="s">
        <v>59</v>
      </c>
      <c r="J706" t="s">
        <v>149</v>
      </c>
      <c r="K706" t="s">
        <v>3318</v>
      </c>
      <c r="L706" t="s">
        <v>65</v>
      </c>
      <c r="M706" t="b">
        <v>0</v>
      </c>
      <c r="N706" t="s">
        <v>6050</v>
      </c>
      <c r="O706" t="b">
        <v>0</v>
      </c>
      <c r="P706" t="b">
        <v>0</v>
      </c>
      <c r="Q706" t="b">
        <v>0</v>
      </c>
      <c r="R706" t="b">
        <v>0</v>
      </c>
      <c r="S706" t="b">
        <v>1</v>
      </c>
      <c r="T706" t="b">
        <v>0</v>
      </c>
      <c r="U706" t="b">
        <v>1</v>
      </c>
      <c r="V706" t="b">
        <v>1</v>
      </c>
      <c r="W706" t="b">
        <v>0</v>
      </c>
      <c r="X706" t="b">
        <v>0</v>
      </c>
      <c r="Y706" t="b">
        <v>0</v>
      </c>
      <c r="Z706" t="b">
        <v>0</v>
      </c>
      <c r="AA706" t="b">
        <v>1</v>
      </c>
      <c r="AB706" t="s">
        <v>290</v>
      </c>
      <c r="AC706" t="s">
        <v>8237</v>
      </c>
    </row>
    <row r="707" spans="1:29" x14ac:dyDescent="0.3">
      <c r="A707">
        <v>-73.950037390000006</v>
      </c>
      <c r="B707">
        <v>40.768630889999997</v>
      </c>
      <c r="C707" t="s">
        <v>1657</v>
      </c>
      <c r="D707" t="s">
        <v>38</v>
      </c>
      <c r="E707" s="58">
        <v>43391</v>
      </c>
      <c r="F707">
        <v>7</v>
      </c>
      <c r="G707" t="s">
        <v>105</v>
      </c>
      <c r="H707" t="s">
        <v>42</v>
      </c>
      <c r="I707" t="s">
        <v>148</v>
      </c>
      <c r="J707" t="s">
        <v>34</v>
      </c>
      <c r="K707" t="s">
        <v>6800</v>
      </c>
      <c r="L707" t="s">
        <v>44</v>
      </c>
      <c r="M707">
        <v>5</v>
      </c>
      <c r="N707" t="s">
        <v>6948</v>
      </c>
      <c r="O707" t="b">
        <v>1</v>
      </c>
      <c r="P707" t="b">
        <v>0</v>
      </c>
      <c r="Q707" t="b">
        <v>0</v>
      </c>
      <c r="R707" t="b">
        <v>0</v>
      </c>
      <c r="S707" t="b">
        <v>1</v>
      </c>
      <c r="T707" t="b">
        <v>0</v>
      </c>
      <c r="U707" t="b">
        <v>1</v>
      </c>
      <c r="V707" t="b">
        <v>1</v>
      </c>
      <c r="W707" t="b">
        <v>1</v>
      </c>
      <c r="X707" t="b">
        <v>1</v>
      </c>
      <c r="Y707" t="b">
        <v>0</v>
      </c>
      <c r="Z707" t="b">
        <v>1</v>
      </c>
      <c r="AA707" t="b">
        <v>1</v>
      </c>
      <c r="AB707" t="s">
        <v>5887</v>
      </c>
      <c r="AC707" t="s">
        <v>8238</v>
      </c>
    </row>
    <row r="708" spans="1:29" x14ac:dyDescent="0.3">
      <c r="A708">
        <v>-73.971024799999995</v>
      </c>
      <c r="B708">
        <v>40.787472780000002</v>
      </c>
      <c r="C708" t="s">
        <v>1035</v>
      </c>
      <c r="D708" t="s">
        <v>38</v>
      </c>
      <c r="E708" s="58">
        <v>43389</v>
      </c>
      <c r="F708">
        <v>4</v>
      </c>
      <c r="G708" t="s">
        <v>3842</v>
      </c>
      <c r="H708" t="s">
        <v>42</v>
      </c>
      <c r="I708" t="s">
        <v>5105</v>
      </c>
      <c r="J708" t="s">
        <v>705</v>
      </c>
      <c r="K708" t="s">
        <v>7072</v>
      </c>
      <c r="L708" t="s">
        <v>65</v>
      </c>
      <c r="M708" t="b">
        <v>0</v>
      </c>
      <c r="N708" t="s">
        <v>2204</v>
      </c>
      <c r="O708" t="b">
        <v>1</v>
      </c>
      <c r="P708" t="b">
        <v>0</v>
      </c>
      <c r="Q708" t="b">
        <v>0</v>
      </c>
      <c r="R708" t="b">
        <v>1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1</v>
      </c>
      <c r="Y708" t="b">
        <v>0</v>
      </c>
      <c r="Z708" t="b">
        <v>1</v>
      </c>
      <c r="AA708" t="b">
        <v>1</v>
      </c>
      <c r="AB708" t="s">
        <v>4979</v>
      </c>
      <c r="AC708" t="s">
        <v>8239</v>
      </c>
    </row>
    <row r="709" spans="1:29" x14ac:dyDescent="0.3">
      <c r="A709">
        <v>-73.955698709999993</v>
      </c>
      <c r="B709">
        <v>40.77251691</v>
      </c>
      <c r="C709" t="s">
        <v>928</v>
      </c>
      <c r="D709" t="s">
        <v>38</v>
      </c>
      <c r="E709" s="58">
        <v>43383</v>
      </c>
      <c r="F709">
        <v>19</v>
      </c>
      <c r="G709" t="s">
        <v>105</v>
      </c>
      <c r="H709" t="s">
        <v>176</v>
      </c>
      <c r="I709" t="s">
        <v>42</v>
      </c>
      <c r="J709" t="s">
        <v>1142</v>
      </c>
      <c r="K709" t="s">
        <v>5180</v>
      </c>
      <c r="L709" t="s">
        <v>44</v>
      </c>
      <c r="M709">
        <v>7</v>
      </c>
      <c r="N709" t="s">
        <v>6948</v>
      </c>
      <c r="O709" t="b">
        <v>1</v>
      </c>
      <c r="P709" t="b">
        <v>0</v>
      </c>
      <c r="Q709" t="b">
        <v>1</v>
      </c>
      <c r="R709" t="b">
        <v>0</v>
      </c>
      <c r="S709" t="b">
        <v>1</v>
      </c>
      <c r="T709" t="b">
        <v>0</v>
      </c>
      <c r="U709" t="b">
        <v>0</v>
      </c>
      <c r="V709" t="b">
        <v>1</v>
      </c>
      <c r="W709" t="b">
        <v>0</v>
      </c>
      <c r="X709" t="b">
        <v>1</v>
      </c>
      <c r="Y709" t="b">
        <v>1</v>
      </c>
      <c r="Z709" t="b">
        <v>0</v>
      </c>
      <c r="AA709" t="b">
        <v>0</v>
      </c>
      <c r="AB709" t="s">
        <v>2795</v>
      </c>
      <c r="AC709" t="s">
        <v>8240</v>
      </c>
    </row>
    <row r="710" spans="1:29" x14ac:dyDescent="0.3">
      <c r="A710">
        <v>-73.973153490000001</v>
      </c>
      <c r="B710">
        <v>40.786725029999999</v>
      </c>
      <c r="C710" t="s">
        <v>2217</v>
      </c>
      <c r="D710" t="s">
        <v>33</v>
      </c>
      <c r="E710" s="58">
        <v>43392</v>
      </c>
      <c r="F710">
        <v>22</v>
      </c>
      <c r="G710" t="s">
        <v>48</v>
      </c>
      <c r="H710" t="s">
        <v>42</v>
      </c>
      <c r="I710" t="s">
        <v>96</v>
      </c>
      <c r="J710" t="s">
        <v>3228</v>
      </c>
      <c r="K710" t="s">
        <v>5933</v>
      </c>
      <c r="L710" t="s">
        <v>65</v>
      </c>
      <c r="M710" t="b">
        <v>0</v>
      </c>
      <c r="N710" t="s">
        <v>2563</v>
      </c>
      <c r="O710" t="b">
        <v>1</v>
      </c>
      <c r="P710" t="b">
        <v>0</v>
      </c>
      <c r="Q710" t="b">
        <v>0</v>
      </c>
      <c r="R710" t="b">
        <v>1</v>
      </c>
      <c r="S710" t="b">
        <v>0</v>
      </c>
      <c r="T710" t="b">
        <v>1</v>
      </c>
      <c r="U710" t="b">
        <v>0</v>
      </c>
      <c r="V710" t="b">
        <v>1</v>
      </c>
      <c r="W710" t="b">
        <v>1</v>
      </c>
      <c r="X710" t="b">
        <v>1</v>
      </c>
      <c r="Y710" t="b">
        <v>0</v>
      </c>
      <c r="Z710" t="b">
        <v>0</v>
      </c>
      <c r="AA710" t="b">
        <v>0</v>
      </c>
      <c r="AB710" t="s">
        <v>2131</v>
      </c>
      <c r="AC710" t="s">
        <v>8241</v>
      </c>
    </row>
    <row r="711" spans="1:29" x14ac:dyDescent="0.3">
      <c r="A711">
        <v>-73.959734310000002</v>
      </c>
      <c r="B711">
        <v>40.787802849999999</v>
      </c>
      <c r="C711" t="s">
        <v>215</v>
      </c>
      <c r="D711" t="s">
        <v>33</v>
      </c>
      <c r="E711" s="58">
        <v>43383</v>
      </c>
      <c r="F711">
        <v>19</v>
      </c>
      <c r="G711" t="s">
        <v>48</v>
      </c>
      <c r="H711" t="s">
        <v>42</v>
      </c>
      <c r="I711" t="s">
        <v>5105</v>
      </c>
      <c r="J711" t="s">
        <v>738</v>
      </c>
      <c r="K711" t="s">
        <v>1259</v>
      </c>
      <c r="L711" t="s">
        <v>65</v>
      </c>
      <c r="M711" t="b">
        <v>0</v>
      </c>
      <c r="N711" t="s">
        <v>3542</v>
      </c>
      <c r="O711" t="b">
        <v>0</v>
      </c>
      <c r="P711" t="b">
        <v>0</v>
      </c>
      <c r="Q711" t="b">
        <v>1</v>
      </c>
      <c r="R711" t="b">
        <v>0</v>
      </c>
      <c r="S711" t="b">
        <v>0</v>
      </c>
      <c r="T711" t="b">
        <v>0</v>
      </c>
      <c r="U711" t="b">
        <v>1</v>
      </c>
      <c r="V711" t="b">
        <v>0</v>
      </c>
      <c r="W711" t="b">
        <v>1</v>
      </c>
      <c r="X711" t="b">
        <v>0</v>
      </c>
      <c r="Y711" t="b">
        <v>1</v>
      </c>
      <c r="Z711" t="b">
        <v>1</v>
      </c>
      <c r="AA711" t="b">
        <v>1</v>
      </c>
      <c r="AB711" t="s">
        <v>7288</v>
      </c>
      <c r="AC711" t="s">
        <v>8242</v>
      </c>
    </row>
    <row r="712" spans="1:29" x14ac:dyDescent="0.3">
      <c r="A712">
        <v>-73.957259440000001</v>
      </c>
      <c r="B712">
        <v>40.770263139999997</v>
      </c>
      <c r="C712" t="s">
        <v>281</v>
      </c>
      <c r="D712" t="s">
        <v>38</v>
      </c>
      <c r="E712" s="58">
        <v>43385</v>
      </c>
      <c r="F712">
        <v>6</v>
      </c>
      <c r="G712" t="s">
        <v>48</v>
      </c>
      <c r="H712" t="s">
        <v>53</v>
      </c>
      <c r="I712" t="s">
        <v>59</v>
      </c>
      <c r="J712" t="s">
        <v>34</v>
      </c>
      <c r="K712" t="s">
        <v>3883</v>
      </c>
      <c r="L712" t="s">
        <v>44</v>
      </c>
      <c r="M712">
        <v>40</v>
      </c>
      <c r="N712" t="s">
        <v>5858</v>
      </c>
      <c r="O712" t="b">
        <v>1</v>
      </c>
      <c r="P712" t="b">
        <v>0</v>
      </c>
      <c r="Q712" t="b">
        <v>1</v>
      </c>
      <c r="R712" t="b">
        <v>1</v>
      </c>
      <c r="S712" t="b">
        <v>1</v>
      </c>
      <c r="T712" t="b">
        <v>0</v>
      </c>
      <c r="U712" t="b">
        <v>1</v>
      </c>
      <c r="V712" t="b">
        <v>1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s">
        <v>445</v>
      </c>
      <c r="AC712" t="s">
        <v>8243</v>
      </c>
    </row>
    <row r="713" spans="1:29" x14ac:dyDescent="0.3">
      <c r="A713">
        <v>-73.962433599999997</v>
      </c>
      <c r="B713">
        <v>40.767070660000002</v>
      </c>
      <c r="C713" t="s">
        <v>394</v>
      </c>
      <c r="D713" t="s">
        <v>33</v>
      </c>
      <c r="E713" s="58">
        <v>43379</v>
      </c>
      <c r="F713">
        <v>27</v>
      </c>
      <c r="G713" t="s">
        <v>48</v>
      </c>
      <c r="H713" t="s">
        <v>42</v>
      </c>
      <c r="I713" t="s">
        <v>59</v>
      </c>
      <c r="J713" t="s">
        <v>1233</v>
      </c>
      <c r="K713" t="s">
        <v>5787</v>
      </c>
      <c r="L713" t="s">
        <v>44</v>
      </c>
      <c r="M713">
        <v>6</v>
      </c>
      <c r="N713" t="s">
        <v>1203</v>
      </c>
      <c r="O713" t="b">
        <v>0</v>
      </c>
      <c r="P713" t="b">
        <v>0</v>
      </c>
      <c r="Q713" t="b">
        <v>0</v>
      </c>
      <c r="R713" t="b">
        <v>1</v>
      </c>
      <c r="S713" t="b">
        <v>0</v>
      </c>
      <c r="T713" t="b">
        <v>1</v>
      </c>
      <c r="U713" t="b">
        <v>1</v>
      </c>
      <c r="V713" t="b">
        <v>1</v>
      </c>
      <c r="W713" t="b">
        <v>0</v>
      </c>
      <c r="X713" t="b">
        <v>0</v>
      </c>
      <c r="Y713" t="b">
        <v>0</v>
      </c>
      <c r="Z713" t="b">
        <v>0</v>
      </c>
      <c r="AA713" t="b">
        <v>1</v>
      </c>
      <c r="AB713" t="s">
        <v>6227</v>
      </c>
      <c r="AC713" t="s">
        <v>8244</v>
      </c>
    </row>
    <row r="714" spans="1:29" x14ac:dyDescent="0.3">
      <c r="A714">
        <v>-73.966333730000002</v>
      </c>
      <c r="B714">
        <v>40.792399609999997</v>
      </c>
      <c r="C714" t="s">
        <v>604</v>
      </c>
      <c r="D714" t="s">
        <v>38</v>
      </c>
      <c r="E714" s="58">
        <v>43386</v>
      </c>
      <c r="F714">
        <v>13</v>
      </c>
      <c r="G714" t="s">
        <v>105</v>
      </c>
      <c r="H714" t="s">
        <v>42</v>
      </c>
      <c r="I714" t="s">
        <v>737</v>
      </c>
      <c r="J714" t="s">
        <v>619</v>
      </c>
      <c r="K714" t="s">
        <v>3157</v>
      </c>
      <c r="L714" t="s">
        <v>44</v>
      </c>
      <c r="M714">
        <v>12</v>
      </c>
      <c r="N714" t="s">
        <v>1106</v>
      </c>
      <c r="O714" t="b">
        <v>0</v>
      </c>
      <c r="P714" t="b">
        <v>1</v>
      </c>
      <c r="Q714" t="b">
        <v>0</v>
      </c>
      <c r="R714" t="b">
        <v>0</v>
      </c>
      <c r="S714" t="b">
        <v>1</v>
      </c>
      <c r="T714" t="b">
        <v>0</v>
      </c>
      <c r="U714" t="b">
        <v>0</v>
      </c>
      <c r="V714" t="b">
        <v>0</v>
      </c>
      <c r="W714" t="b">
        <v>0</v>
      </c>
      <c r="X714" t="b">
        <v>1</v>
      </c>
      <c r="Y714" t="b">
        <v>1</v>
      </c>
      <c r="Z714" t="b">
        <v>0</v>
      </c>
      <c r="AA714" t="b">
        <v>0</v>
      </c>
      <c r="AB714" t="s">
        <v>914</v>
      </c>
      <c r="AC714" t="s">
        <v>8245</v>
      </c>
    </row>
    <row r="715" spans="1:29" x14ac:dyDescent="0.3">
      <c r="A715">
        <v>-73.968211609999997</v>
      </c>
      <c r="B715">
        <v>40.781099249999997</v>
      </c>
      <c r="C715" t="s">
        <v>95</v>
      </c>
      <c r="D715" t="s">
        <v>38</v>
      </c>
      <c r="E715" s="58">
        <v>43381</v>
      </c>
      <c r="F715">
        <v>11</v>
      </c>
      <c r="G715" t="s">
        <v>48</v>
      </c>
      <c r="H715" t="s">
        <v>53</v>
      </c>
      <c r="I715" t="s">
        <v>737</v>
      </c>
      <c r="J715" t="s">
        <v>738</v>
      </c>
      <c r="K715" t="s">
        <v>4939</v>
      </c>
      <c r="L715" t="s">
        <v>44</v>
      </c>
      <c r="M715">
        <v>10</v>
      </c>
      <c r="N715" t="s">
        <v>5488</v>
      </c>
      <c r="O715" t="b">
        <v>1</v>
      </c>
      <c r="P715" t="b">
        <v>0</v>
      </c>
      <c r="Q715" t="b">
        <v>0</v>
      </c>
      <c r="R715" t="b">
        <v>1</v>
      </c>
      <c r="S715" t="b">
        <v>0</v>
      </c>
      <c r="T715" t="b">
        <v>1</v>
      </c>
      <c r="U715" t="b">
        <v>0</v>
      </c>
      <c r="V715" t="b">
        <v>1</v>
      </c>
      <c r="W715" t="b">
        <v>1</v>
      </c>
      <c r="X715" t="b">
        <v>1</v>
      </c>
      <c r="Y715" t="b">
        <v>1</v>
      </c>
      <c r="Z715" t="b">
        <v>1</v>
      </c>
      <c r="AA715" t="b">
        <v>1</v>
      </c>
      <c r="AB715" t="s">
        <v>3258</v>
      </c>
      <c r="AC715" t="s">
        <v>8246</v>
      </c>
    </row>
    <row r="716" spans="1:29" x14ac:dyDescent="0.3">
      <c r="A716">
        <v>-73.970191270000001</v>
      </c>
      <c r="B716">
        <v>40.76695849</v>
      </c>
      <c r="C716" t="s">
        <v>304</v>
      </c>
      <c r="D716" t="s">
        <v>33</v>
      </c>
      <c r="E716" s="58">
        <v>43382</v>
      </c>
      <c r="F716">
        <v>13</v>
      </c>
      <c r="G716" t="s">
        <v>48</v>
      </c>
      <c r="H716" t="s">
        <v>176</v>
      </c>
      <c r="I716" t="s">
        <v>5105</v>
      </c>
      <c r="J716" t="s">
        <v>1142</v>
      </c>
      <c r="K716" t="s">
        <v>4110</v>
      </c>
      <c r="L716" t="s">
        <v>65</v>
      </c>
      <c r="M716" t="b">
        <v>0</v>
      </c>
      <c r="N716" t="s">
        <v>328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1</v>
      </c>
      <c r="Z716" t="b">
        <v>0</v>
      </c>
      <c r="AA716" t="b">
        <v>1</v>
      </c>
      <c r="AB716" t="s">
        <v>2944</v>
      </c>
      <c r="AC716" t="s">
        <v>8247</v>
      </c>
    </row>
    <row r="717" spans="1:29" x14ac:dyDescent="0.3">
      <c r="A717">
        <v>-73.951937150000006</v>
      </c>
      <c r="B717">
        <v>40.79993777</v>
      </c>
      <c r="C717" t="s">
        <v>756</v>
      </c>
      <c r="D717" t="s">
        <v>33</v>
      </c>
      <c r="E717" s="58">
        <v>43393</v>
      </c>
      <c r="F717">
        <v>13</v>
      </c>
      <c r="G717" t="s">
        <v>3842</v>
      </c>
      <c r="H717" t="s">
        <v>176</v>
      </c>
      <c r="I717" t="s">
        <v>148</v>
      </c>
      <c r="J717" t="s">
        <v>1142</v>
      </c>
      <c r="K717" t="s">
        <v>2136</v>
      </c>
      <c r="L717" t="s">
        <v>44</v>
      </c>
      <c r="M717">
        <v>3</v>
      </c>
      <c r="N717" t="s">
        <v>4573</v>
      </c>
      <c r="O717" t="b">
        <v>0</v>
      </c>
      <c r="P717" t="b">
        <v>1</v>
      </c>
      <c r="Q717" t="b">
        <v>0</v>
      </c>
      <c r="R717" t="b">
        <v>1</v>
      </c>
      <c r="S717" t="b">
        <v>0</v>
      </c>
      <c r="T717" t="b">
        <v>1</v>
      </c>
      <c r="U717" t="b">
        <v>0</v>
      </c>
      <c r="V717" t="b">
        <v>0</v>
      </c>
      <c r="W717" t="b">
        <v>0</v>
      </c>
      <c r="X717" t="b">
        <v>1</v>
      </c>
      <c r="Y717" t="b">
        <v>1</v>
      </c>
      <c r="Z717" t="b">
        <v>1</v>
      </c>
      <c r="AA717" t="b">
        <v>0</v>
      </c>
      <c r="AB717" t="s">
        <v>4641</v>
      </c>
      <c r="AC717" t="s">
        <v>8248</v>
      </c>
    </row>
    <row r="718" spans="1:29" x14ac:dyDescent="0.3">
      <c r="A718">
        <v>-73.955046550000006</v>
      </c>
      <c r="B718">
        <v>40.766945</v>
      </c>
      <c r="C718" t="s">
        <v>863</v>
      </c>
      <c r="D718" t="s">
        <v>38</v>
      </c>
      <c r="E718" s="58">
        <v>43387</v>
      </c>
      <c r="F718">
        <v>28</v>
      </c>
      <c r="G718" t="s">
        <v>48</v>
      </c>
      <c r="H718" t="s">
        <v>53</v>
      </c>
      <c r="I718" t="s">
        <v>115</v>
      </c>
      <c r="J718" t="s">
        <v>43</v>
      </c>
      <c r="K718" t="s">
        <v>820</v>
      </c>
      <c r="L718" t="s">
        <v>65</v>
      </c>
      <c r="M718" t="b">
        <v>0</v>
      </c>
      <c r="N718" t="s">
        <v>3479</v>
      </c>
      <c r="O718" t="b">
        <v>1</v>
      </c>
      <c r="P718" t="b">
        <v>0</v>
      </c>
      <c r="Q718" t="b">
        <v>0</v>
      </c>
      <c r="R718" t="b">
        <v>1</v>
      </c>
      <c r="S718" t="b">
        <v>1</v>
      </c>
      <c r="T718" t="b">
        <v>0</v>
      </c>
      <c r="U718" t="b">
        <v>0</v>
      </c>
      <c r="V718" t="b">
        <v>1</v>
      </c>
      <c r="W718" t="b">
        <v>0</v>
      </c>
      <c r="X718" t="b">
        <v>0</v>
      </c>
      <c r="Y718" t="b">
        <v>1</v>
      </c>
      <c r="Z718" t="b">
        <v>0</v>
      </c>
      <c r="AA718" t="b">
        <v>0</v>
      </c>
      <c r="AB718" t="s">
        <v>1182</v>
      </c>
      <c r="AC718" t="s">
        <v>8249</v>
      </c>
    </row>
    <row r="719" spans="1:29" x14ac:dyDescent="0.3">
      <c r="A719">
        <v>-73.950821210000001</v>
      </c>
      <c r="B719">
        <v>40.78938136</v>
      </c>
      <c r="C719" t="s">
        <v>1389</v>
      </c>
      <c r="D719" t="s">
        <v>38</v>
      </c>
      <c r="E719" s="58">
        <v>43382</v>
      </c>
      <c r="F719">
        <v>25</v>
      </c>
      <c r="G719" t="s">
        <v>3842</v>
      </c>
      <c r="H719" t="s">
        <v>53</v>
      </c>
      <c r="I719" t="s">
        <v>737</v>
      </c>
      <c r="J719" t="s">
        <v>1233</v>
      </c>
      <c r="K719" t="s">
        <v>3347</v>
      </c>
      <c r="L719" t="s">
        <v>44</v>
      </c>
      <c r="M719">
        <v>25</v>
      </c>
      <c r="N719" t="s">
        <v>6925</v>
      </c>
      <c r="O719" t="b">
        <v>1</v>
      </c>
      <c r="P719" t="b">
        <v>1</v>
      </c>
      <c r="Q719" t="b">
        <v>1</v>
      </c>
      <c r="R719" t="b">
        <v>1</v>
      </c>
      <c r="S719" t="b">
        <v>0</v>
      </c>
      <c r="T719" t="b">
        <v>0</v>
      </c>
      <c r="U719" t="b">
        <v>1</v>
      </c>
      <c r="V719" t="b">
        <v>0</v>
      </c>
      <c r="W719" t="b">
        <v>0</v>
      </c>
      <c r="X719" t="b">
        <v>1</v>
      </c>
      <c r="Y719" t="b">
        <v>1</v>
      </c>
      <c r="Z719" t="b">
        <v>0</v>
      </c>
      <c r="AA719" t="b">
        <v>1</v>
      </c>
      <c r="AB719" t="s">
        <v>2944</v>
      </c>
      <c r="AC719" t="s">
        <v>8250</v>
      </c>
    </row>
    <row r="720" spans="1:29" x14ac:dyDescent="0.3">
      <c r="A720">
        <v>-73.977251069999994</v>
      </c>
      <c r="B720">
        <v>40.799543890000002</v>
      </c>
      <c r="C720" t="s">
        <v>741</v>
      </c>
      <c r="D720" t="s">
        <v>38</v>
      </c>
      <c r="E720" s="58">
        <v>43388</v>
      </c>
      <c r="F720">
        <v>22</v>
      </c>
      <c r="G720" t="s">
        <v>48</v>
      </c>
      <c r="H720" t="s">
        <v>176</v>
      </c>
      <c r="I720" t="s">
        <v>96</v>
      </c>
      <c r="J720" t="s">
        <v>177</v>
      </c>
      <c r="K720" t="s">
        <v>2517</v>
      </c>
      <c r="L720" t="s">
        <v>65</v>
      </c>
      <c r="M720" t="b">
        <v>0</v>
      </c>
      <c r="N720" t="s">
        <v>222</v>
      </c>
      <c r="O720" t="b">
        <v>1</v>
      </c>
      <c r="P720" t="b">
        <v>1</v>
      </c>
      <c r="Q720" t="b">
        <v>1</v>
      </c>
      <c r="R720" t="b">
        <v>0</v>
      </c>
      <c r="S720" t="b">
        <v>0</v>
      </c>
      <c r="T720" t="b">
        <v>0</v>
      </c>
      <c r="U720" t="b">
        <v>1</v>
      </c>
      <c r="V720" t="b">
        <v>1</v>
      </c>
      <c r="W720" t="b">
        <v>0</v>
      </c>
      <c r="X720" t="b">
        <v>1</v>
      </c>
      <c r="Y720" t="b">
        <v>0</v>
      </c>
      <c r="Z720" t="b">
        <v>1</v>
      </c>
      <c r="AA720" t="b">
        <v>1</v>
      </c>
      <c r="AB720" t="s">
        <v>690</v>
      </c>
      <c r="AC720" t="s">
        <v>8251</v>
      </c>
    </row>
    <row r="721" spans="1:29" x14ac:dyDescent="0.3">
      <c r="A721">
        <v>-73.958182440000002</v>
      </c>
      <c r="B721">
        <v>40.773331689999999</v>
      </c>
      <c r="C721" t="s">
        <v>1035</v>
      </c>
      <c r="D721" t="s">
        <v>38</v>
      </c>
      <c r="E721" s="58">
        <v>43390</v>
      </c>
      <c r="F721">
        <v>28</v>
      </c>
      <c r="G721" t="s">
        <v>48</v>
      </c>
      <c r="H721" t="s">
        <v>176</v>
      </c>
      <c r="I721" t="s">
        <v>96</v>
      </c>
      <c r="J721" t="s">
        <v>116</v>
      </c>
      <c r="K721" t="s">
        <v>6725</v>
      </c>
      <c r="L721" t="s">
        <v>44</v>
      </c>
      <c r="M721">
        <v>30</v>
      </c>
      <c r="N721" t="s">
        <v>1702</v>
      </c>
      <c r="O721" t="b">
        <v>0</v>
      </c>
      <c r="P721" t="b">
        <v>0</v>
      </c>
      <c r="Q721" t="b">
        <v>1</v>
      </c>
      <c r="R721" t="b">
        <v>1</v>
      </c>
      <c r="S721" t="b">
        <v>0</v>
      </c>
      <c r="T721" t="b">
        <v>0</v>
      </c>
      <c r="U721" t="b">
        <v>1</v>
      </c>
      <c r="V721" t="b">
        <v>1</v>
      </c>
      <c r="W721" t="b">
        <v>0</v>
      </c>
      <c r="X721" t="b">
        <v>1</v>
      </c>
      <c r="Y721" t="b">
        <v>1</v>
      </c>
      <c r="Z721" t="b">
        <v>0</v>
      </c>
      <c r="AA721" t="b">
        <v>1</v>
      </c>
      <c r="AB721" t="s">
        <v>4464</v>
      </c>
      <c r="AC721" t="s">
        <v>8252</v>
      </c>
    </row>
    <row r="722" spans="1:29" x14ac:dyDescent="0.3">
      <c r="A722">
        <v>-73.951660149999995</v>
      </c>
      <c r="B722">
        <v>40.769918959999998</v>
      </c>
      <c r="C722" t="s">
        <v>3642</v>
      </c>
      <c r="D722" t="s">
        <v>33</v>
      </c>
      <c r="E722" s="58">
        <v>43393</v>
      </c>
      <c r="F722">
        <v>20</v>
      </c>
      <c r="G722" t="s">
        <v>3842</v>
      </c>
      <c r="H722" t="s">
        <v>176</v>
      </c>
      <c r="I722" t="s">
        <v>115</v>
      </c>
      <c r="J722" t="s">
        <v>3228</v>
      </c>
      <c r="K722" t="s">
        <v>3758</v>
      </c>
      <c r="L722" t="s">
        <v>44</v>
      </c>
      <c r="M722">
        <v>8</v>
      </c>
      <c r="N722" t="s">
        <v>1374</v>
      </c>
      <c r="O722" t="b">
        <v>0</v>
      </c>
      <c r="P722" t="b">
        <v>1</v>
      </c>
      <c r="Q722" t="b">
        <v>0</v>
      </c>
      <c r="R722" t="b">
        <v>1</v>
      </c>
      <c r="S722" t="b">
        <v>1</v>
      </c>
      <c r="T722" t="b">
        <v>0</v>
      </c>
      <c r="U722" t="b">
        <v>0</v>
      </c>
      <c r="V722" t="b">
        <v>1</v>
      </c>
      <c r="W722" t="b">
        <v>1</v>
      </c>
      <c r="X722" t="b">
        <v>1</v>
      </c>
      <c r="Y722" t="b">
        <v>1</v>
      </c>
      <c r="Z722" t="b">
        <v>0</v>
      </c>
      <c r="AA722" t="b">
        <v>1</v>
      </c>
      <c r="AB722" t="s">
        <v>2160</v>
      </c>
      <c r="AC722" t="s">
        <v>8253</v>
      </c>
    </row>
    <row r="723" spans="1:29" x14ac:dyDescent="0.3">
      <c r="A723">
        <v>-73.975461190000004</v>
      </c>
      <c r="B723">
        <v>40.769184369999998</v>
      </c>
      <c r="C723" t="s">
        <v>85</v>
      </c>
      <c r="D723" t="s">
        <v>38</v>
      </c>
      <c r="E723" s="58">
        <v>43383</v>
      </c>
      <c r="F723">
        <v>15</v>
      </c>
      <c r="G723" t="s">
        <v>48</v>
      </c>
      <c r="H723" t="s">
        <v>176</v>
      </c>
      <c r="I723" t="s">
        <v>53</v>
      </c>
      <c r="J723" t="s">
        <v>54</v>
      </c>
      <c r="K723" t="s">
        <v>1688</v>
      </c>
      <c r="L723" t="s">
        <v>65</v>
      </c>
      <c r="M723" t="b">
        <v>0</v>
      </c>
      <c r="N723" t="s">
        <v>2101</v>
      </c>
      <c r="O723" t="b">
        <v>0</v>
      </c>
      <c r="P723" t="b">
        <v>0</v>
      </c>
      <c r="Q723" t="b">
        <v>1</v>
      </c>
      <c r="R723" t="b">
        <v>0</v>
      </c>
      <c r="S723" t="b">
        <v>1</v>
      </c>
      <c r="T723" t="b">
        <v>1</v>
      </c>
      <c r="U723" t="b">
        <v>1</v>
      </c>
      <c r="V723" t="b">
        <v>1</v>
      </c>
      <c r="W723" t="b">
        <v>0</v>
      </c>
      <c r="X723" t="b">
        <v>1</v>
      </c>
      <c r="Y723" t="b">
        <v>0</v>
      </c>
      <c r="Z723" t="b">
        <v>0</v>
      </c>
      <c r="AA723" t="b">
        <v>1</v>
      </c>
      <c r="AB723" t="s">
        <v>6729</v>
      </c>
      <c r="AC723" t="s">
        <v>8254</v>
      </c>
    </row>
    <row r="724" spans="1:29" x14ac:dyDescent="0.3">
      <c r="A724">
        <v>-73.979068150000003</v>
      </c>
      <c r="B724">
        <v>40.775588329999998</v>
      </c>
      <c r="C724" t="s">
        <v>1015</v>
      </c>
      <c r="D724" t="s">
        <v>38</v>
      </c>
      <c r="E724" s="58">
        <v>43385</v>
      </c>
      <c r="F724">
        <v>21</v>
      </c>
      <c r="G724" t="s">
        <v>105</v>
      </c>
      <c r="H724" t="s">
        <v>176</v>
      </c>
      <c r="I724" t="s">
        <v>53</v>
      </c>
      <c r="J724" t="s">
        <v>339</v>
      </c>
      <c r="K724" t="s">
        <v>4381</v>
      </c>
      <c r="L724" t="s">
        <v>44</v>
      </c>
      <c r="M724">
        <v>8</v>
      </c>
      <c r="N724" t="s">
        <v>7207</v>
      </c>
      <c r="O724" t="b">
        <v>0</v>
      </c>
      <c r="P724" t="b">
        <v>0</v>
      </c>
      <c r="Q724" t="b">
        <v>1</v>
      </c>
      <c r="R724" t="b">
        <v>1</v>
      </c>
      <c r="S724" t="b">
        <v>0</v>
      </c>
      <c r="T724" t="b">
        <v>0</v>
      </c>
      <c r="U724" t="b">
        <v>0</v>
      </c>
      <c r="V724" t="b">
        <v>1</v>
      </c>
      <c r="W724" t="b">
        <v>0</v>
      </c>
      <c r="X724" t="b">
        <v>0</v>
      </c>
      <c r="Y724" t="b">
        <v>1</v>
      </c>
      <c r="Z724" t="b">
        <v>0</v>
      </c>
      <c r="AA724" t="b">
        <v>1</v>
      </c>
      <c r="AB724" t="s">
        <v>810</v>
      </c>
      <c r="AC724" t="s">
        <v>8255</v>
      </c>
    </row>
    <row r="725" spans="1:29" x14ac:dyDescent="0.3">
      <c r="A725">
        <v>-73.957860109999999</v>
      </c>
      <c r="B725">
        <v>40.76846827</v>
      </c>
      <c r="C725" t="s">
        <v>530</v>
      </c>
      <c r="D725" t="s">
        <v>38</v>
      </c>
      <c r="E725" s="58">
        <v>43382</v>
      </c>
      <c r="F725">
        <v>13</v>
      </c>
      <c r="G725" t="s">
        <v>105</v>
      </c>
      <c r="H725" t="s">
        <v>53</v>
      </c>
      <c r="I725" t="s">
        <v>59</v>
      </c>
      <c r="J725" t="s">
        <v>3228</v>
      </c>
      <c r="K725" t="s">
        <v>6245</v>
      </c>
      <c r="L725" t="s">
        <v>44</v>
      </c>
      <c r="M725">
        <v>20</v>
      </c>
      <c r="N725" t="s">
        <v>6778</v>
      </c>
      <c r="O725" t="b">
        <v>1</v>
      </c>
      <c r="P725" t="b">
        <v>1</v>
      </c>
      <c r="Q725" t="b">
        <v>1</v>
      </c>
      <c r="R725" t="b">
        <v>1</v>
      </c>
      <c r="S725" t="b">
        <v>0</v>
      </c>
      <c r="T725" t="b">
        <v>1</v>
      </c>
      <c r="U725" t="b">
        <v>1</v>
      </c>
      <c r="V725" t="b">
        <v>1</v>
      </c>
      <c r="W725" t="b">
        <v>1</v>
      </c>
      <c r="X725" t="b">
        <v>0</v>
      </c>
      <c r="Y725" t="b">
        <v>1</v>
      </c>
      <c r="Z725" t="b">
        <v>0</v>
      </c>
      <c r="AA725" t="b">
        <v>0</v>
      </c>
      <c r="AB725" t="s">
        <v>3104</v>
      </c>
      <c r="AC725" t="s">
        <v>8256</v>
      </c>
    </row>
    <row r="726" spans="1:29" x14ac:dyDescent="0.3">
      <c r="A726">
        <v>-73.963098979999998</v>
      </c>
      <c r="B726">
        <v>40.789280179999999</v>
      </c>
      <c r="C726" t="s">
        <v>2217</v>
      </c>
      <c r="D726" t="s">
        <v>33</v>
      </c>
      <c r="E726" s="58">
        <v>43392</v>
      </c>
      <c r="F726">
        <v>22</v>
      </c>
      <c r="G726" t="s">
        <v>48</v>
      </c>
      <c r="H726" t="s">
        <v>42</v>
      </c>
      <c r="I726" t="s">
        <v>737</v>
      </c>
      <c r="J726" t="s">
        <v>1142</v>
      </c>
      <c r="K726" t="s">
        <v>7307</v>
      </c>
      <c r="L726" t="s">
        <v>44</v>
      </c>
      <c r="M726">
        <v>40</v>
      </c>
      <c r="N726" t="s">
        <v>3632</v>
      </c>
      <c r="O726" t="b">
        <v>0</v>
      </c>
      <c r="P726" t="b">
        <v>1</v>
      </c>
      <c r="Q726" t="b">
        <v>1</v>
      </c>
      <c r="R726" t="b">
        <v>1</v>
      </c>
      <c r="S726" t="b">
        <v>0</v>
      </c>
      <c r="T726" t="b">
        <v>1</v>
      </c>
      <c r="U726" t="b">
        <v>1</v>
      </c>
      <c r="V726" t="b">
        <v>1</v>
      </c>
      <c r="W726" t="b">
        <v>1</v>
      </c>
      <c r="X726" t="b">
        <v>0</v>
      </c>
      <c r="Y726" t="b">
        <v>0</v>
      </c>
      <c r="Z726" t="b">
        <v>0</v>
      </c>
      <c r="AA726" t="b">
        <v>0</v>
      </c>
      <c r="AB726" t="s">
        <v>2916</v>
      </c>
      <c r="AC726" t="s">
        <v>8257</v>
      </c>
    </row>
    <row r="727" spans="1:29" x14ac:dyDescent="0.3">
      <c r="A727">
        <v>-73.954694169999996</v>
      </c>
      <c r="B727">
        <v>40.767103830000003</v>
      </c>
      <c r="C727" t="s">
        <v>2385</v>
      </c>
      <c r="D727" t="s">
        <v>33</v>
      </c>
      <c r="E727" s="58">
        <v>43379</v>
      </c>
      <c r="F727">
        <v>11</v>
      </c>
      <c r="G727" t="s">
        <v>105</v>
      </c>
      <c r="H727" t="s">
        <v>176</v>
      </c>
      <c r="I727" t="s">
        <v>176</v>
      </c>
      <c r="J727" t="s">
        <v>705</v>
      </c>
      <c r="K727" t="s">
        <v>49</v>
      </c>
      <c r="L727" t="s">
        <v>44</v>
      </c>
      <c r="M727">
        <v>40</v>
      </c>
      <c r="N727" t="s">
        <v>1689</v>
      </c>
      <c r="O727" t="b">
        <v>1</v>
      </c>
      <c r="P727" t="b">
        <v>1</v>
      </c>
      <c r="Q727" t="b">
        <v>1</v>
      </c>
      <c r="R727" t="b">
        <v>1</v>
      </c>
      <c r="S727" t="b">
        <v>0</v>
      </c>
      <c r="T727" t="b">
        <v>1</v>
      </c>
      <c r="U727" t="b">
        <v>0</v>
      </c>
      <c r="V727" t="b">
        <v>1</v>
      </c>
      <c r="W727" t="b">
        <v>0</v>
      </c>
      <c r="X727" t="b">
        <v>1</v>
      </c>
      <c r="Y727" t="b">
        <v>0</v>
      </c>
      <c r="Z727" t="b">
        <v>0</v>
      </c>
      <c r="AA727" t="b">
        <v>0</v>
      </c>
      <c r="AB727" t="s">
        <v>4305</v>
      </c>
      <c r="AC727" t="s">
        <v>8258</v>
      </c>
    </row>
    <row r="728" spans="1:29" x14ac:dyDescent="0.3">
      <c r="A728">
        <v>-73.976764579999994</v>
      </c>
      <c r="B728">
        <v>40.782846329999998</v>
      </c>
      <c r="C728" t="s">
        <v>1232</v>
      </c>
      <c r="D728" t="s">
        <v>38</v>
      </c>
      <c r="E728" s="58">
        <v>43387</v>
      </c>
      <c r="F728">
        <v>19</v>
      </c>
      <c r="G728" t="s">
        <v>3842</v>
      </c>
      <c r="H728" t="s">
        <v>176</v>
      </c>
      <c r="I728" t="s">
        <v>5105</v>
      </c>
      <c r="J728" t="s">
        <v>1142</v>
      </c>
      <c r="K728" t="s">
        <v>7178</v>
      </c>
      <c r="L728" t="s">
        <v>44</v>
      </c>
      <c r="M728">
        <v>25</v>
      </c>
      <c r="N728" t="s">
        <v>982</v>
      </c>
      <c r="O728" t="b">
        <v>1</v>
      </c>
      <c r="P728" t="b">
        <v>0</v>
      </c>
      <c r="Q728" t="b">
        <v>1</v>
      </c>
      <c r="R728" t="b">
        <v>0</v>
      </c>
      <c r="S728" t="b">
        <v>1</v>
      </c>
      <c r="T728" t="b">
        <v>1</v>
      </c>
      <c r="U728" t="b">
        <v>1</v>
      </c>
      <c r="V728" t="b">
        <v>1</v>
      </c>
      <c r="W728" t="b">
        <v>1</v>
      </c>
      <c r="X728" t="b">
        <v>0</v>
      </c>
      <c r="Y728" t="b">
        <v>0</v>
      </c>
      <c r="Z728" t="b">
        <v>1</v>
      </c>
      <c r="AA728" t="b">
        <v>0</v>
      </c>
      <c r="AB728" t="s">
        <v>2668</v>
      </c>
      <c r="AC728" t="s">
        <v>8259</v>
      </c>
    </row>
    <row r="729" spans="1:29" x14ac:dyDescent="0.3">
      <c r="A729">
        <v>-73.956157910000002</v>
      </c>
      <c r="B729">
        <v>40.800002220000003</v>
      </c>
      <c r="C729" t="s">
        <v>582</v>
      </c>
      <c r="D729" t="s">
        <v>33</v>
      </c>
      <c r="E729" s="58">
        <v>43382</v>
      </c>
      <c r="F729">
        <v>8</v>
      </c>
      <c r="G729" t="s">
        <v>48</v>
      </c>
      <c r="H729" t="s">
        <v>42</v>
      </c>
      <c r="I729" t="s">
        <v>1921</v>
      </c>
      <c r="J729" t="s">
        <v>3580</v>
      </c>
      <c r="K729" t="s">
        <v>4477</v>
      </c>
      <c r="L729" t="s">
        <v>65</v>
      </c>
      <c r="M729" t="b">
        <v>0</v>
      </c>
      <c r="N729" t="s">
        <v>6098</v>
      </c>
      <c r="O729" t="b">
        <v>1</v>
      </c>
      <c r="P729" t="b">
        <v>0</v>
      </c>
      <c r="Q729" t="b">
        <v>0</v>
      </c>
      <c r="R729" t="b">
        <v>1</v>
      </c>
      <c r="S729" t="b">
        <v>1</v>
      </c>
      <c r="T729" t="b">
        <v>0</v>
      </c>
      <c r="U729" t="b">
        <v>1</v>
      </c>
      <c r="V729" t="b">
        <v>0</v>
      </c>
      <c r="W729" t="b">
        <v>0</v>
      </c>
      <c r="X729" t="b">
        <v>0</v>
      </c>
      <c r="Y729" t="b">
        <v>1</v>
      </c>
      <c r="Z729" t="b">
        <v>1</v>
      </c>
      <c r="AA729" t="b">
        <v>0</v>
      </c>
      <c r="AB729" t="s">
        <v>1288</v>
      </c>
      <c r="AC729" t="s">
        <v>8260</v>
      </c>
    </row>
    <row r="730" spans="1:29" x14ac:dyDescent="0.3">
      <c r="A730">
        <v>-73.974820059999999</v>
      </c>
      <c r="B730">
        <v>40.793568809999996</v>
      </c>
      <c r="C730" t="s">
        <v>256</v>
      </c>
      <c r="D730" t="s">
        <v>33</v>
      </c>
      <c r="E730" s="58">
        <v>43387</v>
      </c>
      <c r="F730">
        <v>20</v>
      </c>
      <c r="G730" t="s">
        <v>48</v>
      </c>
      <c r="H730" t="s">
        <v>42</v>
      </c>
      <c r="I730" t="s">
        <v>115</v>
      </c>
      <c r="J730" t="s">
        <v>1233</v>
      </c>
      <c r="K730" t="s">
        <v>3351</v>
      </c>
      <c r="L730" t="s">
        <v>44</v>
      </c>
      <c r="M730">
        <v>2</v>
      </c>
      <c r="N730" t="s">
        <v>1203</v>
      </c>
      <c r="O730" t="b">
        <v>1</v>
      </c>
      <c r="P730" t="b">
        <v>1</v>
      </c>
      <c r="Q730" t="b">
        <v>0</v>
      </c>
      <c r="R730" t="b">
        <v>1</v>
      </c>
      <c r="S730" t="b">
        <v>1</v>
      </c>
      <c r="T730" t="b">
        <v>0</v>
      </c>
      <c r="U730" t="b">
        <v>1</v>
      </c>
      <c r="V730" t="b">
        <v>0</v>
      </c>
      <c r="W730" t="b">
        <v>1</v>
      </c>
      <c r="X730" t="b">
        <v>1</v>
      </c>
      <c r="Y730" t="b">
        <v>0</v>
      </c>
      <c r="Z730" t="b">
        <v>1</v>
      </c>
      <c r="AA730" t="b">
        <v>1</v>
      </c>
      <c r="AB730" t="s">
        <v>445</v>
      </c>
      <c r="AC730" t="s">
        <v>8261</v>
      </c>
    </row>
    <row r="731" spans="1:29" x14ac:dyDescent="0.3">
      <c r="A731">
        <v>-73.976013760000001</v>
      </c>
      <c r="B731">
        <v>40.786571219999999</v>
      </c>
      <c r="C731" t="s">
        <v>139</v>
      </c>
      <c r="D731" t="s">
        <v>33</v>
      </c>
      <c r="E731" s="58">
        <v>43384</v>
      </c>
      <c r="F731">
        <v>8</v>
      </c>
      <c r="G731" t="s">
        <v>3842</v>
      </c>
      <c r="H731" t="s">
        <v>42</v>
      </c>
      <c r="I731" t="s">
        <v>59</v>
      </c>
      <c r="J731" t="s">
        <v>177</v>
      </c>
      <c r="K731" t="s">
        <v>3433</v>
      </c>
      <c r="L731" t="s">
        <v>65</v>
      </c>
      <c r="M731" t="b">
        <v>0</v>
      </c>
      <c r="N731" t="s">
        <v>4573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1</v>
      </c>
      <c r="V731" t="b">
        <v>1</v>
      </c>
      <c r="W731" t="b">
        <v>1</v>
      </c>
      <c r="X731" t="b">
        <v>1</v>
      </c>
      <c r="Y731" t="b">
        <v>1</v>
      </c>
      <c r="Z731" t="b">
        <v>1</v>
      </c>
      <c r="AA731" t="b">
        <v>1</v>
      </c>
      <c r="AB731" t="s">
        <v>340</v>
      </c>
      <c r="AC731" t="s">
        <v>8262</v>
      </c>
    </row>
    <row r="732" spans="1:29" x14ac:dyDescent="0.3">
      <c r="A732">
        <v>-73.975994589999999</v>
      </c>
      <c r="B732">
        <v>40.775693199999999</v>
      </c>
      <c r="C732" t="s">
        <v>574</v>
      </c>
      <c r="D732" t="s">
        <v>38</v>
      </c>
      <c r="E732" s="58">
        <v>43393</v>
      </c>
      <c r="F732">
        <v>10</v>
      </c>
      <c r="G732" t="s">
        <v>3842</v>
      </c>
      <c r="H732" t="s">
        <v>42</v>
      </c>
      <c r="I732" t="s">
        <v>176</v>
      </c>
      <c r="J732" t="s">
        <v>1233</v>
      </c>
      <c r="K732" t="s">
        <v>6869</v>
      </c>
      <c r="L732" t="s">
        <v>44</v>
      </c>
      <c r="M732">
        <v>2</v>
      </c>
      <c r="N732" t="s">
        <v>4573</v>
      </c>
      <c r="O732" t="b">
        <v>1</v>
      </c>
      <c r="P732" t="b">
        <v>0</v>
      </c>
      <c r="Q732" t="b">
        <v>1</v>
      </c>
      <c r="R732" t="b">
        <v>1</v>
      </c>
      <c r="S732" t="b">
        <v>1</v>
      </c>
      <c r="T732" t="b">
        <v>0</v>
      </c>
      <c r="U732" t="b">
        <v>1</v>
      </c>
      <c r="V732" t="b">
        <v>1</v>
      </c>
      <c r="W732" t="b">
        <v>0</v>
      </c>
      <c r="X732" t="b">
        <v>0</v>
      </c>
      <c r="Y732" t="b">
        <v>0</v>
      </c>
      <c r="Z732" t="b">
        <v>1</v>
      </c>
      <c r="AA732" t="b">
        <v>0</v>
      </c>
      <c r="AB732" t="s">
        <v>803</v>
      </c>
      <c r="AC732" t="s">
        <v>8263</v>
      </c>
    </row>
    <row r="733" spans="1:29" x14ac:dyDescent="0.3">
      <c r="A733">
        <v>-73.955550950000003</v>
      </c>
      <c r="B733">
        <v>40.786876700000001</v>
      </c>
      <c r="C733" t="s">
        <v>1270</v>
      </c>
      <c r="D733" t="s">
        <v>38</v>
      </c>
      <c r="E733" s="58">
        <v>43379</v>
      </c>
      <c r="F733">
        <v>26</v>
      </c>
      <c r="G733" t="s">
        <v>3842</v>
      </c>
      <c r="H733" t="s">
        <v>42</v>
      </c>
      <c r="I733" t="s">
        <v>737</v>
      </c>
      <c r="J733" t="s">
        <v>2942</v>
      </c>
      <c r="K733" t="s">
        <v>5682</v>
      </c>
      <c r="L733" t="s">
        <v>44</v>
      </c>
      <c r="M733">
        <v>25</v>
      </c>
      <c r="N733" t="s">
        <v>1819</v>
      </c>
      <c r="O733" t="b">
        <v>0</v>
      </c>
      <c r="P733" t="b">
        <v>1</v>
      </c>
      <c r="Q733" t="b">
        <v>0</v>
      </c>
      <c r="R733" t="b">
        <v>1</v>
      </c>
      <c r="S733" t="b">
        <v>0</v>
      </c>
      <c r="T733" t="b">
        <v>1</v>
      </c>
      <c r="U733" t="b">
        <v>1</v>
      </c>
      <c r="V733" t="b">
        <v>1</v>
      </c>
      <c r="W733" t="b">
        <v>1</v>
      </c>
      <c r="X733" t="b">
        <v>0</v>
      </c>
      <c r="Y733" t="b">
        <v>1</v>
      </c>
      <c r="Z733" t="b">
        <v>0</v>
      </c>
      <c r="AA733" t="b">
        <v>1</v>
      </c>
      <c r="AB733" t="s">
        <v>364</v>
      </c>
      <c r="AC733" t="s">
        <v>8264</v>
      </c>
    </row>
    <row r="734" spans="1:29" x14ac:dyDescent="0.3">
      <c r="A734">
        <v>-73.960246900000001</v>
      </c>
      <c r="B734">
        <v>40.783466660000002</v>
      </c>
      <c r="C734" t="s">
        <v>1362</v>
      </c>
      <c r="D734" t="s">
        <v>33</v>
      </c>
      <c r="E734" s="58">
        <v>43390</v>
      </c>
      <c r="F734">
        <v>16</v>
      </c>
      <c r="G734" t="s">
        <v>48</v>
      </c>
      <c r="H734" t="s">
        <v>42</v>
      </c>
      <c r="I734" t="s">
        <v>176</v>
      </c>
      <c r="J734" t="s">
        <v>5106</v>
      </c>
      <c r="K734" t="s">
        <v>3351</v>
      </c>
      <c r="L734" t="s">
        <v>65</v>
      </c>
      <c r="M734" t="b">
        <v>0</v>
      </c>
      <c r="N734" t="s">
        <v>299</v>
      </c>
      <c r="O734" t="b">
        <v>1</v>
      </c>
      <c r="P734" t="b">
        <v>1</v>
      </c>
      <c r="Q734" t="b">
        <v>0</v>
      </c>
      <c r="R734" t="b">
        <v>0</v>
      </c>
      <c r="S734" t="b">
        <v>0</v>
      </c>
      <c r="T734" t="b">
        <v>1</v>
      </c>
      <c r="U734" t="b">
        <v>1</v>
      </c>
      <c r="V734" t="b">
        <v>0</v>
      </c>
      <c r="W734" t="b">
        <v>0</v>
      </c>
      <c r="X734" t="b">
        <v>0</v>
      </c>
      <c r="Y734" t="b">
        <v>0</v>
      </c>
      <c r="Z734" t="b">
        <v>1</v>
      </c>
      <c r="AA734" t="b">
        <v>0</v>
      </c>
      <c r="AB734" t="s">
        <v>4695</v>
      </c>
      <c r="AC734" t="s">
        <v>8265</v>
      </c>
    </row>
    <row r="735" spans="1:29" x14ac:dyDescent="0.3">
      <c r="A735">
        <v>-73.964715069999997</v>
      </c>
      <c r="B735">
        <v>40.779912150000001</v>
      </c>
      <c r="C735" t="s">
        <v>245</v>
      </c>
      <c r="D735" t="s">
        <v>38</v>
      </c>
      <c r="E735" s="58">
        <v>43381</v>
      </c>
      <c r="F735">
        <v>19</v>
      </c>
      <c r="G735" t="s">
        <v>3842</v>
      </c>
      <c r="H735" t="s">
        <v>53</v>
      </c>
      <c r="I735" t="s">
        <v>176</v>
      </c>
      <c r="J735" t="s">
        <v>34</v>
      </c>
      <c r="K735" t="s">
        <v>2136</v>
      </c>
      <c r="L735" t="s">
        <v>65</v>
      </c>
      <c r="M735" t="b">
        <v>0</v>
      </c>
      <c r="N735" t="s">
        <v>589</v>
      </c>
      <c r="O735" t="b">
        <v>1</v>
      </c>
      <c r="P735" t="b">
        <v>1</v>
      </c>
      <c r="Q735" t="b">
        <v>1</v>
      </c>
      <c r="R735" t="b">
        <v>0</v>
      </c>
      <c r="S735" t="b">
        <v>0</v>
      </c>
      <c r="T735" t="b">
        <v>1</v>
      </c>
      <c r="U735" t="b">
        <v>0</v>
      </c>
      <c r="V735" t="b">
        <v>0</v>
      </c>
      <c r="W735" t="b">
        <v>1</v>
      </c>
      <c r="X735" t="b">
        <v>0</v>
      </c>
      <c r="Y735" t="b">
        <v>0</v>
      </c>
      <c r="Z735" t="b">
        <v>1</v>
      </c>
      <c r="AA735" t="b">
        <v>0</v>
      </c>
      <c r="AB735" t="s">
        <v>3564</v>
      </c>
      <c r="AC735" t="s">
        <v>8266</v>
      </c>
    </row>
    <row r="736" spans="1:29" x14ac:dyDescent="0.3">
      <c r="A736">
        <v>-73.969878089999995</v>
      </c>
      <c r="B736">
        <v>40.7695127</v>
      </c>
      <c r="C736" t="s">
        <v>2385</v>
      </c>
      <c r="D736" t="s">
        <v>38</v>
      </c>
      <c r="E736" s="58">
        <v>43389</v>
      </c>
      <c r="F736">
        <v>26</v>
      </c>
      <c r="G736" t="s">
        <v>3842</v>
      </c>
      <c r="H736" t="s">
        <v>42</v>
      </c>
      <c r="I736" t="s">
        <v>115</v>
      </c>
      <c r="J736" t="s">
        <v>339</v>
      </c>
      <c r="K736" t="s">
        <v>977</v>
      </c>
      <c r="L736" t="s">
        <v>65</v>
      </c>
      <c r="M736" t="b">
        <v>0</v>
      </c>
      <c r="N736" t="s">
        <v>7271</v>
      </c>
      <c r="O736" t="b">
        <v>1</v>
      </c>
      <c r="P736" t="b">
        <v>1</v>
      </c>
      <c r="Q736" t="b">
        <v>0</v>
      </c>
      <c r="R736" t="b">
        <v>0</v>
      </c>
      <c r="S736" t="b">
        <v>1</v>
      </c>
      <c r="T736" t="b">
        <v>0</v>
      </c>
      <c r="U736" t="b">
        <v>1</v>
      </c>
      <c r="V736" t="b">
        <v>1</v>
      </c>
      <c r="W736" t="b">
        <v>0</v>
      </c>
      <c r="X736" t="b">
        <v>0</v>
      </c>
      <c r="Y736" t="b">
        <v>0</v>
      </c>
      <c r="Z736" t="b">
        <v>0</v>
      </c>
      <c r="AA736" t="b">
        <v>1</v>
      </c>
      <c r="AB736" t="s">
        <v>5277</v>
      </c>
      <c r="AC736" t="s">
        <v>8267</v>
      </c>
    </row>
    <row r="737" spans="1:29" x14ac:dyDescent="0.3">
      <c r="A737">
        <v>-73.953582190000006</v>
      </c>
      <c r="B737">
        <v>40.796126100000002</v>
      </c>
      <c r="C737" t="s">
        <v>3637</v>
      </c>
      <c r="D737" t="s">
        <v>33</v>
      </c>
      <c r="E737" s="58">
        <v>43380</v>
      </c>
      <c r="F737">
        <v>23</v>
      </c>
      <c r="G737" t="s">
        <v>105</v>
      </c>
      <c r="H737" t="s">
        <v>42</v>
      </c>
      <c r="I737" t="s">
        <v>59</v>
      </c>
      <c r="J737" t="s">
        <v>738</v>
      </c>
      <c r="K737" t="s">
        <v>2503</v>
      </c>
      <c r="L737" t="s">
        <v>65</v>
      </c>
      <c r="M737" t="b">
        <v>0</v>
      </c>
      <c r="N737" t="s">
        <v>2488</v>
      </c>
      <c r="O737" t="b">
        <v>0</v>
      </c>
      <c r="P737" t="b">
        <v>1</v>
      </c>
      <c r="Q737" t="b">
        <v>1</v>
      </c>
      <c r="R737" t="b">
        <v>0</v>
      </c>
      <c r="S737" t="b">
        <v>0</v>
      </c>
      <c r="T737" t="b">
        <v>0</v>
      </c>
      <c r="U737" t="b">
        <v>0</v>
      </c>
      <c r="V737" t="b">
        <v>1</v>
      </c>
      <c r="W737" t="b">
        <v>1</v>
      </c>
      <c r="X737" t="b">
        <v>1</v>
      </c>
      <c r="Y737" t="b">
        <v>1</v>
      </c>
      <c r="Z737" t="b">
        <v>1</v>
      </c>
      <c r="AA737" t="b">
        <v>1</v>
      </c>
      <c r="AB737" t="s">
        <v>5702</v>
      </c>
      <c r="AC737" t="s">
        <v>8268</v>
      </c>
    </row>
    <row r="738" spans="1:29" x14ac:dyDescent="0.3">
      <c r="A738">
        <v>-73.968821360000007</v>
      </c>
      <c r="B738">
        <v>40.780746620000002</v>
      </c>
      <c r="C738" t="s">
        <v>1377</v>
      </c>
      <c r="D738" t="s">
        <v>33</v>
      </c>
      <c r="E738" s="58">
        <v>43387</v>
      </c>
      <c r="F738">
        <v>11</v>
      </c>
      <c r="G738" t="s">
        <v>105</v>
      </c>
      <c r="H738" t="s">
        <v>53</v>
      </c>
      <c r="I738" t="s">
        <v>148</v>
      </c>
      <c r="J738" t="s">
        <v>1922</v>
      </c>
      <c r="K738" t="s">
        <v>7072</v>
      </c>
      <c r="L738" t="s">
        <v>65</v>
      </c>
      <c r="M738" t="b">
        <v>0</v>
      </c>
      <c r="N738" t="s">
        <v>6476</v>
      </c>
      <c r="O738" t="b">
        <v>1</v>
      </c>
      <c r="P738" t="b">
        <v>1</v>
      </c>
      <c r="Q738" t="b">
        <v>0</v>
      </c>
      <c r="R738" t="b">
        <v>1</v>
      </c>
      <c r="S738" t="b">
        <v>1</v>
      </c>
      <c r="T738" t="b">
        <v>0</v>
      </c>
      <c r="U738" t="b">
        <v>1</v>
      </c>
      <c r="V738" t="b">
        <v>1</v>
      </c>
      <c r="W738" t="b">
        <v>0</v>
      </c>
      <c r="X738" t="b">
        <v>0</v>
      </c>
      <c r="Y738" t="b">
        <v>1</v>
      </c>
      <c r="Z738" t="b">
        <v>0</v>
      </c>
      <c r="AA738" t="b">
        <v>0</v>
      </c>
      <c r="AB738" t="s">
        <v>1046</v>
      </c>
      <c r="AC738" t="s">
        <v>8269</v>
      </c>
    </row>
    <row r="739" spans="1:29" x14ac:dyDescent="0.3">
      <c r="A739">
        <v>-73.955487300000001</v>
      </c>
      <c r="B739">
        <v>40.77176291</v>
      </c>
      <c r="C739" t="s">
        <v>839</v>
      </c>
      <c r="D739" t="s">
        <v>38</v>
      </c>
      <c r="E739" s="58">
        <v>43393</v>
      </c>
      <c r="F739">
        <v>13</v>
      </c>
      <c r="G739" t="s">
        <v>48</v>
      </c>
      <c r="H739" t="s">
        <v>42</v>
      </c>
      <c r="I739" t="s">
        <v>96</v>
      </c>
      <c r="J739" t="s">
        <v>705</v>
      </c>
      <c r="K739" t="s">
        <v>6109</v>
      </c>
      <c r="L739" t="s">
        <v>44</v>
      </c>
      <c r="M739">
        <v>5</v>
      </c>
      <c r="N739" t="s">
        <v>978</v>
      </c>
      <c r="O739" t="b">
        <v>1</v>
      </c>
      <c r="P739" t="b">
        <v>1</v>
      </c>
      <c r="Q739" t="b">
        <v>1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s">
        <v>7288</v>
      </c>
      <c r="AC739" t="s">
        <v>8270</v>
      </c>
    </row>
    <row r="740" spans="1:29" x14ac:dyDescent="0.3">
      <c r="A740">
        <v>-73.967353579999994</v>
      </c>
      <c r="B740">
        <v>40.777858680000001</v>
      </c>
      <c r="C740" t="s">
        <v>1859</v>
      </c>
      <c r="D740" t="s">
        <v>33</v>
      </c>
      <c r="E740" s="58">
        <v>43390</v>
      </c>
      <c r="F740">
        <v>28</v>
      </c>
      <c r="G740" t="s">
        <v>105</v>
      </c>
      <c r="H740" t="s">
        <v>176</v>
      </c>
      <c r="I740" t="s">
        <v>5105</v>
      </c>
      <c r="J740" t="s">
        <v>34</v>
      </c>
      <c r="K740" t="s">
        <v>7046</v>
      </c>
      <c r="L740" t="s">
        <v>65</v>
      </c>
      <c r="M740" t="b">
        <v>0</v>
      </c>
      <c r="N740" t="s">
        <v>1907</v>
      </c>
      <c r="O740" t="b">
        <v>1</v>
      </c>
      <c r="P740" t="b">
        <v>1</v>
      </c>
      <c r="Q740" t="b">
        <v>1</v>
      </c>
      <c r="R740" t="b">
        <v>1</v>
      </c>
      <c r="S740" t="b">
        <v>1</v>
      </c>
      <c r="T740" t="b">
        <v>1</v>
      </c>
      <c r="U740" t="b">
        <v>0</v>
      </c>
      <c r="V740" t="b">
        <v>1</v>
      </c>
      <c r="W740" t="b">
        <v>0</v>
      </c>
      <c r="X740" t="b">
        <v>0</v>
      </c>
      <c r="Y740" t="b">
        <v>0</v>
      </c>
      <c r="Z740" t="b">
        <v>1</v>
      </c>
      <c r="AA740" t="b">
        <v>0</v>
      </c>
      <c r="AB740" t="s">
        <v>7356</v>
      </c>
      <c r="AC740" t="s">
        <v>8271</v>
      </c>
    </row>
    <row r="741" spans="1:29" x14ac:dyDescent="0.3">
      <c r="A741">
        <v>-73.969308650000002</v>
      </c>
      <c r="B741">
        <v>40.779491290000003</v>
      </c>
      <c r="C741" t="s">
        <v>119</v>
      </c>
      <c r="D741" t="s">
        <v>38</v>
      </c>
      <c r="E741" s="58">
        <v>43379</v>
      </c>
      <c r="F741">
        <v>9</v>
      </c>
      <c r="G741" t="s">
        <v>105</v>
      </c>
      <c r="H741" t="s">
        <v>176</v>
      </c>
      <c r="I741" t="s">
        <v>59</v>
      </c>
      <c r="J741" t="s">
        <v>619</v>
      </c>
      <c r="K741" t="s">
        <v>3028</v>
      </c>
      <c r="L741" t="s">
        <v>65</v>
      </c>
      <c r="M741" t="b">
        <v>0</v>
      </c>
      <c r="N741" t="s">
        <v>1084</v>
      </c>
      <c r="O741" t="b">
        <v>1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1</v>
      </c>
      <c r="V741" t="b">
        <v>0</v>
      </c>
      <c r="W741" t="b">
        <v>0</v>
      </c>
      <c r="X741" t="b">
        <v>0</v>
      </c>
      <c r="Y741" t="b">
        <v>0</v>
      </c>
      <c r="Z741" t="b">
        <v>1</v>
      </c>
      <c r="AA741" t="b">
        <v>0</v>
      </c>
      <c r="AB741" t="s">
        <v>2916</v>
      </c>
      <c r="AC741" t="s">
        <v>8272</v>
      </c>
    </row>
    <row r="742" spans="1:29" x14ac:dyDescent="0.3">
      <c r="A742">
        <v>-73.9666134</v>
      </c>
      <c r="B742">
        <v>40.7940465</v>
      </c>
      <c r="C742" t="s">
        <v>245</v>
      </c>
      <c r="D742" t="s">
        <v>38</v>
      </c>
      <c r="E742" s="58">
        <v>43391</v>
      </c>
      <c r="F742">
        <v>20</v>
      </c>
      <c r="G742" t="s">
        <v>3842</v>
      </c>
      <c r="H742" t="s">
        <v>42</v>
      </c>
      <c r="I742" t="s">
        <v>1921</v>
      </c>
      <c r="J742" t="s">
        <v>738</v>
      </c>
      <c r="K742" t="s">
        <v>7370</v>
      </c>
      <c r="L742" t="s">
        <v>44</v>
      </c>
      <c r="M742">
        <v>6</v>
      </c>
      <c r="N742" t="s">
        <v>4829</v>
      </c>
      <c r="O742" t="b">
        <v>0</v>
      </c>
      <c r="P742" t="b">
        <v>1</v>
      </c>
      <c r="Q742" t="b">
        <v>1</v>
      </c>
      <c r="R742" t="b">
        <v>1</v>
      </c>
      <c r="S742" t="b">
        <v>1</v>
      </c>
      <c r="T742" t="b">
        <v>0</v>
      </c>
      <c r="U742" t="b">
        <v>0</v>
      </c>
      <c r="V742" t="b">
        <v>0</v>
      </c>
      <c r="W742" t="b">
        <v>1</v>
      </c>
      <c r="X742" t="b">
        <v>0</v>
      </c>
      <c r="Y742" t="b">
        <v>0</v>
      </c>
      <c r="Z742" t="b">
        <v>0</v>
      </c>
      <c r="AA742" t="b">
        <v>1</v>
      </c>
      <c r="AB742" t="s">
        <v>4998</v>
      </c>
      <c r="AC742" t="s">
        <v>8273</v>
      </c>
    </row>
    <row r="743" spans="1:29" x14ac:dyDescent="0.3">
      <c r="A743">
        <v>-73.97168422</v>
      </c>
      <c r="B743">
        <v>40.790739649999999</v>
      </c>
      <c r="C743" t="s">
        <v>1920</v>
      </c>
      <c r="D743" t="s">
        <v>33</v>
      </c>
      <c r="E743" s="58">
        <v>43392</v>
      </c>
      <c r="F743">
        <v>24</v>
      </c>
      <c r="G743" t="s">
        <v>3842</v>
      </c>
      <c r="H743" t="s">
        <v>53</v>
      </c>
      <c r="I743" t="s">
        <v>176</v>
      </c>
      <c r="J743" t="s">
        <v>97</v>
      </c>
      <c r="K743" t="s">
        <v>2637</v>
      </c>
      <c r="L743" t="s">
        <v>44</v>
      </c>
      <c r="M743">
        <v>5</v>
      </c>
      <c r="N743" t="s">
        <v>1689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1</v>
      </c>
      <c r="U743" t="b">
        <v>0</v>
      </c>
      <c r="V743" t="b">
        <v>1</v>
      </c>
      <c r="W743" t="b">
        <v>0</v>
      </c>
      <c r="X743" t="b">
        <v>0</v>
      </c>
      <c r="Y743" t="b">
        <v>1</v>
      </c>
      <c r="Z743" t="b">
        <v>0</v>
      </c>
      <c r="AA743" t="b">
        <v>0</v>
      </c>
      <c r="AB743" t="s">
        <v>340</v>
      </c>
      <c r="AC743" t="s">
        <v>8274</v>
      </c>
    </row>
    <row r="744" spans="1:29" x14ac:dyDescent="0.3">
      <c r="A744">
        <v>-73.957656119999996</v>
      </c>
      <c r="B744">
        <v>40.791996240000003</v>
      </c>
      <c r="C744" t="s">
        <v>3049</v>
      </c>
      <c r="D744" t="s">
        <v>38</v>
      </c>
      <c r="E744" s="58">
        <v>43387</v>
      </c>
      <c r="F744">
        <v>19</v>
      </c>
      <c r="G744" t="s">
        <v>105</v>
      </c>
      <c r="H744" t="s">
        <v>176</v>
      </c>
      <c r="I744" t="s">
        <v>148</v>
      </c>
      <c r="J744" t="s">
        <v>738</v>
      </c>
      <c r="K744" t="s">
        <v>2458</v>
      </c>
      <c r="L744" t="s">
        <v>65</v>
      </c>
      <c r="M744" t="b">
        <v>0</v>
      </c>
      <c r="N744" t="s">
        <v>4500</v>
      </c>
      <c r="O744" t="b">
        <v>1</v>
      </c>
      <c r="P744" t="b">
        <v>0</v>
      </c>
      <c r="Q744" t="b">
        <v>1</v>
      </c>
      <c r="R744" t="b">
        <v>0</v>
      </c>
      <c r="S744" t="b">
        <v>1</v>
      </c>
      <c r="T744" t="b">
        <v>1</v>
      </c>
      <c r="U744" t="b">
        <v>1</v>
      </c>
      <c r="V744" t="b">
        <v>0</v>
      </c>
      <c r="W744" t="b">
        <v>1</v>
      </c>
      <c r="X744" t="b">
        <v>1</v>
      </c>
      <c r="Y744" t="b">
        <v>0</v>
      </c>
      <c r="Z744" t="b">
        <v>1</v>
      </c>
      <c r="AA744" t="b">
        <v>1</v>
      </c>
      <c r="AB744" t="s">
        <v>5733</v>
      </c>
      <c r="AC744" t="s">
        <v>8275</v>
      </c>
    </row>
    <row r="745" spans="1:29" x14ac:dyDescent="0.3">
      <c r="A745">
        <v>-73.965354649999995</v>
      </c>
      <c r="B745">
        <v>40.765299050000003</v>
      </c>
      <c r="C745" t="s">
        <v>2046</v>
      </c>
      <c r="D745" t="s">
        <v>38</v>
      </c>
      <c r="E745" s="58">
        <v>43387</v>
      </c>
      <c r="F745">
        <v>16</v>
      </c>
      <c r="G745" t="s">
        <v>105</v>
      </c>
      <c r="H745" t="s">
        <v>53</v>
      </c>
      <c r="I745" t="s">
        <v>115</v>
      </c>
      <c r="J745" t="s">
        <v>3228</v>
      </c>
      <c r="K745" t="s">
        <v>7370</v>
      </c>
      <c r="L745" t="s">
        <v>65</v>
      </c>
      <c r="M745" t="b">
        <v>0</v>
      </c>
      <c r="N745" t="s">
        <v>874</v>
      </c>
      <c r="O745" t="b">
        <v>1</v>
      </c>
      <c r="P745" t="b">
        <v>1</v>
      </c>
      <c r="Q745" t="b">
        <v>0</v>
      </c>
      <c r="R745" t="b">
        <v>1</v>
      </c>
      <c r="S745" t="b">
        <v>0</v>
      </c>
      <c r="T745" t="b">
        <v>0</v>
      </c>
      <c r="U745" t="b">
        <v>0</v>
      </c>
      <c r="V745" t="b">
        <v>1</v>
      </c>
      <c r="W745" t="b">
        <v>1</v>
      </c>
      <c r="X745" t="b">
        <v>1</v>
      </c>
      <c r="Y745" t="b">
        <v>0</v>
      </c>
      <c r="Z745" t="b">
        <v>0</v>
      </c>
      <c r="AA745" t="b">
        <v>0</v>
      </c>
      <c r="AB745" t="s">
        <v>3312</v>
      </c>
      <c r="AC745" t="s">
        <v>8276</v>
      </c>
    </row>
    <row r="746" spans="1:29" x14ac:dyDescent="0.3">
      <c r="A746">
        <v>-73.973858550000003</v>
      </c>
      <c r="B746">
        <v>40.779562560000002</v>
      </c>
      <c r="C746" t="s">
        <v>1221</v>
      </c>
      <c r="D746" t="s">
        <v>33</v>
      </c>
      <c r="E746" s="58">
        <v>43386</v>
      </c>
      <c r="F746">
        <v>7</v>
      </c>
      <c r="G746" t="s">
        <v>105</v>
      </c>
      <c r="H746" t="s">
        <v>176</v>
      </c>
      <c r="I746" t="s">
        <v>42</v>
      </c>
      <c r="J746" t="s">
        <v>155</v>
      </c>
      <c r="K746" t="s">
        <v>1005</v>
      </c>
      <c r="L746" t="s">
        <v>65</v>
      </c>
      <c r="M746" t="b">
        <v>0</v>
      </c>
      <c r="N746" t="s">
        <v>3239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1</v>
      </c>
      <c r="V746" t="b">
        <v>0</v>
      </c>
      <c r="W746" t="b">
        <v>0</v>
      </c>
      <c r="X746" t="b">
        <v>1</v>
      </c>
      <c r="Y746" t="b">
        <v>1</v>
      </c>
      <c r="Z746" t="b">
        <v>1</v>
      </c>
      <c r="AA746" t="b">
        <v>0</v>
      </c>
      <c r="AB746" t="s">
        <v>2274</v>
      </c>
      <c r="AC746" t="s">
        <v>8277</v>
      </c>
    </row>
    <row r="747" spans="1:29" x14ac:dyDescent="0.3">
      <c r="A747">
        <v>-73.952878819999995</v>
      </c>
      <c r="B747">
        <v>40.781857760000001</v>
      </c>
      <c r="C747" t="s">
        <v>160</v>
      </c>
      <c r="D747" t="s">
        <v>33</v>
      </c>
      <c r="E747" s="58">
        <v>43386</v>
      </c>
      <c r="F747">
        <v>19</v>
      </c>
      <c r="G747" t="s">
        <v>48</v>
      </c>
      <c r="H747" t="s">
        <v>42</v>
      </c>
      <c r="I747" t="s">
        <v>5105</v>
      </c>
      <c r="J747" t="s">
        <v>705</v>
      </c>
      <c r="K747" t="s">
        <v>3341</v>
      </c>
      <c r="L747" t="s">
        <v>44</v>
      </c>
      <c r="M747">
        <v>8</v>
      </c>
      <c r="N747" t="s">
        <v>120</v>
      </c>
      <c r="O747" t="b">
        <v>0</v>
      </c>
      <c r="P747" t="b">
        <v>0</v>
      </c>
      <c r="Q747" t="b">
        <v>1</v>
      </c>
      <c r="R747" t="b">
        <v>0</v>
      </c>
      <c r="S747" t="b">
        <v>0</v>
      </c>
      <c r="T747" t="b">
        <v>1</v>
      </c>
      <c r="U747" t="b">
        <v>0</v>
      </c>
      <c r="V747" t="b">
        <v>0</v>
      </c>
      <c r="W747" t="b">
        <v>0</v>
      </c>
      <c r="X747" t="b">
        <v>0</v>
      </c>
      <c r="Y747" t="b">
        <v>1</v>
      </c>
      <c r="Z747" t="b">
        <v>1</v>
      </c>
      <c r="AA747" t="b">
        <v>1</v>
      </c>
      <c r="AB747" t="s">
        <v>4998</v>
      </c>
      <c r="AC747" t="s">
        <v>8278</v>
      </c>
    </row>
    <row r="748" spans="1:29" x14ac:dyDescent="0.3">
      <c r="A748">
        <v>-73.969090260000002</v>
      </c>
      <c r="B748">
        <v>40.765586390000003</v>
      </c>
      <c r="C748" t="s">
        <v>6554</v>
      </c>
      <c r="D748" t="s">
        <v>33</v>
      </c>
      <c r="E748" s="58">
        <v>43389</v>
      </c>
      <c r="F748">
        <v>12</v>
      </c>
      <c r="G748" t="s">
        <v>48</v>
      </c>
      <c r="H748" t="s">
        <v>53</v>
      </c>
      <c r="I748" t="s">
        <v>5105</v>
      </c>
      <c r="J748" t="s">
        <v>89</v>
      </c>
      <c r="K748" t="s">
        <v>2362</v>
      </c>
      <c r="L748" t="s">
        <v>65</v>
      </c>
      <c r="M748" t="b">
        <v>0</v>
      </c>
      <c r="N748" t="s">
        <v>1241</v>
      </c>
      <c r="O748" t="b">
        <v>0</v>
      </c>
      <c r="P748" t="b">
        <v>0</v>
      </c>
      <c r="Q748" t="b">
        <v>0</v>
      </c>
      <c r="R748" t="b">
        <v>0</v>
      </c>
      <c r="S748" t="b">
        <v>1</v>
      </c>
      <c r="T748" t="b">
        <v>0</v>
      </c>
      <c r="U748" t="b">
        <v>0</v>
      </c>
      <c r="V748" t="b">
        <v>1</v>
      </c>
      <c r="W748" t="b">
        <v>1</v>
      </c>
      <c r="X748" t="b">
        <v>0</v>
      </c>
      <c r="Y748" t="b">
        <v>0</v>
      </c>
      <c r="Z748" t="b">
        <v>1</v>
      </c>
      <c r="AA748" t="b">
        <v>1</v>
      </c>
      <c r="AB748" t="s">
        <v>1222</v>
      </c>
      <c r="AC748" t="s">
        <v>8279</v>
      </c>
    </row>
    <row r="749" spans="1:29" x14ac:dyDescent="0.3">
      <c r="A749">
        <v>-73.964071009999998</v>
      </c>
      <c r="B749">
        <v>40.77405813</v>
      </c>
      <c r="C749" t="s">
        <v>1000</v>
      </c>
      <c r="D749" t="s">
        <v>38</v>
      </c>
      <c r="E749" s="58">
        <v>43392</v>
      </c>
      <c r="F749">
        <v>15</v>
      </c>
      <c r="G749" t="s">
        <v>48</v>
      </c>
      <c r="H749" t="s">
        <v>53</v>
      </c>
      <c r="I749" t="s">
        <v>96</v>
      </c>
      <c r="J749" t="s">
        <v>705</v>
      </c>
      <c r="K749" t="s">
        <v>6166</v>
      </c>
      <c r="L749" t="s">
        <v>44</v>
      </c>
      <c r="M749">
        <v>4</v>
      </c>
      <c r="N749" t="s">
        <v>6814</v>
      </c>
      <c r="O749" t="b">
        <v>1</v>
      </c>
      <c r="P749" t="b">
        <v>0</v>
      </c>
      <c r="Q749" t="b">
        <v>0</v>
      </c>
      <c r="R749" t="b">
        <v>1</v>
      </c>
      <c r="S749" t="b">
        <v>0</v>
      </c>
      <c r="T749" t="b">
        <v>1</v>
      </c>
      <c r="U749" t="b">
        <v>0</v>
      </c>
      <c r="V749" t="b">
        <v>1</v>
      </c>
      <c r="W749" t="b">
        <v>1</v>
      </c>
      <c r="X749" t="b">
        <v>1</v>
      </c>
      <c r="Y749" t="b">
        <v>0</v>
      </c>
      <c r="Z749" t="b">
        <v>1</v>
      </c>
      <c r="AA749" t="b">
        <v>1</v>
      </c>
      <c r="AB749" t="s">
        <v>3564</v>
      </c>
      <c r="AC749" t="s">
        <v>8280</v>
      </c>
    </row>
    <row r="750" spans="1:29" x14ac:dyDescent="0.3">
      <c r="A750">
        <v>-73.952661989999996</v>
      </c>
      <c r="B750">
        <v>40.791678840000003</v>
      </c>
      <c r="C750" t="s">
        <v>127</v>
      </c>
      <c r="D750" t="s">
        <v>33</v>
      </c>
      <c r="E750" s="58">
        <v>43390</v>
      </c>
      <c r="F750">
        <v>23</v>
      </c>
      <c r="G750" t="s">
        <v>105</v>
      </c>
      <c r="H750" t="s">
        <v>53</v>
      </c>
      <c r="I750" t="s">
        <v>42</v>
      </c>
      <c r="J750" t="s">
        <v>5106</v>
      </c>
      <c r="K750" t="s">
        <v>4123</v>
      </c>
      <c r="L750" t="s">
        <v>44</v>
      </c>
      <c r="M750">
        <v>8</v>
      </c>
      <c r="N750" t="s">
        <v>1248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1</v>
      </c>
      <c r="U750" t="b">
        <v>0</v>
      </c>
      <c r="V750" t="b">
        <v>0</v>
      </c>
      <c r="W750" t="b">
        <v>1</v>
      </c>
      <c r="X750" t="b">
        <v>0</v>
      </c>
      <c r="Y750" t="b">
        <v>1</v>
      </c>
      <c r="Z750" t="b">
        <v>0</v>
      </c>
      <c r="AA750" t="b">
        <v>1</v>
      </c>
      <c r="AB750" t="s">
        <v>3672</v>
      </c>
      <c r="AC750" t="s">
        <v>8281</v>
      </c>
    </row>
    <row r="751" spans="1:29" x14ac:dyDescent="0.3">
      <c r="A751">
        <v>-73.961534529999994</v>
      </c>
      <c r="B751">
        <v>40.769738009999998</v>
      </c>
      <c r="C751" t="s">
        <v>163</v>
      </c>
      <c r="D751" t="s">
        <v>33</v>
      </c>
      <c r="E751" s="58">
        <v>43379</v>
      </c>
      <c r="F751">
        <v>14</v>
      </c>
      <c r="G751" t="s">
        <v>105</v>
      </c>
      <c r="H751" t="s">
        <v>176</v>
      </c>
      <c r="I751" t="s">
        <v>737</v>
      </c>
      <c r="J751" t="s">
        <v>339</v>
      </c>
      <c r="K751" t="s">
        <v>5682</v>
      </c>
      <c r="L751" t="s">
        <v>44</v>
      </c>
      <c r="M751">
        <v>30</v>
      </c>
      <c r="N751" t="s">
        <v>6050</v>
      </c>
      <c r="O751" t="b">
        <v>1</v>
      </c>
      <c r="P751" t="b">
        <v>0</v>
      </c>
      <c r="Q751" t="b">
        <v>1</v>
      </c>
      <c r="R751" t="b">
        <v>0</v>
      </c>
      <c r="S751" t="b">
        <v>0</v>
      </c>
      <c r="T751" t="b">
        <v>0</v>
      </c>
      <c r="U751" t="b">
        <v>1</v>
      </c>
      <c r="V751" t="b">
        <v>0</v>
      </c>
      <c r="W751" t="b">
        <v>0</v>
      </c>
      <c r="X751" t="b">
        <v>0</v>
      </c>
      <c r="Y751" t="b">
        <v>1</v>
      </c>
      <c r="Z751" t="b">
        <v>0</v>
      </c>
      <c r="AA751" t="b">
        <v>1</v>
      </c>
      <c r="AB751" t="s">
        <v>374</v>
      </c>
      <c r="AC751" t="s">
        <v>8282</v>
      </c>
    </row>
    <row r="752" spans="1:29" x14ac:dyDescent="0.3">
      <c r="A752">
        <v>-73.977483680000006</v>
      </c>
      <c r="B752">
        <v>40.783757790000003</v>
      </c>
      <c r="C752" t="s">
        <v>338</v>
      </c>
      <c r="D752" t="s">
        <v>33</v>
      </c>
      <c r="E752" s="58">
        <v>43389</v>
      </c>
      <c r="F752">
        <v>11</v>
      </c>
      <c r="G752" t="s">
        <v>48</v>
      </c>
      <c r="H752" t="s">
        <v>176</v>
      </c>
      <c r="I752" t="s">
        <v>42</v>
      </c>
      <c r="J752" t="s">
        <v>177</v>
      </c>
      <c r="K752" t="s">
        <v>5933</v>
      </c>
      <c r="L752" t="s">
        <v>44</v>
      </c>
      <c r="M752">
        <v>10</v>
      </c>
      <c r="N752" t="s">
        <v>3931</v>
      </c>
      <c r="O752" t="b">
        <v>0</v>
      </c>
      <c r="P752" t="b">
        <v>1</v>
      </c>
      <c r="Q752" t="b">
        <v>1</v>
      </c>
      <c r="R752" t="b">
        <v>1</v>
      </c>
      <c r="S752" t="b">
        <v>1</v>
      </c>
      <c r="T752" t="b">
        <v>1</v>
      </c>
      <c r="U752" t="b">
        <v>1</v>
      </c>
      <c r="V752" t="b">
        <v>0</v>
      </c>
      <c r="W752" t="b">
        <v>0</v>
      </c>
      <c r="X752" t="b">
        <v>0</v>
      </c>
      <c r="Y752" t="b">
        <v>0</v>
      </c>
      <c r="Z752" t="b">
        <v>1</v>
      </c>
      <c r="AA752" t="b">
        <v>0</v>
      </c>
      <c r="AB752" t="s">
        <v>4979</v>
      </c>
      <c r="AC752" t="s">
        <v>8283</v>
      </c>
    </row>
    <row r="753" spans="1:29" x14ac:dyDescent="0.3">
      <c r="A753">
        <v>-73.951613249999994</v>
      </c>
      <c r="B753">
        <v>40.772487460000001</v>
      </c>
      <c r="C753" t="s">
        <v>74</v>
      </c>
      <c r="D753" t="s">
        <v>33</v>
      </c>
      <c r="E753" s="58">
        <v>43386</v>
      </c>
      <c r="F753">
        <v>26</v>
      </c>
      <c r="G753" t="s">
        <v>48</v>
      </c>
      <c r="H753" t="s">
        <v>176</v>
      </c>
      <c r="I753" t="s">
        <v>176</v>
      </c>
      <c r="J753" t="s">
        <v>3228</v>
      </c>
      <c r="K753" t="s">
        <v>6737</v>
      </c>
      <c r="L753" t="s">
        <v>65</v>
      </c>
      <c r="M753" t="b">
        <v>0</v>
      </c>
      <c r="N753" t="s">
        <v>3251</v>
      </c>
      <c r="O753" t="b">
        <v>0</v>
      </c>
      <c r="P753" t="b">
        <v>1</v>
      </c>
      <c r="Q753" t="b">
        <v>0</v>
      </c>
      <c r="R753" t="b">
        <v>1</v>
      </c>
      <c r="S753" t="b">
        <v>0</v>
      </c>
      <c r="T753" t="b">
        <v>0</v>
      </c>
      <c r="U753" t="b">
        <v>1</v>
      </c>
      <c r="V753" t="b">
        <v>1</v>
      </c>
      <c r="W753" t="b">
        <v>1</v>
      </c>
      <c r="X753" t="b">
        <v>1</v>
      </c>
      <c r="Y753" t="b">
        <v>1</v>
      </c>
      <c r="Z753" t="b">
        <v>1</v>
      </c>
      <c r="AA753" t="b">
        <v>0</v>
      </c>
      <c r="AB753" t="s">
        <v>845</v>
      </c>
      <c r="AC753" t="s">
        <v>8284</v>
      </c>
    </row>
    <row r="754" spans="1:29" x14ac:dyDescent="0.3">
      <c r="A754">
        <v>-73.961425439999999</v>
      </c>
      <c r="B754">
        <v>40.765337410000001</v>
      </c>
      <c r="C754" t="s">
        <v>250</v>
      </c>
      <c r="D754" t="s">
        <v>38</v>
      </c>
      <c r="E754" s="58">
        <v>43388</v>
      </c>
      <c r="F754">
        <v>10</v>
      </c>
      <c r="G754" t="s">
        <v>105</v>
      </c>
      <c r="H754" t="s">
        <v>42</v>
      </c>
      <c r="I754" t="s">
        <v>176</v>
      </c>
      <c r="J754" t="s">
        <v>5106</v>
      </c>
      <c r="K754" t="s">
        <v>4237</v>
      </c>
      <c r="L754" t="s">
        <v>44</v>
      </c>
      <c r="M754">
        <v>7</v>
      </c>
      <c r="N754" t="s">
        <v>748</v>
      </c>
      <c r="O754" t="b">
        <v>1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1</v>
      </c>
      <c r="V754" t="b">
        <v>1</v>
      </c>
      <c r="W754" t="b">
        <v>1</v>
      </c>
      <c r="X754" t="b">
        <v>1</v>
      </c>
      <c r="Y754" t="b">
        <v>1</v>
      </c>
      <c r="Z754" t="b">
        <v>0</v>
      </c>
      <c r="AA754" t="b">
        <v>0</v>
      </c>
      <c r="AB754" t="s">
        <v>991</v>
      </c>
      <c r="AC754" t="s">
        <v>8285</v>
      </c>
    </row>
    <row r="755" spans="1:29" x14ac:dyDescent="0.3">
      <c r="A755">
        <v>-73.970630220000004</v>
      </c>
      <c r="B755">
        <v>40.773402849999997</v>
      </c>
      <c r="C755" t="s">
        <v>239</v>
      </c>
      <c r="D755" t="s">
        <v>38</v>
      </c>
      <c r="E755" s="58">
        <v>43392</v>
      </c>
      <c r="F755">
        <v>27</v>
      </c>
      <c r="G755" t="s">
        <v>3842</v>
      </c>
      <c r="H755" t="s">
        <v>176</v>
      </c>
      <c r="I755" t="s">
        <v>176</v>
      </c>
      <c r="J755" t="s">
        <v>2942</v>
      </c>
      <c r="K755" t="s">
        <v>6823</v>
      </c>
      <c r="L755" t="s">
        <v>44</v>
      </c>
      <c r="M755">
        <v>7</v>
      </c>
      <c r="N755" t="s">
        <v>1627</v>
      </c>
      <c r="O755" t="b">
        <v>0</v>
      </c>
      <c r="P755" t="b">
        <v>0</v>
      </c>
      <c r="Q755" t="b">
        <v>1</v>
      </c>
      <c r="R755" t="b">
        <v>1</v>
      </c>
      <c r="S755" t="b">
        <v>1</v>
      </c>
      <c r="T755" t="b">
        <v>0</v>
      </c>
      <c r="U755" t="b">
        <v>1</v>
      </c>
      <c r="V755" t="b">
        <v>1</v>
      </c>
      <c r="W755" t="b">
        <v>1</v>
      </c>
      <c r="X755" t="b">
        <v>1</v>
      </c>
      <c r="Y755" t="b">
        <v>0</v>
      </c>
      <c r="Z755" t="b">
        <v>0</v>
      </c>
      <c r="AA755" t="b">
        <v>1</v>
      </c>
      <c r="AB755" t="s">
        <v>1046</v>
      </c>
      <c r="AC755" t="s">
        <v>8286</v>
      </c>
    </row>
    <row r="756" spans="1:29" x14ac:dyDescent="0.3">
      <c r="A756">
        <v>-73.976780309999995</v>
      </c>
      <c r="B756">
        <v>40.799269090000003</v>
      </c>
      <c r="C756" t="s">
        <v>767</v>
      </c>
      <c r="D756" t="s">
        <v>33</v>
      </c>
      <c r="E756" s="58">
        <v>43381</v>
      </c>
      <c r="F756">
        <v>11</v>
      </c>
      <c r="G756" t="s">
        <v>48</v>
      </c>
      <c r="H756" t="s">
        <v>42</v>
      </c>
      <c r="I756" t="s">
        <v>176</v>
      </c>
      <c r="J756" t="s">
        <v>43</v>
      </c>
      <c r="K756" t="s">
        <v>7365</v>
      </c>
      <c r="L756" t="s">
        <v>65</v>
      </c>
      <c r="M756" t="b">
        <v>0</v>
      </c>
      <c r="N756" t="s">
        <v>6806</v>
      </c>
      <c r="O756" t="b">
        <v>1</v>
      </c>
      <c r="P756" t="b">
        <v>1</v>
      </c>
      <c r="Q756" t="b">
        <v>1</v>
      </c>
      <c r="R756" t="b">
        <v>1</v>
      </c>
      <c r="S756" t="b">
        <v>0</v>
      </c>
      <c r="T756" t="b">
        <v>0</v>
      </c>
      <c r="U756" t="b">
        <v>0</v>
      </c>
      <c r="V756" t="b">
        <v>1</v>
      </c>
      <c r="W756" t="b">
        <v>0</v>
      </c>
      <c r="X756" t="b">
        <v>0</v>
      </c>
      <c r="Y756" t="b">
        <v>0</v>
      </c>
      <c r="Z756" t="b">
        <v>0</v>
      </c>
      <c r="AA756" t="b">
        <v>1</v>
      </c>
      <c r="AB756" t="s">
        <v>3519</v>
      </c>
      <c r="AC756" t="s">
        <v>8287</v>
      </c>
    </row>
    <row r="757" spans="1:29" x14ac:dyDescent="0.3">
      <c r="A757">
        <v>-73.95619696</v>
      </c>
      <c r="B757">
        <v>40.793131070000001</v>
      </c>
      <c r="C757" t="s">
        <v>851</v>
      </c>
      <c r="D757" t="s">
        <v>38</v>
      </c>
      <c r="E757" s="58">
        <v>43389</v>
      </c>
      <c r="F757">
        <v>6</v>
      </c>
      <c r="G757" t="s">
        <v>105</v>
      </c>
      <c r="H757" t="s">
        <v>53</v>
      </c>
      <c r="I757" t="s">
        <v>59</v>
      </c>
      <c r="J757" t="s">
        <v>5106</v>
      </c>
      <c r="K757" t="s">
        <v>1896</v>
      </c>
      <c r="L757" t="s">
        <v>44</v>
      </c>
      <c r="M757">
        <v>10</v>
      </c>
      <c r="N757" t="s">
        <v>1627</v>
      </c>
      <c r="O757" t="b">
        <v>0</v>
      </c>
      <c r="P757" t="b">
        <v>0</v>
      </c>
      <c r="Q757" t="b">
        <v>0</v>
      </c>
      <c r="R757" t="b">
        <v>1</v>
      </c>
      <c r="S757" t="b">
        <v>1</v>
      </c>
      <c r="T757" t="b">
        <v>1</v>
      </c>
      <c r="U757" t="b">
        <v>1</v>
      </c>
      <c r="V757" t="b">
        <v>0</v>
      </c>
      <c r="W757" t="b">
        <v>1</v>
      </c>
      <c r="X757" t="b">
        <v>1</v>
      </c>
      <c r="Y757" t="b">
        <v>1</v>
      </c>
      <c r="Z757" t="b">
        <v>0</v>
      </c>
      <c r="AA757" t="b">
        <v>1</v>
      </c>
      <c r="AB757" t="s">
        <v>974</v>
      </c>
      <c r="AC757" t="s">
        <v>8288</v>
      </c>
    </row>
    <row r="758" spans="1:29" x14ac:dyDescent="0.3">
      <c r="A758">
        <v>-73.96166547</v>
      </c>
      <c r="B758">
        <v>40.798695299999999</v>
      </c>
      <c r="C758" t="s">
        <v>88</v>
      </c>
      <c r="D758" t="s">
        <v>33</v>
      </c>
      <c r="E758" s="58">
        <v>43385</v>
      </c>
      <c r="F758">
        <v>2</v>
      </c>
      <c r="G758" t="s">
        <v>105</v>
      </c>
      <c r="H758" t="s">
        <v>53</v>
      </c>
      <c r="I758" t="s">
        <v>5105</v>
      </c>
      <c r="J758" t="s">
        <v>3228</v>
      </c>
      <c r="K758" t="s">
        <v>5957</v>
      </c>
      <c r="L758" t="s">
        <v>65</v>
      </c>
      <c r="M758" t="b">
        <v>0</v>
      </c>
      <c r="N758" t="s">
        <v>1702</v>
      </c>
      <c r="O758" t="b">
        <v>1</v>
      </c>
      <c r="P758" t="b">
        <v>0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1</v>
      </c>
      <c r="X758" t="b">
        <v>1</v>
      </c>
      <c r="Y758" t="b">
        <v>0</v>
      </c>
      <c r="Z758" t="b">
        <v>0</v>
      </c>
      <c r="AA758" t="b">
        <v>0</v>
      </c>
      <c r="AB758" t="s">
        <v>380</v>
      </c>
      <c r="AC758" t="s">
        <v>8289</v>
      </c>
    </row>
    <row r="759" spans="1:29" x14ac:dyDescent="0.3">
      <c r="A759">
        <v>-73.964388260000007</v>
      </c>
      <c r="B759">
        <v>40.782086960000001</v>
      </c>
      <c r="C759" t="s">
        <v>957</v>
      </c>
      <c r="D759" t="s">
        <v>33</v>
      </c>
      <c r="E759" s="58">
        <v>43389</v>
      </c>
      <c r="F759">
        <v>11</v>
      </c>
      <c r="G759" t="s">
        <v>3842</v>
      </c>
      <c r="H759" t="s">
        <v>42</v>
      </c>
      <c r="I759" t="s">
        <v>42</v>
      </c>
      <c r="J759" t="s">
        <v>34</v>
      </c>
      <c r="K759" t="s">
        <v>6245</v>
      </c>
      <c r="L759" t="s">
        <v>44</v>
      </c>
      <c r="M759">
        <v>10</v>
      </c>
      <c r="N759" t="s">
        <v>6098</v>
      </c>
      <c r="O759" t="b">
        <v>0</v>
      </c>
      <c r="P759" t="b">
        <v>0</v>
      </c>
      <c r="Q759" t="b">
        <v>1</v>
      </c>
      <c r="R759" t="b">
        <v>0</v>
      </c>
      <c r="S759" t="b">
        <v>1</v>
      </c>
      <c r="T759" t="b">
        <v>0</v>
      </c>
      <c r="U759" t="b">
        <v>1</v>
      </c>
      <c r="V759" t="b">
        <v>0</v>
      </c>
      <c r="W759" t="b">
        <v>1</v>
      </c>
      <c r="X759" t="b">
        <v>1</v>
      </c>
      <c r="Y759" t="b">
        <v>0</v>
      </c>
      <c r="Z759" t="b">
        <v>1</v>
      </c>
      <c r="AA759" t="b">
        <v>1</v>
      </c>
      <c r="AB759" t="s">
        <v>3446</v>
      </c>
      <c r="AC759" t="s">
        <v>8290</v>
      </c>
    </row>
    <row r="760" spans="1:29" x14ac:dyDescent="0.3">
      <c r="A760">
        <v>-73.953057450000003</v>
      </c>
      <c r="B760">
        <v>40.768774239999999</v>
      </c>
      <c r="C760" t="s">
        <v>245</v>
      </c>
      <c r="D760" t="s">
        <v>38</v>
      </c>
      <c r="E760" s="58">
        <v>43393</v>
      </c>
      <c r="F760">
        <v>19</v>
      </c>
      <c r="G760" t="s">
        <v>105</v>
      </c>
      <c r="H760" t="s">
        <v>176</v>
      </c>
      <c r="I760" t="s">
        <v>5105</v>
      </c>
      <c r="J760" t="s">
        <v>116</v>
      </c>
      <c r="K760" t="s">
        <v>3758</v>
      </c>
      <c r="L760" t="s">
        <v>65</v>
      </c>
      <c r="M760" t="b">
        <v>0</v>
      </c>
      <c r="N760" t="s">
        <v>6373</v>
      </c>
      <c r="O760" t="b">
        <v>0</v>
      </c>
      <c r="P760" t="b">
        <v>0</v>
      </c>
      <c r="Q760" t="b">
        <v>0</v>
      </c>
      <c r="R760" t="b">
        <v>1</v>
      </c>
      <c r="S760" t="b">
        <v>1</v>
      </c>
      <c r="T760" t="b">
        <v>1</v>
      </c>
      <c r="U760" t="b">
        <v>1</v>
      </c>
      <c r="V760" t="b">
        <v>0</v>
      </c>
      <c r="W760" t="b">
        <v>1</v>
      </c>
      <c r="X760" t="b">
        <v>0</v>
      </c>
      <c r="Y760" t="b">
        <v>0</v>
      </c>
      <c r="Z760" t="b">
        <v>1</v>
      </c>
      <c r="AA760" t="b">
        <v>0</v>
      </c>
      <c r="AB760" t="s">
        <v>2392</v>
      </c>
      <c r="AC760" t="s">
        <v>8291</v>
      </c>
    </row>
    <row r="761" spans="1:29" x14ac:dyDescent="0.3">
      <c r="A761">
        <v>-73.956367599999993</v>
      </c>
      <c r="B761">
        <v>40.784203140000002</v>
      </c>
      <c r="C761" t="s">
        <v>6019</v>
      </c>
      <c r="D761" t="s">
        <v>38</v>
      </c>
      <c r="E761" s="58">
        <v>43379</v>
      </c>
      <c r="F761">
        <v>6</v>
      </c>
      <c r="G761" t="s">
        <v>105</v>
      </c>
      <c r="H761" t="s">
        <v>42</v>
      </c>
      <c r="I761" t="s">
        <v>1921</v>
      </c>
      <c r="J761" t="s">
        <v>705</v>
      </c>
      <c r="K761" t="s">
        <v>7003</v>
      </c>
      <c r="L761" t="s">
        <v>44</v>
      </c>
      <c r="M761">
        <v>8</v>
      </c>
      <c r="N761" t="s">
        <v>7271</v>
      </c>
      <c r="O761" t="b">
        <v>1</v>
      </c>
      <c r="P761" t="b">
        <v>0</v>
      </c>
      <c r="Q761" t="b">
        <v>1</v>
      </c>
      <c r="R761" t="b">
        <v>0</v>
      </c>
      <c r="S761" t="b">
        <v>1</v>
      </c>
      <c r="T761" t="b">
        <v>0</v>
      </c>
      <c r="U761" t="b">
        <v>1</v>
      </c>
      <c r="V761" t="b">
        <v>0</v>
      </c>
      <c r="W761" t="b">
        <v>0</v>
      </c>
      <c r="X761" t="b">
        <v>1</v>
      </c>
      <c r="Y761" t="b">
        <v>0</v>
      </c>
      <c r="Z761" t="b">
        <v>1</v>
      </c>
      <c r="AA761" t="b">
        <v>0</v>
      </c>
      <c r="AB761" t="s">
        <v>810</v>
      </c>
      <c r="AC761" t="s">
        <v>8292</v>
      </c>
    </row>
    <row r="762" spans="1:29" x14ac:dyDescent="0.3">
      <c r="A762">
        <v>-73.976390409999993</v>
      </c>
      <c r="B762">
        <v>40.780908320000002</v>
      </c>
      <c r="C762" t="s">
        <v>124</v>
      </c>
      <c r="D762" t="s">
        <v>33</v>
      </c>
      <c r="E762" s="58">
        <v>43379</v>
      </c>
      <c r="F762">
        <v>14</v>
      </c>
      <c r="G762" t="s">
        <v>48</v>
      </c>
      <c r="H762" t="s">
        <v>53</v>
      </c>
      <c r="I762" t="s">
        <v>42</v>
      </c>
      <c r="J762" t="s">
        <v>149</v>
      </c>
      <c r="K762" t="s">
        <v>7370</v>
      </c>
      <c r="L762" t="s">
        <v>44</v>
      </c>
      <c r="M762">
        <v>7</v>
      </c>
      <c r="N762" t="s">
        <v>1421</v>
      </c>
      <c r="O762" t="b">
        <v>1</v>
      </c>
      <c r="P762" t="b">
        <v>1</v>
      </c>
      <c r="Q762" t="b">
        <v>1</v>
      </c>
      <c r="R762" t="b">
        <v>1</v>
      </c>
      <c r="S762" t="b">
        <v>0</v>
      </c>
      <c r="T762" t="b">
        <v>0</v>
      </c>
      <c r="U762" t="b">
        <v>1</v>
      </c>
      <c r="V762" t="b">
        <v>1</v>
      </c>
      <c r="W762" t="b">
        <v>1</v>
      </c>
      <c r="X762" t="b">
        <v>1</v>
      </c>
      <c r="Y762" t="b">
        <v>0</v>
      </c>
      <c r="Z762" t="b">
        <v>1</v>
      </c>
      <c r="AA762" t="b">
        <v>0</v>
      </c>
      <c r="AB762" t="s">
        <v>4641</v>
      </c>
      <c r="AC762" t="s">
        <v>8293</v>
      </c>
    </row>
    <row r="763" spans="1:29" x14ac:dyDescent="0.3">
      <c r="A763">
        <v>-73.971359030000002</v>
      </c>
      <c r="B763">
        <v>40.794638669999998</v>
      </c>
      <c r="C763" t="s">
        <v>154</v>
      </c>
      <c r="D763" t="s">
        <v>33</v>
      </c>
      <c r="E763" s="58">
        <v>43388</v>
      </c>
      <c r="F763">
        <v>20</v>
      </c>
      <c r="G763" t="s">
        <v>48</v>
      </c>
      <c r="H763" t="s">
        <v>53</v>
      </c>
      <c r="I763" t="s">
        <v>59</v>
      </c>
      <c r="J763" t="s">
        <v>43</v>
      </c>
      <c r="K763" t="s">
        <v>6245</v>
      </c>
      <c r="L763" t="s">
        <v>65</v>
      </c>
      <c r="M763" t="b">
        <v>0</v>
      </c>
      <c r="N763" t="s">
        <v>4895</v>
      </c>
      <c r="O763" t="b">
        <v>1</v>
      </c>
      <c r="P763" t="b">
        <v>1</v>
      </c>
      <c r="Q763" t="b">
        <v>1</v>
      </c>
      <c r="R763" t="b">
        <v>0</v>
      </c>
      <c r="S763" t="b">
        <v>0</v>
      </c>
      <c r="T763" t="b">
        <v>0</v>
      </c>
      <c r="U763" t="b">
        <v>0</v>
      </c>
      <c r="V763" t="b">
        <v>1</v>
      </c>
      <c r="W763" t="b">
        <v>0</v>
      </c>
      <c r="X763" t="b">
        <v>0</v>
      </c>
      <c r="Y763" t="b">
        <v>1</v>
      </c>
      <c r="Z763" t="b">
        <v>0</v>
      </c>
      <c r="AA763" t="b">
        <v>1</v>
      </c>
      <c r="AB763" t="s">
        <v>2870</v>
      </c>
      <c r="AC763" t="s">
        <v>8294</v>
      </c>
    </row>
    <row r="764" spans="1:29" x14ac:dyDescent="0.3">
      <c r="A764">
        <v>-73.97334687</v>
      </c>
      <c r="B764">
        <v>40.76836394</v>
      </c>
      <c r="C764" t="s">
        <v>1056</v>
      </c>
      <c r="D764" t="s">
        <v>38</v>
      </c>
      <c r="E764" s="58">
        <v>43391</v>
      </c>
      <c r="F764">
        <v>6</v>
      </c>
      <c r="G764" t="s">
        <v>3842</v>
      </c>
      <c r="H764" t="s">
        <v>42</v>
      </c>
      <c r="I764" t="s">
        <v>1921</v>
      </c>
      <c r="J764" t="s">
        <v>79</v>
      </c>
      <c r="K764" t="s">
        <v>672</v>
      </c>
      <c r="L764" t="s">
        <v>44</v>
      </c>
      <c r="M764">
        <v>7</v>
      </c>
      <c r="N764" t="s">
        <v>3458</v>
      </c>
      <c r="O764" t="b">
        <v>1</v>
      </c>
      <c r="P764" t="b">
        <v>0</v>
      </c>
      <c r="Q764" t="b">
        <v>0</v>
      </c>
      <c r="R764" t="b">
        <v>1</v>
      </c>
      <c r="S764" t="b">
        <v>1</v>
      </c>
      <c r="T764" t="b">
        <v>0</v>
      </c>
      <c r="U764" t="b">
        <v>1</v>
      </c>
      <c r="V764" t="b">
        <v>0</v>
      </c>
      <c r="W764" t="b">
        <v>0</v>
      </c>
      <c r="X764" t="b">
        <v>1</v>
      </c>
      <c r="Y764" t="b">
        <v>1</v>
      </c>
      <c r="Z764" t="b">
        <v>0</v>
      </c>
      <c r="AA764" t="b">
        <v>0</v>
      </c>
      <c r="AB764" t="s">
        <v>4117</v>
      </c>
      <c r="AC764" t="s">
        <v>8295</v>
      </c>
    </row>
    <row r="765" spans="1:29" x14ac:dyDescent="0.3">
      <c r="A765">
        <v>-73.957771280000003</v>
      </c>
      <c r="B765">
        <v>40.782100589999999</v>
      </c>
      <c r="C765" t="s">
        <v>1663</v>
      </c>
      <c r="D765" t="s">
        <v>33</v>
      </c>
      <c r="E765" s="58">
        <v>43383</v>
      </c>
      <c r="F765">
        <v>17</v>
      </c>
      <c r="G765" t="s">
        <v>3842</v>
      </c>
      <c r="H765" t="s">
        <v>176</v>
      </c>
      <c r="I765" t="s">
        <v>5105</v>
      </c>
      <c r="J765" t="s">
        <v>116</v>
      </c>
      <c r="K765" t="s">
        <v>3433</v>
      </c>
      <c r="L765" t="s">
        <v>44</v>
      </c>
      <c r="M765">
        <v>15</v>
      </c>
      <c r="N765" t="s">
        <v>4876</v>
      </c>
      <c r="O765" t="b">
        <v>0</v>
      </c>
      <c r="P765" t="b">
        <v>1</v>
      </c>
      <c r="Q765" t="b">
        <v>1</v>
      </c>
      <c r="R765" t="b">
        <v>0</v>
      </c>
      <c r="S765" t="b">
        <v>0</v>
      </c>
      <c r="T765" t="b">
        <v>1</v>
      </c>
      <c r="U765" t="b">
        <v>0</v>
      </c>
      <c r="V765" t="b">
        <v>0</v>
      </c>
      <c r="W765" t="b">
        <v>1</v>
      </c>
      <c r="X765" t="b">
        <v>0</v>
      </c>
      <c r="Y765" t="b">
        <v>0</v>
      </c>
      <c r="Z765" t="b">
        <v>1</v>
      </c>
      <c r="AA765" t="b">
        <v>0</v>
      </c>
      <c r="AB765" t="s">
        <v>1046</v>
      </c>
      <c r="AC765" t="s">
        <v>8296</v>
      </c>
    </row>
    <row r="766" spans="1:29" x14ac:dyDescent="0.3">
      <c r="A766">
        <v>-73.980104429999997</v>
      </c>
      <c r="B766">
        <v>40.770193560000003</v>
      </c>
      <c r="C766" t="s">
        <v>1141</v>
      </c>
      <c r="D766" t="s">
        <v>38</v>
      </c>
      <c r="E766" s="58">
        <v>43383</v>
      </c>
      <c r="F766">
        <v>10</v>
      </c>
      <c r="G766" t="s">
        <v>105</v>
      </c>
      <c r="H766" t="s">
        <v>176</v>
      </c>
      <c r="I766" t="s">
        <v>1921</v>
      </c>
      <c r="J766" t="s">
        <v>1142</v>
      </c>
      <c r="K766" t="s">
        <v>7370</v>
      </c>
      <c r="L766" t="s">
        <v>65</v>
      </c>
      <c r="M766" t="b">
        <v>0</v>
      </c>
      <c r="N766" t="s">
        <v>3687</v>
      </c>
      <c r="O766" t="b">
        <v>0</v>
      </c>
      <c r="P766" t="b">
        <v>0</v>
      </c>
      <c r="Q766" t="b">
        <v>0</v>
      </c>
      <c r="R766" t="b">
        <v>1</v>
      </c>
      <c r="S766" t="b">
        <v>0</v>
      </c>
      <c r="T766" t="b">
        <v>1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1</v>
      </c>
      <c r="AA766" t="b">
        <v>0</v>
      </c>
      <c r="AB766" t="s">
        <v>3258</v>
      </c>
      <c r="AC766" t="s">
        <v>8297</v>
      </c>
    </row>
    <row r="767" spans="1:29" x14ac:dyDescent="0.3">
      <c r="A767">
        <v>-73.963243070000004</v>
      </c>
      <c r="B767">
        <v>40.776341809999998</v>
      </c>
      <c r="C767" t="s">
        <v>275</v>
      </c>
      <c r="D767" t="s">
        <v>33</v>
      </c>
      <c r="E767" s="58">
        <v>43386</v>
      </c>
      <c r="F767">
        <v>28</v>
      </c>
      <c r="G767" t="s">
        <v>48</v>
      </c>
      <c r="H767" t="s">
        <v>42</v>
      </c>
      <c r="I767" t="s">
        <v>96</v>
      </c>
      <c r="J767" t="s">
        <v>5106</v>
      </c>
      <c r="K767" t="s">
        <v>2382</v>
      </c>
      <c r="L767" t="s">
        <v>44</v>
      </c>
      <c r="M767">
        <v>20</v>
      </c>
      <c r="N767" t="s">
        <v>6050</v>
      </c>
      <c r="O767" t="b">
        <v>0</v>
      </c>
      <c r="P767" t="b">
        <v>0</v>
      </c>
      <c r="Q767" t="b">
        <v>1</v>
      </c>
      <c r="R767" t="b">
        <v>0</v>
      </c>
      <c r="S767" t="b">
        <v>1</v>
      </c>
      <c r="T767" t="b">
        <v>0</v>
      </c>
      <c r="U767" t="b">
        <v>1</v>
      </c>
      <c r="V767" t="b">
        <v>0</v>
      </c>
      <c r="W767" t="b">
        <v>1</v>
      </c>
      <c r="X767" t="b">
        <v>1</v>
      </c>
      <c r="Y767" t="b">
        <v>0</v>
      </c>
      <c r="Z767" t="b">
        <v>0</v>
      </c>
      <c r="AA767" t="b">
        <v>1</v>
      </c>
      <c r="AB767" t="s">
        <v>2123</v>
      </c>
      <c r="AC767" t="s">
        <v>8298</v>
      </c>
    </row>
    <row r="768" spans="1:29" x14ac:dyDescent="0.3">
      <c r="A768">
        <v>-73.957189310000004</v>
      </c>
      <c r="B768">
        <v>40.790871430000003</v>
      </c>
      <c r="C768" t="s">
        <v>1775</v>
      </c>
      <c r="D768" t="s">
        <v>33</v>
      </c>
      <c r="E768" s="58">
        <v>43385</v>
      </c>
      <c r="F768">
        <v>1</v>
      </c>
      <c r="G768" t="s">
        <v>3842</v>
      </c>
      <c r="H768" t="s">
        <v>42</v>
      </c>
      <c r="I768" t="s">
        <v>1921</v>
      </c>
      <c r="J768" t="s">
        <v>1142</v>
      </c>
      <c r="K768" t="s">
        <v>2362</v>
      </c>
      <c r="L768" t="s">
        <v>44</v>
      </c>
      <c r="M768">
        <v>30</v>
      </c>
      <c r="N768" t="s">
        <v>4576</v>
      </c>
      <c r="O768" t="b">
        <v>0</v>
      </c>
      <c r="P768" t="b">
        <v>0</v>
      </c>
      <c r="Q768" t="b">
        <v>1</v>
      </c>
      <c r="R768" t="b">
        <v>0</v>
      </c>
      <c r="S768" t="b">
        <v>1</v>
      </c>
      <c r="T768" t="b">
        <v>1</v>
      </c>
      <c r="U768" t="b">
        <v>0</v>
      </c>
      <c r="V768" t="b">
        <v>0</v>
      </c>
      <c r="W768" t="b">
        <v>1</v>
      </c>
      <c r="X768" t="b">
        <v>1</v>
      </c>
      <c r="Y768" t="b">
        <v>1</v>
      </c>
      <c r="Z768" t="b">
        <v>1</v>
      </c>
      <c r="AA768" t="b">
        <v>0</v>
      </c>
      <c r="AB768" t="s">
        <v>810</v>
      </c>
      <c r="AC768" t="s">
        <v>8299</v>
      </c>
    </row>
    <row r="769" spans="1:29" x14ac:dyDescent="0.3">
      <c r="A769">
        <v>-73.953595859999993</v>
      </c>
      <c r="B769">
        <v>40.781670239999997</v>
      </c>
      <c r="C769" t="s">
        <v>82</v>
      </c>
      <c r="D769" t="s">
        <v>38</v>
      </c>
      <c r="E769" s="58">
        <v>43386</v>
      </c>
      <c r="F769">
        <v>3</v>
      </c>
      <c r="G769" t="s">
        <v>3842</v>
      </c>
      <c r="H769" t="s">
        <v>176</v>
      </c>
      <c r="I769" t="s">
        <v>42</v>
      </c>
      <c r="J769" t="s">
        <v>619</v>
      </c>
      <c r="K769" t="s">
        <v>150</v>
      </c>
      <c r="L769" t="s">
        <v>65</v>
      </c>
      <c r="M769" t="b">
        <v>0</v>
      </c>
      <c r="N769" t="s">
        <v>4120</v>
      </c>
      <c r="O769" t="b">
        <v>0</v>
      </c>
      <c r="P769" t="b">
        <v>0</v>
      </c>
      <c r="Q769" t="b">
        <v>0</v>
      </c>
      <c r="R769" t="b">
        <v>1</v>
      </c>
      <c r="S769" t="b">
        <v>1</v>
      </c>
      <c r="T769" t="b">
        <v>1</v>
      </c>
      <c r="U769" t="b">
        <v>0</v>
      </c>
      <c r="V769" t="b">
        <v>0</v>
      </c>
      <c r="W769" t="b">
        <v>1</v>
      </c>
      <c r="X769" t="b">
        <v>1</v>
      </c>
      <c r="Y769" t="b">
        <v>1</v>
      </c>
      <c r="Z769" t="b">
        <v>1</v>
      </c>
      <c r="AA769" t="b">
        <v>1</v>
      </c>
      <c r="AB769" t="s">
        <v>4194</v>
      </c>
      <c r="AC769" t="s">
        <v>8300</v>
      </c>
    </row>
    <row r="770" spans="1:29" x14ac:dyDescent="0.3">
      <c r="A770">
        <v>-73.970404619999996</v>
      </c>
      <c r="B770">
        <v>40.77814489</v>
      </c>
      <c r="C770" t="s">
        <v>579</v>
      </c>
      <c r="D770" t="s">
        <v>38</v>
      </c>
      <c r="E770" s="58">
        <v>43384</v>
      </c>
      <c r="F770">
        <v>8</v>
      </c>
      <c r="G770" t="s">
        <v>3842</v>
      </c>
      <c r="H770" t="s">
        <v>53</v>
      </c>
      <c r="I770" t="s">
        <v>176</v>
      </c>
      <c r="J770" t="s">
        <v>3228</v>
      </c>
      <c r="K770" t="s">
        <v>5976</v>
      </c>
      <c r="L770" t="s">
        <v>65</v>
      </c>
      <c r="M770" t="b">
        <v>0</v>
      </c>
      <c r="N770" t="s">
        <v>4208</v>
      </c>
      <c r="O770" t="b">
        <v>0</v>
      </c>
      <c r="P770" t="b">
        <v>0</v>
      </c>
      <c r="Q770" t="b">
        <v>0</v>
      </c>
      <c r="R770" t="b">
        <v>0</v>
      </c>
      <c r="S770" t="b">
        <v>1</v>
      </c>
      <c r="T770" t="b">
        <v>1</v>
      </c>
      <c r="U770" t="b">
        <v>1</v>
      </c>
      <c r="V770" t="b">
        <v>0</v>
      </c>
      <c r="W770" t="b">
        <v>1</v>
      </c>
      <c r="X770" t="b">
        <v>0</v>
      </c>
      <c r="Y770" t="b">
        <v>1</v>
      </c>
      <c r="Z770" t="b">
        <v>0</v>
      </c>
      <c r="AA770" t="b">
        <v>1</v>
      </c>
      <c r="AB770" t="s">
        <v>3173</v>
      </c>
      <c r="AC770" t="s">
        <v>8301</v>
      </c>
    </row>
    <row r="771" spans="1:29" x14ac:dyDescent="0.3">
      <c r="A771">
        <v>-73.955340870000001</v>
      </c>
      <c r="B771">
        <v>40.778799329999998</v>
      </c>
      <c r="C771" t="s">
        <v>2217</v>
      </c>
      <c r="D771" t="s">
        <v>38</v>
      </c>
      <c r="E771" s="58">
        <v>43384</v>
      </c>
      <c r="F771">
        <v>8</v>
      </c>
      <c r="G771" t="s">
        <v>105</v>
      </c>
      <c r="H771" t="s">
        <v>42</v>
      </c>
      <c r="I771" t="s">
        <v>176</v>
      </c>
      <c r="J771" t="s">
        <v>738</v>
      </c>
      <c r="K771" t="s">
        <v>6245</v>
      </c>
      <c r="L771" t="s">
        <v>65</v>
      </c>
      <c r="M771" t="b">
        <v>0</v>
      </c>
      <c r="N771" t="s">
        <v>4757</v>
      </c>
      <c r="O771" t="b">
        <v>1</v>
      </c>
      <c r="P771" t="b">
        <v>0</v>
      </c>
      <c r="Q771" t="b">
        <v>0</v>
      </c>
      <c r="R771" t="b">
        <v>0</v>
      </c>
      <c r="S771" t="b">
        <v>0</v>
      </c>
      <c r="T771" t="b">
        <v>1</v>
      </c>
      <c r="U771" t="b">
        <v>0</v>
      </c>
      <c r="V771" t="b">
        <v>0</v>
      </c>
      <c r="W771" t="b">
        <v>1</v>
      </c>
      <c r="X771" t="b">
        <v>1</v>
      </c>
      <c r="Y771" t="b">
        <v>1</v>
      </c>
      <c r="Z771" t="b">
        <v>0</v>
      </c>
      <c r="AA771" t="b">
        <v>0</v>
      </c>
      <c r="AB771" t="s">
        <v>2274</v>
      </c>
      <c r="AC771" t="s">
        <v>8302</v>
      </c>
    </row>
    <row r="772" spans="1:29" x14ac:dyDescent="0.3">
      <c r="A772">
        <v>-73.977680669999998</v>
      </c>
      <c r="B772">
        <v>40.781086799999997</v>
      </c>
      <c r="C772" t="s">
        <v>6895</v>
      </c>
      <c r="D772" t="s">
        <v>38</v>
      </c>
      <c r="E772" s="58">
        <v>43380</v>
      </c>
      <c r="F772">
        <v>27</v>
      </c>
      <c r="G772" t="s">
        <v>48</v>
      </c>
      <c r="H772" t="s">
        <v>176</v>
      </c>
      <c r="I772" t="s">
        <v>737</v>
      </c>
      <c r="J772" t="s">
        <v>34</v>
      </c>
      <c r="K772" t="s">
        <v>6166</v>
      </c>
      <c r="L772" t="s">
        <v>65</v>
      </c>
      <c r="M772" t="b">
        <v>0</v>
      </c>
      <c r="N772" t="s">
        <v>1836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1</v>
      </c>
      <c r="V772" t="b">
        <v>1</v>
      </c>
      <c r="W772" t="b">
        <v>0</v>
      </c>
      <c r="X772" t="b">
        <v>1</v>
      </c>
      <c r="Y772" t="b">
        <v>0</v>
      </c>
      <c r="Z772" t="b">
        <v>0</v>
      </c>
      <c r="AA772" t="b">
        <v>0</v>
      </c>
      <c r="AB772" t="s">
        <v>5356</v>
      </c>
      <c r="AC772" t="s">
        <v>8303</v>
      </c>
    </row>
    <row r="773" spans="1:29" x14ac:dyDescent="0.3">
      <c r="A773">
        <v>-73.954548819999999</v>
      </c>
      <c r="B773">
        <v>40.792549409999999</v>
      </c>
      <c r="C773" t="s">
        <v>1544</v>
      </c>
      <c r="D773" t="s">
        <v>38</v>
      </c>
      <c r="E773" s="58">
        <v>43384</v>
      </c>
      <c r="F773">
        <v>20</v>
      </c>
      <c r="G773" t="s">
        <v>3842</v>
      </c>
      <c r="H773" t="s">
        <v>176</v>
      </c>
      <c r="I773" t="s">
        <v>5105</v>
      </c>
      <c r="J773" t="s">
        <v>5106</v>
      </c>
      <c r="K773" t="s">
        <v>242</v>
      </c>
      <c r="L773" t="s">
        <v>65</v>
      </c>
      <c r="M773" t="b">
        <v>0</v>
      </c>
      <c r="N773" t="s">
        <v>2189</v>
      </c>
      <c r="O773" t="b">
        <v>0</v>
      </c>
      <c r="P773" t="b">
        <v>0</v>
      </c>
      <c r="Q773" t="b">
        <v>1</v>
      </c>
      <c r="R773" t="b">
        <v>0</v>
      </c>
      <c r="S773" t="b">
        <v>0</v>
      </c>
      <c r="T773" t="b">
        <v>1</v>
      </c>
      <c r="U773" t="b">
        <v>1</v>
      </c>
      <c r="V773" t="b">
        <v>0</v>
      </c>
      <c r="W773" t="b">
        <v>0</v>
      </c>
      <c r="X773" t="b">
        <v>1</v>
      </c>
      <c r="Y773" t="b">
        <v>0</v>
      </c>
      <c r="Z773" t="b">
        <v>1</v>
      </c>
      <c r="AA773" t="b">
        <v>1</v>
      </c>
      <c r="AB773" t="s">
        <v>845</v>
      </c>
      <c r="AC773" t="s">
        <v>8304</v>
      </c>
    </row>
    <row r="774" spans="1:29" x14ac:dyDescent="0.3">
      <c r="A774">
        <v>-73.977150739999999</v>
      </c>
      <c r="B774">
        <v>40.796319050000001</v>
      </c>
      <c r="C774" t="s">
        <v>627</v>
      </c>
      <c r="D774" t="s">
        <v>38</v>
      </c>
      <c r="E774" s="58">
        <v>43383</v>
      </c>
      <c r="F774">
        <v>22</v>
      </c>
      <c r="G774" t="s">
        <v>48</v>
      </c>
      <c r="H774" t="s">
        <v>53</v>
      </c>
      <c r="I774" t="s">
        <v>96</v>
      </c>
      <c r="J774" t="s">
        <v>54</v>
      </c>
      <c r="K774" t="s">
        <v>7365</v>
      </c>
      <c r="L774" t="s">
        <v>44</v>
      </c>
      <c r="M774">
        <v>30</v>
      </c>
      <c r="N774" t="s">
        <v>7012</v>
      </c>
      <c r="O774" t="b">
        <v>1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1</v>
      </c>
      <c r="X774" t="b">
        <v>0</v>
      </c>
      <c r="Y774" t="b">
        <v>1</v>
      </c>
      <c r="Z774" t="b">
        <v>0</v>
      </c>
      <c r="AA774" t="b">
        <v>0</v>
      </c>
      <c r="AB774" t="s">
        <v>2514</v>
      </c>
      <c r="AC774" t="s">
        <v>8305</v>
      </c>
    </row>
    <row r="775" spans="1:29" x14ac:dyDescent="0.3">
      <c r="A775">
        <v>-73.968669129999995</v>
      </c>
      <c r="B775">
        <v>40.798545949999998</v>
      </c>
      <c r="C775" t="s">
        <v>343</v>
      </c>
      <c r="D775" t="s">
        <v>38</v>
      </c>
      <c r="E775" s="58">
        <v>43391</v>
      </c>
      <c r="F775">
        <v>15</v>
      </c>
      <c r="G775" t="s">
        <v>3842</v>
      </c>
      <c r="H775" t="s">
        <v>53</v>
      </c>
      <c r="I775" t="s">
        <v>42</v>
      </c>
      <c r="J775" t="s">
        <v>89</v>
      </c>
      <c r="K775" t="s">
        <v>1696</v>
      </c>
      <c r="L775" t="s">
        <v>65</v>
      </c>
      <c r="M775" t="b">
        <v>0</v>
      </c>
      <c r="N775" t="s">
        <v>379</v>
      </c>
      <c r="O775" t="b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1</v>
      </c>
      <c r="W775" t="b">
        <v>0</v>
      </c>
      <c r="X775" t="b">
        <v>0</v>
      </c>
      <c r="Y775" t="b">
        <v>1</v>
      </c>
      <c r="Z775" t="b">
        <v>0</v>
      </c>
      <c r="AA775" t="b">
        <v>1</v>
      </c>
      <c r="AB775" t="s">
        <v>1844</v>
      </c>
      <c r="AC775" t="s">
        <v>8306</v>
      </c>
    </row>
    <row r="776" spans="1:29" x14ac:dyDescent="0.3">
      <c r="A776">
        <v>-73.956094160000006</v>
      </c>
      <c r="B776">
        <v>40.792615840000003</v>
      </c>
      <c r="C776" t="s">
        <v>1138</v>
      </c>
      <c r="D776" t="s">
        <v>33</v>
      </c>
      <c r="E776" s="58">
        <v>43381</v>
      </c>
      <c r="F776">
        <v>24</v>
      </c>
      <c r="G776" t="s">
        <v>3842</v>
      </c>
      <c r="H776" t="s">
        <v>53</v>
      </c>
      <c r="I776" t="s">
        <v>42</v>
      </c>
      <c r="J776" t="s">
        <v>5106</v>
      </c>
      <c r="K776" t="s">
        <v>1181</v>
      </c>
      <c r="L776" t="s">
        <v>44</v>
      </c>
      <c r="M776">
        <v>7</v>
      </c>
      <c r="N776" t="s">
        <v>978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1</v>
      </c>
      <c r="U776" t="b">
        <v>0</v>
      </c>
      <c r="V776" t="b">
        <v>1</v>
      </c>
      <c r="W776" t="b">
        <v>1</v>
      </c>
      <c r="X776" t="b">
        <v>0</v>
      </c>
      <c r="Y776" t="b">
        <v>0</v>
      </c>
      <c r="Z776" t="b">
        <v>1</v>
      </c>
      <c r="AA776" t="b">
        <v>1</v>
      </c>
      <c r="AB776" t="s">
        <v>6642</v>
      </c>
      <c r="AC776" t="s">
        <v>8307</v>
      </c>
    </row>
    <row r="777" spans="1:29" x14ac:dyDescent="0.3">
      <c r="A777">
        <v>-73.976445650000002</v>
      </c>
      <c r="B777">
        <v>40.776015469999997</v>
      </c>
      <c r="C777" t="s">
        <v>228</v>
      </c>
      <c r="D777" t="s">
        <v>33</v>
      </c>
      <c r="E777" s="58">
        <v>43384</v>
      </c>
      <c r="F777">
        <v>7</v>
      </c>
      <c r="G777" t="s">
        <v>48</v>
      </c>
      <c r="H777" t="s">
        <v>53</v>
      </c>
      <c r="I777" t="s">
        <v>115</v>
      </c>
      <c r="J777" t="s">
        <v>705</v>
      </c>
      <c r="K777" t="s">
        <v>4791</v>
      </c>
      <c r="L777" t="s">
        <v>65</v>
      </c>
      <c r="M777" t="b">
        <v>0</v>
      </c>
      <c r="N777" t="s">
        <v>1374</v>
      </c>
      <c r="O777" t="b">
        <v>0</v>
      </c>
      <c r="P777" t="b">
        <v>1</v>
      </c>
      <c r="Q777" t="b">
        <v>1</v>
      </c>
      <c r="R777" t="b">
        <v>0</v>
      </c>
      <c r="S777" t="b">
        <v>1</v>
      </c>
      <c r="T777" t="b">
        <v>0</v>
      </c>
      <c r="U777" t="b">
        <v>0</v>
      </c>
      <c r="V777" t="b">
        <v>0</v>
      </c>
      <c r="W777" t="b">
        <v>0</v>
      </c>
      <c r="X777" t="b">
        <v>1</v>
      </c>
      <c r="Y777" t="b">
        <v>0</v>
      </c>
      <c r="Z777" t="b">
        <v>0</v>
      </c>
      <c r="AA777" t="b">
        <v>1</v>
      </c>
      <c r="AB777" t="s">
        <v>5887</v>
      </c>
      <c r="AC777" t="s">
        <v>8308</v>
      </c>
    </row>
    <row r="778" spans="1:29" x14ac:dyDescent="0.3">
      <c r="A778">
        <v>-73.973951650000004</v>
      </c>
      <c r="B778">
        <v>40.78913841</v>
      </c>
      <c r="C778" t="s">
        <v>372</v>
      </c>
      <c r="D778" t="s">
        <v>33</v>
      </c>
      <c r="E778" s="58">
        <v>43386</v>
      </c>
      <c r="F778">
        <v>11</v>
      </c>
      <c r="G778" t="s">
        <v>48</v>
      </c>
      <c r="H778" t="s">
        <v>53</v>
      </c>
      <c r="I778" t="s">
        <v>53</v>
      </c>
      <c r="J778" t="s">
        <v>60</v>
      </c>
      <c r="K778" t="s">
        <v>1843</v>
      </c>
      <c r="L778" t="s">
        <v>44</v>
      </c>
      <c r="M778">
        <v>10</v>
      </c>
      <c r="N778" t="s">
        <v>3085</v>
      </c>
      <c r="O778" t="b">
        <v>1</v>
      </c>
      <c r="P778" t="b">
        <v>1</v>
      </c>
      <c r="Q778" t="b">
        <v>1</v>
      </c>
      <c r="R778" t="b">
        <v>1</v>
      </c>
      <c r="S778" t="b">
        <v>0</v>
      </c>
      <c r="T778" t="b">
        <v>1</v>
      </c>
      <c r="U778" t="b">
        <v>0</v>
      </c>
      <c r="V778" t="b">
        <v>1</v>
      </c>
      <c r="W778" t="b">
        <v>0</v>
      </c>
      <c r="X778" t="b">
        <v>1</v>
      </c>
      <c r="Y778" t="b">
        <v>0</v>
      </c>
      <c r="Z778" t="b">
        <v>1</v>
      </c>
      <c r="AA778" t="b">
        <v>0</v>
      </c>
      <c r="AB778" t="s">
        <v>1428</v>
      </c>
      <c r="AC778" t="s">
        <v>8309</v>
      </c>
    </row>
    <row r="779" spans="1:29" x14ac:dyDescent="0.3">
      <c r="A779">
        <v>-73.958453259999999</v>
      </c>
      <c r="B779">
        <v>40.78031773</v>
      </c>
      <c r="C779" t="s">
        <v>1431</v>
      </c>
      <c r="D779" t="s">
        <v>38</v>
      </c>
      <c r="E779" s="58">
        <v>43387</v>
      </c>
      <c r="F779">
        <v>7</v>
      </c>
      <c r="G779" t="s">
        <v>48</v>
      </c>
      <c r="H779" t="s">
        <v>42</v>
      </c>
      <c r="I779" t="s">
        <v>5105</v>
      </c>
      <c r="J779" t="s">
        <v>1922</v>
      </c>
      <c r="K779" t="s">
        <v>5933</v>
      </c>
      <c r="L779" t="s">
        <v>44</v>
      </c>
      <c r="M779">
        <v>2</v>
      </c>
      <c r="N779" t="s">
        <v>6765</v>
      </c>
      <c r="O779" t="b">
        <v>1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1</v>
      </c>
      <c r="W779" t="b">
        <v>1</v>
      </c>
      <c r="X779" t="b">
        <v>0</v>
      </c>
      <c r="Y779" t="b">
        <v>0</v>
      </c>
      <c r="Z779" t="b">
        <v>1</v>
      </c>
      <c r="AA779" t="b">
        <v>1</v>
      </c>
      <c r="AB779" t="s">
        <v>810</v>
      </c>
      <c r="AC779" t="s">
        <v>8310</v>
      </c>
    </row>
    <row r="780" spans="1:29" x14ac:dyDescent="0.3">
      <c r="A780">
        <v>-73.958522930000001</v>
      </c>
      <c r="B780">
        <v>40.773877069999998</v>
      </c>
      <c r="C780" t="s">
        <v>796</v>
      </c>
      <c r="D780" t="s">
        <v>38</v>
      </c>
      <c r="E780" s="58">
        <v>43379</v>
      </c>
      <c r="F780">
        <v>29</v>
      </c>
      <c r="G780" t="s">
        <v>105</v>
      </c>
      <c r="H780" t="s">
        <v>176</v>
      </c>
      <c r="I780" t="s">
        <v>42</v>
      </c>
      <c r="J780" t="s">
        <v>738</v>
      </c>
      <c r="K780" t="s">
        <v>6109</v>
      </c>
      <c r="L780" t="s">
        <v>65</v>
      </c>
      <c r="M780" t="b">
        <v>0</v>
      </c>
      <c r="N780" t="s">
        <v>1408</v>
      </c>
      <c r="O780" t="b">
        <v>0</v>
      </c>
      <c r="P780" t="b">
        <v>1</v>
      </c>
      <c r="Q780" t="b">
        <v>0</v>
      </c>
      <c r="R780" t="b">
        <v>1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1</v>
      </c>
      <c r="Y780" t="b">
        <v>0</v>
      </c>
      <c r="Z780" t="b">
        <v>1</v>
      </c>
      <c r="AA780" t="b">
        <v>1</v>
      </c>
      <c r="AB780" t="s">
        <v>1473</v>
      </c>
      <c r="AC780" t="s">
        <v>8311</v>
      </c>
    </row>
    <row r="781" spans="1:29" x14ac:dyDescent="0.3">
      <c r="A781">
        <v>-73.96100294</v>
      </c>
      <c r="B781">
        <v>40.794515949999997</v>
      </c>
      <c r="C781" t="s">
        <v>1912</v>
      </c>
      <c r="D781" t="s">
        <v>38</v>
      </c>
      <c r="E781" s="58">
        <v>43381</v>
      </c>
      <c r="F781">
        <v>4</v>
      </c>
      <c r="G781" t="s">
        <v>3842</v>
      </c>
      <c r="H781" t="s">
        <v>42</v>
      </c>
      <c r="I781" t="s">
        <v>148</v>
      </c>
      <c r="J781" t="s">
        <v>149</v>
      </c>
      <c r="K781" t="s">
        <v>5429</v>
      </c>
      <c r="L781" t="s">
        <v>44</v>
      </c>
      <c r="M781">
        <v>6</v>
      </c>
      <c r="N781" t="s">
        <v>190</v>
      </c>
      <c r="O781" t="b">
        <v>1</v>
      </c>
      <c r="P781" t="b">
        <v>0</v>
      </c>
      <c r="Q781" t="b">
        <v>0</v>
      </c>
      <c r="R781" t="b">
        <v>0</v>
      </c>
      <c r="S781" t="b">
        <v>1</v>
      </c>
      <c r="T781" t="b">
        <v>1</v>
      </c>
      <c r="U781" t="b">
        <v>1</v>
      </c>
      <c r="V781" t="b">
        <v>1</v>
      </c>
      <c r="W781" t="b">
        <v>0</v>
      </c>
      <c r="X781" t="b">
        <v>1</v>
      </c>
      <c r="Y781" t="b">
        <v>1</v>
      </c>
      <c r="Z781" t="b">
        <v>1</v>
      </c>
      <c r="AA781" t="b">
        <v>0</v>
      </c>
      <c r="AB781" t="s">
        <v>2102</v>
      </c>
      <c r="AC781" t="s">
        <v>8312</v>
      </c>
    </row>
    <row r="782" spans="1:29" x14ac:dyDescent="0.3">
      <c r="A782">
        <v>-73.959343050000001</v>
      </c>
      <c r="B782">
        <v>40.76626358</v>
      </c>
      <c r="C782" t="s">
        <v>459</v>
      </c>
      <c r="D782" t="s">
        <v>33</v>
      </c>
      <c r="E782" s="58">
        <v>43381</v>
      </c>
      <c r="F782">
        <v>25</v>
      </c>
      <c r="G782" t="s">
        <v>105</v>
      </c>
      <c r="H782" t="s">
        <v>42</v>
      </c>
      <c r="I782" t="s">
        <v>42</v>
      </c>
      <c r="J782" t="s">
        <v>1922</v>
      </c>
      <c r="K782" t="s">
        <v>6166</v>
      </c>
      <c r="L782" t="s">
        <v>44</v>
      </c>
      <c r="M782">
        <v>4</v>
      </c>
      <c r="N782" t="s">
        <v>1929</v>
      </c>
      <c r="O782" t="b">
        <v>0</v>
      </c>
      <c r="P782" t="b">
        <v>0</v>
      </c>
      <c r="Q782" t="b">
        <v>0</v>
      </c>
      <c r="R782" t="b">
        <v>1</v>
      </c>
      <c r="S782" t="b">
        <v>1</v>
      </c>
      <c r="T782" t="b">
        <v>0</v>
      </c>
      <c r="U782" t="b">
        <v>1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s">
        <v>511</v>
      </c>
      <c r="AC782" t="s">
        <v>8313</v>
      </c>
    </row>
    <row r="783" spans="1:29" x14ac:dyDescent="0.3">
      <c r="A783">
        <v>-73.964097050000007</v>
      </c>
      <c r="B783">
        <v>40.796659769999998</v>
      </c>
      <c r="C783" t="s">
        <v>1221</v>
      </c>
      <c r="D783" t="s">
        <v>38</v>
      </c>
      <c r="E783" s="58">
        <v>43389</v>
      </c>
      <c r="F783">
        <v>12</v>
      </c>
      <c r="G783" t="s">
        <v>48</v>
      </c>
      <c r="H783" t="s">
        <v>42</v>
      </c>
      <c r="I783" t="s">
        <v>115</v>
      </c>
      <c r="J783" t="s">
        <v>54</v>
      </c>
      <c r="K783" t="s">
        <v>3351</v>
      </c>
      <c r="L783" t="s">
        <v>65</v>
      </c>
      <c r="M783" t="b">
        <v>0</v>
      </c>
      <c r="N783" t="s">
        <v>1985</v>
      </c>
      <c r="O783" t="b">
        <v>0</v>
      </c>
      <c r="P783" t="b">
        <v>0</v>
      </c>
      <c r="Q783" t="b">
        <v>1</v>
      </c>
      <c r="R783" t="b">
        <v>0</v>
      </c>
      <c r="S783" t="b">
        <v>0</v>
      </c>
      <c r="T783" t="b">
        <v>1</v>
      </c>
      <c r="U783" t="b">
        <v>1</v>
      </c>
      <c r="V783" t="b">
        <v>0</v>
      </c>
      <c r="W783" t="b">
        <v>1</v>
      </c>
      <c r="X783" t="b">
        <v>0</v>
      </c>
      <c r="Y783" t="b">
        <v>1</v>
      </c>
      <c r="Z783" t="b">
        <v>1</v>
      </c>
      <c r="AA783" t="b">
        <v>1</v>
      </c>
      <c r="AB783" t="s">
        <v>399</v>
      </c>
      <c r="AC783" t="s">
        <v>8314</v>
      </c>
    </row>
    <row r="784" spans="1:29" x14ac:dyDescent="0.3">
      <c r="A784">
        <v>-73.973242819999996</v>
      </c>
      <c r="B784">
        <v>40.781158300000001</v>
      </c>
      <c r="C784" t="s">
        <v>2372</v>
      </c>
      <c r="D784" t="s">
        <v>38</v>
      </c>
      <c r="E784" s="58">
        <v>43386</v>
      </c>
      <c r="F784">
        <v>26</v>
      </c>
      <c r="G784" t="s">
        <v>3842</v>
      </c>
      <c r="H784" t="s">
        <v>42</v>
      </c>
      <c r="I784" t="s">
        <v>1921</v>
      </c>
      <c r="J784" t="s">
        <v>155</v>
      </c>
      <c r="K784" t="s">
        <v>6166</v>
      </c>
      <c r="L784" t="s">
        <v>65</v>
      </c>
      <c r="M784" t="b">
        <v>0</v>
      </c>
      <c r="N784" t="s">
        <v>2189</v>
      </c>
      <c r="O784" t="b">
        <v>0</v>
      </c>
      <c r="P784" t="b">
        <v>0</v>
      </c>
      <c r="Q784" t="b">
        <v>0</v>
      </c>
      <c r="R784" t="b">
        <v>1</v>
      </c>
      <c r="S784" t="b">
        <v>1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1</v>
      </c>
      <c r="Z784" t="b">
        <v>0</v>
      </c>
      <c r="AA784" t="b">
        <v>1</v>
      </c>
      <c r="AB784" t="s">
        <v>369</v>
      </c>
      <c r="AC784" t="s">
        <v>8315</v>
      </c>
    </row>
    <row r="785" spans="1:29" x14ac:dyDescent="0.3">
      <c r="A785">
        <v>-73.970291000000003</v>
      </c>
      <c r="B785">
        <v>40.787345160000001</v>
      </c>
      <c r="C785" t="s">
        <v>1180</v>
      </c>
      <c r="D785" t="s">
        <v>33</v>
      </c>
      <c r="E785" s="58">
        <v>43379</v>
      </c>
      <c r="F785">
        <v>6</v>
      </c>
      <c r="G785" t="s">
        <v>105</v>
      </c>
      <c r="H785" t="s">
        <v>42</v>
      </c>
      <c r="I785" t="s">
        <v>59</v>
      </c>
      <c r="J785" t="s">
        <v>1233</v>
      </c>
      <c r="K785" t="s">
        <v>6367</v>
      </c>
      <c r="L785" t="s">
        <v>65</v>
      </c>
      <c r="M785" t="b">
        <v>0</v>
      </c>
      <c r="N785" t="s">
        <v>2865</v>
      </c>
      <c r="O785" t="b">
        <v>1</v>
      </c>
      <c r="P785" t="b">
        <v>1</v>
      </c>
      <c r="Q785" t="b">
        <v>1</v>
      </c>
      <c r="R785" t="b">
        <v>1</v>
      </c>
      <c r="S785" t="b">
        <v>1</v>
      </c>
      <c r="T785" t="b">
        <v>0</v>
      </c>
      <c r="U785" t="b">
        <v>0</v>
      </c>
      <c r="V785" t="b">
        <v>1</v>
      </c>
      <c r="W785" t="b">
        <v>0</v>
      </c>
      <c r="X785" t="b">
        <v>1</v>
      </c>
      <c r="Y785" t="b">
        <v>0</v>
      </c>
      <c r="Z785" t="b">
        <v>0</v>
      </c>
      <c r="AA785" t="b">
        <v>1</v>
      </c>
      <c r="AB785" t="s">
        <v>4781</v>
      </c>
      <c r="AC785" t="s">
        <v>8316</v>
      </c>
    </row>
    <row r="786" spans="1:29" x14ac:dyDescent="0.3">
      <c r="A786">
        <v>-73.975449729999994</v>
      </c>
      <c r="B786">
        <v>40.788125100000002</v>
      </c>
      <c r="C786" t="s">
        <v>415</v>
      </c>
      <c r="D786" t="s">
        <v>38</v>
      </c>
      <c r="E786" s="58">
        <v>43383</v>
      </c>
      <c r="F786">
        <v>14</v>
      </c>
      <c r="G786" t="s">
        <v>3842</v>
      </c>
      <c r="H786" t="s">
        <v>53</v>
      </c>
      <c r="I786" t="s">
        <v>59</v>
      </c>
      <c r="J786" t="s">
        <v>97</v>
      </c>
      <c r="K786" t="s">
        <v>2136</v>
      </c>
      <c r="L786" t="s">
        <v>65</v>
      </c>
      <c r="M786" t="b">
        <v>0</v>
      </c>
      <c r="N786" t="s">
        <v>1730</v>
      </c>
      <c r="O786" t="b">
        <v>0</v>
      </c>
      <c r="P786" t="b">
        <v>1</v>
      </c>
      <c r="Q786" t="b">
        <v>0</v>
      </c>
      <c r="R786" t="b">
        <v>0</v>
      </c>
      <c r="S786" t="b">
        <v>0</v>
      </c>
      <c r="T786" t="b">
        <v>1</v>
      </c>
      <c r="U786" t="b">
        <v>0</v>
      </c>
      <c r="V786" t="b">
        <v>1</v>
      </c>
      <c r="W786" t="b">
        <v>0</v>
      </c>
      <c r="X786" t="b">
        <v>1</v>
      </c>
      <c r="Y786" t="b">
        <v>1</v>
      </c>
      <c r="Z786" t="b">
        <v>0</v>
      </c>
      <c r="AA786" t="b">
        <v>0</v>
      </c>
      <c r="AB786" t="s">
        <v>3374</v>
      </c>
      <c r="AC786" t="s">
        <v>8317</v>
      </c>
    </row>
    <row r="787" spans="1:29" x14ac:dyDescent="0.3">
      <c r="A787">
        <v>-73.952599789999994</v>
      </c>
      <c r="B787">
        <v>40.796425839999998</v>
      </c>
      <c r="C787" t="s">
        <v>2667</v>
      </c>
      <c r="D787" t="s">
        <v>33</v>
      </c>
      <c r="E787" s="58">
        <v>43381</v>
      </c>
      <c r="F787">
        <v>12</v>
      </c>
      <c r="G787" t="s">
        <v>105</v>
      </c>
      <c r="H787" t="s">
        <v>53</v>
      </c>
      <c r="I787" t="s">
        <v>148</v>
      </c>
      <c r="J787" t="s">
        <v>738</v>
      </c>
      <c r="K787" t="s">
        <v>1785</v>
      </c>
      <c r="L787" t="s">
        <v>44</v>
      </c>
      <c r="M787">
        <v>25</v>
      </c>
      <c r="N787" t="s">
        <v>4648</v>
      </c>
      <c r="O787" t="b">
        <v>0</v>
      </c>
      <c r="P787" t="b">
        <v>0</v>
      </c>
      <c r="Q787" t="b">
        <v>0</v>
      </c>
      <c r="R787" t="b">
        <v>1</v>
      </c>
      <c r="S787" t="b">
        <v>0</v>
      </c>
      <c r="T787" t="b">
        <v>1</v>
      </c>
      <c r="U787" t="b">
        <v>1</v>
      </c>
      <c r="V787" t="b">
        <v>0</v>
      </c>
      <c r="W787" t="b">
        <v>0</v>
      </c>
      <c r="X787" t="b">
        <v>1</v>
      </c>
      <c r="Y787" t="b">
        <v>1</v>
      </c>
      <c r="Z787" t="b">
        <v>0</v>
      </c>
      <c r="AA787" t="b">
        <v>1</v>
      </c>
      <c r="AB787" t="s">
        <v>1203</v>
      </c>
      <c r="AC787" t="s">
        <v>8318</v>
      </c>
    </row>
    <row r="788" spans="1:29" x14ac:dyDescent="0.3">
      <c r="A788">
        <v>-73.962818600000006</v>
      </c>
      <c r="B788">
        <v>40.787326440000001</v>
      </c>
      <c r="C788" t="s">
        <v>1775</v>
      </c>
      <c r="D788" t="s">
        <v>33</v>
      </c>
      <c r="E788" s="58">
        <v>43380</v>
      </c>
      <c r="F788">
        <v>11</v>
      </c>
      <c r="G788" t="s">
        <v>48</v>
      </c>
      <c r="H788" t="s">
        <v>176</v>
      </c>
      <c r="I788" t="s">
        <v>148</v>
      </c>
      <c r="J788" t="s">
        <v>34</v>
      </c>
      <c r="K788" t="s">
        <v>5558</v>
      </c>
      <c r="L788" t="s">
        <v>44</v>
      </c>
      <c r="M788">
        <v>10</v>
      </c>
      <c r="N788" t="s">
        <v>236</v>
      </c>
      <c r="O788" t="b">
        <v>0</v>
      </c>
      <c r="P788" t="b">
        <v>1</v>
      </c>
      <c r="Q788" t="b">
        <v>1</v>
      </c>
      <c r="R788" t="b">
        <v>0</v>
      </c>
      <c r="S788" t="b">
        <v>0</v>
      </c>
      <c r="T788" t="b">
        <v>1</v>
      </c>
      <c r="U788" t="b">
        <v>1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1</v>
      </c>
      <c r="AB788" t="s">
        <v>7356</v>
      </c>
      <c r="AC788" t="s">
        <v>8319</v>
      </c>
    </row>
    <row r="789" spans="1:29" x14ac:dyDescent="0.3">
      <c r="A789">
        <v>-73.968557090000004</v>
      </c>
      <c r="B789">
        <v>40.786525949999998</v>
      </c>
      <c r="C789" t="s">
        <v>3796</v>
      </c>
      <c r="D789" t="s">
        <v>38</v>
      </c>
      <c r="E789" s="58">
        <v>43393</v>
      </c>
      <c r="F789">
        <v>19</v>
      </c>
      <c r="G789" t="s">
        <v>105</v>
      </c>
      <c r="H789" t="s">
        <v>42</v>
      </c>
      <c r="I789" t="s">
        <v>737</v>
      </c>
      <c r="J789" t="s">
        <v>177</v>
      </c>
      <c r="K789" t="s">
        <v>6823</v>
      </c>
      <c r="L789" t="s">
        <v>44</v>
      </c>
      <c r="M789">
        <v>20</v>
      </c>
      <c r="N789" t="s">
        <v>3328</v>
      </c>
      <c r="O789" t="b">
        <v>0</v>
      </c>
      <c r="P789" t="b">
        <v>1</v>
      </c>
      <c r="Q789" t="b">
        <v>0</v>
      </c>
      <c r="R789" t="b">
        <v>0</v>
      </c>
      <c r="S789" t="b">
        <v>1</v>
      </c>
      <c r="T789" t="b">
        <v>0</v>
      </c>
      <c r="U789" t="b">
        <v>1</v>
      </c>
      <c r="V789" t="b">
        <v>1</v>
      </c>
      <c r="W789" t="b">
        <v>0</v>
      </c>
      <c r="X789" t="b">
        <v>0</v>
      </c>
      <c r="Y789" t="b">
        <v>1</v>
      </c>
      <c r="Z789" t="b">
        <v>1</v>
      </c>
      <c r="AA789" t="b">
        <v>0</v>
      </c>
      <c r="AB789" t="s">
        <v>1844</v>
      </c>
      <c r="AC789" t="s">
        <v>8320</v>
      </c>
    </row>
    <row r="790" spans="1:29" x14ac:dyDescent="0.3">
      <c r="A790">
        <v>-73.966634589999998</v>
      </c>
      <c r="B790">
        <v>40.76725734</v>
      </c>
      <c r="C790" t="s">
        <v>3400</v>
      </c>
      <c r="D790" t="s">
        <v>38</v>
      </c>
      <c r="E790" s="58">
        <v>43386</v>
      </c>
      <c r="F790">
        <v>21</v>
      </c>
      <c r="G790" t="s">
        <v>3842</v>
      </c>
      <c r="H790" t="s">
        <v>176</v>
      </c>
      <c r="I790" t="s">
        <v>59</v>
      </c>
      <c r="J790" t="s">
        <v>1233</v>
      </c>
      <c r="K790" t="s">
        <v>5481</v>
      </c>
      <c r="L790" t="s">
        <v>44</v>
      </c>
      <c r="M790">
        <v>7</v>
      </c>
      <c r="N790" t="s">
        <v>6452</v>
      </c>
      <c r="O790" t="b">
        <v>0</v>
      </c>
      <c r="P790" t="b">
        <v>1</v>
      </c>
      <c r="Q790" t="b">
        <v>0</v>
      </c>
      <c r="R790" t="b">
        <v>1</v>
      </c>
      <c r="S790" t="b">
        <v>1</v>
      </c>
      <c r="T790" t="b">
        <v>1</v>
      </c>
      <c r="U790" t="b">
        <v>0</v>
      </c>
      <c r="V790" t="b">
        <v>0</v>
      </c>
      <c r="W790" t="b">
        <v>0</v>
      </c>
      <c r="X790" t="b">
        <v>1</v>
      </c>
      <c r="Y790" t="b">
        <v>0</v>
      </c>
      <c r="Z790" t="b">
        <v>0</v>
      </c>
      <c r="AA790" t="b">
        <v>0</v>
      </c>
      <c r="AB790" t="s">
        <v>650</v>
      </c>
      <c r="AC790" t="s">
        <v>8321</v>
      </c>
    </row>
    <row r="791" spans="1:29" x14ac:dyDescent="0.3">
      <c r="A791">
        <v>-73.951379009999997</v>
      </c>
      <c r="B791">
        <v>40.783162699999998</v>
      </c>
      <c r="C791" t="s">
        <v>835</v>
      </c>
      <c r="D791" t="s">
        <v>38</v>
      </c>
      <c r="E791" s="58">
        <v>43381</v>
      </c>
      <c r="F791">
        <v>5</v>
      </c>
      <c r="G791" t="s">
        <v>3842</v>
      </c>
      <c r="H791" t="s">
        <v>53</v>
      </c>
      <c r="I791" t="s">
        <v>1921</v>
      </c>
      <c r="J791" t="s">
        <v>79</v>
      </c>
      <c r="K791" t="s">
        <v>1472</v>
      </c>
      <c r="L791" t="s">
        <v>44</v>
      </c>
      <c r="M791">
        <v>40</v>
      </c>
      <c r="N791" t="s">
        <v>3132</v>
      </c>
      <c r="O791" t="b">
        <v>1</v>
      </c>
      <c r="P791" t="b">
        <v>0</v>
      </c>
      <c r="Q791" t="b">
        <v>0</v>
      </c>
      <c r="R791" t="b">
        <v>0</v>
      </c>
      <c r="S791" t="b">
        <v>0</v>
      </c>
      <c r="T791" t="b">
        <v>1</v>
      </c>
      <c r="U791" t="b">
        <v>1</v>
      </c>
      <c r="V791" t="b">
        <v>1</v>
      </c>
      <c r="W791" t="b">
        <v>0</v>
      </c>
      <c r="X791" t="b">
        <v>0</v>
      </c>
      <c r="Y791" t="b">
        <v>0</v>
      </c>
      <c r="Z791" t="b">
        <v>1</v>
      </c>
      <c r="AA791" t="b">
        <v>1</v>
      </c>
      <c r="AB791" t="s">
        <v>947</v>
      </c>
      <c r="AC791" t="s">
        <v>8322</v>
      </c>
    </row>
    <row r="792" spans="1:29" x14ac:dyDescent="0.3">
      <c r="A792">
        <v>-73.976337700000002</v>
      </c>
      <c r="B792">
        <v>40.770197799999998</v>
      </c>
      <c r="C792" t="s">
        <v>827</v>
      </c>
      <c r="D792" t="s">
        <v>33</v>
      </c>
      <c r="E792" s="58">
        <v>43385</v>
      </c>
      <c r="F792">
        <v>14</v>
      </c>
      <c r="G792" t="s">
        <v>3842</v>
      </c>
      <c r="H792" t="s">
        <v>53</v>
      </c>
      <c r="I792" t="s">
        <v>59</v>
      </c>
      <c r="J792" t="s">
        <v>97</v>
      </c>
      <c r="K792" t="s">
        <v>3050</v>
      </c>
      <c r="L792" t="s">
        <v>44</v>
      </c>
      <c r="M792">
        <v>3</v>
      </c>
      <c r="N792" t="s">
        <v>1907</v>
      </c>
      <c r="O792" t="b">
        <v>0</v>
      </c>
      <c r="P792" t="b">
        <v>1</v>
      </c>
      <c r="Q792" t="b">
        <v>0</v>
      </c>
      <c r="R792" t="b">
        <v>1</v>
      </c>
      <c r="S792" t="b">
        <v>1</v>
      </c>
      <c r="T792" t="b">
        <v>1</v>
      </c>
      <c r="U792" t="b">
        <v>1</v>
      </c>
      <c r="V792" t="b">
        <v>1</v>
      </c>
      <c r="W792" t="b">
        <v>0</v>
      </c>
      <c r="X792" t="b">
        <v>0</v>
      </c>
      <c r="Y792" t="b">
        <v>1</v>
      </c>
      <c r="Z792" t="b">
        <v>1</v>
      </c>
      <c r="AA792" t="b">
        <v>0</v>
      </c>
      <c r="AB792" t="s">
        <v>445</v>
      </c>
      <c r="AC792" t="s">
        <v>8323</v>
      </c>
    </row>
    <row r="793" spans="1:29" x14ac:dyDescent="0.3">
      <c r="A793">
        <v>-73.962729379999999</v>
      </c>
      <c r="B793">
        <v>40.790874129999999</v>
      </c>
      <c r="C793" t="s">
        <v>709</v>
      </c>
      <c r="D793" t="s">
        <v>33</v>
      </c>
      <c r="E793" s="58">
        <v>43390</v>
      </c>
      <c r="F793">
        <v>21</v>
      </c>
      <c r="G793" t="s">
        <v>3842</v>
      </c>
      <c r="H793" t="s">
        <v>53</v>
      </c>
      <c r="I793" t="s">
        <v>53</v>
      </c>
      <c r="J793" t="s">
        <v>2942</v>
      </c>
      <c r="K793" t="s">
        <v>5180</v>
      </c>
      <c r="L793" t="s">
        <v>65</v>
      </c>
      <c r="M793" t="b">
        <v>0</v>
      </c>
      <c r="N793" t="s">
        <v>5371</v>
      </c>
      <c r="O793" t="b">
        <v>1</v>
      </c>
      <c r="P793" t="b">
        <v>1</v>
      </c>
      <c r="Q793" t="b">
        <v>1</v>
      </c>
      <c r="R793" t="b">
        <v>1</v>
      </c>
      <c r="S793" t="b">
        <v>1</v>
      </c>
      <c r="T793" t="b">
        <v>1</v>
      </c>
      <c r="U793" t="b">
        <v>0</v>
      </c>
      <c r="V793" t="b">
        <v>1</v>
      </c>
      <c r="W793" t="b">
        <v>1</v>
      </c>
      <c r="X793" t="b">
        <v>1</v>
      </c>
      <c r="Y793" t="b">
        <v>0</v>
      </c>
      <c r="Z793" t="b">
        <v>1</v>
      </c>
      <c r="AA793" t="b">
        <v>1</v>
      </c>
      <c r="AB793" t="s">
        <v>1497</v>
      </c>
      <c r="AC793" t="s">
        <v>8324</v>
      </c>
    </row>
    <row r="794" spans="1:29" x14ac:dyDescent="0.3">
      <c r="A794">
        <v>-73.965255049999996</v>
      </c>
      <c r="B794">
        <v>40.782944899999997</v>
      </c>
      <c r="C794" t="s">
        <v>585</v>
      </c>
      <c r="D794" t="s">
        <v>33</v>
      </c>
      <c r="E794" s="58">
        <v>43389</v>
      </c>
      <c r="F794">
        <v>24</v>
      </c>
      <c r="G794" t="s">
        <v>48</v>
      </c>
      <c r="H794" t="s">
        <v>42</v>
      </c>
      <c r="I794" t="s">
        <v>5105</v>
      </c>
      <c r="J794" t="s">
        <v>738</v>
      </c>
      <c r="K794" t="s">
        <v>3028</v>
      </c>
      <c r="L794" t="s">
        <v>44</v>
      </c>
      <c r="M794">
        <v>30</v>
      </c>
      <c r="N794" t="s">
        <v>6806</v>
      </c>
      <c r="O794" t="b">
        <v>0</v>
      </c>
      <c r="P794" t="b">
        <v>1</v>
      </c>
      <c r="Q794" t="b">
        <v>0</v>
      </c>
      <c r="R794" t="b">
        <v>0</v>
      </c>
      <c r="S794" t="b">
        <v>1</v>
      </c>
      <c r="T794" t="b">
        <v>0</v>
      </c>
      <c r="U794" t="b">
        <v>1</v>
      </c>
      <c r="V794" t="b">
        <v>1</v>
      </c>
      <c r="W794" t="b">
        <v>0</v>
      </c>
      <c r="X794" t="b">
        <v>0</v>
      </c>
      <c r="Y794" t="b">
        <v>0</v>
      </c>
      <c r="Z794" t="b">
        <v>0</v>
      </c>
      <c r="AA794" t="b">
        <v>1</v>
      </c>
      <c r="AB794" t="s">
        <v>456</v>
      </c>
      <c r="AC794" t="s">
        <v>8325</v>
      </c>
    </row>
    <row r="795" spans="1:29" x14ac:dyDescent="0.3">
      <c r="A795">
        <v>-73.961936410000007</v>
      </c>
      <c r="B795">
        <v>40.788860030000002</v>
      </c>
      <c r="C795" t="s">
        <v>298</v>
      </c>
      <c r="D795" t="s">
        <v>38</v>
      </c>
      <c r="E795" s="58">
        <v>43379</v>
      </c>
      <c r="F795">
        <v>16</v>
      </c>
      <c r="G795" t="s">
        <v>105</v>
      </c>
      <c r="H795" t="s">
        <v>42</v>
      </c>
      <c r="I795" t="s">
        <v>59</v>
      </c>
      <c r="J795" t="s">
        <v>54</v>
      </c>
      <c r="K795" t="s">
        <v>4317</v>
      </c>
      <c r="L795" t="s">
        <v>44</v>
      </c>
      <c r="M795">
        <v>8</v>
      </c>
      <c r="N795" t="s">
        <v>3542</v>
      </c>
      <c r="O795" t="b">
        <v>1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1</v>
      </c>
      <c r="V795" t="b">
        <v>1</v>
      </c>
      <c r="W795" t="b">
        <v>0</v>
      </c>
      <c r="X795" t="b">
        <v>1</v>
      </c>
      <c r="Y795" t="b">
        <v>1</v>
      </c>
      <c r="Z795" t="b">
        <v>0</v>
      </c>
      <c r="AA795" t="b">
        <v>0</v>
      </c>
      <c r="AB795" t="s">
        <v>3888</v>
      </c>
      <c r="AC795" t="s">
        <v>8326</v>
      </c>
    </row>
    <row r="796" spans="1:29" x14ac:dyDescent="0.3">
      <c r="A796">
        <v>-73.980589249999994</v>
      </c>
      <c r="B796">
        <v>40.76637788</v>
      </c>
      <c r="C796" t="s">
        <v>514</v>
      </c>
      <c r="D796" t="s">
        <v>38</v>
      </c>
      <c r="E796" s="58">
        <v>43384</v>
      </c>
      <c r="F796">
        <v>25</v>
      </c>
      <c r="G796" t="s">
        <v>48</v>
      </c>
      <c r="H796" t="s">
        <v>53</v>
      </c>
      <c r="I796" t="s">
        <v>176</v>
      </c>
      <c r="J796" t="s">
        <v>738</v>
      </c>
      <c r="K796" t="s">
        <v>3182</v>
      </c>
      <c r="L796" t="s">
        <v>44</v>
      </c>
      <c r="M796">
        <v>8</v>
      </c>
      <c r="N796" t="s">
        <v>4282</v>
      </c>
      <c r="O796" t="b">
        <v>0</v>
      </c>
      <c r="P796" t="b">
        <v>1</v>
      </c>
      <c r="Q796" t="b">
        <v>1</v>
      </c>
      <c r="R796" t="b">
        <v>0</v>
      </c>
      <c r="S796" t="b">
        <v>0</v>
      </c>
      <c r="T796" t="b">
        <v>0</v>
      </c>
      <c r="U796" t="b">
        <v>1</v>
      </c>
      <c r="V796" t="b">
        <v>1</v>
      </c>
      <c r="W796" t="b">
        <v>0</v>
      </c>
      <c r="X796" t="b">
        <v>0</v>
      </c>
      <c r="Y796" t="b">
        <v>0</v>
      </c>
      <c r="Z796" t="b">
        <v>0</v>
      </c>
      <c r="AA796" t="b">
        <v>1</v>
      </c>
      <c r="AB796" t="s">
        <v>6492</v>
      </c>
      <c r="AC796" t="s">
        <v>8327</v>
      </c>
    </row>
    <row r="797" spans="1:29" x14ac:dyDescent="0.3">
      <c r="A797">
        <v>-73.953741780000001</v>
      </c>
      <c r="B797">
        <v>40.767896010000001</v>
      </c>
      <c r="C797" t="s">
        <v>764</v>
      </c>
      <c r="D797" t="s">
        <v>38</v>
      </c>
      <c r="E797" s="58">
        <v>43381</v>
      </c>
      <c r="F797">
        <v>13</v>
      </c>
      <c r="G797" t="s">
        <v>48</v>
      </c>
      <c r="H797" t="s">
        <v>176</v>
      </c>
      <c r="I797" t="s">
        <v>737</v>
      </c>
      <c r="J797" t="s">
        <v>79</v>
      </c>
      <c r="K797" t="s">
        <v>4123</v>
      </c>
      <c r="L797" t="s">
        <v>65</v>
      </c>
      <c r="M797" t="b">
        <v>0</v>
      </c>
      <c r="N797" t="s">
        <v>4107</v>
      </c>
      <c r="O797" t="b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1</v>
      </c>
      <c r="Y797" t="b">
        <v>1</v>
      </c>
      <c r="Z797" t="b">
        <v>0</v>
      </c>
      <c r="AA797" t="b">
        <v>1</v>
      </c>
      <c r="AB797" t="s">
        <v>859</v>
      </c>
      <c r="AC797" t="s">
        <v>8328</v>
      </c>
    </row>
    <row r="798" spans="1:29" x14ac:dyDescent="0.3">
      <c r="A798">
        <v>-73.951855749999993</v>
      </c>
      <c r="B798">
        <v>40.790130869999999</v>
      </c>
      <c r="C798" t="s">
        <v>693</v>
      </c>
      <c r="D798" t="s">
        <v>38</v>
      </c>
      <c r="E798" s="58">
        <v>43386</v>
      </c>
      <c r="F798">
        <v>25</v>
      </c>
      <c r="G798" t="s">
        <v>48</v>
      </c>
      <c r="H798" t="s">
        <v>176</v>
      </c>
      <c r="I798" t="s">
        <v>115</v>
      </c>
      <c r="J798" t="s">
        <v>339</v>
      </c>
      <c r="K798" t="s">
        <v>7003</v>
      </c>
      <c r="L798" t="s">
        <v>65</v>
      </c>
      <c r="M798" t="b">
        <v>0</v>
      </c>
      <c r="N798" t="s">
        <v>6508</v>
      </c>
      <c r="O798" t="b">
        <v>1</v>
      </c>
      <c r="P798" t="b">
        <v>0</v>
      </c>
      <c r="Q798" t="b">
        <v>1</v>
      </c>
      <c r="R798" t="b">
        <v>0</v>
      </c>
      <c r="S798" t="b">
        <v>0</v>
      </c>
      <c r="T798" t="b">
        <v>0</v>
      </c>
      <c r="U798" t="b">
        <v>1</v>
      </c>
      <c r="V798" t="b">
        <v>0</v>
      </c>
      <c r="W798" t="b">
        <v>0</v>
      </c>
      <c r="X798" t="b">
        <v>0</v>
      </c>
      <c r="Y798" t="b">
        <v>1</v>
      </c>
      <c r="Z798" t="b">
        <v>1</v>
      </c>
      <c r="AA798" t="b">
        <v>0</v>
      </c>
      <c r="AB798" t="s">
        <v>4005</v>
      </c>
      <c r="AC798" t="s">
        <v>8329</v>
      </c>
    </row>
    <row r="799" spans="1:29" x14ac:dyDescent="0.3">
      <c r="A799">
        <v>-73.963392589999998</v>
      </c>
      <c r="B799">
        <v>40.767448600000002</v>
      </c>
      <c r="C799" t="s">
        <v>863</v>
      </c>
      <c r="D799" t="s">
        <v>33</v>
      </c>
      <c r="E799" s="58">
        <v>43384</v>
      </c>
      <c r="F799">
        <v>29</v>
      </c>
      <c r="G799" t="s">
        <v>3842</v>
      </c>
      <c r="H799" t="s">
        <v>53</v>
      </c>
      <c r="I799" t="s">
        <v>148</v>
      </c>
      <c r="J799" t="s">
        <v>3228</v>
      </c>
      <c r="K799" t="s">
        <v>4814</v>
      </c>
      <c r="L799" t="s">
        <v>65</v>
      </c>
      <c r="M799" t="b">
        <v>0</v>
      </c>
      <c r="N799" t="s">
        <v>2423</v>
      </c>
      <c r="O799" t="b">
        <v>1</v>
      </c>
      <c r="P799" t="b">
        <v>1</v>
      </c>
      <c r="Q799" t="b">
        <v>0</v>
      </c>
      <c r="R799" t="b">
        <v>1</v>
      </c>
      <c r="S799" t="b">
        <v>0</v>
      </c>
      <c r="T799" t="b">
        <v>0</v>
      </c>
      <c r="U799" t="b">
        <v>0</v>
      </c>
      <c r="V799" t="b">
        <v>1</v>
      </c>
      <c r="W799" t="b">
        <v>1</v>
      </c>
      <c r="X799" t="b">
        <v>1</v>
      </c>
      <c r="Y799" t="b">
        <v>0</v>
      </c>
      <c r="Z799" t="b">
        <v>0</v>
      </c>
      <c r="AA799" t="b">
        <v>1</v>
      </c>
      <c r="AB799" t="s">
        <v>7266</v>
      </c>
      <c r="AC799" t="s">
        <v>8330</v>
      </c>
    </row>
    <row r="800" spans="1:29" x14ac:dyDescent="0.3">
      <c r="A800">
        <v>-73.9592581</v>
      </c>
      <c r="B800">
        <v>40.767419459999999</v>
      </c>
      <c r="C800" t="s">
        <v>478</v>
      </c>
      <c r="D800" t="s">
        <v>33</v>
      </c>
      <c r="E800" s="58">
        <v>43390</v>
      </c>
      <c r="F800">
        <v>22</v>
      </c>
      <c r="G800" t="s">
        <v>3842</v>
      </c>
      <c r="H800" t="s">
        <v>176</v>
      </c>
      <c r="I800" t="s">
        <v>53</v>
      </c>
      <c r="J800" t="s">
        <v>79</v>
      </c>
      <c r="K800" t="s">
        <v>4594</v>
      </c>
      <c r="L800" t="s">
        <v>65</v>
      </c>
      <c r="M800" t="b">
        <v>0</v>
      </c>
      <c r="N800" t="s">
        <v>321</v>
      </c>
      <c r="O800" t="b">
        <v>0</v>
      </c>
      <c r="P800" t="b">
        <v>0</v>
      </c>
      <c r="Q800" t="b">
        <v>0</v>
      </c>
      <c r="R800" t="b">
        <v>1</v>
      </c>
      <c r="S800" t="b">
        <v>1</v>
      </c>
      <c r="T800" t="b">
        <v>1</v>
      </c>
      <c r="U800" t="b">
        <v>0</v>
      </c>
      <c r="V800" t="b">
        <v>1</v>
      </c>
      <c r="W800" t="b">
        <v>1</v>
      </c>
      <c r="X800" t="b">
        <v>0</v>
      </c>
      <c r="Y800" t="b">
        <v>1</v>
      </c>
      <c r="Z800" t="b">
        <v>0</v>
      </c>
      <c r="AA800" t="b">
        <v>0</v>
      </c>
      <c r="AB800" t="s">
        <v>5277</v>
      </c>
      <c r="AC800" t="s">
        <v>8331</v>
      </c>
    </row>
    <row r="801" spans="1:29" x14ac:dyDescent="0.3">
      <c r="A801">
        <v>-73.952158139999995</v>
      </c>
      <c r="B801">
        <v>40.765336980000001</v>
      </c>
      <c r="C801" t="s">
        <v>6895</v>
      </c>
      <c r="D801" t="s">
        <v>33</v>
      </c>
      <c r="E801" s="58">
        <v>43380</v>
      </c>
      <c r="F801">
        <v>22</v>
      </c>
      <c r="G801" t="s">
        <v>3842</v>
      </c>
      <c r="H801" t="s">
        <v>53</v>
      </c>
      <c r="I801" t="s">
        <v>148</v>
      </c>
      <c r="J801" t="s">
        <v>54</v>
      </c>
      <c r="K801" t="s">
        <v>4237</v>
      </c>
      <c r="L801" t="s">
        <v>44</v>
      </c>
      <c r="M801">
        <v>30</v>
      </c>
      <c r="N801" t="s">
        <v>1192</v>
      </c>
      <c r="O801" t="b">
        <v>1</v>
      </c>
      <c r="P801" t="b">
        <v>0</v>
      </c>
      <c r="Q801" t="b">
        <v>0</v>
      </c>
      <c r="R801" t="b">
        <v>0</v>
      </c>
      <c r="S801" t="b">
        <v>1</v>
      </c>
      <c r="T801" t="b">
        <v>0</v>
      </c>
      <c r="U801" t="b">
        <v>1</v>
      </c>
      <c r="V801" t="b">
        <v>0</v>
      </c>
      <c r="W801" t="b">
        <v>1</v>
      </c>
      <c r="X801" t="b">
        <v>0</v>
      </c>
      <c r="Y801" t="b">
        <v>0</v>
      </c>
      <c r="Z801" t="b">
        <v>1</v>
      </c>
      <c r="AA801" t="b">
        <v>1</v>
      </c>
      <c r="AB801" t="s">
        <v>2824</v>
      </c>
      <c r="AC801" t="s">
        <v>8332</v>
      </c>
    </row>
    <row r="802" spans="1:29" x14ac:dyDescent="0.3">
      <c r="A802">
        <v>-73.958925249999993</v>
      </c>
      <c r="B802">
        <v>40.79858703</v>
      </c>
      <c r="C802" t="s">
        <v>2798</v>
      </c>
      <c r="D802" t="s">
        <v>33</v>
      </c>
      <c r="E802" s="58">
        <v>43384</v>
      </c>
      <c r="F802">
        <v>25</v>
      </c>
      <c r="G802" t="s">
        <v>105</v>
      </c>
      <c r="H802" t="s">
        <v>176</v>
      </c>
      <c r="I802" t="s">
        <v>737</v>
      </c>
      <c r="J802" t="s">
        <v>149</v>
      </c>
      <c r="K802" t="s">
        <v>4791</v>
      </c>
      <c r="L802" t="s">
        <v>44</v>
      </c>
      <c r="M802">
        <v>6</v>
      </c>
      <c r="N802" t="s">
        <v>6242</v>
      </c>
      <c r="O802" t="b">
        <v>1</v>
      </c>
      <c r="P802" t="b">
        <v>0</v>
      </c>
      <c r="Q802" t="b">
        <v>1</v>
      </c>
      <c r="R802" t="b">
        <v>0</v>
      </c>
      <c r="S802" t="b">
        <v>1</v>
      </c>
      <c r="T802" t="b">
        <v>1</v>
      </c>
      <c r="U802" t="b">
        <v>1</v>
      </c>
      <c r="V802" t="b">
        <v>0</v>
      </c>
      <c r="W802" t="b">
        <v>1</v>
      </c>
      <c r="X802" t="b">
        <v>0</v>
      </c>
      <c r="Y802" t="b">
        <v>1</v>
      </c>
      <c r="Z802" t="b">
        <v>1</v>
      </c>
      <c r="AA802" t="b">
        <v>0</v>
      </c>
      <c r="AB802" t="s">
        <v>391</v>
      </c>
      <c r="AC802" t="s">
        <v>8333</v>
      </c>
    </row>
    <row r="803" spans="1:29" x14ac:dyDescent="0.3">
      <c r="A803">
        <v>-73.976363239999998</v>
      </c>
      <c r="B803">
        <v>40.790876750000002</v>
      </c>
      <c r="C803" t="s">
        <v>726</v>
      </c>
      <c r="D803" t="s">
        <v>38</v>
      </c>
      <c r="E803" s="58">
        <v>43385</v>
      </c>
      <c r="F803">
        <v>20</v>
      </c>
      <c r="G803" t="s">
        <v>3842</v>
      </c>
      <c r="H803" t="s">
        <v>53</v>
      </c>
      <c r="I803" t="s">
        <v>42</v>
      </c>
      <c r="J803" t="s">
        <v>149</v>
      </c>
      <c r="K803" t="s">
        <v>2823</v>
      </c>
      <c r="L803" t="s">
        <v>44</v>
      </c>
      <c r="M803">
        <v>10</v>
      </c>
      <c r="N803" t="s">
        <v>1374</v>
      </c>
      <c r="O803" t="b">
        <v>0</v>
      </c>
      <c r="P803" t="b">
        <v>0</v>
      </c>
      <c r="Q803" t="b">
        <v>1</v>
      </c>
      <c r="R803" t="b">
        <v>0</v>
      </c>
      <c r="S803" t="b">
        <v>1</v>
      </c>
      <c r="T803" t="b">
        <v>1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1</v>
      </c>
      <c r="AA803" t="b">
        <v>0</v>
      </c>
      <c r="AB803" t="s">
        <v>4410</v>
      </c>
      <c r="AC803" t="s">
        <v>8334</v>
      </c>
    </row>
    <row r="804" spans="1:29" x14ac:dyDescent="0.3">
      <c r="A804">
        <v>-73.963041910000001</v>
      </c>
      <c r="B804">
        <v>40.777347890000001</v>
      </c>
      <c r="C804" t="s">
        <v>394</v>
      </c>
      <c r="D804" t="s">
        <v>38</v>
      </c>
      <c r="E804" s="58">
        <v>43383</v>
      </c>
      <c r="F804">
        <v>22</v>
      </c>
      <c r="G804" t="s">
        <v>105</v>
      </c>
      <c r="H804" t="s">
        <v>176</v>
      </c>
      <c r="I804" t="s">
        <v>53</v>
      </c>
      <c r="J804" t="s">
        <v>97</v>
      </c>
      <c r="K804" t="s">
        <v>2311</v>
      </c>
      <c r="L804" t="s">
        <v>65</v>
      </c>
      <c r="M804" t="b">
        <v>0</v>
      </c>
      <c r="N804" t="s">
        <v>3687</v>
      </c>
      <c r="O804" t="b">
        <v>0</v>
      </c>
      <c r="P804" t="b">
        <v>0</v>
      </c>
      <c r="Q804" t="b">
        <v>0</v>
      </c>
      <c r="R804" t="b">
        <v>1</v>
      </c>
      <c r="S804" t="b">
        <v>1</v>
      </c>
      <c r="T804" t="b">
        <v>1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1</v>
      </c>
      <c r="AA804" t="b">
        <v>0</v>
      </c>
      <c r="AB804" t="s">
        <v>4172</v>
      </c>
      <c r="AC804" t="s">
        <v>8335</v>
      </c>
    </row>
    <row r="805" spans="1:29" x14ac:dyDescent="0.3">
      <c r="A805">
        <v>-73.962085389999999</v>
      </c>
      <c r="B805">
        <v>40.775351049999998</v>
      </c>
      <c r="C805" t="s">
        <v>946</v>
      </c>
      <c r="D805" t="s">
        <v>38</v>
      </c>
      <c r="E805" s="58">
        <v>43381</v>
      </c>
      <c r="F805">
        <v>4</v>
      </c>
      <c r="G805" t="s">
        <v>3842</v>
      </c>
      <c r="H805" t="s">
        <v>42</v>
      </c>
      <c r="I805" t="s">
        <v>96</v>
      </c>
      <c r="J805" t="s">
        <v>43</v>
      </c>
      <c r="K805" t="s">
        <v>1005</v>
      </c>
      <c r="L805" t="s">
        <v>44</v>
      </c>
      <c r="M805">
        <v>40</v>
      </c>
      <c r="N805" t="s">
        <v>6521</v>
      </c>
      <c r="O805" t="b">
        <v>0</v>
      </c>
      <c r="P805" t="b">
        <v>0</v>
      </c>
      <c r="Q805" t="b">
        <v>1</v>
      </c>
      <c r="R805" t="b">
        <v>1</v>
      </c>
      <c r="S805" t="b">
        <v>1</v>
      </c>
      <c r="T805" t="b">
        <v>1</v>
      </c>
      <c r="U805" t="b">
        <v>0</v>
      </c>
      <c r="V805" t="b">
        <v>0</v>
      </c>
      <c r="W805" t="b">
        <v>0</v>
      </c>
      <c r="X805" t="b">
        <v>1</v>
      </c>
      <c r="Y805" t="b">
        <v>1</v>
      </c>
      <c r="Z805" t="b">
        <v>1</v>
      </c>
      <c r="AA805" t="b">
        <v>0</v>
      </c>
      <c r="AB805" t="s">
        <v>3468</v>
      </c>
      <c r="AC805" t="s">
        <v>8336</v>
      </c>
    </row>
    <row r="806" spans="1:29" x14ac:dyDescent="0.3">
      <c r="A806">
        <v>-73.967825259999998</v>
      </c>
      <c r="B806">
        <v>40.777222969999997</v>
      </c>
      <c r="C806" t="s">
        <v>1099</v>
      </c>
      <c r="D806" t="s">
        <v>33</v>
      </c>
      <c r="E806" s="58">
        <v>43382</v>
      </c>
      <c r="F806">
        <v>11</v>
      </c>
      <c r="G806" t="s">
        <v>3842</v>
      </c>
      <c r="H806" t="s">
        <v>53</v>
      </c>
      <c r="I806" t="s">
        <v>53</v>
      </c>
      <c r="J806" t="s">
        <v>3580</v>
      </c>
      <c r="K806" t="s">
        <v>49</v>
      </c>
      <c r="L806" t="s">
        <v>44</v>
      </c>
      <c r="M806">
        <v>6</v>
      </c>
      <c r="N806" t="s">
        <v>3140</v>
      </c>
      <c r="O806" t="b">
        <v>0</v>
      </c>
      <c r="P806" t="b">
        <v>1</v>
      </c>
      <c r="Q806" t="b">
        <v>0</v>
      </c>
      <c r="R806" t="b">
        <v>1</v>
      </c>
      <c r="S806" t="b">
        <v>0</v>
      </c>
      <c r="T806" t="b">
        <v>0</v>
      </c>
      <c r="U806" t="b">
        <v>0</v>
      </c>
      <c r="V806" t="b">
        <v>0</v>
      </c>
      <c r="W806" t="b">
        <v>1</v>
      </c>
      <c r="X806" t="b">
        <v>1</v>
      </c>
      <c r="Y806" t="b">
        <v>1</v>
      </c>
      <c r="Z806" t="b">
        <v>1</v>
      </c>
      <c r="AA806" t="b">
        <v>0</v>
      </c>
      <c r="AB806" t="s">
        <v>3595</v>
      </c>
      <c r="AC806" t="s">
        <v>8337</v>
      </c>
    </row>
    <row r="807" spans="1:29" x14ac:dyDescent="0.3">
      <c r="A807">
        <v>-73.958007120000005</v>
      </c>
      <c r="B807">
        <v>40.792184550000002</v>
      </c>
      <c r="C807" t="s">
        <v>534</v>
      </c>
      <c r="D807" t="s">
        <v>33</v>
      </c>
      <c r="E807" s="58">
        <v>43382</v>
      </c>
      <c r="F807">
        <v>17</v>
      </c>
      <c r="G807" t="s">
        <v>48</v>
      </c>
      <c r="H807" t="s">
        <v>53</v>
      </c>
      <c r="I807" t="s">
        <v>737</v>
      </c>
      <c r="J807" t="s">
        <v>1142</v>
      </c>
      <c r="K807" t="s">
        <v>7370</v>
      </c>
      <c r="L807" t="s">
        <v>44</v>
      </c>
      <c r="M807">
        <v>2</v>
      </c>
      <c r="N807" t="s">
        <v>3085</v>
      </c>
      <c r="O807" t="b">
        <v>0</v>
      </c>
      <c r="P807" t="b">
        <v>0</v>
      </c>
      <c r="Q807" t="b">
        <v>1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1</v>
      </c>
      <c r="X807" t="b">
        <v>1</v>
      </c>
      <c r="Y807" t="b">
        <v>0</v>
      </c>
      <c r="Z807" t="b">
        <v>1</v>
      </c>
      <c r="AA807" t="b">
        <v>0</v>
      </c>
      <c r="AB807" t="s">
        <v>2102</v>
      </c>
      <c r="AC807" t="s">
        <v>8338</v>
      </c>
    </row>
    <row r="808" spans="1:29" x14ac:dyDescent="0.3">
      <c r="A808">
        <v>-73.951785060000006</v>
      </c>
      <c r="B808">
        <v>40.788196110000001</v>
      </c>
      <c r="C808" t="s">
        <v>260</v>
      </c>
      <c r="D808" t="s">
        <v>38</v>
      </c>
      <c r="E808" s="58">
        <v>43384</v>
      </c>
      <c r="F808">
        <v>7</v>
      </c>
      <c r="G808" t="s">
        <v>48</v>
      </c>
      <c r="H808" t="s">
        <v>176</v>
      </c>
      <c r="I808" t="s">
        <v>115</v>
      </c>
      <c r="J808" t="s">
        <v>149</v>
      </c>
      <c r="K808" t="s">
        <v>49</v>
      </c>
      <c r="L808" t="s">
        <v>65</v>
      </c>
      <c r="M808" t="b">
        <v>0</v>
      </c>
      <c r="N808" t="s">
        <v>4573</v>
      </c>
      <c r="O808" t="b">
        <v>1</v>
      </c>
      <c r="P808" t="b">
        <v>1</v>
      </c>
      <c r="Q808" t="b">
        <v>0</v>
      </c>
      <c r="R808" t="b">
        <v>0</v>
      </c>
      <c r="S808" t="b">
        <v>1</v>
      </c>
      <c r="T808" t="b">
        <v>0</v>
      </c>
      <c r="U808" t="b">
        <v>1</v>
      </c>
      <c r="V808" t="b">
        <v>0</v>
      </c>
      <c r="W808" t="b">
        <v>1</v>
      </c>
      <c r="X808" t="b">
        <v>0</v>
      </c>
      <c r="Y808" t="b">
        <v>0</v>
      </c>
      <c r="Z808" t="b">
        <v>0</v>
      </c>
      <c r="AA808" t="b">
        <v>1</v>
      </c>
      <c r="AB808" t="s">
        <v>1455</v>
      </c>
      <c r="AC808" t="s">
        <v>8339</v>
      </c>
    </row>
    <row r="809" spans="1:29" x14ac:dyDescent="0.3">
      <c r="A809">
        <v>-73.952061659999998</v>
      </c>
      <c r="B809">
        <v>40.771431010000001</v>
      </c>
      <c r="C809" t="s">
        <v>963</v>
      </c>
      <c r="D809" t="s">
        <v>38</v>
      </c>
      <c r="E809" s="58">
        <v>43388</v>
      </c>
      <c r="F809">
        <v>14</v>
      </c>
      <c r="G809" t="s">
        <v>48</v>
      </c>
      <c r="H809" t="s">
        <v>53</v>
      </c>
      <c r="I809" t="s">
        <v>53</v>
      </c>
      <c r="J809" t="s">
        <v>619</v>
      </c>
      <c r="K809" t="s">
        <v>2943</v>
      </c>
      <c r="L809" t="s">
        <v>65</v>
      </c>
      <c r="M809" t="b">
        <v>0</v>
      </c>
      <c r="N809" t="s">
        <v>6765</v>
      </c>
      <c r="O809" t="b">
        <v>0</v>
      </c>
      <c r="P809" t="b">
        <v>1</v>
      </c>
      <c r="Q809" t="b">
        <v>1</v>
      </c>
      <c r="R809" t="b">
        <v>1</v>
      </c>
      <c r="S809" t="b">
        <v>0</v>
      </c>
      <c r="T809" t="b">
        <v>1</v>
      </c>
      <c r="U809" t="b">
        <v>0</v>
      </c>
      <c r="V809" t="b">
        <v>1</v>
      </c>
      <c r="W809" t="b">
        <v>1</v>
      </c>
      <c r="X809" t="b">
        <v>1</v>
      </c>
      <c r="Y809" t="b">
        <v>1</v>
      </c>
      <c r="Z809" t="b">
        <v>0</v>
      </c>
      <c r="AA809" t="b">
        <v>1</v>
      </c>
      <c r="AB809" t="s">
        <v>1660</v>
      </c>
      <c r="AC809" t="s">
        <v>8340</v>
      </c>
    </row>
    <row r="810" spans="1:29" x14ac:dyDescent="0.3">
      <c r="A810">
        <v>-73.966985629999996</v>
      </c>
      <c r="B810">
        <v>40.771040679999999</v>
      </c>
      <c r="C810" t="s">
        <v>1028</v>
      </c>
      <c r="D810" t="s">
        <v>33</v>
      </c>
      <c r="E810" s="58">
        <v>43379</v>
      </c>
      <c r="F810">
        <v>26</v>
      </c>
      <c r="G810" t="s">
        <v>105</v>
      </c>
      <c r="H810" t="s">
        <v>53</v>
      </c>
      <c r="I810" t="s">
        <v>737</v>
      </c>
      <c r="J810" t="s">
        <v>2942</v>
      </c>
      <c r="K810" t="s">
        <v>5168</v>
      </c>
      <c r="L810" t="s">
        <v>65</v>
      </c>
      <c r="M810" t="b">
        <v>0</v>
      </c>
      <c r="N810" t="s">
        <v>299</v>
      </c>
      <c r="O810" t="b">
        <v>1</v>
      </c>
      <c r="P810" t="b">
        <v>0</v>
      </c>
      <c r="Q810" t="b">
        <v>0</v>
      </c>
      <c r="R810" t="b">
        <v>0</v>
      </c>
      <c r="S810" t="b">
        <v>1</v>
      </c>
      <c r="T810" t="b">
        <v>0</v>
      </c>
      <c r="U810" t="b">
        <v>1</v>
      </c>
      <c r="V810" t="b">
        <v>0</v>
      </c>
      <c r="W810" t="b">
        <v>0</v>
      </c>
      <c r="X810" t="b">
        <v>0</v>
      </c>
      <c r="Y810" t="b">
        <v>0</v>
      </c>
      <c r="Z810" t="b">
        <v>1</v>
      </c>
      <c r="AA810" t="b">
        <v>0</v>
      </c>
      <c r="AB810" t="s">
        <v>2870</v>
      </c>
      <c r="AC810" t="s">
        <v>8341</v>
      </c>
    </row>
    <row r="811" spans="1:29" x14ac:dyDescent="0.3">
      <c r="A811">
        <v>-73.977598740000005</v>
      </c>
      <c r="B811">
        <v>40.768374970000004</v>
      </c>
      <c r="C811" t="s">
        <v>1251</v>
      </c>
      <c r="D811" t="s">
        <v>38</v>
      </c>
      <c r="E811" s="58">
        <v>43389</v>
      </c>
      <c r="F811">
        <v>11</v>
      </c>
      <c r="G811" t="s">
        <v>105</v>
      </c>
      <c r="H811" t="s">
        <v>53</v>
      </c>
      <c r="I811" t="s">
        <v>1921</v>
      </c>
      <c r="J811" t="s">
        <v>3228</v>
      </c>
      <c r="K811" t="s">
        <v>1696</v>
      </c>
      <c r="L811" t="s">
        <v>44</v>
      </c>
      <c r="M811">
        <v>12</v>
      </c>
      <c r="N811" t="s">
        <v>5039</v>
      </c>
      <c r="O811" t="b">
        <v>0</v>
      </c>
      <c r="P811" t="b">
        <v>1</v>
      </c>
      <c r="Q811" t="b">
        <v>1</v>
      </c>
      <c r="R811" t="b">
        <v>0</v>
      </c>
      <c r="S811" t="b">
        <v>1</v>
      </c>
      <c r="T811" t="b">
        <v>0</v>
      </c>
      <c r="U811" t="b">
        <v>0</v>
      </c>
      <c r="V811" t="b">
        <v>1</v>
      </c>
      <c r="W811" t="b">
        <v>0</v>
      </c>
      <c r="X811" t="b">
        <v>0</v>
      </c>
      <c r="Y811" t="b">
        <v>0</v>
      </c>
      <c r="Z811" t="b">
        <v>1</v>
      </c>
      <c r="AA811" t="b">
        <v>1</v>
      </c>
      <c r="AB811" t="s">
        <v>2962</v>
      </c>
      <c r="AC811" t="s">
        <v>8342</v>
      </c>
    </row>
    <row r="812" spans="1:29" x14ac:dyDescent="0.3">
      <c r="A812">
        <v>-73.950198310000005</v>
      </c>
      <c r="B812">
        <v>40.788158510000002</v>
      </c>
      <c r="C812" t="s">
        <v>3073</v>
      </c>
      <c r="D812" t="s">
        <v>33</v>
      </c>
      <c r="E812" s="58">
        <v>43382</v>
      </c>
      <c r="F812">
        <v>28</v>
      </c>
      <c r="G812" t="s">
        <v>3842</v>
      </c>
      <c r="H812" t="s">
        <v>42</v>
      </c>
      <c r="I812" t="s">
        <v>5105</v>
      </c>
      <c r="J812" t="s">
        <v>1233</v>
      </c>
      <c r="K812" t="s">
        <v>4572</v>
      </c>
      <c r="L812" t="s">
        <v>44</v>
      </c>
      <c r="M812">
        <v>5</v>
      </c>
      <c r="N812" t="s">
        <v>4070</v>
      </c>
      <c r="O812" t="b">
        <v>0</v>
      </c>
      <c r="P812" t="b">
        <v>1</v>
      </c>
      <c r="Q812" t="b">
        <v>1</v>
      </c>
      <c r="R812" t="b">
        <v>1</v>
      </c>
      <c r="S812" t="b">
        <v>0</v>
      </c>
      <c r="T812" t="b">
        <v>0</v>
      </c>
      <c r="U812" t="b">
        <v>1</v>
      </c>
      <c r="V812" t="b">
        <v>0</v>
      </c>
      <c r="W812" t="b">
        <v>1</v>
      </c>
      <c r="X812" t="b">
        <v>1</v>
      </c>
      <c r="Y812" t="b">
        <v>1</v>
      </c>
      <c r="Z812" t="b">
        <v>0</v>
      </c>
      <c r="AA812" t="b">
        <v>0</v>
      </c>
      <c r="AB812" t="s">
        <v>3158</v>
      </c>
      <c r="AC812" t="s">
        <v>8343</v>
      </c>
    </row>
    <row r="813" spans="1:29" x14ac:dyDescent="0.3">
      <c r="A813">
        <v>-73.954786299999995</v>
      </c>
      <c r="B813">
        <v>40.791822590000002</v>
      </c>
      <c r="C813" t="s">
        <v>1245</v>
      </c>
      <c r="D813" t="s">
        <v>33</v>
      </c>
      <c r="E813" s="58">
        <v>43388</v>
      </c>
      <c r="F813">
        <v>22</v>
      </c>
      <c r="G813" t="s">
        <v>105</v>
      </c>
      <c r="H813" t="s">
        <v>42</v>
      </c>
      <c r="I813" t="s">
        <v>59</v>
      </c>
      <c r="J813" t="s">
        <v>89</v>
      </c>
      <c r="K813" t="s">
        <v>4814</v>
      </c>
      <c r="L813" t="s">
        <v>44</v>
      </c>
      <c r="M813">
        <v>30</v>
      </c>
      <c r="N813" t="s">
        <v>1346</v>
      </c>
      <c r="O813" t="b">
        <v>1</v>
      </c>
      <c r="P813" t="b">
        <v>1</v>
      </c>
      <c r="Q813" t="b">
        <v>1</v>
      </c>
      <c r="R813" t="b">
        <v>1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1</v>
      </c>
      <c r="Y813" t="b">
        <v>1</v>
      </c>
      <c r="Z813" t="b">
        <v>1</v>
      </c>
      <c r="AA813" t="b">
        <v>0</v>
      </c>
      <c r="AB813" t="s">
        <v>5792</v>
      </c>
      <c r="AC813" t="s">
        <v>8344</v>
      </c>
    </row>
    <row r="814" spans="1:29" x14ac:dyDescent="0.3">
      <c r="A814">
        <v>-73.977239580000003</v>
      </c>
      <c r="B814">
        <v>40.774242379999997</v>
      </c>
      <c r="C814" t="s">
        <v>582</v>
      </c>
      <c r="D814" t="s">
        <v>33</v>
      </c>
      <c r="E814" s="58">
        <v>43391</v>
      </c>
      <c r="F814">
        <v>9</v>
      </c>
      <c r="G814" t="s">
        <v>3842</v>
      </c>
      <c r="H814" t="s">
        <v>176</v>
      </c>
      <c r="I814" t="s">
        <v>1921</v>
      </c>
      <c r="J814" t="s">
        <v>60</v>
      </c>
      <c r="K814" t="s">
        <v>5481</v>
      </c>
      <c r="L814" t="s">
        <v>44</v>
      </c>
      <c r="M814">
        <v>3</v>
      </c>
      <c r="N814" t="s">
        <v>1833</v>
      </c>
      <c r="O814" t="b">
        <v>0</v>
      </c>
      <c r="P814" t="b">
        <v>0</v>
      </c>
      <c r="Q814" t="b">
        <v>1</v>
      </c>
      <c r="R814" t="b">
        <v>0</v>
      </c>
      <c r="S814" t="b">
        <v>1</v>
      </c>
      <c r="T814" t="b">
        <v>0</v>
      </c>
      <c r="U814" t="b">
        <v>1</v>
      </c>
      <c r="V814" t="b">
        <v>0</v>
      </c>
      <c r="W814" t="b">
        <v>1</v>
      </c>
      <c r="X814" t="b">
        <v>0</v>
      </c>
      <c r="Y814" t="b">
        <v>0</v>
      </c>
      <c r="Z814" t="b">
        <v>1</v>
      </c>
      <c r="AA814" t="b">
        <v>1</v>
      </c>
      <c r="AB814" t="s">
        <v>7069</v>
      </c>
      <c r="AC814" t="s">
        <v>8345</v>
      </c>
    </row>
    <row r="815" spans="1:29" x14ac:dyDescent="0.3">
      <c r="A815">
        <v>-73.952210249999993</v>
      </c>
      <c r="B815">
        <v>40.765648089999999</v>
      </c>
      <c r="C815" t="s">
        <v>936</v>
      </c>
      <c r="D815" t="s">
        <v>38</v>
      </c>
      <c r="E815" s="58">
        <v>43382</v>
      </c>
      <c r="F815">
        <v>23</v>
      </c>
      <c r="G815" t="s">
        <v>105</v>
      </c>
      <c r="H815" t="s">
        <v>42</v>
      </c>
      <c r="I815" t="s">
        <v>737</v>
      </c>
      <c r="J815" t="s">
        <v>34</v>
      </c>
      <c r="K815" t="s">
        <v>3883</v>
      </c>
      <c r="L815" t="s">
        <v>65</v>
      </c>
      <c r="M815" t="b">
        <v>0</v>
      </c>
      <c r="N815" t="s">
        <v>2877</v>
      </c>
      <c r="O815" t="b">
        <v>1</v>
      </c>
      <c r="P815" t="b">
        <v>1</v>
      </c>
      <c r="Q815" t="b">
        <v>0</v>
      </c>
      <c r="R815" t="b">
        <v>1</v>
      </c>
      <c r="S815" t="b">
        <v>0</v>
      </c>
      <c r="T815" t="b">
        <v>0</v>
      </c>
      <c r="U815" t="b">
        <v>1</v>
      </c>
      <c r="V815" t="b">
        <v>0</v>
      </c>
      <c r="W815" t="b">
        <v>1</v>
      </c>
      <c r="X815" t="b">
        <v>0</v>
      </c>
      <c r="Y815" t="b">
        <v>1</v>
      </c>
      <c r="Z815" t="b">
        <v>1</v>
      </c>
      <c r="AA815" t="b">
        <v>0</v>
      </c>
      <c r="AB815" t="s">
        <v>2514</v>
      </c>
      <c r="AC815" t="s">
        <v>8346</v>
      </c>
    </row>
    <row r="816" spans="1:29" x14ac:dyDescent="0.3">
      <c r="A816">
        <v>-73.953811810000005</v>
      </c>
      <c r="B816">
        <v>40.76780376</v>
      </c>
      <c r="C816" t="s">
        <v>127</v>
      </c>
      <c r="D816" t="s">
        <v>38</v>
      </c>
      <c r="E816" s="58">
        <v>43388</v>
      </c>
      <c r="F816">
        <v>13</v>
      </c>
      <c r="G816" t="s">
        <v>105</v>
      </c>
      <c r="H816" t="s">
        <v>176</v>
      </c>
      <c r="I816" t="s">
        <v>176</v>
      </c>
      <c r="J816" t="s">
        <v>1922</v>
      </c>
      <c r="K816" t="s">
        <v>5038</v>
      </c>
      <c r="L816" t="s">
        <v>44</v>
      </c>
      <c r="M816">
        <v>5</v>
      </c>
      <c r="N816" t="s">
        <v>7063</v>
      </c>
      <c r="O816" t="b">
        <v>1</v>
      </c>
      <c r="P816" t="b">
        <v>1</v>
      </c>
      <c r="Q816" t="b">
        <v>0</v>
      </c>
      <c r="R816" t="b">
        <v>0</v>
      </c>
      <c r="S816" t="b">
        <v>1</v>
      </c>
      <c r="T816" t="b">
        <v>1</v>
      </c>
      <c r="U816" t="b">
        <v>0</v>
      </c>
      <c r="V816" t="b">
        <v>0</v>
      </c>
      <c r="W816" t="b">
        <v>1</v>
      </c>
      <c r="X816" t="b">
        <v>1</v>
      </c>
      <c r="Y816" t="b">
        <v>1</v>
      </c>
      <c r="Z816" t="b">
        <v>1</v>
      </c>
      <c r="AA816" t="b">
        <v>1</v>
      </c>
      <c r="AB816" t="s">
        <v>4501</v>
      </c>
      <c r="AC816" t="s">
        <v>8347</v>
      </c>
    </row>
    <row r="817" spans="1:29" x14ac:dyDescent="0.3">
      <c r="A817">
        <v>-73.964847969999994</v>
      </c>
      <c r="B817">
        <v>40.798986939999999</v>
      </c>
      <c r="C817" t="s">
        <v>1211</v>
      </c>
      <c r="D817" t="s">
        <v>33</v>
      </c>
      <c r="E817" s="58">
        <v>43379</v>
      </c>
      <c r="F817">
        <v>23</v>
      </c>
      <c r="G817" t="s">
        <v>105</v>
      </c>
      <c r="H817" t="s">
        <v>42</v>
      </c>
      <c r="I817" t="s">
        <v>42</v>
      </c>
      <c r="J817" t="s">
        <v>2942</v>
      </c>
      <c r="K817" t="s">
        <v>6582</v>
      </c>
      <c r="L817" t="s">
        <v>65</v>
      </c>
      <c r="M817" t="b">
        <v>0</v>
      </c>
      <c r="N817" t="s">
        <v>3632</v>
      </c>
      <c r="O817" t="b">
        <v>1</v>
      </c>
      <c r="P817" t="b">
        <v>0</v>
      </c>
      <c r="Q817" t="b">
        <v>1</v>
      </c>
      <c r="R817" t="b">
        <v>1</v>
      </c>
      <c r="S817" t="b">
        <v>1</v>
      </c>
      <c r="T817" t="b">
        <v>1</v>
      </c>
      <c r="U817" t="b">
        <v>0</v>
      </c>
      <c r="V817" t="b">
        <v>1</v>
      </c>
      <c r="W817" t="b">
        <v>1</v>
      </c>
      <c r="X817" t="b">
        <v>1</v>
      </c>
      <c r="Y817" t="b">
        <v>0</v>
      </c>
      <c r="Z817" t="b">
        <v>1</v>
      </c>
      <c r="AA817" t="b">
        <v>0</v>
      </c>
      <c r="AB817" t="s">
        <v>3835</v>
      </c>
      <c r="AC817" t="s">
        <v>8348</v>
      </c>
    </row>
    <row r="818" spans="1:29" x14ac:dyDescent="0.3">
      <c r="A818">
        <v>-73.962570769999999</v>
      </c>
      <c r="B818">
        <v>40.775312640000003</v>
      </c>
      <c r="C818" t="s">
        <v>1401</v>
      </c>
      <c r="D818" t="s">
        <v>38</v>
      </c>
      <c r="E818" s="58">
        <v>43387</v>
      </c>
      <c r="F818">
        <v>18</v>
      </c>
      <c r="G818" t="s">
        <v>48</v>
      </c>
      <c r="H818" t="s">
        <v>176</v>
      </c>
      <c r="I818" t="s">
        <v>59</v>
      </c>
      <c r="J818" t="s">
        <v>149</v>
      </c>
      <c r="K818" t="s">
        <v>6623</v>
      </c>
      <c r="L818" t="s">
        <v>44</v>
      </c>
      <c r="M818">
        <v>40</v>
      </c>
      <c r="N818" t="s">
        <v>4688</v>
      </c>
      <c r="O818" t="b">
        <v>0</v>
      </c>
      <c r="P818" t="b">
        <v>1</v>
      </c>
      <c r="Q818" t="b">
        <v>0</v>
      </c>
      <c r="R818" t="b">
        <v>1</v>
      </c>
      <c r="S818" t="b">
        <v>1</v>
      </c>
      <c r="T818" t="b">
        <v>0</v>
      </c>
      <c r="U818" t="b">
        <v>1</v>
      </c>
      <c r="V818" t="b">
        <v>0</v>
      </c>
      <c r="W818" t="b">
        <v>0</v>
      </c>
      <c r="X818" t="b">
        <v>0</v>
      </c>
      <c r="Y818" t="b">
        <v>1</v>
      </c>
      <c r="Z818" t="b">
        <v>0</v>
      </c>
      <c r="AA818" t="b">
        <v>0</v>
      </c>
      <c r="AB818" t="s">
        <v>1844</v>
      </c>
      <c r="AC818" t="s">
        <v>8349</v>
      </c>
    </row>
    <row r="819" spans="1:29" x14ac:dyDescent="0.3">
      <c r="A819">
        <v>-73.968615209999996</v>
      </c>
      <c r="B819">
        <v>40.791993359999999</v>
      </c>
      <c r="C819" t="s">
        <v>85</v>
      </c>
      <c r="D819" t="s">
        <v>33</v>
      </c>
      <c r="E819" s="58">
        <v>43382</v>
      </c>
      <c r="F819">
        <v>28</v>
      </c>
      <c r="G819" t="s">
        <v>105</v>
      </c>
      <c r="H819" t="s">
        <v>42</v>
      </c>
      <c r="I819" t="s">
        <v>176</v>
      </c>
      <c r="J819" t="s">
        <v>619</v>
      </c>
      <c r="K819" t="s">
        <v>3028</v>
      </c>
      <c r="L819" t="s">
        <v>65</v>
      </c>
      <c r="M819" t="b">
        <v>0</v>
      </c>
      <c r="N819" t="s">
        <v>373</v>
      </c>
      <c r="O819" t="b">
        <v>0</v>
      </c>
      <c r="P819" t="b">
        <v>1</v>
      </c>
      <c r="Q819" t="b">
        <v>1</v>
      </c>
      <c r="R819" t="b">
        <v>0</v>
      </c>
      <c r="S819" t="b">
        <v>1</v>
      </c>
      <c r="T819" t="b">
        <v>1</v>
      </c>
      <c r="U819" t="b">
        <v>1</v>
      </c>
      <c r="V819" t="b">
        <v>1</v>
      </c>
      <c r="W819" t="b">
        <v>0</v>
      </c>
      <c r="X819" t="b">
        <v>0</v>
      </c>
      <c r="Y819" t="b">
        <v>1</v>
      </c>
      <c r="Z819" t="b">
        <v>1</v>
      </c>
      <c r="AA819" t="b">
        <v>1</v>
      </c>
      <c r="AB819" t="s">
        <v>2713</v>
      </c>
      <c r="AC819" t="s">
        <v>8350</v>
      </c>
    </row>
    <row r="820" spans="1:29" x14ac:dyDescent="0.3">
      <c r="A820">
        <v>-73.979437050000001</v>
      </c>
      <c r="B820">
        <v>40.786903729999999</v>
      </c>
      <c r="C820" t="s">
        <v>483</v>
      </c>
      <c r="D820" t="s">
        <v>33</v>
      </c>
      <c r="E820" s="58">
        <v>43385</v>
      </c>
      <c r="F820">
        <v>11</v>
      </c>
      <c r="G820" t="s">
        <v>48</v>
      </c>
      <c r="H820" t="s">
        <v>42</v>
      </c>
      <c r="I820" t="s">
        <v>115</v>
      </c>
      <c r="J820" t="s">
        <v>116</v>
      </c>
      <c r="K820" t="s">
        <v>4243</v>
      </c>
      <c r="L820" t="s">
        <v>44</v>
      </c>
      <c r="M820">
        <v>30</v>
      </c>
      <c r="N820" t="s">
        <v>1311</v>
      </c>
      <c r="O820" t="b">
        <v>0</v>
      </c>
      <c r="P820" t="b">
        <v>1</v>
      </c>
      <c r="Q820" t="b">
        <v>0</v>
      </c>
      <c r="R820" t="b">
        <v>0</v>
      </c>
      <c r="S820" t="b">
        <v>1</v>
      </c>
      <c r="T820" t="b">
        <v>1</v>
      </c>
      <c r="U820" t="b">
        <v>1</v>
      </c>
      <c r="V820" t="b">
        <v>1</v>
      </c>
      <c r="W820" t="b">
        <v>1</v>
      </c>
      <c r="X820" t="b">
        <v>1</v>
      </c>
      <c r="Y820" t="b">
        <v>0</v>
      </c>
      <c r="Z820" t="b">
        <v>1</v>
      </c>
      <c r="AA820" t="b">
        <v>0</v>
      </c>
      <c r="AB820" t="s">
        <v>2131</v>
      </c>
      <c r="AC820" t="s">
        <v>8351</v>
      </c>
    </row>
    <row r="821" spans="1:29" x14ac:dyDescent="0.3">
      <c r="A821">
        <v>-73.970621050000005</v>
      </c>
      <c r="B821">
        <v>40.778357939999999</v>
      </c>
      <c r="C821" t="s">
        <v>130</v>
      </c>
      <c r="D821" t="s">
        <v>33</v>
      </c>
      <c r="E821" s="58">
        <v>43390</v>
      </c>
      <c r="F821">
        <v>15</v>
      </c>
      <c r="G821" t="s">
        <v>48</v>
      </c>
      <c r="H821" t="s">
        <v>176</v>
      </c>
      <c r="I821" t="s">
        <v>148</v>
      </c>
      <c r="J821" t="s">
        <v>619</v>
      </c>
      <c r="K821" t="s">
        <v>2169</v>
      </c>
      <c r="L821" t="s">
        <v>44</v>
      </c>
      <c r="M821">
        <v>12</v>
      </c>
      <c r="N821" t="s">
        <v>1871</v>
      </c>
      <c r="O821" t="b">
        <v>0</v>
      </c>
      <c r="P821" t="b">
        <v>0</v>
      </c>
      <c r="Q821" t="b">
        <v>1</v>
      </c>
      <c r="R821" t="b">
        <v>1</v>
      </c>
      <c r="S821" t="b">
        <v>0</v>
      </c>
      <c r="T821" t="b">
        <v>0</v>
      </c>
      <c r="U821" t="b">
        <v>0</v>
      </c>
      <c r="V821" t="b">
        <v>0</v>
      </c>
      <c r="W821" t="b">
        <v>1</v>
      </c>
      <c r="X821" t="b">
        <v>0</v>
      </c>
      <c r="Y821" t="b">
        <v>1</v>
      </c>
      <c r="Z821" t="b">
        <v>1</v>
      </c>
      <c r="AA821" t="b">
        <v>0</v>
      </c>
      <c r="AB821" t="s">
        <v>5699</v>
      </c>
      <c r="AC821" t="s">
        <v>8352</v>
      </c>
    </row>
    <row r="822" spans="1:29" x14ac:dyDescent="0.3">
      <c r="A822">
        <v>-73.955919429999994</v>
      </c>
      <c r="B822">
        <v>40.772152470000002</v>
      </c>
      <c r="C822" t="s">
        <v>78</v>
      </c>
      <c r="D822" t="s">
        <v>33</v>
      </c>
      <c r="E822" s="58">
        <v>43392</v>
      </c>
      <c r="F822">
        <v>25</v>
      </c>
      <c r="G822" t="s">
        <v>105</v>
      </c>
      <c r="H822" t="s">
        <v>53</v>
      </c>
      <c r="I822" t="s">
        <v>96</v>
      </c>
      <c r="J822" t="s">
        <v>738</v>
      </c>
      <c r="K822" t="s">
        <v>3471</v>
      </c>
      <c r="L822" t="s">
        <v>65</v>
      </c>
      <c r="M822" t="b">
        <v>0</v>
      </c>
      <c r="N822" t="s">
        <v>535</v>
      </c>
      <c r="O822" t="b">
        <v>0</v>
      </c>
      <c r="P822" t="b">
        <v>1</v>
      </c>
      <c r="Q822" t="b">
        <v>0</v>
      </c>
      <c r="R822" t="b">
        <v>0</v>
      </c>
      <c r="S822" t="b">
        <v>1</v>
      </c>
      <c r="T822" t="b">
        <v>1</v>
      </c>
      <c r="U822" t="b">
        <v>0</v>
      </c>
      <c r="V822" t="b">
        <v>1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s">
        <v>3121</v>
      </c>
      <c r="AC822" t="s">
        <v>8353</v>
      </c>
    </row>
    <row r="823" spans="1:29" x14ac:dyDescent="0.3">
      <c r="A823">
        <v>-73.981012960000001</v>
      </c>
      <c r="B823">
        <v>40.769184420000002</v>
      </c>
      <c r="C823" t="s">
        <v>1906</v>
      </c>
      <c r="D823" t="s">
        <v>38</v>
      </c>
      <c r="E823" s="58">
        <v>43381</v>
      </c>
      <c r="F823">
        <v>26</v>
      </c>
      <c r="G823" t="s">
        <v>3842</v>
      </c>
      <c r="H823" t="s">
        <v>53</v>
      </c>
      <c r="I823" t="s">
        <v>59</v>
      </c>
      <c r="J823" t="s">
        <v>177</v>
      </c>
      <c r="K823" t="s">
        <v>7049</v>
      </c>
      <c r="L823" t="s">
        <v>65</v>
      </c>
      <c r="M823" t="b">
        <v>0</v>
      </c>
      <c r="N823" t="s">
        <v>1432</v>
      </c>
      <c r="O823" t="b">
        <v>0</v>
      </c>
      <c r="P823" t="b">
        <v>1</v>
      </c>
      <c r="Q823" t="b">
        <v>0</v>
      </c>
      <c r="R823" t="b">
        <v>1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1</v>
      </c>
      <c r="Y823" t="b">
        <v>1</v>
      </c>
      <c r="Z823" t="b">
        <v>0</v>
      </c>
      <c r="AA823" t="b">
        <v>1</v>
      </c>
      <c r="AB823" t="s">
        <v>1660</v>
      </c>
      <c r="AC823" t="s">
        <v>8354</v>
      </c>
    </row>
    <row r="824" spans="1:29" x14ac:dyDescent="0.3">
      <c r="A824">
        <v>-73.970674430000003</v>
      </c>
      <c r="B824">
        <v>40.786563950000001</v>
      </c>
      <c r="C824" t="s">
        <v>2046</v>
      </c>
      <c r="D824" t="s">
        <v>33</v>
      </c>
      <c r="E824" s="58">
        <v>43388</v>
      </c>
      <c r="F824">
        <v>25</v>
      </c>
      <c r="G824" t="s">
        <v>3842</v>
      </c>
      <c r="H824" t="s">
        <v>42</v>
      </c>
      <c r="I824" t="s">
        <v>1921</v>
      </c>
      <c r="J824" t="s">
        <v>339</v>
      </c>
      <c r="K824" t="s">
        <v>6245</v>
      </c>
      <c r="L824" t="s">
        <v>44</v>
      </c>
      <c r="M824">
        <v>3</v>
      </c>
      <c r="N824" t="s">
        <v>6636</v>
      </c>
      <c r="O824" t="b">
        <v>1</v>
      </c>
      <c r="P824" t="b">
        <v>0</v>
      </c>
      <c r="Q824" t="b">
        <v>1</v>
      </c>
      <c r="R824" t="b">
        <v>0</v>
      </c>
      <c r="S824" t="b">
        <v>1</v>
      </c>
      <c r="T824" t="b">
        <v>1</v>
      </c>
      <c r="U824" t="b">
        <v>0</v>
      </c>
      <c r="V824" t="b">
        <v>0</v>
      </c>
      <c r="W824" t="b">
        <v>1</v>
      </c>
      <c r="X824" t="b">
        <v>1</v>
      </c>
      <c r="Y824" t="b">
        <v>1</v>
      </c>
      <c r="Z824" t="b">
        <v>1</v>
      </c>
      <c r="AA824" t="b">
        <v>1</v>
      </c>
      <c r="AB824" t="s">
        <v>5478</v>
      </c>
      <c r="AC824" t="s">
        <v>8355</v>
      </c>
    </row>
    <row r="825" spans="1:29" x14ac:dyDescent="0.3">
      <c r="A825">
        <v>-73.968641430000005</v>
      </c>
      <c r="B825">
        <v>40.792183860000002</v>
      </c>
      <c r="C825" t="s">
        <v>448</v>
      </c>
      <c r="D825" t="s">
        <v>33</v>
      </c>
      <c r="E825" s="58">
        <v>43390</v>
      </c>
      <c r="F825">
        <v>22</v>
      </c>
      <c r="G825" t="s">
        <v>3842</v>
      </c>
      <c r="H825" t="s">
        <v>176</v>
      </c>
      <c r="I825" t="s">
        <v>42</v>
      </c>
      <c r="J825" t="s">
        <v>705</v>
      </c>
      <c r="K825" t="s">
        <v>6109</v>
      </c>
      <c r="L825" t="s">
        <v>44</v>
      </c>
      <c r="M825">
        <v>5</v>
      </c>
      <c r="N825" t="s">
        <v>848</v>
      </c>
      <c r="O825" t="b">
        <v>0</v>
      </c>
      <c r="P825" t="b">
        <v>0</v>
      </c>
      <c r="Q825" t="b">
        <v>1</v>
      </c>
      <c r="R825" t="b">
        <v>1</v>
      </c>
      <c r="S825" t="b">
        <v>0</v>
      </c>
      <c r="T825" t="b">
        <v>0</v>
      </c>
      <c r="U825" t="b">
        <v>1</v>
      </c>
      <c r="V825" t="b">
        <v>0</v>
      </c>
      <c r="W825" t="b">
        <v>1</v>
      </c>
      <c r="X825" t="b">
        <v>0</v>
      </c>
      <c r="Y825" t="b">
        <v>0</v>
      </c>
      <c r="Z825" t="b">
        <v>1</v>
      </c>
      <c r="AA825" t="b">
        <v>1</v>
      </c>
      <c r="AB825" t="s">
        <v>3061</v>
      </c>
      <c r="AC825" t="s">
        <v>8356</v>
      </c>
    </row>
    <row r="826" spans="1:29" x14ac:dyDescent="0.3">
      <c r="A826">
        <v>-73.964264580000005</v>
      </c>
      <c r="B826">
        <v>40.787581150000001</v>
      </c>
      <c r="C826" t="s">
        <v>1115</v>
      </c>
      <c r="D826" t="s">
        <v>38</v>
      </c>
      <c r="E826" s="58">
        <v>43381</v>
      </c>
      <c r="F826">
        <v>29</v>
      </c>
      <c r="G826" t="s">
        <v>105</v>
      </c>
      <c r="H826" t="s">
        <v>53</v>
      </c>
      <c r="I826" t="s">
        <v>176</v>
      </c>
      <c r="J826" t="s">
        <v>60</v>
      </c>
      <c r="K826" t="s">
        <v>5413</v>
      </c>
      <c r="L826" t="s">
        <v>44</v>
      </c>
      <c r="M826">
        <v>3</v>
      </c>
      <c r="N826" t="s">
        <v>2304</v>
      </c>
      <c r="O826" t="b">
        <v>0</v>
      </c>
      <c r="P826" t="b">
        <v>0</v>
      </c>
      <c r="Q826" t="b">
        <v>1</v>
      </c>
      <c r="R826" t="b">
        <v>1</v>
      </c>
      <c r="S826" t="b">
        <v>1</v>
      </c>
      <c r="T826" t="b">
        <v>1</v>
      </c>
      <c r="U826" t="b">
        <v>0</v>
      </c>
      <c r="V826" t="b">
        <v>1</v>
      </c>
      <c r="W826" t="b">
        <v>1</v>
      </c>
      <c r="X826" t="b">
        <v>0</v>
      </c>
      <c r="Y826" t="b">
        <v>1</v>
      </c>
      <c r="Z826" t="b">
        <v>1</v>
      </c>
      <c r="AA826" t="b">
        <v>1</v>
      </c>
      <c r="AB826" t="s">
        <v>6642</v>
      </c>
      <c r="AC826" t="s">
        <v>8357</v>
      </c>
    </row>
    <row r="827" spans="1:29" x14ac:dyDescent="0.3">
      <c r="A827">
        <v>-73.95224125</v>
      </c>
      <c r="B827">
        <v>40.783581470000001</v>
      </c>
      <c r="C827" t="s">
        <v>119</v>
      </c>
      <c r="D827" t="s">
        <v>33</v>
      </c>
      <c r="E827" s="58">
        <v>43392</v>
      </c>
      <c r="F827">
        <v>19</v>
      </c>
      <c r="G827" t="s">
        <v>3842</v>
      </c>
      <c r="H827" t="s">
        <v>176</v>
      </c>
      <c r="I827" t="s">
        <v>737</v>
      </c>
      <c r="J827" t="s">
        <v>34</v>
      </c>
      <c r="K827" t="s">
        <v>5971</v>
      </c>
      <c r="L827" t="s">
        <v>65</v>
      </c>
      <c r="M827" t="b">
        <v>0</v>
      </c>
      <c r="N827" t="s">
        <v>1582</v>
      </c>
      <c r="O827" t="b">
        <v>0</v>
      </c>
      <c r="P827" t="b">
        <v>1</v>
      </c>
      <c r="Q827" t="b">
        <v>1</v>
      </c>
      <c r="R827" t="b">
        <v>1</v>
      </c>
      <c r="S827" t="b">
        <v>0</v>
      </c>
      <c r="T827" t="b">
        <v>1</v>
      </c>
      <c r="U827" t="b">
        <v>0</v>
      </c>
      <c r="V827" t="b">
        <v>0</v>
      </c>
      <c r="W827" t="b">
        <v>1</v>
      </c>
      <c r="X827" t="b">
        <v>1</v>
      </c>
      <c r="Y827" t="b">
        <v>1</v>
      </c>
      <c r="Z827" t="b">
        <v>1</v>
      </c>
      <c r="AA827" t="b">
        <v>1</v>
      </c>
      <c r="AB827" t="s">
        <v>108</v>
      </c>
      <c r="AC827" t="s">
        <v>8358</v>
      </c>
    </row>
    <row r="828" spans="1:29" x14ac:dyDescent="0.3">
      <c r="A828">
        <v>-73.970270569999997</v>
      </c>
      <c r="B828">
        <v>40.766387680000001</v>
      </c>
      <c r="C828" t="s">
        <v>1202</v>
      </c>
      <c r="D828" t="s">
        <v>33</v>
      </c>
      <c r="E828" s="58">
        <v>43386</v>
      </c>
      <c r="F828">
        <v>1</v>
      </c>
      <c r="G828" t="s">
        <v>48</v>
      </c>
      <c r="H828" t="s">
        <v>53</v>
      </c>
      <c r="I828" t="s">
        <v>59</v>
      </c>
      <c r="J828" t="s">
        <v>60</v>
      </c>
      <c r="K828" t="s">
        <v>6633</v>
      </c>
      <c r="L828" t="s">
        <v>44</v>
      </c>
      <c r="M828">
        <v>6</v>
      </c>
      <c r="N828" t="s">
        <v>1408</v>
      </c>
      <c r="O828" t="b">
        <v>0</v>
      </c>
      <c r="P828" t="b">
        <v>0</v>
      </c>
      <c r="Q828" t="b">
        <v>1</v>
      </c>
      <c r="R828" t="b">
        <v>0</v>
      </c>
      <c r="S828" t="b">
        <v>1</v>
      </c>
      <c r="T828" t="b">
        <v>1</v>
      </c>
      <c r="U828" t="b">
        <v>0</v>
      </c>
      <c r="V828" t="b">
        <v>1</v>
      </c>
      <c r="W828" t="b">
        <v>1</v>
      </c>
      <c r="X828" t="b">
        <v>0</v>
      </c>
      <c r="Y828" t="b">
        <v>1</v>
      </c>
      <c r="Z828" t="b">
        <v>0</v>
      </c>
      <c r="AA828" t="b">
        <v>0</v>
      </c>
      <c r="AB828" t="s">
        <v>1073</v>
      </c>
      <c r="AC828" t="s">
        <v>8359</v>
      </c>
    </row>
    <row r="829" spans="1:29" x14ac:dyDescent="0.3">
      <c r="A829">
        <v>-73.970251480000002</v>
      </c>
      <c r="B829">
        <v>40.799009079999998</v>
      </c>
      <c r="C829" t="s">
        <v>722</v>
      </c>
      <c r="D829" t="s">
        <v>38</v>
      </c>
      <c r="E829" s="58">
        <v>43386</v>
      </c>
      <c r="F829">
        <v>4</v>
      </c>
      <c r="G829" t="s">
        <v>3842</v>
      </c>
      <c r="H829" t="s">
        <v>176</v>
      </c>
      <c r="I829" t="s">
        <v>148</v>
      </c>
      <c r="J829" t="s">
        <v>2942</v>
      </c>
      <c r="K829" t="s">
        <v>4180</v>
      </c>
      <c r="L829" t="s">
        <v>65</v>
      </c>
      <c r="M829" t="b">
        <v>0</v>
      </c>
      <c r="N829" t="s">
        <v>3542</v>
      </c>
      <c r="O829" t="b">
        <v>1</v>
      </c>
      <c r="P829" t="b">
        <v>0</v>
      </c>
      <c r="Q829" t="b">
        <v>0</v>
      </c>
      <c r="R829" t="b">
        <v>1</v>
      </c>
      <c r="S829" t="b">
        <v>1</v>
      </c>
      <c r="T829" t="b">
        <v>1</v>
      </c>
      <c r="U829" t="b">
        <v>0</v>
      </c>
      <c r="V829" t="b">
        <v>0</v>
      </c>
      <c r="W829" t="b">
        <v>0</v>
      </c>
      <c r="X829" t="b">
        <v>1</v>
      </c>
      <c r="Y829" t="b">
        <v>1</v>
      </c>
      <c r="Z829" t="b">
        <v>0</v>
      </c>
      <c r="AA829" t="b">
        <v>1</v>
      </c>
      <c r="AB829" t="s">
        <v>2643</v>
      </c>
      <c r="AC829" t="s">
        <v>8360</v>
      </c>
    </row>
    <row r="830" spans="1:29" x14ac:dyDescent="0.3">
      <c r="A830">
        <v>-73.957973890000005</v>
      </c>
      <c r="B830">
        <v>40.793031679999999</v>
      </c>
      <c r="C830" t="s">
        <v>2255</v>
      </c>
      <c r="D830" t="s">
        <v>38</v>
      </c>
      <c r="E830" s="58">
        <v>43389</v>
      </c>
      <c r="F830">
        <v>14</v>
      </c>
      <c r="G830" t="s">
        <v>105</v>
      </c>
      <c r="H830" t="s">
        <v>42</v>
      </c>
      <c r="I830" t="s">
        <v>737</v>
      </c>
      <c r="J830" t="s">
        <v>149</v>
      </c>
      <c r="K830" t="s">
        <v>7365</v>
      </c>
      <c r="L830" t="s">
        <v>44</v>
      </c>
      <c r="M830">
        <v>4</v>
      </c>
      <c r="N830" t="s">
        <v>6273</v>
      </c>
      <c r="O830" t="b">
        <v>1</v>
      </c>
      <c r="P830" t="b">
        <v>0</v>
      </c>
      <c r="Q830" t="b">
        <v>1</v>
      </c>
      <c r="R830" t="b">
        <v>1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1</v>
      </c>
      <c r="Z830" t="b">
        <v>1</v>
      </c>
      <c r="AA830" t="b">
        <v>1</v>
      </c>
      <c r="AB830" t="s">
        <v>2920</v>
      </c>
      <c r="AC830" t="s">
        <v>8361</v>
      </c>
    </row>
    <row r="831" spans="1:29" x14ac:dyDescent="0.3">
      <c r="A831">
        <v>-73.966942290000006</v>
      </c>
      <c r="B831">
        <v>40.775220300000001</v>
      </c>
      <c r="C831" t="s">
        <v>2430</v>
      </c>
      <c r="D831" t="s">
        <v>38</v>
      </c>
      <c r="E831" s="58">
        <v>43390</v>
      </c>
      <c r="F831">
        <v>14</v>
      </c>
      <c r="G831" t="s">
        <v>3842</v>
      </c>
      <c r="H831" t="s">
        <v>176</v>
      </c>
      <c r="I831" t="s">
        <v>176</v>
      </c>
      <c r="J831" t="s">
        <v>155</v>
      </c>
      <c r="K831" t="s">
        <v>1381</v>
      </c>
      <c r="L831" t="s">
        <v>44</v>
      </c>
      <c r="M831">
        <v>15</v>
      </c>
      <c r="N831" t="s">
        <v>6538</v>
      </c>
      <c r="O831" t="b">
        <v>1</v>
      </c>
      <c r="P831" t="b">
        <v>1</v>
      </c>
      <c r="Q831" t="b">
        <v>0</v>
      </c>
      <c r="R831" t="b">
        <v>1</v>
      </c>
      <c r="S831" t="b">
        <v>0</v>
      </c>
      <c r="T831" t="b">
        <v>1</v>
      </c>
      <c r="U831" t="b">
        <v>1</v>
      </c>
      <c r="V831" t="b">
        <v>1</v>
      </c>
      <c r="W831" t="b">
        <v>1</v>
      </c>
      <c r="X831" t="b">
        <v>1</v>
      </c>
      <c r="Y831" t="b">
        <v>1</v>
      </c>
      <c r="Z831" t="b">
        <v>1</v>
      </c>
      <c r="AA831" t="b">
        <v>0</v>
      </c>
      <c r="AB831" t="s">
        <v>4464</v>
      </c>
      <c r="AC831" t="s">
        <v>8362</v>
      </c>
    </row>
    <row r="832" spans="1:29" x14ac:dyDescent="0.3">
      <c r="A832">
        <v>-73.974097720000003</v>
      </c>
      <c r="B832">
        <v>40.799413319999999</v>
      </c>
      <c r="C832" t="s">
        <v>483</v>
      </c>
      <c r="D832" t="s">
        <v>33</v>
      </c>
      <c r="E832" s="58">
        <v>43379</v>
      </c>
      <c r="F832">
        <v>3</v>
      </c>
      <c r="G832" t="s">
        <v>48</v>
      </c>
      <c r="H832" t="s">
        <v>53</v>
      </c>
      <c r="I832" t="s">
        <v>42</v>
      </c>
      <c r="J832" t="s">
        <v>60</v>
      </c>
      <c r="K832" t="s">
        <v>7003</v>
      </c>
      <c r="L832" t="s">
        <v>44</v>
      </c>
      <c r="M832">
        <v>3</v>
      </c>
      <c r="N832" t="s">
        <v>5420</v>
      </c>
      <c r="O832" t="b">
        <v>1</v>
      </c>
      <c r="P832" t="b">
        <v>0</v>
      </c>
      <c r="Q832" t="b">
        <v>1</v>
      </c>
      <c r="R832" t="b">
        <v>1</v>
      </c>
      <c r="S832" t="b">
        <v>0</v>
      </c>
      <c r="T832" t="b">
        <v>0</v>
      </c>
      <c r="U832" t="b">
        <v>0</v>
      </c>
      <c r="V832" t="b">
        <v>1</v>
      </c>
      <c r="W832" t="b">
        <v>1</v>
      </c>
      <c r="X832" t="b">
        <v>0</v>
      </c>
      <c r="Y832" t="b">
        <v>0</v>
      </c>
      <c r="Z832" t="b">
        <v>0</v>
      </c>
      <c r="AA832" t="b">
        <v>0</v>
      </c>
      <c r="AB832" t="s">
        <v>7073</v>
      </c>
      <c r="AC832" t="s">
        <v>8363</v>
      </c>
    </row>
    <row r="833" spans="1:29" x14ac:dyDescent="0.3">
      <c r="A833">
        <v>-73.966935320000005</v>
      </c>
      <c r="B833">
        <v>40.786101619999997</v>
      </c>
      <c r="C833" t="s">
        <v>2654</v>
      </c>
      <c r="D833" t="s">
        <v>38</v>
      </c>
      <c r="E833" s="58">
        <v>43388</v>
      </c>
      <c r="F833">
        <v>30</v>
      </c>
      <c r="G833" t="s">
        <v>105</v>
      </c>
      <c r="H833" t="s">
        <v>42</v>
      </c>
      <c r="I833" t="s">
        <v>53</v>
      </c>
      <c r="J833" t="s">
        <v>3228</v>
      </c>
      <c r="K833" t="s">
        <v>1813</v>
      </c>
      <c r="L833" t="s">
        <v>44</v>
      </c>
      <c r="M833">
        <v>40</v>
      </c>
      <c r="N833" t="s">
        <v>4757</v>
      </c>
      <c r="O833" t="b">
        <v>1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1</v>
      </c>
      <c r="V833" t="b">
        <v>1</v>
      </c>
      <c r="W833" t="b">
        <v>1</v>
      </c>
      <c r="X833" t="b">
        <v>0</v>
      </c>
      <c r="Y833" t="b">
        <v>1</v>
      </c>
      <c r="Z833" t="b">
        <v>0</v>
      </c>
      <c r="AA833" t="b">
        <v>1</v>
      </c>
      <c r="AB833" t="s">
        <v>2131</v>
      </c>
      <c r="AC833" t="s">
        <v>8364</v>
      </c>
    </row>
    <row r="834" spans="1:29" x14ac:dyDescent="0.3">
      <c r="A834">
        <v>-73.976730480000001</v>
      </c>
      <c r="B834">
        <v>40.785416519999998</v>
      </c>
      <c r="C834" t="s">
        <v>143</v>
      </c>
      <c r="D834" t="s">
        <v>38</v>
      </c>
      <c r="E834" s="58">
        <v>43380</v>
      </c>
      <c r="F834">
        <v>28</v>
      </c>
      <c r="G834" t="s">
        <v>3842</v>
      </c>
      <c r="H834" t="s">
        <v>176</v>
      </c>
      <c r="I834" t="s">
        <v>148</v>
      </c>
      <c r="J834" t="s">
        <v>149</v>
      </c>
      <c r="K834" t="s">
        <v>1666</v>
      </c>
      <c r="L834" t="s">
        <v>65</v>
      </c>
      <c r="M834" t="b">
        <v>0</v>
      </c>
      <c r="N834" t="s">
        <v>6765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1</v>
      </c>
      <c r="U834" t="b">
        <v>0</v>
      </c>
      <c r="V834" t="b">
        <v>1</v>
      </c>
      <c r="W834" t="b">
        <v>1</v>
      </c>
      <c r="X834" t="b">
        <v>0</v>
      </c>
      <c r="Y834" t="b">
        <v>1</v>
      </c>
      <c r="Z834" t="b">
        <v>1</v>
      </c>
      <c r="AA834" t="b">
        <v>0</v>
      </c>
      <c r="AB834" t="s">
        <v>4979</v>
      </c>
      <c r="AC834" t="s">
        <v>8365</v>
      </c>
    </row>
    <row r="835" spans="1:29" x14ac:dyDescent="0.3">
      <c r="A835">
        <v>-73.975613539999998</v>
      </c>
      <c r="B835">
        <v>40.791248719999999</v>
      </c>
      <c r="C835" t="s">
        <v>200</v>
      </c>
      <c r="D835" t="s">
        <v>33</v>
      </c>
      <c r="E835" s="58">
        <v>43386</v>
      </c>
      <c r="F835">
        <v>17</v>
      </c>
      <c r="G835" t="s">
        <v>105</v>
      </c>
      <c r="H835" t="s">
        <v>53</v>
      </c>
      <c r="I835" t="s">
        <v>737</v>
      </c>
      <c r="J835" t="s">
        <v>619</v>
      </c>
      <c r="K835" t="s">
        <v>809</v>
      </c>
      <c r="L835" t="s">
        <v>65</v>
      </c>
      <c r="M835" t="b">
        <v>0</v>
      </c>
      <c r="N835" t="s">
        <v>3132</v>
      </c>
      <c r="O835" t="b">
        <v>1</v>
      </c>
      <c r="P835" t="b">
        <v>0</v>
      </c>
      <c r="Q835" t="b">
        <v>1</v>
      </c>
      <c r="R835" t="b">
        <v>1</v>
      </c>
      <c r="S835" t="b">
        <v>0</v>
      </c>
      <c r="T835" t="b">
        <v>1</v>
      </c>
      <c r="U835" t="b">
        <v>0</v>
      </c>
      <c r="V835" t="b">
        <v>1</v>
      </c>
      <c r="W835" t="b">
        <v>0</v>
      </c>
      <c r="X835" t="b">
        <v>1</v>
      </c>
      <c r="Y835" t="b">
        <v>0</v>
      </c>
      <c r="Z835" t="b">
        <v>1</v>
      </c>
      <c r="AA835" t="b">
        <v>0</v>
      </c>
      <c r="AB835" t="s">
        <v>2778</v>
      </c>
      <c r="AC835" t="s">
        <v>8366</v>
      </c>
    </row>
    <row r="836" spans="1:29" x14ac:dyDescent="0.3">
      <c r="A836">
        <v>-73.965491490000005</v>
      </c>
      <c r="B836">
        <v>40.793491340000003</v>
      </c>
      <c r="C836" t="s">
        <v>2593</v>
      </c>
      <c r="D836" t="s">
        <v>33</v>
      </c>
      <c r="E836" s="58">
        <v>43379</v>
      </c>
      <c r="F836">
        <v>3</v>
      </c>
      <c r="G836" t="s">
        <v>105</v>
      </c>
      <c r="H836" t="s">
        <v>42</v>
      </c>
      <c r="I836" t="s">
        <v>148</v>
      </c>
      <c r="J836" t="s">
        <v>339</v>
      </c>
      <c r="K836" t="s">
        <v>5682</v>
      </c>
      <c r="L836" t="s">
        <v>44</v>
      </c>
      <c r="M836">
        <v>12</v>
      </c>
      <c r="N836" t="s">
        <v>2204</v>
      </c>
      <c r="O836" t="b">
        <v>1</v>
      </c>
      <c r="P836" t="b">
        <v>0</v>
      </c>
      <c r="Q836" t="b">
        <v>1</v>
      </c>
      <c r="R836" t="b">
        <v>1</v>
      </c>
      <c r="S836" t="b">
        <v>1</v>
      </c>
      <c r="T836" t="b">
        <v>0</v>
      </c>
      <c r="U836" t="b">
        <v>0</v>
      </c>
      <c r="V836" t="b">
        <v>1</v>
      </c>
      <c r="W836" t="b">
        <v>0</v>
      </c>
      <c r="X836" t="b">
        <v>1</v>
      </c>
      <c r="Y836" t="b">
        <v>0</v>
      </c>
      <c r="Z836" t="b">
        <v>1</v>
      </c>
      <c r="AA836" t="b">
        <v>0</v>
      </c>
      <c r="AB836" t="s">
        <v>1390</v>
      </c>
      <c r="AC836" t="s">
        <v>8367</v>
      </c>
    </row>
    <row r="837" spans="1:29" x14ac:dyDescent="0.3">
      <c r="A837">
        <v>-73.967988899999995</v>
      </c>
      <c r="B837">
        <v>40.788023870000004</v>
      </c>
      <c r="C837" t="s">
        <v>761</v>
      </c>
      <c r="D837" t="s">
        <v>33</v>
      </c>
      <c r="E837" s="58">
        <v>43393</v>
      </c>
      <c r="F837">
        <v>16</v>
      </c>
      <c r="G837" t="s">
        <v>105</v>
      </c>
      <c r="H837" t="s">
        <v>176</v>
      </c>
      <c r="I837" t="s">
        <v>115</v>
      </c>
      <c r="J837" t="s">
        <v>177</v>
      </c>
      <c r="K837" t="s">
        <v>3182</v>
      </c>
      <c r="L837" t="s">
        <v>44</v>
      </c>
      <c r="M837">
        <v>6</v>
      </c>
      <c r="N837" t="s">
        <v>3013</v>
      </c>
      <c r="O837" t="b">
        <v>0</v>
      </c>
      <c r="P837" t="b">
        <v>1</v>
      </c>
      <c r="Q837" t="b">
        <v>0</v>
      </c>
      <c r="R837" t="b">
        <v>0</v>
      </c>
      <c r="S837" t="b">
        <v>1</v>
      </c>
      <c r="T837" t="b">
        <v>1</v>
      </c>
      <c r="U837" t="b">
        <v>0</v>
      </c>
      <c r="V837" t="b">
        <v>0</v>
      </c>
      <c r="W837" t="b">
        <v>1</v>
      </c>
      <c r="X837" t="b">
        <v>1</v>
      </c>
      <c r="Y837" t="b">
        <v>0</v>
      </c>
      <c r="Z837" t="b">
        <v>0</v>
      </c>
      <c r="AA837" t="b">
        <v>1</v>
      </c>
      <c r="AB837" t="s">
        <v>2916</v>
      </c>
      <c r="AC837" t="s">
        <v>8368</v>
      </c>
    </row>
    <row r="838" spans="1:29" x14ac:dyDescent="0.3">
      <c r="A838">
        <v>-73.952398740000007</v>
      </c>
      <c r="B838">
        <v>40.76942064</v>
      </c>
      <c r="C838" t="s">
        <v>1635</v>
      </c>
      <c r="D838" t="s">
        <v>33</v>
      </c>
      <c r="E838" s="58">
        <v>43390</v>
      </c>
      <c r="F838">
        <v>14</v>
      </c>
      <c r="G838" t="s">
        <v>3842</v>
      </c>
      <c r="H838" t="s">
        <v>53</v>
      </c>
      <c r="I838" t="s">
        <v>737</v>
      </c>
      <c r="J838" t="s">
        <v>339</v>
      </c>
      <c r="K838" t="s">
        <v>64</v>
      </c>
      <c r="L838" t="s">
        <v>44</v>
      </c>
      <c r="M838">
        <v>15</v>
      </c>
      <c r="N838" t="s">
        <v>1642</v>
      </c>
      <c r="O838" t="b">
        <v>0</v>
      </c>
      <c r="P838" t="b">
        <v>1</v>
      </c>
      <c r="Q838" t="b">
        <v>0</v>
      </c>
      <c r="R838" t="b">
        <v>1</v>
      </c>
      <c r="S838" t="b">
        <v>1</v>
      </c>
      <c r="T838" t="b">
        <v>0</v>
      </c>
      <c r="U838" t="b">
        <v>1</v>
      </c>
      <c r="V838" t="b">
        <v>1</v>
      </c>
      <c r="W838" t="b">
        <v>0</v>
      </c>
      <c r="X838" t="b">
        <v>0</v>
      </c>
      <c r="Y838" t="b">
        <v>1</v>
      </c>
      <c r="Z838" t="b">
        <v>0</v>
      </c>
      <c r="AA838" t="b">
        <v>0</v>
      </c>
      <c r="AB838" t="s">
        <v>436</v>
      </c>
      <c r="AC838" t="s">
        <v>8369</v>
      </c>
    </row>
    <row r="839" spans="1:29" x14ac:dyDescent="0.3">
      <c r="A839">
        <v>-73.969766070000006</v>
      </c>
      <c r="B839">
        <v>40.77682034</v>
      </c>
      <c r="C839" t="s">
        <v>1320</v>
      </c>
      <c r="D839" t="s">
        <v>33</v>
      </c>
      <c r="E839" s="58">
        <v>43386</v>
      </c>
      <c r="F839">
        <v>30</v>
      </c>
      <c r="G839" t="s">
        <v>105</v>
      </c>
      <c r="H839" t="s">
        <v>176</v>
      </c>
      <c r="I839" t="s">
        <v>59</v>
      </c>
      <c r="J839" t="s">
        <v>1922</v>
      </c>
      <c r="K839" t="s">
        <v>7370</v>
      </c>
      <c r="L839" t="s">
        <v>65</v>
      </c>
      <c r="M839" t="b">
        <v>0</v>
      </c>
      <c r="N839" t="s">
        <v>257</v>
      </c>
      <c r="O839" t="b">
        <v>1</v>
      </c>
      <c r="P839" t="b">
        <v>0</v>
      </c>
      <c r="Q839" t="b">
        <v>1</v>
      </c>
      <c r="R839" t="b">
        <v>0</v>
      </c>
      <c r="S839" t="b">
        <v>0</v>
      </c>
      <c r="T839" t="b">
        <v>1</v>
      </c>
      <c r="U839" t="b">
        <v>1</v>
      </c>
      <c r="V839" t="b">
        <v>0</v>
      </c>
      <c r="W839" t="b">
        <v>1</v>
      </c>
      <c r="X839" t="b">
        <v>0</v>
      </c>
      <c r="Y839" t="b">
        <v>0</v>
      </c>
      <c r="Z839" t="b">
        <v>0</v>
      </c>
      <c r="AA839" t="b">
        <v>0</v>
      </c>
      <c r="AB839" t="s">
        <v>3799</v>
      </c>
      <c r="AC839" t="s">
        <v>8370</v>
      </c>
    </row>
    <row r="840" spans="1:29" x14ac:dyDescent="0.3">
      <c r="A840">
        <v>-73.96290673</v>
      </c>
      <c r="B840">
        <v>40.797586500000001</v>
      </c>
      <c r="C840" t="s">
        <v>1404</v>
      </c>
      <c r="D840" t="s">
        <v>38</v>
      </c>
      <c r="E840" s="58">
        <v>43386</v>
      </c>
      <c r="F840">
        <v>20</v>
      </c>
      <c r="G840" t="s">
        <v>3842</v>
      </c>
      <c r="H840" t="s">
        <v>176</v>
      </c>
      <c r="I840" t="s">
        <v>53</v>
      </c>
      <c r="J840" t="s">
        <v>339</v>
      </c>
      <c r="K840" t="s">
        <v>6109</v>
      </c>
      <c r="L840" t="s">
        <v>44</v>
      </c>
      <c r="M840">
        <v>6</v>
      </c>
      <c r="N840" t="s">
        <v>4323</v>
      </c>
      <c r="O840" t="b">
        <v>0</v>
      </c>
      <c r="P840" t="b">
        <v>0</v>
      </c>
      <c r="Q840" t="b">
        <v>0</v>
      </c>
      <c r="R840" t="b">
        <v>1</v>
      </c>
      <c r="S840" t="b">
        <v>0</v>
      </c>
      <c r="T840" t="b">
        <v>0</v>
      </c>
      <c r="U840" t="b">
        <v>0</v>
      </c>
      <c r="V840" t="b">
        <v>0</v>
      </c>
      <c r="W840" t="b">
        <v>1</v>
      </c>
      <c r="X840" t="b">
        <v>1</v>
      </c>
      <c r="Y840" t="b">
        <v>0</v>
      </c>
      <c r="Z840" t="b">
        <v>0</v>
      </c>
      <c r="AA840" t="b">
        <v>1</v>
      </c>
      <c r="AB840" t="s">
        <v>1284</v>
      </c>
      <c r="AC840" t="s">
        <v>8371</v>
      </c>
    </row>
    <row r="841" spans="1:29" x14ac:dyDescent="0.3">
      <c r="A841">
        <v>-73.961282209999993</v>
      </c>
      <c r="B841">
        <v>40.772818899999997</v>
      </c>
      <c r="C841" t="s">
        <v>85</v>
      </c>
      <c r="D841" t="s">
        <v>38</v>
      </c>
      <c r="E841" s="58">
        <v>43380</v>
      </c>
      <c r="F841">
        <v>29</v>
      </c>
      <c r="G841" t="s">
        <v>48</v>
      </c>
      <c r="H841" t="s">
        <v>42</v>
      </c>
      <c r="I841" t="s">
        <v>53</v>
      </c>
      <c r="J841" t="s">
        <v>1142</v>
      </c>
      <c r="K841" t="s">
        <v>2311</v>
      </c>
      <c r="L841" t="s">
        <v>65</v>
      </c>
      <c r="M841" t="b">
        <v>0</v>
      </c>
      <c r="N841" t="s">
        <v>6948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1</v>
      </c>
      <c r="U841" t="b">
        <v>1</v>
      </c>
      <c r="V841" t="b">
        <v>0</v>
      </c>
      <c r="W841" t="b">
        <v>0</v>
      </c>
      <c r="X841" t="b">
        <v>1</v>
      </c>
      <c r="Y841" t="b">
        <v>1</v>
      </c>
      <c r="Z841" t="b">
        <v>1</v>
      </c>
      <c r="AA841" t="b">
        <v>0</v>
      </c>
      <c r="AB841" t="s">
        <v>340</v>
      </c>
      <c r="AC841" t="s">
        <v>8372</v>
      </c>
    </row>
    <row r="842" spans="1:29" x14ac:dyDescent="0.3">
      <c r="A842">
        <v>-73.980746929999995</v>
      </c>
      <c r="B842">
        <v>40.778013870000002</v>
      </c>
      <c r="C842" t="s">
        <v>1199</v>
      </c>
      <c r="D842" t="s">
        <v>38</v>
      </c>
      <c r="E842" s="58">
        <v>43382</v>
      </c>
      <c r="F842">
        <v>13</v>
      </c>
      <c r="G842" t="s">
        <v>3842</v>
      </c>
      <c r="H842" t="s">
        <v>42</v>
      </c>
      <c r="I842" t="s">
        <v>96</v>
      </c>
      <c r="J842" t="s">
        <v>79</v>
      </c>
      <c r="K842" t="s">
        <v>7178</v>
      </c>
      <c r="L842" t="s">
        <v>65</v>
      </c>
      <c r="M842" t="b">
        <v>0</v>
      </c>
      <c r="N842" t="s">
        <v>6646</v>
      </c>
      <c r="O842" t="b">
        <v>1</v>
      </c>
      <c r="P842" t="b">
        <v>1</v>
      </c>
      <c r="Q842" t="b">
        <v>0</v>
      </c>
      <c r="R842" t="b">
        <v>1</v>
      </c>
      <c r="S842" t="b">
        <v>1</v>
      </c>
      <c r="T842" t="b">
        <v>1</v>
      </c>
      <c r="U842" t="b">
        <v>1</v>
      </c>
      <c r="V842" t="b">
        <v>0</v>
      </c>
      <c r="W842" t="b">
        <v>1</v>
      </c>
      <c r="X842" t="b">
        <v>0</v>
      </c>
      <c r="Y842" t="b">
        <v>0</v>
      </c>
      <c r="Z842" t="b">
        <v>0</v>
      </c>
      <c r="AA842" t="b">
        <v>0</v>
      </c>
      <c r="AB842" t="s">
        <v>2131</v>
      </c>
      <c r="AC842" t="s">
        <v>8373</v>
      </c>
    </row>
    <row r="843" spans="1:29" x14ac:dyDescent="0.3">
      <c r="A843">
        <v>-73.960299079999999</v>
      </c>
      <c r="B843">
        <v>40.780123170000003</v>
      </c>
      <c r="C843" t="s">
        <v>1336</v>
      </c>
      <c r="D843" t="s">
        <v>33</v>
      </c>
      <c r="E843" s="58">
        <v>43384</v>
      </c>
      <c r="F843">
        <v>15</v>
      </c>
      <c r="G843" t="s">
        <v>48</v>
      </c>
      <c r="H843" t="s">
        <v>53</v>
      </c>
      <c r="I843" t="s">
        <v>148</v>
      </c>
      <c r="J843" t="s">
        <v>3228</v>
      </c>
      <c r="K843" t="s">
        <v>5481</v>
      </c>
      <c r="L843" t="s">
        <v>65</v>
      </c>
      <c r="M843" t="b">
        <v>0</v>
      </c>
      <c r="N843" t="s">
        <v>2563</v>
      </c>
      <c r="O843" t="b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1</v>
      </c>
      <c r="Z843" t="b">
        <v>0</v>
      </c>
      <c r="AA843" t="b">
        <v>1</v>
      </c>
      <c r="AB843" t="s">
        <v>6579</v>
      </c>
      <c r="AC843" t="s">
        <v>8374</v>
      </c>
    </row>
    <row r="844" spans="1:29" x14ac:dyDescent="0.3">
      <c r="A844">
        <v>-73.9755617</v>
      </c>
      <c r="B844">
        <v>40.780381169999998</v>
      </c>
      <c r="C844" t="s">
        <v>478</v>
      </c>
      <c r="D844" t="s">
        <v>33</v>
      </c>
      <c r="E844" s="58">
        <v>43390</v>
      </c>
      <c r="F844">
        <v>14</v>
      </c>
      <c r="G844" t="s">
        <v>3842</v>
      </c>
      <c r="H844" t="s">
        <v>42</v>
      </c>
      <c r="I844" t="s">
        <v>1921</v>
      </c>
      <c r="J844" t="s">
        <v>339</v>
      </c>
      <c r="K844" t="s">
        <v>5038</v>
      </c>
      <c r="L844" t="s">
        <v>65</v>
      </c>
      <c r="M844" t="b">
        <v>0</v>
      </c>
      <c r="N844" t="s">
        <v>6814</v>
      </c>
      <c r="O844" t="b">
        <v>1</v>
      </c>
      <c r="P844" t="b">
        <v>1</v>
      </c>
      <c r="Q844" t="b">
        <v>0</v>
      </c>
      <c r="R844" t="b">
        <v>0</v>
      </c>
      <c r="S844" t="b">
        <v>1</v>
      </c>
      <c r="T844" t="b">
        <v>0</v>
      </c>
      <c r="U844" t="b">
        <v>1</v>
      </c>
      <c r="V844" t="b">
        <v>1</v>
      </c>
      <c r="W844" t="b">
        <v>1</v>
      </c>
      <c r="X844" t="b">
        <v>0</v>
      </c>
      <c r="Y844" t="b">
        <v>1</v>
      </c>
      <c r="Z844" t="b">
        <v>0</v>
      </c>
      <c r="AA844" t="b">
        <v>1</v>
      </c>
      <c r="AB844" t="s">
        <v>5800</v>
      </c>
      <c r="AC844" t="s">
        <v>8375</v>
      </c>
    </row>
    <row r="845" spans="1:29" x14ac:dyDescent="0.3">
      <c r="A845">
        <v>-73.950945590000003</v>
      </c>
      <c r="B845">
        <v>40.786490950000001</v>
      </c>
      <c r="C845" t="s">
        <v>160</v>
      </c>
      <c r="D845" t="s">
        <v>33</v>
      </c>
      <c r="E845" s="58">
        <v>43389</v>
      </c>
      <c r="F845">
        <v>24</v>
      </c>
      <c r="G845" t="s">
        <v>105</v>
      </c>
      <c r="H845" t="s">
        <v>53</v>
      </c>
      <c r="I845" t="s">
        <v>53</v>
      </c>
      <c r="J845" t="s">
        <v>3580</v>
      </c>
      <c r="K845" t="s">
        <v>4791</v>
      </c>
      <c r="L845" t="s">
        <v>44</v>
      </c>
      <c r="M845">
        <v>2</v>
      </c>
      <c r="N845" t="s">
        <v>1337</v>
      </c>
      <c r="O845" t="b">
        <v>1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1</v>
      </c>
      <c r="V845" t="b">
        <v>0</v>
      </c>
      <c r="W845" t="b">
        <v>1</v>
      </c>
      <c r="X845" t="b">
        <v>0</v>
      </c>
      <c r="Y845" t="b">
        <v>1</v>
      </c>
      <c r="Z845" t="b">
        <v>1</v>
      </c>
      <c r="AA845" t="b">
        <v>1</v>
      </c>
      <c r="AB845" t="s">
        <v>2514</v>
      </c>
      <c r="AC845" t="s">
        <v>8376</v>
      </c>
    </row>
    <row r="846" spans="1:29" x14ac:dyDescent="0.3">
      <c r="A846">
        <v>-73.976485100000005</v>
      </c>
      <c r="B846">
        <v>40.798114339999998</v>
      </c>
      <c r="C846" t="s">
        <v>95</v>
      </c>
      <c r="D846" t="s">
        <v>38</v>
      </c>
      <c r="E846" s="58">
        <v>43387</v>
      </c>
      <c r="F846">
        <v>25</v>
      </c>
      <c r="G846" t="s">
        <v>3842</v>
      </c>
      <c r="H846" t="s">
        <v>176</v>
      </c>
      <c r="I846" t="s">
        <v>53</v>
      </c>
      <c r="J846" t="s">
        <v>177</v>
      </c>
      <c r="K846" t="s">
        <v>3883</v>
      </c>
      <c r="L846" t="s">
        <v>44</v>
      </c>
      <c r="M846">
        <v>7</v>
      </c>
      <c r="N846" t="s">
        <v>1068</v>
      </c>
      <c r="O846" t="b">
        <v>0</v>
      </c>
      <c r="P846" t="b">
        <v>0</v>
      </c>
      <c r="Q846" t="b">
        <v>1</v>
      </c>
      <c r="R846" t="b">
        <v>1</v>
      </c>
      <c r="S846" t="b">
        <v>0</v>
      </c>
      <c r="T846" t="b">
        <v>1</v>
      </c>
      <c r="U846" t="b">
        <v>0</v>
      </c>
      <c r="V846" t="b">
        <v>0</v>
      </c>
      <c r="W846" t="b">
        <v>1</v>
      </c>
      <c r="X846" t="b">
        <v>1</v>
      </c>
      <c r="Y846" t="b">
        <v>1</v>
      </c>
      <c r="Z846" t="b">
        <v>0</v>
      </c>
      <c r="AA846" t="b">
        <v>0</v>
      </c>
      <c r="AB846" t="s">
        <v>4641</v>
      </c>
      <c r="AC846" t="s">
        <v>8377</v>
      </c>
    </row>
    <row r="847" spans="1:29" x14ac:dyDescent="0.3">
      <c r="A847">
        <v>-73.968124119999999</v>
      </c>
      <c r="B847">
        <v>40.77338494</v>
      </c>
      <c r="C847" t="s">
        <v>693</v>
      </c>
      <c r="D847" t="s">
        <v>38</v>
      </c>
      <c r="E847" s="58">
        <v>43393</v>
      </c>
      <c r="F847">
        <v>19</v>
      </c>
      <c r="G847" t="s">
        <v>105</v>
      </c>
      <c r="H847" t="s">
        <v>176</v>
      </c>
      <c r="I847" t="s">
        <v>115</v>
      </c>
      <c r="J847" t="s">
        <v>149</v>
      </c>
      <c r="K847" t="s">
        <v>1666</v>
      </c>
      <c r="L847" t="s">
        <v>65</v>
      </c>
      <c r="M847" t="b">
        <v>0</v>
      </c>
      <c r="N847" t="s">
        <v>1072</v>
      </c>
      <c r="O847" t="b">
        <v>1</v>
      </c>
      <c r="P847" t="b">
        <v>0</v>
      </c>
      <c r="Q847" t="b">
        <v>1</v>
      </c>
      <c r="R847" t="b">
        <v>0</v>
      </c>
      <c r="S847" t="b">
        <v>0</v>
      </c>
      <c r="T847" t="b">
        <v>1</v>
      </c>
      <c r="U847" t="b">
        <v>0</v>
      </c>
      <c r="V847" t="b">
        <v>0</v>
      </c>
      <c r="W847" t="b">
        <v>1</v>
      </c>
      <c r="X847" t="b">
        <v>1</v>
      </c>
      <c r="Y847" t="b">
        <v>1</v>
      </c>
      <c r="Z847" t="b">
        <v>0</v>
      </c>
      <c r="AA847" t="b">
        <v>1</v>
      </c>
      <c r="AB847" t="s">
        <v>5399</v>
      </c>
      <c r="AC847" t="s">
        <v>8378</v>
      </c>
    </row>
    <row r="848" spans="1:29" x14ac:dyDescent="0.3">
      <c r="A848">
        <v>-73.978475459999999</v>
      </c>
      <c r="B848">
        <v>40.769188470000003</v>
      </c>
      <c r="C848" t="s">
        <v>4378</v>
      </c>
      <c r="D848" t="s">
        <v>33</v>
      </c>
      <c r="E848" s="58">
        <v>43386</v>
      </c>
      <c r="F848">
        <v>6</v>
      </c>
      <c r="G848" t="s">
        <v>48</v>
      </c>
      <c r="H848" t="s">
        <v>53</v>
      </c>
      <c r="I848" t="s">
        <v>5105</v>
      </c>
      <c r="J848" t="s">
        <v>1922</v>
      </c>
      <c r="K848" t="s">
        <v>3758</v>
      </c>
      <c r="L848" t="s">
        <v>44</v>
      </c>
      <c r="M848">
        <v>30</v>
      </c>
      <c r="N848" t="s">
        <v>2619</v>
      </c>
      <c r="O848" t="b">
        <v>1</v>
      </c>
      <c r="P848" t="b">
        <v>0</v>
      </c>
      <c r="Q848" t="b">
        <v>1</v>
      </c>
      <c r="R848" t="b">
        <v>0</v>
      </c>
      <c r="S848" t="b">
        <v>1</v>
      </c>
      <c r="T848" t="b">
        <v>1</v>
      </c>
      <c r="U848" t="b">
        <v>1</v>
      </c>
      <c r="V848" t="b">
        <v>1</v>
      </c>
      <c r="W848" t="b">
        <v>0</v>
      </c>
      <c r="X848" t="b">
        <v>0</v>
      </c>
      <c r="Y848" t="b">
        <v>0</v>
      </c>
      <c r="Z848" t="b">
        <v>0</v>
      </c>
      <c r="AA848" t="b">
        <v>1</v>
      </c>
      <c r="AB848" t="s">
        <v>1146</v>
      </c>
      <c r="AC848" t="s">
        <v>8379</v>
      </c>
    </row>
    <row r="849" spans="1:29" x14ac:dyDescent="0.3">
      <c r="A849">
        <v>-73.949820029999998</v>
      </c>
      <c r="B849">
        <v>40.771863179999997</v>
      </c>
      <c r="C849" t="s">
        <v>886</v>
      </c>
      <c r="D849" t="s">
        <v>38</v>
      </c>
      <c r="E849" s="58">
        <v>43390</v>
      </c>
      <c r="F849">
        <v>10</v>
      </c>
      <c r="G849" t="s">
        <v>3842</v>
      </c>
      <c r="H849" t="s">
        <v>176</v>
      </c>
      <c r="I849" t="s">
        <v>115</v>
      </c>
      <c r="J849" t="s">
        <v>54</v>
      </c>
      <c r="K849" t="s">
        <v>7046</v>
      </c>
      <c r="L849" t="s">
        <v>44</v>
      </c>
      <c r="M849">
        <v>8</v>
      </c>
      <c r="N849" t="s">
        <v>3536</v>
      </c>
      <c r="O849" t="b">
        <v>0</v>
      </c>
      <c r="P849" t="b">
        <v>0</v>
      </c>
      <c r="Q849" t="b">
        <v>1</v>
      </c>
      <c r="R849" t="b">
        <v>1</v>
      </c>
      <c r="S849" t="b">
        <v>0</v>
      </c>
      <c r="T849" t="b">
        <v>1</v>
      </c>
      <c r="U849" t="b">
        <v>0</v>
      </c>
      <c r="V849" t="b">
        <v>1</v>
      </c>
      <c r="W849" t="b">
        <v>1</v>
      </c>
      <c r="X849" t="b">
        <v>0</v>
      </c>
      <c r="Y849" t="b">
        <v>1</v>
      </c>
      <c r="Z849" t="b">
        <v>1</v>
      </c>
      <c r="AA849" t="b">
        <v>0</v>
      </c>
      <c r="AB849" t="s">
        <v>488</v>
      </c>
      <c r="AC849" t="s">
        <v>8380</v>
      </c>
    </row>
    <row r="850" spans="1:29" x14ac:dyDescent="0.3">
      <c r="A850">
        <v>-73.965371169999997</v>
      </c>
      <c r="B850">
        <v>40.796137389999998</v>
      </c>
      <c r="C850" t="s">
        <v>2864</v>
      </c>
      <c r="D850" t="s">
        <v>33</v>
      </c>
      <c r="E850" s="58">
        <v>43393</v>
      </c>
      <c r="F850">
        <v>27</v>
      </c>
      <c r="G850" t="s">
        <v>105</v>
      </c>
      <c r="H850" t="s">
        <v>42</v>
      </c>
      <c r="I850" t="s">
        <v>115</v>
      </c>
      <c r="J850" t="s">
        <v>3228</v>
      </c>
      <c r="K850" t="s">
        <v>4814</v>
      </c>
      <c r="L850" t="s">
        <v>44</v>
      </c>
      <c r="M850">
        <v>2</v>
      </c>
      <c r="N850" t="s">
        <v>236</v>
      </c>
      <c r="O850" t="b">
        <v>0</v>
      </c>
      <c r="P850" t="b">
        <v>1</v>
      </c>
      <c r="Q850" t="b">
        <v>0</v>
      </c>
      <c r="R850" t="b">
        <v>1</v>
      </c>
      <c r="S850" t="b">
        <v>1</v>
      </c>
      <c r="T850" t="b">
        <v>0</v>
      </c>
      <c r="U850" t="b">
        <v>0</v>
      </c>
      <c r="V850" t="b">
        <v>1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s">
        <v>1432</v>
      </c>
      <c r="AC850" t="s">
        <v>8381</v>
      </c>
    </row>
    <row r="851" spans="1:29" x14ac:dyDescent="0.3">
      <c r="A851">
        <v>-73.962441569999996</v>
      </c>
      <c r="B851">
        <v>40.787648279999999</v>
      </c>
      <c r="C851" t="s">
        <v>478</v>
      </c>
      <c r="D851" t="s">
        <v>38</v>
      </c>
      <c r="E851" s="58">
        <v>43386</v>
      </c>
      <c r="F851">
        <v>15</v>
      </c>
      <c r="G851" t="s">
        <v>48</v>
      </c>
      <c r="H851" t="s">
        <v>176</v>
      </c>
      <c r="I851" t="s">
        <v>5105</v>
      </c>
      <c r="J851" t="s">
        <v>1233</v>
      </c>
      <c r="K851" t="s">
        <v>2517</v>
      </c>
      <c r="L851" t="s">
        <v>65</v>
      </c>
      <c r="M851" t="b">
        <v>0</v>
      </c>
      <c r="N851" t="s">
        <v>922</v>
      </c>
      <c r="O851" t="b">
        <v>0</v>
      </c>
      <c r="P851" t="b">
        <v>0</v>
      </c>
      <c r="Q851" t="b">
        <v>1</v>
      </c>
      <c r="R851" t="b">
        <v>1</v>
      </c>
      <c r="S851" t="b">
        <v>0</v>
      </c>
      <c r="T851" t="b">
        <v>0</v>
      </c>
      <c r="U851" t="b">
        <v>0</v>
      </c>
      <c r="V851" t="b">
        <v>1</v>
      </c>
      <c r="W851" t="b">
        <v>0</v>
      </c>
      <c r="X851" t="b">
        <v>1</v>
      </c>
      <c r="Y851" t="b">
        <v>1</v>
      </c>
      <c r="Z851" t="b">
        <v>1</v>
      </c>
      <c r="AA851" t="b">
        <v>0</v>
      </c>
      <c r="AB851" t="s">
        <v>5656</v>
      </c>
      <c r="AC851" t="s">
        <v>8382</v>
      </c>
    </row>
    <row r="852" spans="1:29" x14ac:dyDescent="0.3">
      <c r="A852">
        <v>-73.979049910000001</v>
      </c>
      <c r="B852">
        <v>40.77497683</v>
      </c>
      <c r="C852" t="s">
        <v>520</v>
      </c>
      <c r="D852" t="s">
        <v>38</v>
      </c>
      <c r="E852" s="58">
        <v>43385</v>
      </c>
      <c r="F852">
        <v>21</v>
      </c>
      <c r="G852" t="s">
        <v>48</v>
      </c>
      <c r="H852" t="s">
        <v>42</v>
      </c>
      <c r="I852" t="s">
        <v>148</v>
      </c>
      <c r="J852" t="s">
        <v>705</v>
      </c>
      <c r="K852" t="s">
        <v>7359</v>
      </c>
      <c r="L852" t="s">
        <v>44</v>
      </c>
      <c r="M852">
        <v>12</v>
      </c>
      <c r="N852" t="s">
        <v>5606</v>
      </c>
      <c r="O852" t="b">
        <v>0</v>
      </c>
      <c r="P852" t="b">
        <v>1</v>
      </c>
      <c r="Q852" t="b">
        <v>0</v>
      </c>
      <c r="R852" t="b">
        <v>1</v>
      </c>
      <c r="S852" t="b">
        <v>0</v>
      </c>
      <c r="T852" t="b">
        <v>1</v>
      </c>
      <c r="U852" t="b">
        <v>1</v>
      </c>
      <c r="V852" t="b">
        <v>0</v>
      </c>
      <c r="W852" t="b">
        <v>1</v>
      </c>
      <c r="X852" t="b">
        <v>1</v>
      </c>
      <c r="Y852" t="b">
        <v>0</v>
      </c>
      <c r="Z852" t="b">
        <v>1</v>
      </c>
      <c r="AA852" t="b">
        <v>0</v>
      </c>
      <c r="AB852" t="s">
        <v>5863</v>
      </c>
      <c r="AC852" t="s">
        <v>8383</v>
      </c>
    </row>
    <row r="853" spans="1:29" x14ac:dyDescent="0.3">
      <c r="A853">
        <v>-73.957582209999998</v>
      </c>
      <c r="B853">
        <v>40.79363841</v>
      </c>
      <c r="C853" t="s">
        <v>928</v>
      </c>
      <c r="D853" t="s">
        <v>38</v>
      </c>
      <c r="E853" s="58">
        <v>43392</v>
      </c>
      <c r="F853">
        <v>22</v>
      </c>
      <c r="G853" t="s">
        <v>3842</v>
      </c>
      <c r="H853" t="s">
        <v>53</v>
      </c>
      <c r="I853" t="s">
        <v>737</v>
      </c>
      <c r="J853" t="s">
        <v>34</v>
      </c>
      <c r="K853" t="s">
        <v>3182</v>
      </c>
      <c r="L853" t="s">
        <v>44</v>
      </c>
      <c r="M853">
        <v>10</v>
      </c>
      <c r="N853" t="s">
        <v>6718</v>
      </c>
      <c r="O853" t="b">
        <v>1</v>
      </c>
      <c r="P853" t="b">
        <v>1</v>
      </c>
      <c r="Q853" t="b">
        <v>0</v>
      </c>
      <c r="R853" t="b">
        <v>0</v>
      </c>
      <c r="S853" t="b">
        <v>0</v>
      </c>
      <c r="T853" t="b">
        <v>1</v>
      </c>
      <c r="U853" t="b">
        <v>0</v>
      </c>
      <c r="V853" t="b">
        <v>1</v>
      </c>
      <c r="W853" t="b">
        <v>0</v>
      </c>
      <c r="X853" t="b">
        <v>0</v>
      </c>
      <c r="Y853" t="b">
        <v>1</v>
      </c>
      <c r="Z853" t="b">
        <v>0</v>
      </c>
      <c r="AA853" t="b">
        <v>0</v>
      </c>
      <c r="AB853" t="s">
        <v>1367</v>
      </c>
      <c r="AC853" t="s">
        <v>8384</v>
      </c>
    </row>
    <row r="854" spans="1:29" x14ac:dyDescent="0.3">
      <c r="A854">
        <v>-73.974559819999996</v>
      </c>
      <c r="B854">
        <v>40.795237649999997</v>
      </c>
      <c r="C854" t="s">
        <v>1407</v>
      </c>
      <c r="D854" t="s">
        <v>33</v>
      </c>
      <c r="E854" s="58">
        <v>43391</v>
      </c>
      <c r="F854">
        <v>20</v>
      </c>
      <c r="G854" t="s">
        <v>48</v>
      </c>
      <c r="H854" t="s">
        <v>53</v>
      </c>
      <c r="I854" t="s">
        <v>42</v>
      </c>
      <c r="J854" t="s">
        <v>1233</v>
      </c>
      <c r="K854" t="s">
        <v>1813</v>
      </c>
      <c r="L854" t="s">
        <v>44</v>
      </c>
      <c r="M854">
        <v>25</v>
      </c>
      <c r="N854" t="s">
        <v>2204</v>
      </c>
      <c r="O854" t="b">
        <v>0</v>
      </c>
      <c r="P854" t="b">
        <v>0</v>
      </c>
      <c r="Q854" t="b">
        <v>1</v>
      </c>
      <c r="R854" t="b">
        <v>1</v>
      </c>
      <c r="S854" t="b">
        <v>0</v>
      </c>
      <c r="T854" t="b">
        <v>1</v>
      </c>
      <c r="U854" t="b">
        <v>0</v>
      </c>
      <c r="V854" t="b">
        <v>0</v>
      </c>
      <c r="W854" t="b">
        <v>1</v>
      </c>
      <c r="X854" t="b">
        <v>0</v>
      </c>
      <c r="Y854" t="b">
        <v>1</v>
      </c>
      <c r="Z854" t="b">
        <v>1</v>
      </c>
      <c r="AA854" t="b">
        <v>1</v>
      </c>
      <c r="AB854" t="s">
        <v>5284</v>
      </c>
      <c r="AC854" t="s">
        <v>8385</v>
      </c>
    </row>
    <row r="855" spans="1:29" x14ac:dyDescent="0.3">
      <c r="A855">
        <v>-73.95292662</v>
      </c>
      <c r="B855">
        <v>40.794714620000001</v>
      </c>
      <c r="C855" t="s">
        <v>863</v>
      </c>
      <c r="D855" t="s">
        <v>38</v>
      </c>
      <c r="E855" s="58">
        <v>43387</v>
      </c>
      <c r="F855">
        <v>26</v>
      </c>
      <c r="G855" t="s">
        <v>105</v>
      </c>
      <c r="H855" t="s">
        <v>176</v>
      </c>
      <c r="I855" t="s">
        <v>1921</v>
      </c>
      <c r="J855" t="s">
        <v>116</v>
      </c>
      <c r="K855" t="s">
        <v>2282</v>
      </c>
      <c r="L855" t="s">
        <v>44</v>
      </c>
      <c r="M855">
        <v>40</v>
      </c>
      <c r="N855" t="s">
        <v>535</v>
      </c>
      <c r="O855" t="b">
        <v>0</v>
      </c>
      <c r="P855" t="b">
        <v>1</v>
      </c>
      <c r="Q855" t="b">
        <v>1</v>
      </c>
      <c r="R855" t="b">
        <v>1</v>
      </c>
      <c r="S855" t="b">
        <v>1</v>
      </c>
      <c r="T855" t="b">
        <v>0</v>
      </c>
      <c r="U855" t="b">
        <v>1</v>
      </c>
      <c r="V855" t="b">
        <v>1</v>
      </c>
      <c r="W855" t="b">
        <v>0</v>
      </c>
      <c r="X855" t="b">
        <v>0</v>
      </c>
      <c r="Y855" t="b">
        <v>1</v>
      </c>
      <c r="Z855" t="b">
        <v>0</v>
      </c>
      <c r="AA855" t="b">
        <v>1</v>
      </c>
      <c r="AB855" t="s">
        <v>488</v>
      </c>
      <c r="AC855" t="s">
        <v>8386</v>
      </c>
    </row>
    <row r="856" spans="1:29" x14ac:dyDescent="0.3">
      <c r="A856">
        <v>-73.97470964</v>
      </c>
      <c r="B856">
        <v>40.7972641</v>
      </c>
      <c r="C856" t="s">
        <v>1240</v>
      </c>
      <c r="D856" t="s">
        <v>38</v>
      </c>
      <c r="E856" s="58">
        <v>43393</v>
      </c>
      <c r="F856">
        <v>6</v>
      </c>
      <c r="G856" t="s">
        <v>48</v>
      </c>
      <c r="H856" t="s">
        <v>176</v>
      </c>
      <c r="I856" t="s">
        <v>53</v>
      </c>
      <c r="J856" t="s">
        <v>79</v>
      </c>
      <c r="K856" t="s">
        <v>6299</v>
      </c>
      <c r="L856" t="s">
        <v>44</v>
      </c>
      <c r="M856">
        <v>40</v>
      </c>
      <c r="N856" t="s">
        <v>4282</v>
      </c>
      <c r="O856" t="b">
        <v>1</v>
      </c>
      <c r="P856" t="b">
        <v>1</v>
      </c>
      <c r="Q856" t="b">
        <v>0</v>
      </c>
      <c r="R856" t="b">
        <v>1</v>
      </c>
      <c r="S856" t="b">
        <v>0</v>
      </c>
      <c r="T856" t="b">
        <v>0</v>
      </c>
      <c r="U856" t="b">
        <v>1</v>
      </c>
      <c r="V856" t="b">
        <v>1</v>
      </c>
      <c r="W856" t="b">
        <v>0</v>
      </c>
      <c r="X856" t="b">
        <v>0</v>
      </c>
      <c r="Y856" t="b">
        <v>0</v>
      </c>
      <c r="Z856" t="b">
        <v>1</v>
      </c>
      <c r="AA856" t="b">
        <v>1</v>
      </c>
      <c r="AB856" t="s">
        <v>7360</v>
      </c>
      <c r="AC856" t="s">
        <v>8387</v>
      </c>
    </row>
    <row r="857" spans="1:29" x14ac:dyDescent="0.3">
      <c r="A857">
        <v>-73.975163969999997</v>
      </c>
      <c r="B857">
        <v>40.773791529999997</v>
      </c>
      <c r="C857" t="s">
        <v>1775</v>
      </c>
      <c r="D857" t="s">
        <v>33</v>
      </c>
      <c r="E857" s="58">
        <v>43380</v>
      </c>
      <c r="F857">
        <v>23</v>
      </c>
      <c r="G857" t="s">
        <v>48</v>
      </c>
      <c r="H857" t="s">
        <v>42</v>
      </c>
      <c r="I857" t="s">
        <v>96</v>
      </c>
      <c r="J857" t="s">
        <v>79</v>
      </c>
      <c r="K857" t="s">
        <v>150</v>
      </c>
      <c r="L857" t="s">
        <v>44</v>
      </c>
      <c r="M857">
        <v>10</v>
      </c>
      <c r="N857" t="s">
        <v>1346</v>
      </c>
      <c r="O857" t="b">
        <v>1</v>
      </c>
      <c r="P857" t="b">
        <v>0</v>
      </c>
      <c r="Q857" t="b">
        <v>1</v>
      </c>
      <c r="R857" t="b">
        <v>1</v>
      </c>
      <c r="S857" t="b">
        <v>1</v>
      </c>
      <c r="T857" t="b">
        <v>1</v>
      </c>
      <c r="U857" t="b">
        <v>1</v>
      </c>
      <c r="V857" t="b">
        <v>1</v>
      </c>
      <c r="W857" t="b">
        <v>1</v>
      </c>
      <c r="X857" t="b">
        <v>0</v>
      </c>
      <c r="Y857" t="b">
        <v>0</v>
      </c>
      <c r="Z857" t="b">
        <v>1</v>
      </c>
      <c r="AA857" t="b">
        <v>0</v>
      </c>
      <c r="AB857" t="s">
        <v>6346</v>
      </c>
      <c r="AC857" t="s">
        <v>8388</v>
      </c>
    </row>
    <row r="858" spans="1:29" x14ac:dyDescent="0.3">
      <c r="A858">
        <v>-73.980009580000001</v>
      </c>
      <c r="B858">
        <v>40.791494069999999</v>
      </c>
      <c r="C858" t="s">
        <v>1759</v>
      </c>
      <c r="D858" t="s">
        <v>38</v>
      </c>
      <c r="E858" s="58">
        <v>43381</v>
      </c>
      <c r="F858">
        <v>25</v>
      </c>
      <c r="G858" t="s">
        <v>105</v>
      </c>
      <c r="H858" t="s">
        <v>42</v>
      </c>
      <c r="I858" t="s">
        <v>1921</v>
      </c>
      <c r="J858" t="s">
        <v>149</v>
      </c>
      <c r="K858" t="s">
        <v>6737</v>
      </c>
      <c r="L858" t="s">
        <v>44</v>
      </c>
      <c r="M858">
        <v>8</v>
      </c>
      <c r="N858" t="s">
        <v>1346</v>
      </c>
      <c r="O858" t="b">
        <v>1</v>
      </c>
      <c r="P858" t="b">
        <v>1</v>
      </c>
      <c r="Q858" t="b">
        <v>1</v>
      </c>
      <c r="R858" t="b">
        <v>1</v>
      </c>
      <c r="S858" t="b">
        <v>0</v>
      </c>
      <c r="T858" t="b">
        <v>0</v>
      </c>
      <c r="U858" t="b">
        <v>1</v>
      </c>
      <c r="V858" t="b">
        <v>1</v>
      </c>
      <c r="W858" t="b">
        <v>1</v>
      </c>
      <c r="X858" t="b">
        <v>0</v>
      </c>
      <c r="Y858" t="b">
        <v>0</v>
      </c>
      <c r="Z858" t="b">
        <v>0</v>
      </c>
      <c r="AA858" t="b">
        <v>1</v>
      </c>
      <c r="AB858" t="s">
        <v>7000</v>
      </c>
      <c r="AC858" t="s">
        <v>8389</v>
      </c>
    </row>
    <row r="859" spans="1:29" x14ac:dyDescent="0.3">
      <c r="A859">
        <v>-73.966318299999998</v>
      </c>
      <c r="B859">
        <v>40.781125269999997</v>
      </c>
      <c r="C859" t="s">
        <v>2244</v>
      </c>
      <c r="D859" t="s">
        <v>33</v>
      </c>
      <c r="E859" s="58">
        <v>43388</v>
      </c>
      <c r="F859">
        <v>10</v>
      </c>
      <c r="G859" t="s">
        <v>48</v>
      </c>
      <c r="H859" t="s">
        <v>176</v>
      </c>
      <c r="I859" t="s">
        <v>737</v>
      </c>
      <c r="J859" t="s">
        <v>54</v>
      </c>
      <c r="K859" t="s">
        <v>2503</v>
      </c>
      <c r="L859" t="s">
        <v>44</v>
      </c>
      <c r="M859">
        <v>6</v>
      </c>
      <c r="N859" t="s">
        <v>6675</v>
      </c>
      <c r="O859" t="b">
        <v>1</v>
      </c>
      <c r="P859" t="b">
        <v>1</v>
      </c>
      <c r="Q859" t="b">
        <v>0</v>
      </c>
      <c r="R859" t="b">
        <v>1</v>
      </c>
      <c r="S859" t="b">
        <v>0</v>
      </c>
      <c r="T859" t="b">
        <v>1</v>
      </c>
      <c r="U859" t="b">
        <v>1</v>
      </c>
      <c r="V859" t="b">
        <v>0</v>
      </c>
      <c r="W859" t="b">
        <v>0</v>
      </c>
      <c r="X859" t="b">
        <v>1</v>
      </c>
      <c r="Y859" t="b">
        <v>1</v>
      </c>
      <c r="Z859" t="b">
        <v>0</v>
      </c>
      <c r="AA859" t="b">
        <v>0</v>
      </c>
      <c r="AB859" t="s">
        <v>5478</v>
      </c>
      <c r="AC859" t="s">
        <v>8390</v>
      </c>
    </row>
    <row r="860" spans="1:29" x14ac:dyDescent="0.3">
      <c r="A860">
        <v>-73.963401779999998</v>
      </c>
      <c r="B860">
        <v>40.794555629999998</v>
      </c>
      <c r="C860" t="s">
        <v>1912</v>
      </c>
      <c r="D860" t="s">
        <v>33</v>
      </c>
      <c r="E860" s="58">
        <v>43386</v>
      </c>
      <c r="F860">
        <v>7</v>
      </c>
      <c r="G860" t="s">
        <v>48</v>
      </c>
      <c r="H860" t="s">
        <v>176</v>
      </c>
      <c r="I860" t="s">
        <v>5105</v>
      </c>
      <c r="J860" t="s">
        <v>2942</v>
      </c>
      <c r="K860" t="s">
        <v>565</v>
      </c>
      <c r="L860" t="s">
        <v>44</v>
      </c>
      <c r="M860">
        <v>4</v>
      </c>
      <c r="N860" t="s">
        <v>2612</v>
      </c>
      <c r="O860" t="b">
        <v>0</v>
      </c>
      <c r="P860" t="b">
        <v>0</v>
      </c>
      <c r="Q860" t="b">
        <v>0</v>
      </c>
      <c r="R860" t="b">
        <v>1</v>
      </c>
      <c r="S860" t="b">
        <v>0</v>
      </c>
      <c r="T860" t="b">
        <v>1</v>
      </c>
      <c r="U860" t="b">
        <v>0</v>
      </c>
      <c r="V860" t="b">
        <v>1</v>
      </c>
      <c r="W860" t="b">
        <v>1</v>
      </c>
      <c r="X860" t="b">
        <v>1</v>
      </c>
      <c r="Y860" t="b">
        <v>1</v>
      </c>
      <c r="Z860" t="b">
        <v>1</v>
      </c>
      <c r="AA860" t="b">
        <v>0</v>
      </c>
      <c r="AB860" t="s">
        <v>7069</v>
      </c>
      <c r="AC860" t="s">
        <v>8391</v>
      </c>
    </row>
    <row r="861" spans="1:29" x14ac:dyDescent="0.3">
      <c r="A861">
        <v>-73.979092910000006</v>
      </c>
      <c r="B861">
        <v>40.790559260000002</v>
      </c>
      <c r="C861" t="s">
        <v>41</v>
      </c>
      <c r="D861" t="s">
        <v>33</v>
      </c>
      <c r="E861" s="58">
        <v>43392</v>
      </c>
      <c r="F861">
        <v>22</v>
      </c>
      <c r="G861" t="s">
        <v>48</v>
      </c>
      <c r="H861" t="s">
        <v>53</v>
      </c>
      <c r="I861" t="s">
        <v>1921</v>
      </c>
      <c r="J861" t="s">
        <v>149</v>
      </c>
      <c r="K861" t="s">
        <v>6823</v>
      </c>
      <c r="L861" t="s">
        <v>44</v>
      </c>
      <c r="M861">
        <v>25</v>
      </c>
      <c r="N861" t="s">
        <v>6646</v>
      </c>
      <c r="O861" t="b">
        <v>0</v>
      </c>
      <c r="P861" t="b">
        <v>1</v>
      </c>
      <c r="Q861" t="b">
        <v>0</v>
      </c>
      <c r="R861" t="b">
        <v>0</v>
      </c>
      <c r="S861" t="b">
        <v>1</v>
      </c>
      <c r="T861" t="b">
        <v>0</v>
      </c>
      <c r="U861" t="b">
        <v>1</v>
      </c>
      <c r="V861" t="b">
        <v>0</v>
      </c>
      <c r="W861" t="b">
        <v>1</v>
      </c>
      <c r="X861" t="b">
        <v>1</v>
      </c>
      <c r="Y861" t="b">
        <v>0</v>
      </c>
      <c r="Z861" t="b">
        <v>1</v>
      </c>
      <c r="AA861" t="b">
        <v>1</v>
      </c>
      <c r="AB861" t="s">
        <v>665</v>
      </c>
      <c r="AC861" t="s">
        <v>8392</v>
      </c>
    </row>
    <row r="862" spans="1:29" x14ac:dyDescent="0.3">
      <c r="A862">
        <v>-73.956778459999995</v>
      </c>
      <c r="B862">
        <v>40.792247709999998</v>
      </c>
      <c r="C862" t="s">
        <v>143</v>
      </c>
      <c r="D862" t="s">
        <v>33</v>
      </c>
      <c r="E862" s="58">
        <v>43384</v>
      </c>
      <c r="F862">
        <v>17</v>
      </c>
      <c r="G862" t="s">
        <v>48</v>
      </c>
      <c r="H862" t="s">
        <v>53</v>
      </c>
      <c r="I862" t="s">
        <v>53</v>
      </c>
      <c r="J862" t="s">
        <v>5106</v>
      </c>
      <c r="K862" t="s">
        <v>2943</v>
      </c>
      <c r="L862" t="s">
        <v>65</v>
      </c>
      <c r="M862" t="b">
        <v>0</v>
      </c>
      <c r="N862" t="s">
        <v>823</v>
      </c>
      <c r="O862" t="b">
        <v>1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1</v>
      </c>
      <c r="Z862" t="b">
        <v>1</v>
      </c>
      <c r="AA862" t="b">
        <v>1</v>
      </c>
      <c r="AB862" t="s">
        <v>4636</v>
      </c>
      <c r="AC862" t="s">
        <v>8393</v>
      </c>
    </row>
    <row r="863" spans="1:29" x14ac:dyDescent="0.3">
      <c r="A863">
        <v>-73.966908619999998</v>
      </c>
      <c r="B863">
        <v>40.788012719999998</v>
      </c>
      <c r="C863" t="s">
        <v>3811</v>
      </c>
      <c r="D863" t="s">
        <v>33</v>
      </c>
      <c r="E863" s="58">
        <v>43388</v>
      </c>
      <c r="F863">
        <v>18</v>
      </c>
      <c r="G863" t="s">
        <v>105</v>
      </c>
      <c r="H863" t="s">
        <v>53</v>
      </c>
      <c r="I863" t="s">
        <v>1921</v>
      </c>
      <c r="J863" t="s">
        <v>1922</v>
      </c>
      <c r="K863" t="s">
        <v>6725</v>
      </c>
      <c r="L863" t="s">
        <v>44</v>
      </c>
      <c r="M863">
        <v>40</v>
      </c>
      <c r="N863" t="s">
        <v>6618</v>
      </c>
      <c r="O863" t="b">
        <v>1</v>
      </c>
      <c r="P863" t="b">
        <v>0</v>
      </c>
      <c r="Q863" t="b">
        <v>0</v>
      </c>
      <c r="R863" t="b">
        <v>0</v>
      </c>
      <c r="S863" t="b">
        <v>1</v>
      </c>
      <c r="T863" t="b">
        <v>0</v>
      </c>
      <c r="U863" t="b">
        <v>1</v>
      </c>
      <c r="V863" t="b">
        <v>0</v>
      </c>
      <c r="W863" t="b">
        <v>0</v>
      </c>
      <c r="X863" t="b">
        <v>0</v>
      </c>
      <c r="Y863" t="b">
        <v>0</v>
      </c>
      <c r="Z863" t="b">
        <v>1</v>
      </c>
      <c r="AA863" t="b">
        <v>0</v>
      </c>
      <c r="AB863" t="s">
        <v>1432</v>
      </c>
      <c r="AC863" t="s">
        <v>8394</v>
      </c>
    </row>
    <row r="864" spans="1:29" x14ac:dyDescent="0.3">
      <c r="A864">
        <v>-73.964673419999997</v>
      </c>
      <c r="B864">
        <v>40.771157549999998</v>
      </c>
      <c r="C864" t="s">
        <v>773</v>
      </c>
      <c r="D864" t="s">
        <v>38</v>
      </c>
      <c r="E864" s="58">
        <v>43387</v>
      </c>
      <c r="F864">
        <v>17</v>
      </c>
      <c r="G864" t="s">
        <v>48</v>
      </c>
      <c r="H864" t="s">
        <v>176</v>
      </c>
      <c r="I864" t="s">
        <v>42</v>
      </c>
      <c r="J864" t="s">
        <v>1142</v>
      </c>
      <c r="K864" t="s">
        <v>3942</v>
      </c>
      <c r="L864" t="s">
        <v>65</v>
      </c>
      <c r="M864" t="b">
        <v>0</v>
      </c>
      <c r="N864" t="s">
        <v>1985</v>
      </c>
      <c r="O864" t="b">
        <v>1</v>
      </c>
      <c r="P864" t="b">
        <v>1</v>
      </c>
      <c r="Q864" t="b">
        <v>0</v>
      </c>
      <c r="R864" t="b">
        <v>0</v>
      </c>
      <c r="S864" t="b">
        <v>1</v>
      </c>
      <c r="T864" t="b">
        <v>0</v>
      </c>
      <c r="U864" t="b">
        <v>0</v>
      </c>
      <c r="V864" t="b">
        <v>0</v>
      </c>
      <c r="W864" t="b">
        <v>1</v>
      </c>
      <c r="X864" t="b">
        <v>0</v>
      </c>
      <c r="Y864" t="b">
        <v>1</v>
      </c>
      <c r="Z864" t="b">
        <v>0</v>
      </c>
      <c r="AA864" t="b">
        <v>0</v>
      </c>
      <c r="AB864" t="s">
        <v>4147</v>
      </c>
      <c r="AC864" t="s">
        <v>8395</v>
      </c>
    </row>
    <row r="865" spans="1:29" x14ac:dyDescent="0.3">
      <c r="A865">
        <v>-73.967302399999994</v>
      </c>
      <c r="B865">
        <v>40.78409989</v>
      </c>
      <c r="C865" t="s">
        <v>143</v>
      </c>
      <c r="D865" t="s">
        <v>33</v>
      </c>
      <c r="E865" s="58">
        <v>43388</v>
      </c>
      <c r="F865">
        <v>9</v>
      </c>
      <c r="G865" t="s">
        <v>105</v>
      </c>
      <c r="H865" t="s">
        <v>176</v>
      </c>
      <c r="I865" t="s">
        <v>5105</v>
      </c>
      <c r="J865" t="s">
        <v>34</v>
      </c>
      <c r="K865" t="s">
        <v>2382</v>
      </c>
      <c r="L865" t="s">
        <v>44</v>
      </c>
      <c r="M865">
        <v>12</v>
      </c>
      <c r="N865" t="s">
        <v>2451</v>
      </c>
      <c r="O865" t="b">
        <v>1</v>
      </c>
      <c r="P865" t="b">
        <v>0</v>
      </c>
      <c r="Q865" t="b">
        <v>1</v>
      </c>
      <c r="R865" t="b">
        <v>0</v>
      </c>
      <c r="S865" t="b">
        <v>0</v>
      </c>
      <c r="T865" t="b">
        <v>1</v>
      </c>
      <c r="U865" t="b">
        <v>0</v>
      </c>
      <c r="V865" t="b">
        <v>0</v>
      </c>
      <c r="W865" t="b">
        <v>0</v>
      </c>
      <c r="X865" t="b">
        <v>1</v>
      </c>
      <c r="Y865" t="b">
        <v>0</v>
      </c>
      <c r="Z865" t="b">
        <v>1</v>
      </c>
      <c r="AA865" t="b">
        <v>1</v>
      </c>
      <c r="AB865" t="s">
        <v>2962</v>
      </c>
      <c r="AC865" t="s">
        <v>8396</v>
      </c>
    </row>
    <row r="866" spans="1:29" x14ac:dyDescent="0.3">
      <c r="A866">
        <v>-73.968559870000007</v>
      </c>
      <c r="B866">
        <v>40.799578769999997</v>
      </c>
      <c r="C866" t="s">
        <v>2864</v>
      </c>
      <c r="D866" t="s">
        <v>33</v>
      </c>
      <c r="E866" s="58">
        <v>43382</v>
      </c>
      <c r="F866">
        <v>10</v>
      </c>
      <c r="G866" t="s">
        <v>48</v>
      </c>
      <c r="H866" t="s">
        <v>176</v>
      </c>
      <c r="I866" t="s">
        <v>1921</v>
      </c>
      <c r="J866" t="s">
        <v>43</v>
      </c>
      <c r="K866" t="s">
        <v>5787</v>
      </c>
      <c r="L866" t="s">
        <v>65</v>
      </c>
      <c r="M866" t="b">
        <v>0</v>
      </c>
      <c r="N866" t="s">
        <v>3773</v>
      </c>
      <c r="O866" t="b">
        <v>0</v>
      </c>
      <c r="P866" t="b">
        <v>1</v>
      </c>
      <c r="Q866" t="b">
        <v>1</v>
      </c>
      <c r="R866" t="b">
        <v>1</v>
      </c>
      <c r="S866" t="b">
        <v>1</v>
      </c>
      <c r="T866" t="b">
        <v>0</v>
      </c>
      <c r="U866" t="b">
        <v>1</v>
      </c>
      <c r="V866" t="b">
        <v>0</v>
      </c>
      <c r="W866" t="b">
        <v>1</v>
      </c>
      <c r="X866" t="b">
        <v>0</v>
      </c>
      <c r="Y866" t="b">
        <v>0</v>
      </c>
      <c r="Z866" t="b">
        <v>1</v>
      </c>
      <c r="AA866" t="b">
        <v>1</v>
      </c>
      <c r="AB866" t="s">
        <v>499</v>
      </c>
      <c r="AC866" t="s">
        <v>8397</v>
      </c>
    </row>
    <row r="867" spans="1:29" x14ac:dyDescent="0.3">
      <c r="A867">
        <v>-73.963565270000004</v>
      </c>
      <c r="B867">
        <v>40.797914089999999</v>
      </c>
      <c r="C867" t="s">
        <v>298</v>
      </c>
      <c r="D867" t="s">
        <v>33</v>
      </c>
      <c r="E867" s="58">
        <v>43386</v>
      </c>
      <c r="F867">
        <v>10</v>
      </c>
      <c r="G867" t="s">
        <v>48</v>
      </c>
      <c r="H867" t="s">
        <v>53</v>
      </c>
      <c r="I867" t="s">
        <v>53</v>
      </c>
      <c r="J867" t="s">
        <v>705</v>
      </c>
      <c r="K867" t="s">
        <v>4123</v>
      </c>
      <c r="L867" t="s">
        <v>65</v>
      </c>
      <c r="M867" t="b">
        <v>0</v>
      </c>
      <c r="N867" t="s">
        <v>2612</v>
      </c>
      <c r="O867" t="b">
        <v>1</v>
      </c>
      <c r="P867" t="b">
        <v>1</v>
      </c>
      <c r="Q867" t="b">
        <v>1</v>
      </c>
      <c r="R867" t="b">
        <v>1</v>
      </c>
      <c r="S867" t="b">
        <v>0</v>
      </c>
      <c r="T867" t="b">
        <v>0</v>
      </c>
      <c r="U867" t="b">
        <v>1</v>
      </c>
      <c r="V867" t="b">
        <v>0</v>
      </c>
      <c r="W867" t="b">
        <v>1</v>
      </c>
      <c r="X867" t="b">
        <v>1</v>
      </c>
      <c r="Y867" t="b">
        <v>1</v>
      </c>
      <c r="Z867" t="b">
        <v>0</v>
      </c>
      <c r="AA867" t="b">
        <v>0</v>
      </c>
      <c r="AB867" t="s">
        <v>5918</v>
      </c>
      <c r="AC867" t="s">
        <v>8398</v>
      </c>
    </row>
    <row r="868" spans="1:29" x14ac:dyDescent="0.3">
      <c r="A868">
        <v>-73.976278320000006</v>
      </c>
      <c r="B868">
        <v>40.766430720000002</v>
      </c>
      <c r="C868" t="s">
        <v>119</v>
      </c>
      <c r="D868" t="s">
        <v>33</v>
      </c>
      <c r="E868" s="58">
        <v>43388</v>
      </c>
      <c r="F868">
        <v>25</v>
      </c>
      <c r="G868" t="s">
        <v>48</v>
      </c>
      <c r="H868" t="s">
        <v>176</v>
      </c>
      <c r="I868" t="s">
        <v>53</v>
      </c>
      <c r="J868" t="s">
        <v>705</v>
      </c>
      <c r="K868" t="s">
        <v>7003</v>
      </c>
      <c r="L868" t="s">
        <v>44</v>
      </c>
      <c r="M868">
        <v>40</v>
      </c>
      <c r="N868" t="s">
        <v>332</v>
      </c>
      <c r="O868" t="b">
        <v>0</v>
      </c>
      <c r="P868" t="b">
        <v>0</v>
      </c>
      <c r="Q868" t="b">
        <v>0</v>
      </c>
      <c r="R868" t="b">
        <v>1</v>
      </c>
      <c r="S868" t="b">
        <v>1</v>
      </c>
      <c r="T868" t="b">
        <v>0</v>
      </c>
      <c r="U868" t="b">
        <v>1</v>
      </c>
      <c r="V868" t="b">
        <v>1</v>
      </c>
      <c r="W868" t="b">
        <v>0</v>
      </c>
      <c r="X868" t="b">
        <v>0</v>
      </c>
      <c r="Y868" t="b">
        <v>0</v>
      </c>
      <c r="Z868" t="b">
        <v>1</v>
      </c>
      <c r="AA868" t="b">
        <v>0</v>
      </c>
      <c r="AB868" t="s">
        <v>3258</v>
      </c>
      <c r="AC868" t="s">
        <v>8399</v>
      </c>
    </row>
    <row r="869" spans="1:29" x14ac:dyDescent="0.3">
      <c r="A869">
        <v>-73.975439339999994</v>
      </c>
      <c r="B869">
        <v>40.770713440000002</v>
      </c>
      <c r="C869" t="s">
        <v>1595</v>
      </c>
      <c r="D869" t="s">
        <v>38</v>
      </c>
      <c r="E869" s="58">
        <v>43381</v>
      </c>
      <c r="F869">
        <v>7</v>
      </c>
      <c r="G869" t="s">
        <v>48</v>
      </c>
      <c r="H869" t="s">
        <v>42</v>
      </c>
      <c r="I869" t="s">
        <v>1921</v>
      </c>
      <c r="J869" t="s">
        <v>34</v>
      </c>
      <c r="K869" t="s">
        <v>4785</v>
      </c>
      <c r="L869" t="s">
        <v>65</v>
      </c>
      <c r="M869" t="b">
        <v>0</v>
      </c>
      <c r="N869" t="s">
        <v>3424</v>
      </c>
      <c r="O869" t="b">
        <v>1</v>
      </c>
      <c r="P869" t="b">
        <v>0</v>
      </c>
      <c r="Q869" t="b">
        <v>0</v>
      </c>
      <c r="R869" t="b">
        <v>1</v>
      </c>
      <c r="S869" t="b">
        <v>1</v>
      </c>
      <c r="T869" t="b">
        <v>0</v>
      </c>
      <c r="U869" t="b">
        <v>1</v>
      </c>
      <c r="V869" t="b">
        <v>0</v>
      </c>
      <c r="W869" t="b">
        <v>1</v>
      </c>
      <c r="X869" t="b">
        <v>0</v>
      </c>
      <c r="Y869" t="b">
        <v>1</v>
      </c>
      <c r="Z869" t="b">
        <v>0</v>
      </c>
      <c r="AA869" t="b">
        <v>0</v>
      </c>
      <c r="AB869" t="s">
        <v>2274</v>
      </c>
      <c r="AC869" t="s">
        <v>8400</v>
      </c>
    </row>
    <row r="870" spans="1:29" x14ac:dyDescent="0.3">
      <c r="A870">
        <v>-73.954066789999999</v>
      </c>
      <c r="B870">
        <v>40.769548550000003</v>
      </c>
      <c r="C870" t="s">
        <v>1401</v>
      </c>
      <c r="D870" t="s">
        <v>33</v>
      </c>
      <c r="E870" s="58">
        <v>43381</v>
      </c>
      <c r="F870">
        <v>16</v>
      </c>
      <c r="G870" t="s">
        <v>105</v>
      </c>
      <c r="H870" t="s">
        <v>176</v>
      </c>
      <c r="I870" t="s">
        <v>148</v>
      </c>
      <c r="J870" t="s">
        <v>1142</v>
      </c>
      <c r="K870" t="s">
        <v>672</v>
      </c>
      <c r="L870" t="s">
        <v>65</v>
      </c>
      <c r="M870" t="b">
        <v>0</v>
      </c>
      <c r="N870" t="s">
        <v>6557</v>
      </c>
      <c r="O870" t="b">
        <v>0</v>
      </c>
      <c r="P870" t="b">
        <v>1</v>
      </c>
      <c r="Q870" t="b">
        <v>1</v>
      </c>
      <c r="R870" t="b">
        <v>0</v>
      </c>
      <c r="S870" t="b">
        <v>1</v>
      </c>
      <c r="T870" t="b">
        <v>1</v>
      </c>
      <c r="U870" t="b">
        <v>1</v>
      </c>
      <c r="V870" t="b">
        <v>1</v>
      </c>
      <c r="W870" t="b">
        <v>0</v>
      </c>
      <c r="X870" t="b">
        <v>0</v>
      </c>
      <c r="Y870" t="b">
        <v>1</v>
      </c>
      <c r="Z870" t="b">
        <v>0</v>
      </c>
      <c r="AA870" t="b">
        <v>0</v>
      </c>
      <c r="AB870" t="s">
        <v>1428</v>
      </c>
      <c r="AC870" t="s">
        <v>8401</v>
      </c>
    </row>
    <row r="871" spans="1:29" x14ac:dyDescent="0.3">
      <c r="A871">
        <v>-73.951415729999994</v>
      </c>
      <c r="B871">
        <v>40.790470859999999</v>
      </c>
      <c r="C871" t="s">
        <v>1320</v>
      </c>
      <c r="D871" t="s">
        <v>38</v>
      </c>
      <c r="E871" s="58">
        <v>43386</v>
      </c>
      <c r="F871">
        <v>29</v>
      </c>
      <c r="G871" t="s">
        <v>105</v>
      </c>
      <c r="H871" t="s">
        <v>176</v>
      </c>
      <c r="I871" t="s">
        <v>96</v>
      </c>
      <c r="J871" t="s">
        <v>738</v>
      </c>
      <c r="K871" t="s">
        <v>1896</v>
      </c>
      <c r="L871" t="s">
        <v>65</v>
      </c>
      <c r="M871" t="b">
        <v>0</v>
      </c>
      <c r="N871" t="s">
        <v>3773</v>
      </c>
      <c r="O871" t="b">
        <v>0</v>
      </c>
      <c r="P871" t="b">
        <v>0</v>
      </c>
      <c r="Q871" t="b">
        <v>1</v>
      </c>
      <c r="R871" t="b">
        <v>0</v>
      </c>
      <c r="S871" t="b">
        <v>1</v>
      </c>
      <c r="T871" t="b">
        <v>1</v>
      </c>
      <c r="U871" t="b">
        <v>1</v>
      </c>
      <c r="V871" t="b">
        <v>1</v>
      </c>
      <c r="W871" t="b">
        <v>1</v>
      </c>
      <c r="X871" t="b">
        <v>1</v>
      </c>
      <c r="Y871" t="b">
        <v>1</v>
      </c>
      <c r="Z871" t="b">
        <v>0</v>
      </c>
      <c r="AA871" t="b">
        <v>1</v>
      </c>
      <c r="AB871" t="s">
        <v>974</v>
      </c>
      <c r="AC871" t="s">
        <v>8402</v>
      </c>
    </row>
    <row r="872" spans="1:29" x14ac:dyDescent="0.3">
      <c r="A872">
        <v>-73.969422929999993</v>
      </c>
      <c r="B872">
        <v>40.793703129999997</v>
      </c>
      <c r="C872" t="s">
        <v>85</v>
      </c>
      <c r="D872" t="s">
        <v>33</v>
      </c>
      <c r="E872" s="58">
        <v>43383</v>
      </c>
      <c r="F872">
        <v>18</v>
      </c>
      <c r="G872" t="s">
        <v>105</v>
      </c>
      <c r="H872" t="s">
        <v>176</v>
      </c>
      <c r="I872" t="s">
        <v>176</v>
      </c>
      <c r="J872" t="s">
        <v>738</v>
      </c>
      <c r="K872" t="s">
        <v>3433</v>
      </c>
      <c r="L872" t="s">
        <v>44</v>
      </c>
      <c r="M872">
        <v>8</v>
      </c>
      <c r="N872" t="s">
        <v>3697</v>
      </c>
      <c r="O872" t="b">
        <v>0</v>
      </c>
      <c r="P872" t="b">
        <v>1</v>
      </c>
      <c r="Q872" t="b">
        <v>1</v>
      </c>
      <c r="R872" t="b">
        <v>1</v>
      </c>
      <c r="S872" t="b">
        <v>0</v>
      </c>
      <c r="T872" t="b">
        <v>0</v>
      </c>
      <c r="U872" t="b">
        <v>0</v>
      </c>
      <c r="V872" t="b">
        <v>0</v>
      </c>
      <c r="W872" t="b">
        <v>1</v>
      </c>
      <c r="X872" t="b">
        <v>1</v>
      </c>
      <c r="Y872" t="b">
        <v>0</v>
      </c>
      <c r="Z872" t="b">
        <v>1</v>
      </c>
      <c r="AA872" t="b">
        <v>1</v>
      </c>
      <c r="AB872" t="s">
        <v>5478</v>
      </c>
      <c r="AC872" t="s">
        <v>8403</v>
      </c>
    </row>
    <row r="873" spans="1:29" x14ac:dyDescent="0.3">
      <c r="A873">
        <v>-73.972647230000007</v>
      </c>
      <c r="B873">
        <v>40.77242794</v>
      </c>
      <c r="C873" t="s">
        <v>3049</v>
      </c>
      <c r="D873" t="s">
        <v>38</v>
      </c>
      <c r="E873" s="58">
        <v>43381</v>
      </c>
      <c r="F873">
        <v>6</v>
      </c>
      <c r="G873" t="s">
        <v>3842</v>
      </c>
      <c r="H873" t="s">
        <v>176</v>
      </c>
      <c r="I873" t="s">
        <v>115</v>
      </c>
      <c r="J873" t="s">
        <v>339</v>
      </c>
      <c r="K873" t="s">
        <v>977</v>
      </c>
      <c r="L873" t="s">
        <v>65</v>
      </c>
      <c r="M873" t="b">
        <v>0</v>
      </c>
      <c r="N873" t="s">
        <v>6557</v>
      </c>
      <c r="O873" t="b">
        <v>0</v>
      </c>
      <c r="P873" t="b">
        <v>0</v>
      </c>
      <c r="Q873" t="b">
        <v>0</v>
      </c>
      <c r="R873" t="b">
        <v>1</v>
      </c>
      <c r="S873" t="b">
        <v>1</v>
      </c>
      <c r="T873" t="b">
        <v>0</v>
      </c>
      <c r="U873" t="b">
        <v>0</v>
      </c>
      <c r="V873" t="b">
        <v>0</v>
      </c>
      <c r="W873" t="b">
        <v>1</v>
      </c>
      <c r="X873" t="b">
        <v>1</v>
      </c>
      <c r="Y873" t="b">
        <v>0</v>
      </c>
      <c r="Z873" t="b">
        <v>0</v>
      </c>
      <c r="AA873" t="b">
        <v>0</v>
      </c>
      <c r="AB873" t="s">
        <v>1109</v>
      </c>
      <c r="AC873" t="s">
        <v>8404</v>
      </c>
    </row>
    <row r="874" spans="1:29" x14ac:dyDescent="0.3">
      <c r="A874">
        <v>-73.960913289999993</v>
      </c>
      <c r="B874">
        <v>40.782720650000002</v>
      </c>
      <c r="C874" t="s">
        <v>228</v>
      </c>
      <c r="D874" t="s">
        <v>33</v>
      </c>
      <c r="E874" s="58">
        <v>43388</v>
      </c>
      <c r="F874">
        <v>27</v>
      </c>
      <c r="G874" t="s">
        <v>48</v>
      </c>
      <c r="H874" t="s">
        <v>176</v>
      </c>
      <c r="I874" t="s">
        <v>5105</v>
      </c>
      <c r="J874" t="s">
        <v>1142</v>
      </c>
      <c r="K874" t="s">
        <v>4814</v>
      </c>
      <c r="L874" t="s">
        <v>65</v>
      </c>
      <c r="M874" t="b">
        <v>0</v>
      </c>
      <c r="N874" t="s">
        <v>1363</v>
      </c>
      <c r="O874" t="b">
        <v>1</v>
      </c>
      <c r="P874" t="b">
        <v>1</v>
      </c>
      <c r="Q874" t="b">
        <v>1</v>
      </c>
      <c r="R874" t="b">
        <v>0</v>
      </c>
      <c r="S874" t="b">
        <v>0</v>
      </c>
      <c r="T874" t="b">
        <v>1</v>
      </c>
      <c r="U874" t="b">
        <v>0</v>
      </c>
      <c r="V874" t="b">
        <v>1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s">
        <v>418</v>
      </c>
      <c r="AC874" t="s">
        <v>8405</v>
      </c>
    </row>
    <row r="875" spans="1:29" x14ac:dyDescent="0.3">
      <c r="A875">
        <v>-73.96830928</v>
      </c>
      <c r="B875">
        <v>40.794510010000003</v>
      </c>
      <c r="C875" t="s">
        <v>574</v>
      </c>
      <c r="D875" t="s">
        <v>33</v>
      </c>
      <c r="E875" s="58">
        <v>43389</v>
      </c>
      <c r="F875">
        <v>20</v>
      </c>
      <c r="G875" t="s">
        <v>48</v>
      </c>
      <c r="H875" t="s">
        <v>42</v>
      </c>
      <c r="I875" t="s">
        <v>176</v>
      </c>
      <c r="J875" t="s">
        <v>705</v>
      </c>
      <c r="K875" t="s">
        <v>3347</v>
      </c>
      <c r="L875" t="s">
        <v>44</v>
      </c>
      <c r="M875">
        <v>20</v>
      </c>
      <c r="N875" t="s">
        <v>2074</v>
      </c>
      <c r="O875" t="b">
        <v>0</v>
      </c>
      <c r="P875" t="b">
        <v>1</v>
      </c>
      <c r="Q875" t="b">
        <v>1</v>
      </c>
      <c r="R875" t="b">
        <v>0</v>
      </c>
      <c r="S875" t="b">
        <v>1</v>
      </c>
      <c r="T875" t="b">
        <v>1</v>
      </c>
      <c r="U875" t="b">
        <v>0</v>
      </c>
      <c r="V875" t="b">
        <v>1</v>
      </c>
      <c r="W875" t="b">
        <v>0</v>
      </c>
      <c r="X875" t="b">
        <v>1</v>
      </c>
      <c r="Y875" t="b">
        <v>1</v>
      </c>
      <c r="Z875" t="b">
        <v>0</v>
      </c>
      <c r="AA875" t="b">
        <v>1</v>
      </c>
      <c r="AB875" t="s">
        <v>399</v>
      </c>
      <c r="AC875" t="s">
        <v>8406</v>
      </c>
    </row>
    <row r="876" spans="1:29" x14ac:dyDescent="0.3">
      <c r="A876">
        <v>-73.980360509999997</v>
      </c>
      <c r="B876">
        <v>40.790711039999998</v>
      </c>
      <c r="C876" t="s">
        <v>250</v>
      </c>
      <c r="D876" t="s">
        <v>38</v>
      </c>
      <c r="E876" s="58">
        <v>43379</v>
      </c>
      <c r="F876">
        <v>1</v>
      </c>
      <c r="G876" t="s">
        <v>105</v>
      </c>
      <c r="H876" t="s">
        <v>42</v>
      </c>
      <c r="I876" t="s">
        <v>737</v>
      </c>
      <c r="J876" t="s">
        <v>738</v>
      </c>
      <c r="K876" t="s">
        <v>672</v>
      </c>
      <c r="L876" t="s">
        <v>65</v>
      </c>
      <c r="M876" t="b">
        <v>0</v>
      </c>
      <c r="N876" t="s">
        <v>1408</v>
      </c>
      <c r="O876" t="b">
        <v>1</v>
      </c>
      <c r="P876" t="b">
        <v>1</v>
      </c>
      <c r="Q876" t="b">
        <v>1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1</v>
      </c>
      <c r="X876" t="b">
        <v>0</v>
      </c>
      <c r="Y876" t="b">
        <v>1</v>
      </c>
      <c r="Z876" t="b">
        <v>1</v>
      </c>
      <c r="AA876" t="b">
        <v>0</v>
      </c>
      <c r="AB876" t="s">
        <v>527</v>
      </c>
      <c r="AC876" t="s">
        <v>8407</v>
      </c>
    </row>
    <row r="877" spans="1:29" x14ac:dyDescent="0.3">
      <c r="A877">
        <v>-73.976249640000006</v>
      </c>
      <c r="B877">
        <v>40.784001670000002</v>
      </c>
      <c r="C877" t="s">
        <v>704</v>
      </c>
      <c r="D877" t="s">
        <v>33</v>
      </c>
      <c r="E877" s="58">
        <v>43393</v>
      </c>
      <c r="F877">
        <v>1</v>
      </c>
      <c r="G877" t="s">
        <v>3842</v>
      </c>
      <c r="H877" t="s">
        <v>176</v>
      </c>
      <c r="I877" t="s">
        <v>737</v>
      </c>
      <c r="J877" t="s">
        <v>738</v>
      </c>
      <c r="K877" t="s">
        <v>1813</v>
      </c>
      <c r="L877" t="s">
        <v>65</v>
      </c>
      <c r="M877" t="b">
        <v>0</v>
      </c>
      <c r="N877" t="s">
        <v>922</v>
      </c>
      <c r="O877" t="b">
        <v>0</v>
      </c>
      <c r="P877" t="b">
        <v>1</v>
      </c>
      <c r="Q877" t="b">
        <v>0</v>
      </c>
      <c r="R877" t="b">
        <v>1</v>
      </c>
      <c r="S877" t="b">
        <v>0</v>
      </c>
      <c r="T877" t="b">
        <v>1</v>
      </c>
      <c r="U877" t="b">
        <v>1</v>
      </c>
      <c r="V877" t="b">
        <v>0</v>
      </c>
      <c r="W877" t="b">
        <v>0</v>
      </c>
      <c r="X877" t="b">
        <v>0</v>
      </c>
      <c r="Y877" t="b">
        <v>0</v>
      </c>
      <c r="Z877" t="b">
        <v>1</v>
      </c>
      <c r="AA877" t="b">
        <v>0</v>
      </c>
      <c r="AB877" t="s">
        <v>108</v>
      </c>
      <c r="AC877" t="s">
        <v>8408</v>
      </c>
    </row>
    <row r="878" spans="1:29" x14ac:dyDescent="0.3">
      <c r="A878">
        <v>-73.958650700000007</v>
      </c>
      <c r="B878">
        <v>40.785695539999999</v>
      </c>
      <c r="C878" t="s">
        <v>245</v>
      </c>
      <c r="D878" t="s">
        <v>38</v>
      </c>
      <c r="E878" s="58">
        <v>43381</v>
      </c>
      <c r="F878">
        <v>12</v>
      </c>
      <c r="G878" t="s">
        <v>48</v>
      </c>
      <c r="H878" t="s">
        <v>53</v>
      </c>
      <c r="I878" t="s">
        <v>53</v>
      </c>
      <c r="J878" t="s">
        <v>2942</v>
      </c>
      <c r="K878" t="s">
        <v>5038</v>
      </c>
      <c r="L878" t="s">
        <v>65</v>
      </c>
      <c r="M878" t="b">
        <v>0</v>
      </c>
      <c r="N878" t="s">
        <v>1853</v>
      </c>
      <c r="O878" t="b">
        <v>0</v>
      </c>
      <c r="P878" t="b">
        <v>1</v>
      </c>
      <c r="Q878" t="b">
        <v>1</v>
      </c>
      <c r="R878" t="b">
        <v>1</v>
      </c>
      <c r="S878" t="b">
        <v>1</v>
      </c>
      <c r="T878" t="b">
        <v>1</v>
      </c>
      <c r="U878" t="b">
        <v>1</v>
      </c>
      <c r="V878" t="b">
        <v>1</v>
      </c>
      <c r="W878" t="b">
        <v>0</v>
      </c>
      <c r="X878" t="b">
        <v>1</v>
      </c>
      <c r="Y878" t="b">
        <v>1</v>
      </c>
      <c r="Z878" t="b">
        <v>1</v>
      </c>
      <c r="AA878" t="b">
        <v>0</v>
      </c>
      <c r="AB878" t="s">
        <v>1293</v>
      </c>
      <c r="AC878" t="s">
        <v>8409</v>
      </c>
    </row>
    <row r="879" spans="1:29" x14ac:dyDescent="0.3">
      <c r="A879">
        <v>-73.960444109999997</v>
      </c>
      <c r="B879">
        <v>40.782808950000003</v>
      </c>
      <c r="C879" t="s">
        <v>212</v>
      </c>
      <c r="D879" t="s">
        <v>33</v>
      </c>
      <c r="E879" s="58">
        <v>43390</v>
      </c>
      <c r="F879">
        <v>21</v>
      </c>
      <c r="G879" t="s">
        <v>105</v>
      </c>
      <c r="H879" t="s">
        <v>176</v>
      </c>
      <c r="I879" t="s">
        <v>737</v>
      </c>
      <c r="J879" t="s">
        <v>116</v>
      </c>
      <c r="K879" t="s">
        <v>2382</v>
      </c>
      <c r="L879" t="s">
        <v>44</v>
      </c>
      <c r="M879">
        <v>15</v>
      </c>
      <c r="N879" t="s">
        <v>1421</v>
      </c>
      <c r="O879" t="b">
        <v>1</v>
      </c>
      <c r="P879" t="b">
        <v>0</v>
      </c>
      <c r="Q879" t="b">
        <v>1</v>
      </c>
      <c r="R879" t="b">
        <v>0</v>
      </c>
      <c r="S879" t="b">
        <v>1</v>
      </c>
      <c r="T879" t="b">
        <v>1</v>
      </c>
      <c r="U879" t="b">
        <v>0</v>
      </c>
      <c r="V879" t="b">
        <v>1</v>
      </c>
      <c r="W879" t="b">
        <v>1</v>
      </c>
      <c r="X879" t="b">
        <v>1</v>
      </c>
      <c r="Y879" t="b">
        <v>1</v>
      </c>
      <c r="Z879" t="b">
        <v>1</v>
      </c>
      <c r="AA879" t="b">
        <v>0</v>
      </c>
      <c r="AB879" t="s">
        <v>3595</v>
      </c>
      <c r="AC879" t="s">
        <v>8410</v>
      </c>
    </row>
    <row r="880" spans="1:29" x14ac:dyDescent="0.3">
      <c r="A880">
        <v>-73.980306769999999</v>
      </c>
      <c r="B880">
        <v>40.775386709999999</v>
      </c>
      <c r="C880" t="s">
        <v>2593</v>
      </c>
      <c r="D880" t="s">
        <v>38</v>
      </c>
      <c r="E880" s="58">
        <v>43387</v>
      </c>
      <c r="F880">
        <v>28</v>
      </c>
      <c r="G880" t="s">
        <v>48</v>
      </c>
      <c r="H880" t="s">
        <v>176</v>
      </c>
      <c r="I880" t="s">
        <v>148</v>
      </c>
      <c r="J880" t="s">
        <v>43</v>
      </c>
      <c r="K880" t="s">
        <v>820</v>
      </c>
      <c r="L880" t="s">
        <v>65</v>
      </c>
      <c r="M880" t="b">
        <v>0</v>
      </c>
      <c r="N880" t="s">
        <v>6252</v>
      </c>
      <c r="O880" t="b">
        <v>1</v>
      </c>
      <c r="P880" t="b">
        <v>0</v>
      </c>
      <c r="Q880" t="b">
        <v>0</v>
      </c>
      <c r="R880" t="b">
        <v>0</v>
      </c>
      <c r="S880" t="b">
        <v>0</v>
      </c>
      <c r="T880" t="b">
        <v>1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s">
        <v>1849</v>
      </c>
      <c r="AC880" t="s">
        <v>8411</v>
      </c>
    </row>
    <row r="881" spans="1:29" x14ac:dyDescent="0.3">
      <c r="A881">
        <v>-73.974180480000001</v>
      </c>
      <c r="B881">
        <v>40.784803879999998</v>
      </c>
      <c r="C881" t="s">
        <v>245</v>
      </c>
      <c r="D881" t="s">
        <v>33</v>
      </c>
      <c r="E881" s="58">
        <v>43383</v>
      </c>
      <c r="F881">
        <v>2</v>
      </c>
      <c r="G881" t="s">
        <v>48</v>
      </c>
      <c r="H881" t="s">
        <v>176</v>
      </c>
      <c r="I881" t="s">
        <v>96</v>
      </c>
      <c r="J881" t="s">
        <v>43</v>
      </c>
      <c r="K881" t="s">
        <v>64</v>
      </c>
      <c r="L881" t="s">
        <v>44</v>
      </c>
      <c r="M881">
        <v>15</v>
      </c>
      <c r="N881" t="s">
        <v>4504</v>
      </c>
      <c r="O881" t="b">
        <v>0</v>
      </c>
      <c r="P881" t="b">
        <v>1</v>
      </c>
      <c r="Q881" t="b">
        <v>0</v>
      </c>
      <c r="R881" t="b">
        <v>1</v>
      </c>
      <c r="S881" t="b">
        <v>1</v>
      </c>
      <c r="T881" t="b">
        <v>0</v>
      </c>
      <c r="U881" t="b">
        <v>1</v>
      </c>
      <c r="V881" t="b">
        <v>1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s">
        <v>1073</v>
      </c>
      <c r="AC881" t="s">
        <v>8412</v>
      </c>
    </row>
    <row r="882" spans="1:29" x14ac:dyDescent="0.3">
      <c r="A882">
        <v>-73.973894329999993</v>
      </c>
      <c r="B882">
        <v>40.789164839999998</v>
      </c>
      <c r="C882" t="s">
        <v>338</v>
      </c>
      <c r="D882" t="s">
        <v>33</v>
      </c>
      <c r="E882" s="58">
        <v>43390</v>
      </c>
      <c r="F882">
        <v>4</v>
      </c>
      <c r="G882" t="s">
        <v>105</v>
      </c>
      <c r="H882" t="s">
        <v>53</v>
      </c>
      <c r="I882" t="s">
        <v>737</v>
      </c>
      <c r="J882" t="s">
        <v>155</v>
      </c>
      <c r="K882" t="s">
        <v>7178</v>
      </c>
      <c r="L882" t="s">
        <v>65</v>
      </c>
      <c r="M882" t="b">
        <v>0</v>
      </c>
      <c r="N882" t="s">
        <v>3826</v>
      </c>
      <c r="O882" t="b">
        <v>0</v>
      </c>
      <c r="P882" t="b">
        <v>1</v>
      </c>
      <c r="Q882" t="b">
        <v>0</v>
      </c>
      <c r="R882" t="b">
        <v>1</v>
      </c>
      <c r="S882" t="b">
        <v>1</v>
      </c>
      <c r="T882" t="b">
        <v>1</v>
      </c>
      <c r="U882" t="b">
        <v>1</v>
      </c>
      <c r="V882" t="b">
        <v>1</v>
      </c>
      <c r="W882" t="b">
        <v>0</v>
      </c>
      <c r="X882" t="b">
        <v>0</v>
      </c>
      <c r="Y882" t="b">
        <v>1</v>
      </c>
      <c r="Z882" t="b">
        <v>0</v>
      </c>
      <c r="AA882" t="b">
        <v>1</v>
      </c>
      <c r="AB882" t="s">
        <v>5887</v>
      </c>
      <c r="AC882" t="s">
        <v>8413</v>
      </c>
    </row>
    <row r="883" spans="1:29" x14ac:dyDescent="0.3">
      <c r="A883">
        <v>-73.960036410000001</v>
      </c>
      <c r="B883">
        <v>40.795658490000001</v>
      </c>
      <c r="C883" t="s">
        <v>218</v>
      </c>
      <c r="D883" t="s">
        <v>38</v>
      </c>
      <c r="E883" s="58">
        <v>43388</v>
      </c>
      <c r="F883">
        <v>17</v>
      </c>
      <c r="G883" t="s">
        <v>105</v>
      </c>
      <c r="H883" t="s">
        <v>53</v>
      </c>
      <c r="I883" t="s">
        <v>42</v>
      </c>
      <c r="J883" t="s">
        <v>54</v>
      </c>
      <c r="K883" t="s">
        <v>4237</v>
      </c>
      <c r="L883" t="s">
        <v>65</v>
      </c>
      <c r="M883" t="b">
        <v>0</v>
      </c>
      <c r="N883" t="s">
        <v>6646</v>
      </c>
      <c r="O883" t="b">
        <v>1</v>
      </c>
      <c r="P883" t="b">
        <v>0</v>
      </c>
      <c r="Q883" t="b">
        <v>0</v>
      </c>
      <c r="R883" t="b">
        <v>1</v>
      </c>
      <c r="S883" t="b">
        <v>1</v>
      </c>
      <c r="T883" t="b">
        <v>1</v>
      </c>
      <c r="U883" t="b">
        <v>1</v>
      </c>
      <c r="V883" t="b">
        <v>0</v>
      </c>
      <c r="W883" t="b">
        <v>1</v>
      </c>
      <c r="X883" t="b">
        <v>0</v>
      </c>
      <c r="Y883" t="b">
        <v>1</v>
      </c>
      <c r="Z883" t="b">
        <v>1</v>
      </c>
      <c r="AA883" t="b">
        <v>0</v>
      </c>
      <c r="AB883" t="s">
        <v>5062</v>
      </c>
      <c r="AC883" t="s">
        <v>8414</v>
      </c>
    </row>
    <row r="884" spans="1:29" x14ac:dyDescent="0.3">
      <c r="A884">
        <v>-73.980538940000002</v>
      </c>
      <c r="B884">
        <v>40.78731312</v>
      </c>
      <c r="C884" t="s">
        <v>85</v>
      </c>
      <c r="D884" t="s">
        <v>33</v>
      </c>
      <c r="E884" s="58">
        <v>43393</v>
      </c>
      <c r="F884">
        <v>4</v>
      </c>
      <c r="G884" t="s">
        <v>48</v>
      </c>
      <c r="H884" t="s">
        <v>53</v>
      </c>
      <c r="I884" t="s">
        <v>96</v>
      </c>
      <c r="J884" t="s">
        <v>1233</v>
      </c>
      <c r="K884" t="s">
        <v>4572</v>
      </c>
      <c r="L884" t="s">
        <v>65</v>
      </c>
      <c r="M884" t="b">
        <v>0</v>
      </c>
      <c r="N884" t="s">
        <v>368</v>
      </c>
      <c r="O884" t="b">
        <v>0</v>
      </c>
      <c r="P884" t="b">
        <v>0</v>
      </c>
      <c r="Q884" t="b">
        <v>0</v>
      </c>
      <c r="R884" t="b">
        <v>1</v>
      </c>
      <c r="S884" t="b">
        <v>1</v>
      </c>
      <c r="T884" t="b">
        <v>0</v>
      </c>
      <c r="U884" t="b">
        <v>1</v>
      </c>
      <c r="V884" t="b">
        <v>1</v>
      </c>
      <c r="W884" t="b">
        <v>1</v>
      </c>
      <c r="X884" t="b">
        <v>1</v>
      </c>
      <c r="Y884" t="b">
        <v>0</v>
      </c>
      <c r="Z884" t="b">
        <v>0</v>
      </c>
      <c r="AA884" t="b">
        <v>1</v>
      </c>
      <c r="AB884" t="s">
        <v>4464</v>
      </c>
      <c r="AC884" t="s">
        <v>8415</v>
      </c>
    </row>
    <row r="885" spans="1:29" x14ac:dyDescent="0.3">
      <c r="A885">
        <v>-73.977885740000005</v>
      </c>
      <c r="B885">
        <v>40.791708120000003</v>
      </c>
      <c r="C885" t="s">
        <v>879</v>
      </c>
      <c r="D885" t="s">
        <v>33</v>
      </c>
      <c r="E885" s="58">
        <v>43380</v>
      </c>
      <c r="F885">
        <v>11</v>
      </c>
      <c r="G885" t="s">
        <v>48</v>
      </c>
      <c r="H885" t="s">
        <v>42</v>
      </c>
      <c r="I885" t="s">
        <v>148</v>
      </c>
      <c r="J885" t="s">
        <v>116</v>
      </c>
      <c r="K885" t="s">
        <v>5787</v>
      </c>
      <c r="L885" t="s">
        <v>65</v>
      </c>
      <c r="M885" t="b">
        <v>0</v>
      </c>
      <c r="N885" t="s">
        <v>7012</v>
      </c>
      <c r="O885" t="b">
        <v>1</v>
      </c>
      <c r="P885" t="b">
        <v>0</v>
      </c>
      <c r="Q885" t="b">
        <v>1</v>
      </c>
      <c r="R885" t="b">
        <v>0</v>
      </c>
      <c r="S885" t="b">
        <v>1</v>
      </c>
      <c r="T885" t="b">
        <v>0</v>
      </c>
      <c r="U885" t="b">
        <v>0</v>
      </c>
      <c r="V885" t="b">
        <v>0</v>
      </c>
      <c r="W885" t="b">
        <v>0</v>
      </c>
      <c r="X885" t="b">
        <v>1</v>
      </c>
      <c r="Y885" t="b">
        <v>0</v>
      </c>
      <c r="Z885" t="b">
        <v>1</v>
      </c>
      <c r="AA885" t="b">
        <v>1</v>
      </c>
      <c r="AB885" t="s">
        <v>1497</v>
      </c>
      <c r="AC885" t="s">
        <v>8416</v>
      </c>
    </row>
    <row r="886" spans="1:29" x14ac:dyDescent="0.3">
      <c r="A886">
        <v>-73.956011770000003</v>
      </c>
      <c r="B886">
        <v>40.770546449999998</v>
      </c>
      <c r="C886" t="s">
        <v>486</v>
      </c>
      <c r="D886" t="s">
        <v>33</v>
      </c>
      <c r="E886" s="58">
        <v>43385</v>
      </c>
      <c r="F886">
        <v>22</v>
      </c>
      <c r="G886" t="s">
        <v>105</v>
      </c>
      <c r="H886" t="s">
        <v>53</v>
      </c>
      <c r="I886" t="s">
        <v>176</v>
      </c>
      <c r="J886" t="s">
        <v>60</v>
      </c>
      <c r="K886" t="s">
        <v>1181</v>
      </c>
      <c r="L886" t="s">
        <v>44</v>
      </c>
      <c r="M886">
        <v>10</v>
      </c>
      <c r="N886" t="s">
        <v>4455</v>
      </c>
      <c r="O886" t="b">
        <v>1</v>
      </c>
      <c r="P886" t="b">
        <v>0</v>
      </c>
      <c r="Q886" t="b">
        <v>1</v>
      </c>
      <c r="R886" t="b">
        <v>0</v>
      </c>
      <c r="S886" t="b">
        <v>1</v>
      </c>
      <c r="T886" t="b">
        <v>0</v>
      </c>
      <c r="U886" t="b">
        <v>0</v>
      </c>
      <c r="V886" t="b">
        <v>0</v>
      </c>
      <c r="W886" t="b">
        <v>1</v>
      </c>
      <c r="X886" t="b">
        <v>1</v>
      </c>
      <c r="Y886" t="b">
        <v>1</v>
      </c>
      <c r="Z886" t="b">
        <v>1</v>
      </c>
      <c r="AA886" t="b">
        <v>1</v>
      </c>
      <c r="AB886" t="s">
        <v>5918</v>
      </c>
      <c r="AC886" t="s">
        <v>8417</v>
      </c>
    </row>
    <row r="887" spans="1:29" x14ac:dyDescent="0.3">
      <c r="A887">
        <v>-73.975545710000006</v>
      </c>
      <c r="B887">
        <v>40.781161109999999</v>
      </c>
      <c r="C887" t="s">
        <v>2016</v>
      </c>
      <c r="D887" t="s">
        <v>33</v>
      </c>
      <c r="E887" s="58">
        <v>43393</v>
      </c>
      <c r="F887">
        <v>26</v>
      </c>
      <c r="G887" t="s">
        <v>48</v>
      </c>
      <c r="H887" t="s">
        <v>42</v>
      </c>
      <c r="I887" t="s">
        <v>96</v>
      </c>
      <c r="J887" t="s">
        <v>705</v>
      </c>
      <c r="K887" t="s">
        <v>1636</v>
      </c>
      <c r="L887" t="s">
        <v>65</v>
      </c>
      <c r="M887" t="b">
        <v>0</v>
      </c>
      <c r="N887" t="s">
        <v>3687</v>
      </c>
      <c r="O887" t="b">
        <v>1</v>
      </c>
      <c r="P887" t="b">
        <v>0</v>
      </c>
      <c r="Q887" t="b">
        <v>0</v>
      </c>
      <c r="R887" t="b">
        <v>0</v>
      </c>
      <c r="S887" t="b">
        <v>1</v>
      </c>
      <c r="T887" t="b">
        <v>1</v>
      </c>
      <c r="U887" t="b">
        <v>1</v>
      </c>
      <c r="V887" t="b">
        <v>0</v>
      </c>
      <c r="W887" t="b">
        <v>0</v>
      </c>
      <c r="X887" t="b">
        <v>0</v>
      </c>
      <c r="Y887" t="b">
        <v>1</v>
      </c>
      <c r="Z887" t="b">
        <v>1</v>
      </c>
      <c r="AA887" t="b">
        <v>0</v>
      </c>
      <c r="AB887" t="s">
        <v>5800</v>
      </c>
      <c r="AC887" t="s">
        <v>8418</v>
      </c>
    </row>
    <row r="888" spans="1:29" x14ac:dyDescent="0.3">
      <c r="A888">
        <v>-73.960638320000001</v>
      </c>
      <c r="B888">
        <v>40.765239209999997</v>
      </c>
      <c r="C888" t="s">
        <v>1652</v>
      </c>
      <c r="D888" t="s">
        <v>33</v>
      </c>
      <c r="E888" s="58">
        <v>43380</v>
      </c>
      <c r="F888">
        <v>4</v>
      </c>
      <c r="G888" t="s">
        <v>48</v>
      </c>
      <c r="H888" t="s">
        <v>42</v>
      </c>
      <c r="I888" t="s">
        <v>96</v>
      </c>
      <c r="J888" t="s">
        <v>3580</v>
      </c>
      <c r="K888" t="s">
        <v>2927</v>
      </c>
      <c r="L888" t="s">
        <v>44</v>
      </c>
      <c r="M888">
        <v>40</v>
      </c>
      <c r="N888" t="s">
        <v>6273</v>
      </c>
      <c r="O888" t="b">
        <v>0</v>
      </c>
      <c r="P888" t="b">
        <v>1</v>
      </c>
      <c r="Q888" t="b">
        <v>0</v>
      </c>
      <c r="R888" t="b">
        <v>1</v>
      </c>
      <c r="S888" t="b">
        <v>1</v>
      </c>
      <c r="T888" t="b">
        <v>0</v>
      </c>
      <c r="U888" t="b">
        <v>1</v>
      </c>
      <c r="V888" t="b">
        <v>1</v>
      </c>
      <c r="W888" t="b">
        <v>1</v>
      </c>
      <c r="X888" t="b">
        <v>0</v>
      </c>
      <c r="Y888" t="b">
        <v>1</v>
      </c>
      <c r="Z888" t="b">
        <v>0</v>
      </c>
      <c r="AA888" t="b">
        <v>0</v>
      </c>
      <c r="AB888" t="s">
        <v>6290</v>
      </c>
      <c r="AC888" t="s">
        <v>8419</v>
      </c>
    </row>
    <row r="889" spans="1:29" x14ac:dyDescent="0.3">
      <c r="A889">
        <v>-73.973670870000007</v>
      </c>
      <c r="B889">
        <v>40.773595700000001</v>
      </c>
      <c r="C889" t="s">
        <v>6554</v>
      </c>
      <c r="D889" t="s">
        <v>33</v>
      </c>
      <c r="E889" s="58">
        <v>43382</v>
      </c>
      <c r="F889">
        <v>1</v>
      </c>
      <c r="G889" t="s">
        <v>105</v>
      </c>
      <c r="H889" t="s">
        <v>53</v>
      </c>
      <c r="I889" t="s">
        <v>176</v>
      </c>
      <c r="J889" t="s">
        <v>155</v>
      </c>
      <c r="K889" t="s">
        <v>1417</v>
      </c>
      <c r="L889" t="s">
        <v>65</v>
      </c>
      <c r="M889" t="b">
        <v>0</v>
      </c>
      <c r="N889" t="s">
        <v>4293</v>
      </c>
      <c r="O889" t="b">
        <v>0</v>
      </c>
      <c r="P889" t="b">
        <v>1</v>
      </c>
      <c r="Q889" t="b">
        <v>0</v>
      </c>
      <c r="R889" t="b">
        <v>1</v>
      </c>
      <c r="S889" t="b">
        <v>1</v>
      </c>
      <c r="T889" t="b">
        <v>1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s">
        <v>7371</v>
      </c>
      <c r="AC889" t="s">
        <v>8420</v>
      </c>
    </row>
    <row r="890" spans="1:29" x14ac:dyDescent="0.3">
      <c r="A890">
        <v>-73.978032459999994</v>
      </c>
      <c r="B890">
        <v>40.790487820000003</v>
      </c>
      <c r="C890" t="s">
        <v>704</v>
      </c>
      <c r="D890" t="s">
        <v>38</v>
      </c>
      <c r="E890" s="58">
        <v>43390</v>
      </c>
      <c r="F890">
        <v>7</v>
      </c>
      <c r="G890" t="s">
        <v>48</v>
      </c>
      <c r="H890" t="s">
        <v>53</v>
      </c>
      <c r="I890" t="s">
        <v>148</v>
      </c>
      <c r="J890" t="s">
        <v>34</v>
      </c>
      <c r="K890" t="s">
        <v>64</v>
      </c>
      <c r="L890" t="s">
        <v>44</v>
      </c>
      <c r="M890">
        <v>7</v>
      </c>
      <c r="N890" t="s">
        <v>3132</v>
      </c>
      <c r="O890" t="b">
        <v>1</v>
      </c>
      <c r="P890" t="b">
        <v>0</v>
      </c>
      <c r="Q890" t="b">
        <v>0</v>
      </c>
      <c r="R890" t="b">
        <v>1</v>
      </c>
      <c r="S890" t="b">
        <v>0</v>
      </c>
      <c r="T890" t="b">
        <v>0</v>
      </c>
      <c r="U890" t="b">
        <v>0</v>
      </c>
      <c r="V890" t="b">
        <v>1</v>
      </c>
      <c r="W890" t="b">
        <v>1</v>
      </c>
      <c r="X890" t="b">
        <v>1</v>
      </c>
      <c r="Y890" t="b">
        <v>1</v>
      </c>
      <c r="Z890" t="b">
        <v>1</v>
      </c>
      <c r="AA890" t="b">
        <v>1</v>
      </c>
      <c r="AB890" t="s">
        <v>3158</v>
      </c>
      <c r="AC890" t="s">
        <v>8421</v>
      </c>
    </row>
    <row r="891" spans="1:29" x14ac:dyDescent="0.3">
      <c r="A891">
        <v>-73.973514019999996</v>
      </c>
      <c r="B891">
        <v>40.799830159999999</v>
      </c>
      <c r="C891" t="s">
        <v>870</v>
      </c>
      <c r="D891" t="s">
        <v>38</v>
      </c>
      <c r="E891" s="58">
        <v>43385</v>
      </c>
      <c r="F891">
        <v>30</v>
      </c>
      <c r="G891" t="s">
        <v>48</v>
      </c>
      <c r="H891" t="s">
        <v>53</v>
      </c>
      <c r="I891" t="s">
        <v>737</v>
      </c>
      <c r="J891" t="s">
        <v>60</v>
      </c>
      <c r="K891" t="s">
        <v>4594</v>
      </c>
      <c r="L891" t="s">
        <v>65</v>
      </c>
      <c r="M891" t="b">
        <v>0</v>
      </c>
      <c r="N891" t="s">
        <v>748</v>
      </c>
      <c r="O891" t="b">
        <v>1</v>
      </c>
      <c r="P891" t="b">
        <v>0</v>
      </c>
      <c r="Q891" t="b">
        <v>1</v>
      </c>
      <c r="R891" t="b">
        <v>0</v>
      </c>
      <c r="S891" t="b">
        <v>1</v>
      </c>
      <c r="T891" t="b">
        <v>1</v>
      </c>
      <c r="U891" t="b">
        <v>0</v>
      </c>
      <c r="V891" t="b">
        <v>0</v>
      </c>
      <c r="W891" t="b">
        <v>0</v>
      </c>
      <c r="X891" t="b">
        <v>0</v>
      </c>
      <c r="Y891" t="b">
        <v>1</v>
      </c>
      <c r="Z891" t="b">
        <v>0</v>
      </c>
      <c r="AA891" t="b">
        <v>1</v>
      </c>
      <c r="AB891" t="s">
        <v>1539</v>
      </c>
      <c r="AC891" t="s">
        <v>8422</v>
      </c>
    </row>
    <row r="892" spans="1:29" x14ac:dyDescent="0.3">
      <c r="A892">
        <v>-73.958452809999997</v>
      </c>
      <c r="B892">
        <v>40.768402520000002</v>
      </c>
      <c r="C892" t="s">
        <v>530</v>
      </c>
      <c r="D892" t="s">
        <v>38</v>
      </c>
      <c r="E892" s="58">
        <v>43382</v>
      </c>
      <c r="F892">
        <v>18</v>
      </c>
      <c r="G892" t="s">
        <v>3842</v>
      </c>
      <c r="H892" t="s">
        <v>42</v>
      </c>
      <c r="I892" t="s">
        <v>53</v>
      </c>
      <c r="J892" t="s">
        <v>34</v>
      </c>
      <c r="K892" t="s">
        <v>1843</v>
      </c>
      <c r="L892" t="s">
        <v>65</v>
      </c>
      <c r="M892" t="b">
        <v>0</v>
      </c>
      <c r="N892" t="s">
        <v>589</v>
      </c>
      <c r="O892" t="b">
        <v>1</v>
      </c>
      <c r="P892" t="b">
        <v>0</v>
      </c>
      <c r="Q892" t="b">
        <v>1</v>
      </c>
      <c r="R892" t="b">
        <v>0</v>
      </c>
      <c r="S892" t="b">
        <v>1</v>
      </c>
      <c r="T892" t="b">
        <v>0</v>
      </c>
      <c r="U892" t="b">
        <v>1</v>
      </c>
      <c r="V892" t="b">
        <v>0</v>
      </c>
      <c r="W892" t="b">
        <v>1</v>
      </c>
      <c r="X892" t="b">
        <v>0</v>
      </c>
      <c r="Y892" t="b">
        <v>1</v>
      </c>
      <c r="Z892" t="b">
        <v>1</v>
      </c>
      <c r="AA892" t="b">
        <v>0</v>
      </c>
      <c r="AB892" t="s">
        <v>1643</v>
      </c>
      <c r="AC892" t="s">
        <v>8423</v>
      </c>
    </row>
    <row r="893" spans="1:29" x14ac:dyDescent="0.3">
      <c r="A893">
        <v>-73.954258210000006</v>
      </c>
      <c r="B893">
        <v>40.77904642</v>
      </c>
      <c r="C893" t="s">
        <v>486</v>
      </c>
      <c r="D893" t="s">
        <v>33</v>
      </c>
      <c r="E893" s="58">
        <v>43385</v>
      </c>
      <c r="F893">
        <v>9</v>
      </c>
      <c r="G893" t="s">
        <v>105</v>
      </c>
      <c r="H893" t="s">
        <v>176</v>
      </c>
      <c r="I893" t="s">
        <v>5105</v>
      </c>
      <c r="J893" t="s">
        <v>1233</v>
      </c>
      <c r="K893" t="s">
        <v>7072</v>
      </c>
      <c r="L893" t="s">
        <v>44</v>
      </c>
      <c r="M893">
        <v>25</v>
      </c>
      <c r="N893" t="s">
        <v>6335</v>
      </c>
      <c r="O893" t="b">
        <v>1</v>
      </c>
      <c r="P893" t="b">
        <v>0</v>
      </c>
      <c r="Q893" t="b">
        <v>0</v>
      </c>
      <c r="R893" t="b">
        <v>0</v>
      </c>
      <c r="S893" t="b">
        <v>1</v>
      </c>
      <c r="T893" t="b">
        <v>0</v>
      </c>
      <c r="U893" t="b">
        <v>0</v>
      </c>
      <c r="V893" t="b">
        <v>1</v>
      </c>
      <c r="W893" t="b">
        <v>0</v>
      </c>
      <c r="X893" t="b">
        <v>1</v>
      </c>
      <c r="Y893" t="b">
        <v>1</v>
      </c>
      <c r="Z893" t="b">
        <v>0</v>
      </c>
      <c r="AA893" t="b">
        <v>0</v>
      </c>
      <c r="AB893" t="s">
        <v>263</v>
      </c>
      <c r="AC893" t="s">
        <v>8424</v>
      </c>
    </row>
    <row r="894" spans="1:29" x14ac:dyDescent="0.3">
      <c r="A894">
        <v>-73.955059109999993</v>
      </c>
      <c r="B894">
        <v>40.79307945</v>
      </c>
      <c r="C894" t="s">
        <v>100</v>
      </c>
      <c r="D894" t="s">
        <v>38</v>
      </c>
      <c r="E894" s="58">
        <v>43385</v>
      </c>
      <c r="F894">
        <v>29</v>
      </c>
      <c r="G894" t="s">
        <v>3842</v>
      </c>
      <c r="H894" t="s">
        <v>53</v>
      </c>
      <c r="I894" t="s">
        <v>176</v>
      </c>
      <c r="J894" t="s">
        <v>1233</v>
      </c>
      <c r="K894" t="s">
        <v>4177</v>
      </c>
      <c r="L894" t="s">
        <v>44</v>
      </c>
      <c r="M894">
        <v>40</v>
      </c>
      <c r="N894" t="s">
        <v>4895</v>
      </c>
      <c r="O894" t="b">
        <v>0</v>
      </c>
      <c r="P894" t="b">
        <v>0</v>
      </c>
      <c r="Q894" t="b">
        <v>0</v>
      </c>
      <c r="R894" t="b">
        <v>1</v>
      </c>
      <c r="S894" t="b">
        <v>1</v>
      </c>
      <c r="T894" t="b">
        <v>1</v>
      </c>
      <c r="U894" t="b">
        <v>1</v>
      </c>
      <c r="V894" t="b">
        <v>1</v>
      </c>
      <c r="W894" t="b">
        <v>1</v>
      </c>
      <c r="X894" t="b">
        <v>1</v>
      </c>
      <c r="Y894" t="b">
        <v>1</v>
      </c>
      <c r="Z894" t="b">
        <v>1</v>
      </c>
      <c r="AA894" t="b">
        <v>1</v>
      </c>
      <c r="AB894" t="s">
        <v>2778</v>
      </c>
      <c r="AC894" t="s">
        <v>8425</v>
      </c>
    </row>
    <row r="895" spans="1:29" x14ac:dyDescent="0.3">
      <c r="A895">
        <v>-73.968672400000003</v>
      </c>
      <c r="B895">
        <v>40.772094320000001</v>
      </c>
      <c r="C895" t="s">
        <v>1852</v>
      </c>
      <c r="D895" t="s">
        <v>33</v>
      </c>
      <c r="E895" s="58">
        <v>43379</v>
      </c>
      <c r="F895">
        <v>3</v>
      </c>
      <c r="G895" t="s">
        <v>3842</v>
      </c>
      <c r="H895" t="s">
        <v>53</v>
      </c>
      <c r="I895" t="s">
        <v>176</v>
      </c>
      <c r="J895" t="s">
        <v>97</v>
      </c>
      <c r="K895" t="s">
        <v>242</v>
      </c>
      <c r="L895" t="s">
        <v>44</v>
      </c>
      <c r="M895">
        <v>20</v>
      </c>
      <c r="N895" t="s">
        <v>1084</v>
      </c>
      <c r="O895" t="b">
        <v>1</v>
      </c>
      <c r="P895" t="b">
        <v>0</v>
      </c>
      <c r="Q895" t="b">
        <v>0</v>
      </c>
      <c r="R895" t="b">
        <v>1</v>
      </c>
      <c r="S895" t="b">
        <v>1</v>
      </c>
      <c r="T895" t="b">
        <v>0</v>
      </c>
      <c r="U895" t="b">
        <v>1</v>
      </c>
      <c r="V895" t="b">
        <v>1</v>
      </c>
      <c r="W895" t="b">
        <v>1</v>
      </c>
      <c r="X895" t="b">
        <v>0</v>
      </c>
      <c r="Y895" t="b">
        <v>1</v>
      </c>
      <c r="Z895" t="b">
        <v>1</v>
      </c>
      <c r="AA895" t="b">
        <v>1</v>
      </c>
      <c r="AB895" t="s">
        <v>4139</v>
      </c>
      <c r="AC895" t="s">
        <v>8426</v>
      </c>
    </row>
    <row r="896" spans="1:29" x14ac:dyDescent="0.3">
      <c r="A896">
        <v>-73.96015611</v>
      </c>
      <c r="B896">
        <v>40.784454019999998</v>
      </c>
      <c r="C896" t="s">
        <v>988</v>
      </c>
      <c r="D896" t="s">
        <v>33</v>
      </c>
      <c r="E896" s="58">
        <v>43384</v>
      </c>
      <c r="F896">
        <v>8</v>
      </c>
      <c r="G896" t="s">
        <v>3842</v>
      </c>
      <c r="H896" t="s">
        <v>53</v>
      </c>
      <c r="I896" t="s">
        <v>176</v>
      </c>
      <c r="J896" t="s">
        <v>3228</v>
      </c>
      <c r="K896" t="s">
        <v>7046</v>
      </c>
      <c r="L896" t="s">
        <v>44</v>
      </c>
      <c r="M896">
        <v>40</v>
      </c>
      <c r="N896" t="s">
        <v>6641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1</v>
      </c>
      <c r="V896" t="b">
        <v>0</v>
      </c>
      <c r="W896" t="b">
        <v>1</v>
      </c>
      <c r="X896" t="b">
        <v>1</v>
      </c>
      <c r="Y896" t="b">
        <v>0</v>
      </c>
      <c r="Z896" t="b">
        <v>1</v>
      </c>
      <c r="AA896" t="b">
        <v>1</v>
      </c>
      <c r="AB896" t="s">
        <v>601</v>
      </c>
      <c r="AC896" t="s">
        <v>8427</v>
      </c>
    </row>
    <row r="897" spans="1:29" x14ac:dyDescent="0.3">
      <c r="A897">
        <v>-73.97471453</v>
      </c>
      <c r="B897">
        <v>40.790720530000002</v>
      </c>
      <c r="C897" t="s">
        <v>130</v>
      </c>
      <c r="D897" t="s">
        <v>33</v>
      </c>
      <c r="E897" s="58">
        <v>43387</v>
      </c>
      <c r="F897">
        <v>29</v>
      </c>
      <c r="G897" t="s">
        <v>48</v>
      </c>
      <c r="H897" t="s">
        <v>42</v>
      </c>
      <c r="I897" t="s">
        <v>176</v>
      </c>
      <c r="J897" t="s">
        <v>738</v>
      </c>
      <c r="K897" t="s">
        <v>7365</v>
      </c>
      <c r="L897" t="s">
        <v>65</v>
      </c>
      <c r="M897" t="b">
        <v>0</v>
      </c>
      <c r="N897" t="s">
        <v>1642</v>
      </c>
      <c r="O897" t="b">
        <v>1</v>
      </c>
      <c r="P897" t="b">
        <v>0</v>
      </c>
      <c r="Q897" t="b">
        <v>1</v>
      </c>
      <c r="R897" t="b">
        <v>1</v>
      </c>
      <c r="S897" t="b">
        <v>0</v>
      </c>
      <c r="T897" t="b">
        <v>0</v>
      </c>
      <c r="U897" t="b">
        <v>0</v>
      </c>
      <c r="V897" t="b">
        <v>1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s">
        <v>2748</v>
      </c>
      <c r="AC897" t="s">
        <v>8428</v>
      </c>
    </row>
    <row r="898" spans="1:29" x14ac:dyDescent="0.3">
      <c r="A898">
        <v>-73.971942949999999</v>
      </c>
      <c r="B898">
        <v>40.786598189999999</v>
      </c>
      <c r="C898" t="s">
        <v>147</v>
      </c>
      <c r="D898" t="s">
        <v>33</v>
      </c>
      <c r="E898" s="58">
        <v>43380</v>
      </c>
      <c r="F898">
        <v>24</v>
      </c>
      <c r="G898" t="s">
        <v>48</v>
      </c>
      <c r="H898" t="s">
        <v>42</v>
      </c>
      <c r="I898" t="s">
        <v>5105</v>
      </c>
      <c r="J898" t="s">
        <v>619</v>
      </c>
      <c r="K898" t="s">
        <v>1843</v>
      </c>
      <c r="L898" t="s">
        <v>44</v>
      </c>
      <c r="M898">
        <v>6</v>
      </c>
      <c r="N898" t="s">
        <v>3773</v>
      </c>
      <c r="O898" t="b">
        <v>0</v>
      </c>
      <c r="P898" t="b">
        <v>0</v>
      </c>
      <c r="Q898" t="b">
        <v>0</v>
      </c>
      <c r="R898" t="b">
        <v>0</v>
      </c>
      <c r="S898" t="b">
        <v>1</v>
      </c>
      <c r="T898" t="b">
        <v>0</v>
      </c>
      <c r="U898" t="b">
        <v>0</v>
      </c>
      <c r="V898" t="b">
        <v>0</v>
      </c>
      <c r="W898" t="b">
        <v>0</v>
      </c>
      <c r="X898" t="b">
        <v>1</v>
      </c>
      <c r="Y898" t="b">
        <v>0</v>
      </c>
      <c r="Z898" t="b">
        <v>0</v>
      </c>
      <c r="AA898" t="b">
        <v>1</v>
      </c>
      <c r="AB898" t="s">
        <v>1643</v>
      </c>
      <c r="AC898" t="s">
        <v>8429</v>
      </c>
    </row>
    <row r="899" spans="1:29" x14ac:dyDescent="0.3">
      <c r="A899">
        <v>-73.952980640000007</v>
      </c>
      <c r="B899">
        <v>40.771530609999999</v>
      </c>
      <c r="C899" t="s">
        <v>921</v>
      </c>
      <c r="D899" t="s">
        <v>38</v>
      </c>
      <c r="E899" s="58">
        <v>43392</v>
      </c>
      <c r="F899">
        <v>19</v>
      </c>
      <c r="G899" t="s">
        <v>3842</v>
      </c>
      <c r="H899" t="s">
        <v>176</v>
      </c>
      <c r="I899" t="s">
        <v>5105</v>
      </c>
      <c r="J899" t="s">
        <v>43</v>
      </c>
      <c r="K899" t="s">
        <v>1472</v>
      </c>
      <c r="L899" t="s">
        <v>44</v>
      </c>
      <c r="M899">
        <v>10</v>
      </c>
      <c r="N899" t="s">
        <v>299</v>
      </c>
      <c r="O899" t="b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b">
        <v>1</v>
      </c>
      <c r="W899" t="b">
        <v>0</v>
      </c>
      <c r="X899" t="b">
        <v>0</v>
      </c>
      <c r="Y899" t="b">
        <v>1</v>
      </c>
      <c r="Z899" t="b">
        <v>0</v>
      </c>
      <c r="AA899" t="b">
        <v>1</v>
      </c>
      <c r="AB899" t="s">
        <v>4636</v>
      </c>
      <c r="AC899" t="s">
        <v>8430</v>
      </c>
    </row>
    <row r="900" spans="1:29" x14ac:dyDescent="0.3">
      <c r="A900">
        <v>-73.980749840000001</v>
      </c>
      <c r="B900">
        <v>40.777422989999998</v>
      </c>
      <c r="C900" t="s">
        <v>1326</v>
      </c>
      <c r="D900" t="s">
        <v>33</v>
      </c>
      <c r="E900" s="58">
        <v>43381</v>
      </c>
      <c r="F900">
        <v>4</v>
      </c>
      <c r="G900" t="s">
        <v>3842</v>
      </c>
      <c r="H900" t="s">
        <v>53</v>
      </c>
      <c r="I900" t="s">
        <v>737</v>
      </c>
      <c r="J900" t="s">
        <v>2942</v>
      </c>
      <c r="K900" t="s">
        <v>1636</v>
      </c>
      <c r="L900" t="s">
        <v>44</v>
      </c>
      <c r="M900">
        <v>4</v>
      </c>
      <c r="N900" t="s">
        <v>2508</v>
      </c>
      <c r="O900" t="b">
        <v>0</v>
      </c>
      <c r="P900" t="b">
        <v>0</v>
      </c>
      <c r="Q900" t="b">
        <v>1</v>
      </c>
      <c r="R900" t="b">
        <v>0</v>
      </c>
      <c r="S900" t="b">
        <v>1</v>
      </c>
      <c r="T900" t="b">
        <v>1</v>
      </c>
      <c r="U900" t="b">
        <v>0</v>
      </c>
      <c r="V900" t="b">
        <v>0</v>
      </c>
      <c r="W900" t="b">
        <v>1</v>
      </c>
      <c r="X900" t="b">
        <v>1</v>
      </c>
      <c r="Y900" t="b">
        <v>0</v>
      </c>
      <c r="Z900" t="b">
        <v>0</v>
      </c>
      <c r="AA900" t="b">
        <v>1</v>
      </c>
      <c r="AB900" t="s">
        <v>947</v>
      </c>
      <c r="AC900" t="s">
        <v>8431</v>
      </c>
    </row>
    <row r="901" spans="1:29" x14ac:dyDescent="0.3">
      <c r="A901">
        <v>-73.978470470000005</v>
      </c>
      <c r="B901">
        <v>40.792506289999999</v>
      </c>
      <c r="C901" t="s">
        <v>1035</v>
      </c>
      <c r="D901" t="s">
        <v>38</v>
      </c>
      <c r="E901" s="58">
        <v>43388</v>
      </c>
      <c r="F901">
        <v>18</v>
      </c>
      <c r="G901" t="s">
        <v>3842</v>
      </c>
      <c r="H901" t="s">
        <v>42</v>
      </c>
      <c r="I901" t="s">
        <v>1921</v>
      </c>
      <c r="J901" t="s">
        <v>619</v>
      </c>
      <c r="K901" t="s">
        <v>7178</v>
      </c>
      <c r="L901" t="s">
        <v>65</v>
      </c>
      <c r="M901" t="b">
        <v>0</v>
      </c>
      <c r="N901" t="s">
        <v>6646</v>
      </c>
      <c r="O901" t="b">
        <v>0</v>
      </c>
      <c r="P901" t="b">
        <v>0</v>
      </c>
      <c r="Q901" t="b">
        <v>0</v>
      </c>
      <c r="R901" t="b">
        <v>0</v>
      </c>
      <c r="S901" t="b">
        <v>1</v>
      </c>
      <c r="T901" t="b">
        <v>1</v>
      </c>
      <c r="U901" t="b">
        <v>1</v>
      </c>
      <c r="V901" t="b">
        <v>0</v>
      </c>
      <c r="W901" t="b">
        <v>0</v>
      </c>
      <c r="X901" t="b">
        <v>1</v>
      </c>
      <c r="Y901" t="b">
        <v>1</v>
      </c>
      <c r="Z901" t="b">
        <v>0</v>
      </c>
      <c r="AA901" t="b">
        <v>0</v>
      </c>
      <c r="AB901" t="s">
        <v>3549</v>
      </c>
      <c r="AC901" t="s">
        <v>8432</v>
      </c>
    </row>
    <row r="902" spans="1:29" x14ac:dyDescent="0.3">
      <c r="A902">
        <v>-73.974623300000005</v>
      </c>
      <c r="B902">
        <v>40.784423789999998</v>
      </c>
      <c r="C902" t="s">
        <v>1352</v>
      </c>
      <c r="D902" t="s">
        <v>33</v>
      </c>
      <c r="E902" s="58">
        <v>43383</v>
      </c>
      <c r="F902">
        <v>20</v>
      </c>
      <c r="G902" t="s">
        <v>48</v>
      </c>
      <c r="H902" t="s">
        <v>176</v>
      </c>
      <c r="I902" t="s">
        <v>1921</v>
      </c>
      <c r="J902" t="s">
        <v>177</v>
      </c>
      <c r="K902" t="s">
        <v>1813</v>
      </c>
      <c r="L902" t="s">
        <v>65</v>
      </c>
      <c r="M902" t="b">
        <v>0</v>
      </c>
      <c r="N902" t="s">
        <v>4829</v>
      </c>
      <c r="O902" t="b">
        <v>0</v>
      </c>
      <c r="P902" t="b">
        <v>1</v>
      </c>
      <c r="Q902" t="b">
        <v>1</v>
      </c>
      <c r="R902" t="b">
        <v>1</v>
      </c>
      <c r="S902" t="b">
        <v>0</v>
      </c>
      <c r="T902" t="b">
        <v>0</v>
      </c>
      <c r="U902" t="b">
        <v>0</v>
      </c>
      <c r="V902" t="b">
        <v>0</v>
      </c>
      <c r="W902" t="b">
        <v>1</v>
      </c>
      <c r="X902" t="b">
        <v>1</v>
      </c>
      <c r="Y902" t="b">
        <v>1</v>
      </c>
      <c r="Z902" t="b">
        <v>1</v>
      </c>
      <c r="AA902" t="b">
        <v>0</v>
      </c>
      <c r="AB902" t="s">
        <v>6492</v>
      </c>
      <c r="AC902" t="s">
        <v>8433</v>
      </c>
    </row>
    <row r="903" spans="1:29" x14ac:dyDescent="0.3">
      <c r="A903">
        <v>-73.980324490000001</v>
      </c>
      <c r="B903">
        <v>40.765094789999999</v>
      </c>
      <c r="C903" t="s">
        <v>3637</v>
      </c>
      <c r="D903" t="s">
        <v>38</v>
      </c>
      <c r="E903" s="58">
        <v>43387</v>
      </c>
      <c r="F903">
        <v>27</v>
      </c>
      <c r="G903" t="s">
        <v>3842</v>
      </c>
      <c r="H903" t="s">
        <v>53</v>
      </c>
      <c r="I903" t="s">
        <v>59</v>
      </c>
      <c r="J903" t="s">
        <v>5106</v>
      </c>
      <c r="K903" t="s">
        <v>5682</v>
      </c>
      <c r="L903" t="s">
        <v>65</v>
      </c>
      <c r="M903" t="b">
        <v>0</v>
      </c>
      <c r="N903" t="s">
        <v>3716</v>
      </c>
      <c r="O903" t="b">
        <v>1</v>
      </c>
      <c r="P903" t="b">
        <v>1</v>
      </c>
      <c r="Q903" t="b">
        <v>0</v>
      </c>
      <c r="R903" t="b">
        <v>1</v>
      </c>
      <c r="S903" t="b">
        <v>0</v>
      </c>
      <c r="T903" t="b">
        <v>0</v>
      </c>
      <c r="U903" t="b">
        <v>1</v>
      </c>
      <c r="V903" t="b">
        <v>0</v>
      </c>
      <c r="W903" t="b">
        <v>1</v>
      </c>
      <c r="X903" t="b">
        <v>1</v>
      </c>
      <c r="Y903" t="b">
        <v>1</v>
      </c>
      <c r="Z903" t="b">
        <v>0</v>
      </c>
      <c r="AA903" t="b">
        <v>0</v>
      </c>
      <c r="AB903" t="s">
        <v>3051</v>
      </c>
      <c r="AC903" t="s">
        <v>8434</v>
      </c>
    </row>
    <row r="904" spans="1:29" x14ac:dyDescent="0.3">
      <c r="A904">
        <v>-73.975454830000004</v>
      </c>
      <c r="B904">
        <v>40.791703519999999</v>
      </c>
      <c r="C904" t="s">
        <v>579</v>
      </c>
      <c r="D904" t="s">
        <v>38</v>
      </c>
      <c r="E904" s="58">
        <v>43382</v>
      </c>
      <c r="F904">
        <v>11</v>
      </c>
      <c r="G904" t="s">
        <v>3842</v>
      </c>
      <c r="H904" t="s">
        <v>42</v>
      </c>
      <c r="I904" t="s">
        <v>176</v>
      </c>
      <c r="J904" t="s">
        <v>738</v>
      </c>
      <c r="K904" t="s">
        <v>3050</v>
      </c>
      <c r="L904" t="s">
        <v>65</v>
      </c>
      <c r="M904" t="b">
        <v>0</v>
      </c>
      <c r="N904" t="s">
        <v>5295</v>
      </c>
      <c r="O904" t="b">
        <v>1</v>
      </c>
      <c r="P904" t="b">
        <v>1</v>
      </c>
      <c r="Q904" t="b">
        <v>0</v>
      </c>
      <c r="R904" t="b">
        <v>1</v>
      </c>
      <c r="S904" t="b">
        <v>0</v>
      </c>
      <c r="T904" t="b">
        <v>1</v>
      </c>
      <c r="U904" t="b">
        <v>1</v>
      </c>
      <c r="V904" t="b">
        <v>1</v>
      </c>
      <c r="W904" t="b">
        <v>1</v>
      </c>
      <c r="X904" t="b">
        <v>0</v>
      </c>
      <c r="Y904" t="b">
        <v>1</v>
      </c>
      <c r="Z904" t="b">
        <v>1</v>
      </c>
      <c r="AA904" t="b">
        <v>1</v>
      </c>
      <c r="AB904" t="s">
        <v>2131</v>
      </c>
      <c r="AC904" t="s">
        <v>8435</v>
      </c>
    </row>
    <row r="905" spans="1:29" x14ac:dyDescent="0.3">
      <c r="A905">
        <v>-73.96282961</v>
      </c>
      <c r="B905">
        <v>40.766153899999999</v>
      </c>
      <c r="C905" t="s">
        <v>827</v>
      </c>
      <c r="D905" t="s">
        <v>38</v>
      </c>
      <c r="E905" s="58">
        <v>43379</v>
      </c>
      <c r="F905">
        <v>27</v>
      </c>
      <c r="G905" t="s">
        <v>105</v>
      </c>
      <c r="H905" t="s">
        <v>53</v>
      </c>
      <c r="I905" t="s">
        <v>176</v>
      </c>
      <c r="J905" t="s">
        <v>155</v>
      </c>
      <c r="K905" t="s">
        <v>6299</v>
      </c>
      <c r="L905" t="s">
        <v>44</v>
      </c>
      <c r="M905">
        <v>25</v>
      </c>
      <c r="N905" t="s">
        <v>5946</v>
      </c>
      <c r="O905" t="b">
        <v>0</v>
      </c>
      <c r="P905" t="b">
        <v>0</v>
      </c>
      <c r="Q905" t="b">
        <v>1</v>
      </c>
      <c r="R905" t="b">
        <v>1</v>
      </c>
      <c r="S905" t="b">
        <v>0</v>
      </c>
      <c r="T905" t="b">
        <v>1</v>
      </c>
      <c r="U905" t="b">
        <v>0</v>
      </c>
      <c r="V905" t="b">
        <v>1</v>
      </c>
      <c r="W905" t="b">
        <v>0</v>
      </c>
      <c r="X905" t="b">
        <v>0</v>
      </c>
      <c r="Y905" t="b">
        <v>1</v>
      </c>
      <c r="Z905" t="b">
        <v>0</v>
      </c>
      <c r="AA905" t="b">
        <v>1</v>
      </c>
      <c r="AB905" t="s">
        <v>5702</v>
      </c>
      <c r="AC905" t="s">
        <v>8436</v>
      </c>
    </row>
    <row r="906" spans="1:29" x14ac:dyDescent="0.3">
      <c r="A906">
        <v>-73.967910340000003</v>
      </c>
      <c r="B906">
        <v>40.791166349999997</v>
      </c>
      <c r="C906" t="s">
        <v>1899</v>
      </c>
      <c r="D906" t="s">
        <v>38</v>
      </c>
      <c r="E906" s="58">
        <v>43382</v>
      </c>
      <c r="F906">
        <v>14</v>
      </c>
      <c r="G906" t="s">
        <v>105</v>
      </c>
      <c r="H906" t="s">
        <v>53</v>
      </c>
      <c r="I906" t="s">
        <v>96</v>
      </c>
      <c r="J906" t="s">
        <v>149</v>
      </c>
      <c r="K906" t="s">
        <v>5429</v>
      </c>
      <c r="L906" t="s">
        <v>65</v>
      </c>
      <c r="M906" t="b">
        <v>0</v>
      </c>
      <c r="N906" t="s">
        <v>6948</v>
      </c>
      <c r="O906" t="b">
        <v>1</v>
      </c>
      <c r="P906" t="b">
        <v>0</v>
      </c>
      <c r="Q906" t="b">
        <v>0</v>
      </c>
      <c r="R906" t="b">
        <v>1</v>
      </c>
      <c r="S906" t="b">
        <v>0</v>
      </c>
      <c r="T906" t="b">
        <v>0</v>
      </c>
      <c r="U906" t="b">
        <v>0</v>
      </c>
      <c r="V906" t="b">
        <v>0</v>
      </c>
      <c r="W906" t="b">
        <v>1</v>
      </c>
      <c r="X906" t="b">
        <v>1</v>
      </c>
      <c r="Y906" t="b">
        <v>0</v>
      </c>
      <c r="Z906" t="b">
        <v>0</v>
      </c>
      <c r="AA906" t="b">
        <v>1</v>
      </c>
      <c r="AB906" t="s">
        <v>799</v>
      </c>
      <c r="AC906" t="s">
        <v>8437</v>
      </c>
    </row>
    <row r="907" spans="1:29" x14ac:dyDescent="0.3">
      <c r="A907">
        <v>-73.953095829999995</v>
      </c>
      <c r="B907">
        <v>40.772039569999997</v>
      </c>
      <c r="C907" t="s">
        <v>936</v>
      </c>
      <c r="D907" t="s">
        <v>38</v>
      </c>
      <c r="E907" s="58">
        <v>43384</v>
      </c>
      <c r="F907">
        <v>25</v>
      </c>
      <c r="G907" t="s">
        <v>48</v>
      </c>
      <c r="H907" t="s">
        <v>42</v>
      </c>
      <c r="I907" t="s">
        <v>1921</v>
      </c>
      <c r="J907" t="s">
        <v>149</v>
      </c>
      <c r="K907" t="s">
        <v>4381</v>
      </c>
      <c r="L907" t="s">
        <v>44</v>
      </c>
      <c r="M907">
        <v>30</v>
      </c>
      <c r="N907" t="s">
        <v>201</v>
      </c>
      <c r="O907" t="b">
        <v>1</v>
      </c>
      <c r="P907" t="b">
        <v>0</v>
      </c>
      <c r="Q907" t="b">
        <v>1</v>
      </c>
      <c r="R907" t="b">
        <v>1</v>
      </c>
      <c r="S907" t="b">
        <v>1</v>
      </c>
      <c r="T907" t="b">
        <v>1</v>
      </c>
      <c r="U907" t="b">
        <v>1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1</v>
      </c>
      <c r="AB907" t="s">
        <v>4410</v>
      </c>
      <c r="AC907" t="s">
        <v>8438</v>
      </c>
    </row>
    <row r="908" spans="1:29" x14ac:dyDescent="0.3">
      <c r="A908">
        <v>-73.955460759999994</v>
      </c>
      <c r="B908">
        <v>40.798642379999997</v>
      </c>
      <c r="C908" t="s">
        <v>502</v>
      </c>
      <c r="D908" t="s">
        <v>38</v>
      </c>
      <c r="E908" s="58">
        <v>43383</v>
      </c>
      <c r="F908">
        <v>18</v>
      </c>
      <c r="G908" t="s">
        <v>105</v>
      </c>
      <c r="H908" t="s">
        <v>42</v>
      </c>
      <c r="I908" t="s">
        <v>737</v>
      </c>
      <c r="J908" t="s">
        <v>3228</v>
      </c>
      <c r="K908" t="s">
        <v>3347</v>
      </c>
      <c r="L908" t="s">
        <v>65</v>
      </c>
      <c r="M908" t="b">
        <v>0</v>
      </c>
      <c r="N908" t="s">
        <v>424</v>
      </c>
      <c r="O908" t="b">
        <v>1</v>
      </c>
      <c r="P908" t="b">
        <v>0</v>
      </c>
      <c r="Q908" t="b">
        <v>1</v>
      </c>
      <c r="R908" t="b">
        <v>0</v>
      </c>
      <c r="S908" t="b">
        <v>1</v>
      </c>
      <c r="T908" t="b">
        <v>0</v>
      </c>
      <c r="U908" t="b">
        <v>0</v>
      </c>
      <c r="V908" t="b">
        <v>1</v>
      </c>
      <c r="W908" t="b">
        <v>0</v>
      </c>
      <c r="X908" t="b">
        <v>1</v>
      </c>
      <c r="Y908" t="b">
        <v>0</v>
      </c>
      <c r="Z908" t="b">
        <v>1</v>
      </c>
      <c r="AA908" t="b">
        <v>0</v>
      </c>
      <c r="AB908" t="s">
        <v>7069</v>
      </c>
      <c r="AC908" t="s">
        <v>8439</v>
      </c>
    </row>
    <row r="909" spans="1:29" x14ac:dyDescent="0.3">
      <c r="A909">
        <v>-73.970412929999995</v>
      </c>
      <c r="B909">
        <v>40.777865069999997</v>
      </c>
      <c r="C909" t="s">
        <v>435</v>
      </c>
      <c r="D909" t="s">
        <v>33</v>
      </c>
      <c r="E909" s="58">
        <v>43392</v>
      </c>
      <c r="F909">
        <v>28</v>
      </c>
      <c r="G909" t="s">
        <v>105</v>
      </c>
      <c r="H909" t="s">
        <v>42</v>
      </c>
      <c r="I909" t="s">
        <v>53</v>
      </c>
      <c r="J909" t="s">
        <v>34</v>
      </c>
      <c r="K909" t="s">
        <v>6823</v>
      </c>
      <c r="L909" t="s">
        <v>44</v>
      </c>
      <c r="M909">
        <v>30</v>
      </c>
      <c r="N909" t="s">
        <v>1575</v>
      </c>
      <c r="O909" t="b">
        <v>1</v>
      </c>
      <c r="P909" t="b">
        <v>1</v>
      </c>
      <c r="Q909" t="b">
        <v>1</v>
      </c>
      <c r="R909" t="b">
        <v>1</v>
      </c>
      <c r="S909" t="b">
        <v>1</v>
      </c>
      <c r="T909" t="b">
        <v>0</v>
      </c>
      <c r="U909" t="b">
        <v>1</v>
      </c>
      <c r="V909" t="b">
        <v>1</v>
      </c>
      <c r="W909" t="b">
        <v>1</v>
      </c>
      <c r="X909" t="b">
        <v>1</v>
      </c>
      <c r="Y909" t="b">
        <v>1</v>
      </c>
      <c r="Z909" t="b">
        <v>0</v>
      </c>
      <c r="AA909" t="b">
        <v>1</v>
      </c>
      <c r="AB909" t="s">
        <v>2552</v>
      </c>
      <c r="AC909" t="s">
        <v>8440</v>
      </c>
    </row>
    <row r="910" spans="1:29" x14ac:dyDescent="0.3">
      <c r="A910">
        <v>-73.973003129999995</v>
      </c>
      <c r="B910">
        <v>40.776421229999997</v>
      </c>
      <c r="C910" t="s">
        <v>1028</v>
      </c>
      <c r="D910" t="s">
        <v>38</v>
      </c>
      <c r="E910" s="58">
        <v>43391</v>
      </c>
      <c r="F910">
        <v>28</v>
      </c>
      <c r="G910" t="s">
        <v>105</v>
      </c>
      <c r="H910" t="s">
        <v>53</v>
      </c>
      <c r="I910" t="s">
        <v>59</v>
      </c>
      <c r="J910" t="s">
        <v>1233</v>
      </c>
      <c r="K910" t="s">
        <v>3883</v>
      </c>
      <c r="L910" t="s">
        <v>44</v>
      </c>
      <c r="M910">
        <v>8</v>
      </c>
      <c r="N910" t="s">
        <v>752</v>
      </c>
      <c r="O910" t="b">
        <v>1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b">
        <v>1</v>
      </c>
      <c r="V910" t="b">
        <v>1</v>
      </c>
      <c r="W910" t="b">
        <v>0</v>
      </c>
      <c r="X910" t="b">
        <v>0</v>
      </c>
      <c r="Y910" t="b">
        <v>0</v>
      </c>
      <c r="Z910" t="b">
        <v>1</v>
      </c>
      <c r="AA910" t="b">
        <v>1</v>
      </c>
      <c r="AB910" t="s">
        <v>6531</v>
      </c>
      <c r="AC910" t="s">
        <v>8441</v>
      </c>
    </row>
    <row r="911" spans="1:29" x14ac:dyDescent="0.3">
      <c r="A911">
        <v>-73.969222259999995</v>
      </c>
      <c r="B911">
        <v>40.770152699999997</v>
      </c>
      <c r="C911" t="s">
        <v>2056</v>
      </c>
      <c r="D911" t="s">
        <v>33</v>
      </c>
      <c r="E911" s="58">
        <v>43379</v>
      </c>
      <c r="F911">
        <v>29</v>
      </c>
      <c r="G911" t="s">
        <v>48</v>
      </c>
      <c r="H911" t="s">
        <v>53</v>
      </c>
      <c r="I911" t="s">
        <v>59</v>
      </c>
      <c r="J911" t="s">
        <v>339</v>
      </c>
      <c r="K911" t="s">
        <v>3859</v>
      </c>
      <c r="L911" t="s">
        <v>44</v>
      </c>
      <c r="M911">
        <v>3</v>
      </c>
      <c r="N911" t="s">
        <v>5283</v>
      </c>
      <c r="O911" t="b">
        <v>1</v>
      </c>
      <c r="P911" t="b">
        <v>0</v>
      </c>
      <c r="Q911" t="b">
        <v>0</v>
      </c>
      <c r="R911" t="b">
        <v>1</v>
      </c>
      <c r="S911" t="b">
        <v>1</v>
      </c>
      <c r="T911" t="b">
        <v>0</v>
      </c>
      <c r="U911" t="b">
        <v>1</v>
      </c>
      <c r="V911" t="b">
        <v>1</v>
      </c>
      <c r="W911" t="b">
        <v>1</v>
      </c>
      <c r="X911" t="b">
        <v>0</v>
      </c>
      <c r="Y911" t="b">
        <v>1</v>
      </c>
      <c r="Z911" t="b">
        <v>0</v>
      </c>
      <c r="AA911" t="b">
        <v>0</v>
      </c>
      <c r="AB911" t="s">
        <v>5702</v>
      </c>
      <c r="AC911" t="s">
        <v>8442</v>
      </c>
    </row>
    <row r="912" spans="1:29" x14ac:dyDescent="0.3">
      <c r="A912">
        <v>-73.962601590000006</v>
      </c>
      <c r="B912">
        <v>40.775670339999998</v>
      </c>
      <c r="C912" t="s">
        <v>985</v>
      </c>
      <c r="D912" t="s">
        <v>38</v>
      </c>
      <c r="E912" s="58">
        <v>43382</v>
      </c>
      <c r="F912">
        <v>16</v>
      </c>
      <c r="G912" t="s">
        <v>105</v>
      </c>
      <c r="H912" t="s">
        <v>176</v>
      </c>
      <c r="I912" t="s">
        <v>737</v>
      </c>
      <c r="J912" t="s">
        <v>155</v>
      </c>
      <c r="K912" t="s">
        <v>5957</v>
      </c>
      <c r="L912" t="s">
        <v>44</v>
      </c>
      <c r="M912">
        <v>4</v>
      </c>
      <c r="N912" t="s">
        <v>4786</v>
      </c>
      <c r="O912" t="b">
        <v>1</v>
      </c>
      <c r="P912" t="b">
        <v>1</v>
      </c>
      <c r="Q912" t="b">
        <v>1</v>
      </c>
      <c r="R912" t="b">
        <v>0</v>
      </c>
      <c r="S912" t="b">
        <v>0</v>
      </c>
      <c r="T912" t="b">
        <v>1</v>
      </c>
      <c r="U912" t="b">
        <v>1</v>
      </c>
      <c r="V912" t="b">
        <v>1</v>
      </c>
      <c r="W912" t="b">
        <v>1</v>
      </c>
      <c r="X912" t="b">
        <v>0</v>
      </c>
      <c r="Y912" t="b">
        <v>0</v>
      </c>
      <c r="Z912" t="b">
        <v>1</v>
      </c>
      <c r="AA912" t="b">
        <v>1</v>
      </c>
      <c r="AB912" t="s">
        <v>3549</v>
      </c>
      <c r="AC912" t="s">
        <v>8443</v>
      </c>
    </row>
    <row r="913" spans="1:29" x14ac:dyDescent="0.3">
      <c r="A913">
        <v>-73.972731510000003</v>
      </c>
      <c r="B913">
        <v>40.795775659999997</v>
      </c>
      <c r="C913" t="s">
        <v>911</v>
      </c>
      <c r="D913" t="s">
        <v>33</v>
      </c>
      <c r="E913" s="58">
        <v>43384</v>
      </c>
      <c r="F913">
        <v>3</v>
      </c>
      <c r="G913" t="s">
        <v>48</v>
      </c>
      <c r="H913" t="s">
        <v>53</v>
      </c>
      <c r="I913" t="s">
        <v>53</v>
      </c>
      <c r="J913" t="s">
        <v>79</v>
      </c>
      <c r="K913" t="s">
        <v>1472</v>
      </c>
      <c r="L913" t="s">
        <v>44</v>
      </c>
      <c r="M913">
        <v>30</v>
      </c>
      <c r="N913" t="s">
        <v>4510</v>
      </c>
      <c r="O913" t="b">
        <v>0</v>
      </c>
      <c r="P913" t="b">
        <v>0</v>
      </c>
      <c r="Q913" t="b">
        <v>0</v>
      </c>
      <c r="R913" t="b">
        <v>1</v>
      </c>
      <c r="S913" t="b">
        <v>1</v>
      </c>
      <c r="T913" t="b">
        <v>1</v>
      </c>
      <c r="U913" t="b">
        <v>1</v>
      </c>
      <c r="V913" t="b">
        <v>1</v>
      </c>
      <c r="W913" t="b">
        <v>0</v>
      </c>
      <c r="X913" t="b">
        <v>0</v>
      </c>
      <c r="Y913" t="b">
        <v>0</v>
      </c>
      <c r="Z913" t="b">
        <v>1</v>
      </c>
      <c r="AA913" t="b">
        <v>1</v>
      </c>
      <c r="AB913" t="s">
        <v>749</v>
      </c>
      <c r="AC913" t="s">
        <v>8444</v>
      </c>
    </row>
    <row r="914" spans="1:29" x14ac:dyDescent="0.3">
      <c r="A914">
        <v>-73.961537329999999</v>
      </c>
      <c r="B914">
        <v>40.799989459999999</v>
      </c>
      <c r="C914" t="s">
        <v>1032</v>
      </c>
      <c r="D914" t="s">
        <v>38</v>
      </c>
      <c r="E914" s="58">
        <v>43391</v>
      </c>
      <c r="F914">
        <v>15</v>
      </c>
      <c r="G914" t="s">
        <v>3842</v>
      </c>
      <c r="H914" t="s">
        <v>42</v>
      </c>
      <c r="I914" t="s">
        <v>96</v>
      </c>
      <c r="J914" t="s">
        <v>1922</v>
      </c>
      <c r="K914" t="s">
        <v>7178</v>
      </c>
      <c r="L914" t="s">
        <v>65</v>
      </c>
      <c r="M914" t="b">
        <v>0</v>
      </c>
      <c r="N914" t="s">
        <v>874</v>
      </c>
      <c r="O914" t="b">
        <v>1</v>
      </c>
      <c r="P914" t="b">
        <v>0</v>
      </c>
      <c r="Q914" t="b">
        <v>0</v>
      </c>
      <c r="R914" t="b">
        <v>0</v>
      </c>
      <c r="S914" t="b">
        <v>0</v>
      </c>
      <c r="T914" t="b">
        <v>1</v>
      </c>
      <c r="U914" t="b">
        <v>1</v>
      </c>
      <c r="V914" t="b">
        <v>0</v>
      </c>
      <c r="W914" t="b">
        <v>1</v>
      </c>
      <c r="X914" t="b">
        <v>0</v>
      </c>
      <c r="Y914" t="b">
        <v>0</v>
      </c>
      <c r="Z914" t="b">
        <v>1</v>
      </c>
      <c r="AA914" t="b">
        <v>1</v>
      </c>
      <c r="AB914" t="s">
        <v>1643</v>
      </c>
      <c r="AC914" t="s">
        <v>8445</v>
      </c>
    </row>
    <row r="915" spans="1:29" x14ac:dyDescent="0.3">
      <c r="A915">
        <v>-73.968287979999999</v>
      </c>
      <c r="B915">
        <v>40.777878049999998</v>
      </c>
      <c r="C915" t="s">
        <v>936</v>
      </c>
      <c r="D915" t="s">
        <v>38</v>
      </c>
      <c r="E915" s="58">
        <v>43393</v>
      </c>
      <c r="F915">
        <v>27</v>
      </c>
      <c r="G915" t="s">
        <v>105</v>
      </c>
      <c r="H915" t="s">
        <v>53</v>
      </c>
      <c r="I915" t="s">
        <v>5105</v>
      </c>
      <c r="J915" t="s">
        <v>738</v>
      </c>
      <c r="K915" t="s">
        <v>4308</v>
      </c>
      <c r="L915" t="s">
        <v>44</v>
      </c>
      <c r="M915">
        <v>25</v>
      </c>
      <c r="N915" t="s">
        <v>1907</v>
      </c>
      <c r="O915" t="b">
        <v>1</v>
      </c>
      <c r="P915" t="b">
        <v>0</v>
      </c>
      <c r="Q915" t="b">
        <v>0</v>
      </c>
      <c r="R915" t="b">
        <v>1</v>
      </c>
      <c r="S915" t="b">
        <v>0</v>
      </c>
      <c r="T915" t="b">
        <v>0</v>
      </c>
      <c r="U915" t="b">
        <v>1</v>
      </c>
      <c r="V915" t="b">
        <v>1</v>
      </c>
      <c r="W915" t="b">
        <v>1</v>
      </c>
      <c r="X915" t="b">
        <v>0</v>
      </c>
      <c r="Y915" t="b">
        <v>0</v>
      </c>
      <c r="Z915" t="b">
        <v>1</v>
      </c>
      <c r="AA915" t="b">
        <v>0</v>
      </c>
      <c r="AB915" t="s">
        <v>3121</v>
      </c>
      <c r="AC915" t="s">
        <v>8446</v>
      </c>
    </row>
    <row r="916" spans="1:29" x14ac:dyDescent="0.3">
      <c r="A916">
        <v>-73.963803979999994</v>
      </c>
      <c r="B916">
        <v>40.780705279999999</v>
      </c>
      <c r="C916" t="s">
        <v>1278</v>
      </c>
      <c r="D916" t="s">
        <v>33</v>
      </c>
      <c r="E916" s="58">
        <v>43388</v>
      </c>
      <c r="F916">
        <v>27</v>
      </c>
      <c r="G916" t="s">
        <v>48</v>
      </c>
      <c r="H916" t="s">
        <v>176</v>
      </c>
      <c r="I916" t="s">
        <v>115</v>
      </c>
      <c r="J916" t="s">
        <v>89</v>
      </c>
      <c r="K916" t="s">
        <v>4594</v>
      </c>
      <c r="L916" t="s">
        <v>44</v>
      </c>
      <c r="M916">
        <v>3</v>
      </c>
      <c r="N916" t="s">
        <v>1929</v>
      </c>
      <c r="O916" t="b">
        <v>1</v>
      </c>
      <c r="P916" t="b">
        <v>0</v>
      </c>
      <c r="Q916" t="b">
        <v>1</v>
      </c>
      <c r="R916" t="b">
        <v>1</v>
      </c>
      <c r="S916" t="b">
        <v>1</v>
      </c>
      <c r="T916" t="b">
        <v>1</v>
      </c>
      <c r="U916" t="b">
        <v>1</v>
      </c>
      <c r="V916" t="b">
        <v>1</v>
      </c>
      <c r="W916" t="b">
        <v>1</v>
      </c>
      <c r="X916" t="b">
        <v>0</v>
      </c>
      <c r="Y916" t="b">
        <v>0</v>
      </c>
      <c r="Z916" t="b">
        <v>0</v>
      </c>
      <c r="AA916" t="b">
        <v>1</v>
      </c>
      <c r="AB916" t="s">
        <v>3446</v>
      </c>
      <c r="AC916" t="s">
        <v>8447</v>
      </c>
    </row>
    <row r="917" spans="1:29" x14ac:dyDescent="0.3">
      <c r="A917">
        <v>-73.967448149999996</v>
      </c>
      <c r="B917">
        <v>40.790333230000002</v>
      </c>
      <c r="C917" t="s">
        <v>1377</v>
      </c>
      <c r="D917" t="s">
        <v>38</v>
      </c>
      <c r="E917" s="58">
        <v>43388</v>
      </c>
      <c r="F917">
        <v>4</v>
      </c>
      <c r="G917" t="s">
        <v>105</v>
      </c>
      <c r="H917" t="s">
        <v>176</v>
      </c>
      <c r="I917" t="s">
        <v>1921</v>
      </c>
      <c r="J917" t="s">
        <v>97</v>
      </c>
      <c r="K917" t="s">
        <v>6109</v>
      </c>
      <c r="L917" t="s">
        <v>44</v>
      </c>
      <c r="M917">
        <v>6</v>
      </c>
      <c r="N917" t="s">
        <v>1800</v>
      </c>
      <c r="O917" t="b">
        <v>0</v>
      </c>
      <c r="P917" t="b">
        <v>1</v>
      </c>
      <c r="Q917" t="b">
        <v>1</v>
      </c>
      <c r="R917" t="b">
        <v>1</v>
      </c>
      <c r="S917" t="b">
        <v>1</v>
      </c>
      <c r="T917" t="b">
        <v>0</v>
      </c>
      <c r="U917" t="b">
        <v>0</v>
      </c>
      <c r="V917" t="b">
        <v>0</v>
      </c>
      <c r="W917" t="b">
        <v>0</v>
      </c>
      <c r="X917" t="b">
        <v>1</v>
      </c>
      <c r="Y917" t="b">
        <v>0</v>
      </c>
      <c r="Z917" t="b">
        <v>0</v>
      </c>
      <c r="AA917" t="b">
        <v>0</v>
      </c>
      <c r="AB917" t="s">
        <v>5720</v>
      </c>
      <c r="AC917" t="s">
        <v>8448</v>
      </c>
    </row>
    <row r="918" spans="1:29" x14ac:dyDescent="0.3">
      <c r="A918">
        <v>-73.971901520000003</v>
      </c>
      <c r="B918">
        <v>40.796111719999999</v>
      </c>
      <c r="C918" t="s">
        <v>863</v>
      </c>
      <c r="D918" t="s">
        <v>38</v>
      </c>
      <c r="E918" s="58">
        <v>43392</v>
      </c>
      <c r="F918">
        <v>5</v>
      </c>
      <c r="G918" t="s">
        <v>3842</v>
      </c>
      <c r="H918" t="s">
        <v>42</v>
      </c>
      <c r="I918" t="s">
        <v>176</v>
      </c>
      <c r="J918" t="s">
        <v>1233</v>
      </c>
      <c r="K918" t="s">
        <v>809</v>
      </c>
      <c r="L918" t="s">
        <v>44</v>
      </c>
      <c r="M918">
        <v>8</v>
      </c>
      <c r="N918" t="s">
        <v>6675</v>
      </c>
      <c r="O918" t="b">
        <v>0</v>
      </c>
      <c r="P918" t="b">
        <v>1</v>
      </c>
      <c r="Q918" t="b">
        <v>0</v>
      </c>
      <c r="R918" t="b">
        <v>0</v>
      </c>
      <c r="S918" t="b">
        <v>1</v>
      </c>
      <c r="T918" t="b">
        <v>0</v>
      </c>
      <c r="U918" t="b">
        <v>0</v>
      </c>
      <c r="V918" t="b">
        <v>1</v>
      </c>
      <c r="W918" t="b">
        <v>0</v>
      </c>
      <c r="X918" t="b">
        <v>0</v>
      </c>
      <c r="Y918" t="b">
        <v>1</v>
      </c>
      <c r="Z918" t="b">
        <v>1</v>
      </c>
      <c r="AA918" t="b">
        <v>1</v>
      </c>
      <c r="AB918" t="s">
        <v>3258</v>
      </c>
      <c r="AC918" t="s">
        <v>8449</v>
      </c>
    </row>
    <row r="919" spans="1:29" x14ac:dyDescent="0.3">
      <c r="A919">
        <v>-73.951342229999995</v>
      </c>
      <c r="B919">
        <v>40.785790480000003</v>
      </c>
      <c r="C919" t="s">
        <v>677</v>
      </c>
      <c r="D919" t="s">
        <v>38</v>
      </c>
      <c r="E919" s="58">
        <v>43382</v>
      </c>
      <c r="F919">
        <v>17</v>
      </c>
      <c r="G919" t="s">
        <v>48</v>
      </c>
      <c r="H919" t="s">
        <v>42</v>
      </c>
      <c r="I919" t="s">
        <v>737</v>
      </c>
      <c r="J919" t="s">
        <v>89</v>
      </c>
      <c r="K919" t="s">
        <v>894</v>
      </c>
      <c r="L919" t="s">
        <v>65</v>
      </c>
      <c r="M919" t="b">
        <v>0</v>
      </c>
      <c r="N919" t="s">
        <v>424</v>
      </c>
      <c r="O919" t="b">
        <v>1</v>
      </c>
      <c r="P919" t="b">
        <v>1</v>
      </c>
      <c r="Q919" t="b">
        <v>1</v>
      </c>
      <c r="R919" t="b">
        <v>0</v>
      </c>
      <c r="S919" t="b">
        <v>1</v>
      </c>
      <c r="T919" t="b">
        <v>1</v>
      </c>
      <c r="U919" t="b">
        <v>1</v>
      </c>
      <c r="V919" t="b">
        <v>1</v>
      </c>
      <c r="W919" t="b">
        <v>0</v>
      </c>
      <c r="X919" t="b">
        <v>1</v>
      </c>
      <c r="Y919" t="b">
        <v>1</v>
      </c>
      <c r="Z919" t="b">
        <v>0</v>
      </c>
      <c r="AA919" t="b">
        <v>0</v>
      </c>
      <c r="AB919" t="s">
        <v>7235</v>
      </c>
      <c r="AC919" t="s">
        <v>8450</v>
      </c>
    </row>
    <row r="920" spans="1:29" x14ac:dyDescent="0.3">
      <c r="A920">
        <v>-73.957153250000005</v>
      </c>
      <c r="B920">
        <v>40.778695450000001</v>
      </c>
      <c r="C920" t="s">
        <v>1292</v>
      </c>
      <c r="D920" t="s">
        <v>33</v>
      </c>
      <c r="E920" s="58">
        <v>43393</v>
      </c>
      <c r="F920">
        <v>7</v>
      </c>
      <c r="G920" t="s">
        <v>48</v>
      </c>
      <c r="H920" t="s">
        <v>176</v>
      </c>
      <c r="I920" t="s">
        <v>1921</v>
      </c>
      <c r="J920" t="s">
        <v>116</v>
      </c>
      <c r="K920" t="s">
        <v>565</v>
      </c>
      <c r="L920" t="s">
        <v>65</v>
      </c>
      <c r="M920" t="b">
        <v>0</v>
      </c>
      <c r="N920" t="s">
        <v>5109</v>
      </c>
      <c r="O920" t="b">
        <v>0</v>
      </c>
      <c r="P920" t="b">
        <v>1</v>
      </c>
      <c r="Q920" t="b">
        <v>0</v>
      </c>
      <c r="R920" t="b">
        <v>1</v>
      </c>
      <c r="S920" t="b">
        <v>0</v>
      </c>
      <c r="T920" t="b">
        <v>0</v>
      </c>
      <c r="U920" t="b">
        <v>1</v>
      </c>
      <c r="V920" t="b">
        <v>1</v>
      </c>
      <c r="W920" t="b">
        <v>1</v>
      </c>
      <c r="X920" t="b">
        <v>0</v>
      </c>
      <c r="Y920" t="b">
        <v>1</v>
      </c>
      <c r="Z920" t="b">
        <v>1</v>
      </c>
      <c r="AA920" t="b">
        <v>0</v>
      </c>
      <c r="AB920" t="s">
        <v>859</v>
      </c>
      <c r="AC920" t="s">
        <v>8451</v>
      </c>
    </row>
    <row r="921" spans="1:29" x14ac:dyDescent="0.3">
      <c r="A921">
        <v>-73.976753869999996</v>
      </c>
      <c r="B921">
        <v>40.779438200000001</v>
      </c>
      <c r="C921" t="s">
        <v>793</v>
      </c>
      <c r="D921" t="s">
        <v>38</v>
      </c>
      <c r="E921" s="58">
        <v>43392</v>
      </c>
      <c r="F921">
        <v>16</v>
      </c>
      <c r="G921" t="s">
        <v>48</v>
      </c>
      <c r="H921" t="s">
        <v>176</v>
      </c>
      <c r="I921" t="s">
        <v>176</v>
      </c>
      <c r="J921" t="s">
        <v>339</v>
      </c>
      <c r="K921" t="s">
        <v>6245</v>
      </c>
      <c r="L921" t="s">
        <v>44</v>
      </c>
      <c r="M921">
        <v>20</v>
      </c>
      <c r="N921" t="s">
        <v>2777</v>
      </c>
      <c r="O921" t="b">
        <v>0</v>
      </c>
      <c r="P921" t="b">
        <v>0</v>
      </c>
      <c r="Q921" t="b">
        <v>0</v>
      </c>
      <c r="R921" t="b">
        <v>1</v>
      </c>
      <c r="S921" t="b">
        <v>1</v>
      </c>
      <c r="T921" t="b">
        <v>0</v>
      </c>
      <c r="U921" t="b">
        <v>1</v>
      </c>
      <c r="V921" t="b">
        <v>0</v>
      </c>
      <c r="W921" t="b">
        <v>1</v>
      </c>
      <c r="X921" t="b">
        <v>0</v>
      </c>
      <c r="Y921" t="b">
        <v>1</v>
      </c>
      <c r="Z921" t="b">
        <v>0</v>
      </c>
      <c r="AA921" t="b">
        <v>0</v>
      </c>
      <c r="AB921" t="s">
        <v>6045</v>
      </c>
      <c r="AC921" t="s">
        <v>8452</v>
      </c>
    </row>
    <row r="922" spans="1:29" x14ac:dyDescent="0.3">
      <c r="A922">
        <v>-73.953856720000005</v>
      </c>
      <c r="B922">
        <v>40.789401890000001</v>
      </c>
      <c r="C922" t="s">
        <v>166</v>
      </c>
      <c r="D922" t="s">
        <v>33</v>
      </c>
      <c r="E922" s="58">
        <v>43387</v>
      </c>
      <c r="F922">
        <v>14</v>
      </c>
      <c r="G922" t="s">
        <v>3842</v>
      </c>
      <c r="H922" t="s">
        <v>176</v>
      </c>
      <c r="I922" t="s">
        <v>115</v>
      </c>
      <c r="J922" t="s">
        <v>3580</v>
      </c>
      <c r="K922" t="s">
        <v>1696</v>
      </c>
      <c r="L922" t="s">
        <v>44</v>
      </c>
      <c r="M922">
        <v>15</v>
      </c>
      <c r="N922" t="s">
        <v>3716</v>
      </c>
      <c r="O922" t="b">
        <v>1</v>
      </c>
      <c r="P922" t="b">
        <v>0</v>
      </c>
      <c r="Q922" t="b">
        <v>0</v>
      </c>
      <c r="R922" t="b">
        <v>1</v>
      </c>
      <c r="S922" t="b">
        <v>0</v>
      </c>
      <c r="T922" t="b">
        <v>0</v>
      </c>
      <c r="U922" t="b">
        <v>0</v>
      </c>
      <c r="V922" t="b">
        <v>1</v>
      </c>
      <c r="W922" t="b">
        <v>0</v>
      </c>
      <c r="X922" t="b">
        <v>1</v>
      </c>
      <c r="Y922" t="b">
        <v>1</v>
      </c>
      <c r="Z922" t="b">
        <v>0</v>
      </c>
      <c r="AA922" t="b">
        <v>1</v>
      </c>
      <c r="AB922" t="s">
        <v>3663</v>
      </c>
      <c r="AC922" t="s">
        <v>8453</v>
      </c>
    </row>
    <row r="923" spans="1:29" x14ac:dyDescent="0.3">
      <c r="A923">
        <v>-73.965835299999995</v>
      </c>
      <c r="B923">
        <v>40.765023980000002</v>
      </c>
      <c r="C923" t="s">
        <v>256</v>
      </c>
      <c r="D923" t="s">
        <v>38</v>
      </c>
      <c r="E923" s="58">
        <v>43383</v>
      </c>
      <c r="F923">
        <v>26</v>
      </c>
      <c r="G923" t="s">
        <v>3842</v>
      </c>
      <c r="H923" t="s">
        <v>42</v>
      </c>
      <c r="I923" t="s">
        <v>115</v>
      </c>
      <c r="J923" t="s">
        <v>705</v>
      </c>
      <c r="K923" t="s">
        <v>1005</v>
      </c>
      <c r="L923" t="s">
        <v>44</v>
      </c>
      <c r="M923">
        <v>20</v>
      </c>
      <c r="N923" t="s">
        <v>2220</v>
      </c>
      <c r="O923" t="b">
        <v>0</v>
      </c>
      <c r="P923" t="b">
        <v>0</v>
      </c>
      <c r="Q923" t="b">
        <v>1</v>
      </c>
      <c r="R923" t="b">
        <v>0</v>
      </c>
      <c r="S923" t="b">
        <v>1</v>
      </c>
      <c r="T923" t="b">
        <v>1</v>
      </c>
      <c r="U923" t="b">
        <v>1</v>
      </c>
      <c r="V923" t="b">
        <v>0</v>
      </c>
      <c r="W923" t="b">
        <v>0</v>
      </c>
      <c r="X923" t="b">
        <v>1</v>
      </c>
      <c r="Y923" t="b">
        <v>0</v>
      </c>
      <c r="Z923" t="b">
        <v>0</v>
      </c>
      <c r="AA923" t="b">
        <v>1</v>
      </c>
      <c r="AB923" t="s">
        <v>1182</v>
      </c>
      <c r="AC923" t="s">
        <v>8454</v>
      </c>
    </row>
    <row r="924" spans="1:29" x14ac:dyDescent="0.3">
      <c r="A924">
        <v>-73.953036710000006</v>
      </c>
      <c r="B924">
        <v>40.786725079999997</v>
      </c>
      <c r="C924" t="s">
        <v>63</v>
      </c>
      <c r="D924" t="s">
        <v>38</v>
      </c>
      <c r="E924" s="58">
        <v>43386</v>
      </c>
      <c r="F924">
        <v>16</v>
      </c>
      <c r="G924" t="s">
        <v>3842</v>
      </c>
      <c r="H924" t="s">
        <v>176</v>
      </c>
      <c r="I924" t="s">
        <v>5105</v>
      </c>
      <c r="J924" t="s">
        <v>339</v>
      </c>
      <c r="K924" t="s">
        <v>1934</v>
      </c>
      <c r="L924" t="s">
        <v>44</v>
      </c>
      <c r="M924">
        <v>20</v>
      </c>
      <c r="N924" t="s">
        <v>6706</v>
      </c>
      <c r="O924" t="b">
        <v>1</v>
      </c>
      <c r="P924" t="b">
        <v>1</v>
      </c>
      <c r="Q924" t="b">
        <v>1</v>
      </c>
      <c r="R924" t="b">
        <v>0</v>
      </c>
      <c r="S924" t="b">
        <v>1</v>
      </c>
      <c r="T924" t="b">
        <v>0</v>
      </c>
      <c r="U924" t="b">
        <v>1</v>
      </c>
      <c r="V924" t="b">
        <v>1</v>
      </c>
      <c r="W924" t="b">
        <v>0</v>
      </c>
      <c r="X924" t="b">
        <v>1</v>
      </c>
      <c r="Y924" t="b">
        <v>1</v>
      </c>
      <c r="Z924" t="b">
        <v>1</v>
      </c>
      <c r="AA924" t="b">
        <v>0</v>
      </c>
      <c r="AB924" t="s">
        <v>974</v>
      </c>
      <c r="AC924" t="s">
        <v>8455</v>
      </c>
    </row>
    <row r="925" spans="1:29" x14ac:dyDescent="0.3">
      <c r="A925">
        <v>-73.956013679999998</v>
      </c>
      <c r="B925">
        <v>40.777426810000001</v>
      </c>
      <c r="C925" t="s">
        <v>1460</v>
      </c>
      <c r="D925" t="s">
        <v>33</v>
      </c>
      <c r="E925" s="58">
        <v>43387</v>
      </c>
      <c r="F925">
        <v>7</v>
      </c>
      <c r="G925" t="s">
        <v>48</v>
      </c>
      <c r="H925" t="s">
        <v>176</v>
      </c>
      <c r="I925" t="s">
        <v>148</v>
      </c>
      <c r="J925" t="s">
        <v>155</v>
      </c>
      <c r="K925" t="s">
        <v>3351</v>
      </c>
      <c r="L925" t="s">
        <v>65</v>
      </c>
      <c r="M925" t="b">
        <v>0</v>
      </c>
      <c r="N925" t="s">
        <v>1522</v>
      </c>
      <c r="O925" t="b">
        <v>0</v>
      </c>
      <c r="P925" t="b">
        <v>1</v>
      </c>
      <c r="Q925" t="b">
        <v>0</v>
      </c>
      <c r="R925" t="b">
        <v>1</v>
      </c>
      <c r="S925" t="b">
        <v>1</v>
      </c>
      <c r="T925" t="b">
        <v>1</v>
      </c>
      <c r="U925" t="b">
        <v>1</v>
      </c>
      <c r="V925" t="b">
        <v>0</v>
      </c>
      <c r="W925" t="b">
        <v>0</v>
      </c>
      <c r="X925" t="b">
        <v>1</v>
      </c>
      <c r="Y925" t="b">
        <v>1</v>
      </c>
      <c r="Z925" t="b">
        <v>0</v>
      </c>
      <c r="AA925" t="b">
        <v>0</v>
      </c>
      <c r="AB925" t="s">
        <v>511</v>
      </c>
      <c r="AC925" t="s">
        <v>8456</v>
      </c>
    </row>
    <row r="926" spans="1:29" x14ac:dyDescent="0.3">
      <c r="A926">
        <v>-73.967791219999995</v>
      </c>
      <c r="B926">
        <v>40.79287265</v>
      </c>
      <c r="C926" t="s">
        <v>3049</v>
      </c>
      <c r="D926" t="s">
        <v>38</v>
      </c>
      <c r="E926" s="58">
        <v>43388</v>
      </c>
      <c r="F926">
        <v>9</v>
      </c>
      <c r="G926" t="s">
        <v>3842</v>
      </c>
      <c r="H926" t="s">
        <v>42</v>
      </c>
      <c r="I926" t="s">
        <v>115</v>
      </c>
      <c r="J926" t="s">
        <v>5106</v>
      </c>
      <c r="K926" t="s">
        <v>2823</v>
      </c>
      <c r="L926" t="s">
        <v>65</v>
      </c>
      <c r="M926" t="b">
        <v>0</v>
      </c>
      <c r="N926" t="s">
        <v>1064</v>
      </c>
      <c r="O926" t="b">
        <v>1</v>
      </c>
      <c r="P926" t="b">
        <v>1</v>
      </c>
      <c r="Q926" t="b">
        <v>1</v>
      </c>
      <c r="R926" t="b">
        <v>0</v>
      </c>
      <c r="S926" t="b">
        <v>1</v>
      </c>
      <c r="T926" t="b">
        <v>0</v>
      </c>
      <c r="U926" t="b">
        <v>0</v>
      </c>
      <c r="V926" t="b">
        <v>1</v>
      </c>
      <c r="W926" t="b">
        <v>0</v>
      </c>
      <c r="X926" t="b">
        <v>0</v>
      </c>
      <c r="Y926" t="b">
        <v>1</v>
      </c>
      <c r="Z926" t="b">
        <v>1</v>
      </c>
      <c r="AA926" t="b">
        <v>1</v>
      </c>
      <c r="AB926" t="s">
        <v>7000</v>
      </c>
      <c r="AC926" t="s">
        <v>8457</v>
      </c>
    </row>
    <row r="927" spans="1:29" x14ac:dyDescent="0.3">
      <c r="A927">
        <v>-73.980452220000004</v>
      </c>
      <c r="B927">
        <v>40.768184669999997</v>
      </c>
      <c r="C927" t="s">
        <v>622</v>
      </c>
      <c r="D927" t="s">
        <v>38</v>
      </c>
      <c r="E927" s="58">
        <v>43383</v>
      </c>
      <c r="F927">
        <v>4</v>
      </c>
      <c r="G927" t="s">
        <v>105</v>
      </c>
      <c r="H927" t="s">
        <v>53</v>
      </c>
      <c r="I927" t="s">
        <v>1921</v>
      </c>
      <c r="J927" t="s">
        <v>3228</v>
      </c>
      <c r="K927" t="s">
        <v>5038</v>
      </c>
      <c r="L927" t="s">
        <v>44</v>
      </c>
      <c r="M927">
        <v>20</v>
      </c>
      <c r="N927" t="s">
        <v>1996</v>
      </c>
      <c r="O927" t="b">
        <v>0</v>
      </c>
      <c r="P927" t="b">
        <v>0</v>
      </c>
      <c r="Q927" t="b">
        <v>0</v>
      </c>
      <c r="R927" t="b">
        <v>0</v>
      </c>
      <c r="S927" t="b">
        <v>1</v>
      </c>
      <c r="T927" t="b">
        <v>1</v>
      </c>
      <c r="U927" t="b">
        <v>0</v>
      </c>
      <c r="V927" t="b">
        <v>1</v>
      </c>
      <c r="W927" t="b">
        <v>1</v>
      </c>
      <c r="X927" t="b">
        <v>0</v>
      </c>
      <c r="Y927" t="b">
        <v>1</v>
      </c>
      <c r="Z927" t="b">
        <v>0</v>
      </c>
      <c r="AA927" t="b">
        <v>0</v>
      </c>
      <c r="AB927" t="s">
        <v>3832</v>
      </c>
      <c r="AC927" t="s">
        <v>8458</v>
      </c>
    </row>
    <row r="928" spans="1:29" x14ac:dyDescent="0.3">
      <c r="A928">
        <v>-73.972712220000005</v>
      </c>
      <c r="B928">
        <v>40.785620010000002</v>
      </c>
      <c r="C928" t="s">
        <v>82</v>
      </c>
      <c r="D928" t="s">
        <v>33</v>
      </c>
      <c r="E928" s="58">
        <v>43384</v>
      </c>
      <c r="F928">
        <v>30</v>
      </c>
      <c r="G928" t="s">
        <v>3842</v>
      </c>
      <c r="H928" t="s">
        <v>53</v>
      </c>
      <c r="I928" t="s">
        <v>42</v>
      </c>
      <c r="J928" t="s">
        <v>738</v>
      </c>
      <c r="K928" t="s">
        <v>2136</v>
      </c>
      <c r="L928" t="s">
        <v>44</v>
      </c>
      <c r="M928">
        <v>15</v>
      </c>
      <c r="N928" t="s">
        <v>6641</v>
      </c>
      <c r="O928" t="b">
        <v>1</v>
      </c>
      <c r="P928" t="b">
        <v>0</v>
      </c>
      <c r="Q928" t="b">
        <v>1</v>
      </c>
      <c r="R928" t="b">
        <v>0</v>
      </c>
      <c r="S928" t="b">
        <v>0</v>
      </c>
      <c r="T928" t="b">
        <v>0</v>
      </c>
      <c r="U928" t="b">
        <v>0</v>
      </c>
      <c r="V928" t="b">
        <v>1</v>
      </c>
      <c r="W928" t="b">
        <v>0</v>
      </c>
      <c r="X928" t="b">
        <v>1</v>
      </c>
      <c r="Y928" t="b">
        <v>1</v>
      </c>
      <c r="Z928" t="b">
        <v>1</v>
      </c>
      <c r="AA928" t="b">
        <v>1</v>
      </c>
      <c r="AB928" t="s">
        <v>6227</v>
      </c>
      <c r="AC928" t="s">
        <v>8459</v>
      </c>
    </row>
    <row r="929" spans="1:29" x14ac:dyDescent="0.3">
      <c r="A929">
        <v>-73.964131330000001</v>
      </c>
      <c r="B929">
        <v>40.78184469</v>
      </c>
      <c r="C929" t="s">
        <v>95</v>
      </c>
      <c r="D929" t="s">
        <v>38</v>
      </c>
      <c r="E929" s="58">
        <v>43379</v>
      </c>
      <c r="F929">
        <v>30</v>
      </c>
      <c r="G929" t="s">
        <v>48</v>
      </c>
      <c r="H929" t="s">
        <v>176</v>
      </c>
      <c r="I929" t="s">
        <v>42</v>
      </c>
      <c r="J929" t="s">
        <v>97</v>
      </c>
      <c r="K929" t="s">
        <v>4110</v>
      </c>
      <c r="L929" t="s">
        <v>44</v>
      </c>
      <c r="M929">
        <v>30</v>
      </c>
      <c r="N929" t="s">
        <v>2833</v>
      </c>
      <c r="O929" t="b">
        <v>1</v>
      </c>
      <c r="P929" t="b">
        <v>1</v>
      </c>
      <c r="Q929" t="b">
        <v>1</v>
      </c>
      <c r="R929" t="b">
        <v>0</v>
      </c>
      <c r="S929" t="b">
        <v>1</v>
      </c>
      <c r="T929" t="b">
        <v>1</v>
      </c>
      <c r="U929" t="b">
        <v>1</v>
      </c>
      <c r="V929" t="b">
        <v>0</v>
      </c>
      <c r="W929" t="b">
        <v>1</v>
      </c>
      <c r="X929" t="b">
        <v>1</v>
      </c>
      <c r="Y929" t="b">
        <v>1</v>
      </c>
      <c r="Z929" t="b">
        <v>0</v>
      </c>
      <c r="AA929" t="b">
        <v>1</v>
      </c>
      <c r="AB929" t="s">
        <v>4117</v>
      </c>
      <c r="AC929" t="s">
        <v>8460</v>
      </c>
    </row>
    <row r="930" spans="1:29" x14ac:dyDescent="0.3">
      <c r="A930">
        <v>-73.961244039999997</v>
      </c>
      <c r="B930">
        <v>40.78752557</v>
      </c>
      <c r="C930" t="s">
        <v>1170</v>
      </c>
      <c r="D930" t="s">
        <v>33</v>
      </c>
      <c r="E930" s="58">
        <v>43389</v>
      </c>
      <c r="F930">
        <v>22</v>
      </c>
      <c r="G930" t="s">
        <v>105</v>
      </c>
      <c r="H930" t="s">
        <v>53</v>
      </c>
      <c r="I930" t="s">
        <v>176</v>
      </c>
      <c r="J930" t="s">
        <v>149</v>
      </c>
      <c r="K930" t="s">
        <v>6764</v>
      </c>
      <c r="L930" t="s">
        <v>44</v>
      </c>
      <c r="M930">
        <v>40</v>
      </c>
      <c r="N930" t="s">
        <v>6570</v>
      </c>
      <c r="O930" t="b">
        <v>0</v>
      </c>
      <c r="P930" t="b">
        <v>1</v>
      </c>
      <c r="Q930" t="b">
        <v>1</v>
      </c>
      <c r="R930" t="b">
        <v>1</v>
      </c>
      <c r="S930" t="b">
        <v>0</v>
      </c>
      <c r="T930" t="b">
        <v>1</v>
      </c>
      <c r="U930" t="b">
        <v>1</v>
      </c>
      <c r="V930" t="b">
        <v>1</v>
      </c>
      <c r="W930" t="b">
        <v>1</v>
      </c>
      <c r="X930" t="b">
        <v>0</v>
      </c>
      <c r="Y930" t="b">
        <v>1</v>
      </c>
      <c r="Z930" t="b">
        <v>1</v>
      </c>
      <c r="AA930" t="b">
        <v>0</v>
      </c>
      <c r="AB930" t="s">
        <v>108</v>
      </c>
      <c r="AC930" t="s">
        <v>8461</v>
      </c>
    </row>
    <row r="931" spans="1:29" x14ac:dyDescent="0.3">
      <c r="A931">
        <v>-73.973051409999997</v>
      </c>
      <c r="B931">
        <v>40.767194019999998</v>
      </c>
      <c r="C931" t="s">
        <v>208</v>
      </c>
      <c r="D931" t="s">
        <v>33</v>
      </c>
      <c r="E931" s="58">
        <v>43390</v>
      </c>
      <c r="F931">
        <v>11</v>
      </c>
      <c r="G931" t="s">
        <v>3842</v>
      </c>
      <c r="H931" t="s">
        <v>53</v>
      </c>
      <c r="I931" t="s">
        <v>176</v>
      </c>
      <c r="J931" t="s">
        <v>155</v>
      </c>
      <c r="K931" t="s">
        <v>4317</v>
      </c>
      <c r="L931" t="s">
        <v>44</v>
      </c>
      <c r="M931">
        <v>2</v>
      </c>
      <c r="N931" t="s">
        <v>332</v>
      </c>
      <c r="O931" t="b">
        <v>1</v>
      </c>
      <c r="P931" t="b">
        <v>0</v>
      </c>
      <c r="Q931" t="b">
        <v>0</v>
      </c>
      <c r="R931" t="b">
        <v>1</v>
      </c>
      <c r="S931" t="b">
        <v>1</v>
      </c>
      <c r="T931" t="b">
        <v>0</v>
      </c>
      <c r="U931" t="b">
        <v>0</v>
      </c>
      <c r="V931" t="b">
        <v>1</v>
      </c>
      <c r="W931" t="b">
        <v>1</v>
      </c>
      <c r="X931" t="b">
        <v>0</v>
      </c>
      <c r="Y931" t="b">
        <v>1</v>
      </c>
      <c r="Z931" t="b">
        <v>1</v>
      </c>
      <c r="AA931" t="b">
        <v>0</v>
      </c>
      <c r="AB931" t="s">
        <v>3663</v>
      </c>
      <c r="AC931" t="s">
        <v>8462</v>
      </c>
    </row>
    <row r="932" spans="1:29" x14ac:dyDescent="0.3">
      <c r="A932">
        <v>-73.976777670000004</v>
      </c>
      <c r="B932">
        <v>40.785330649999999</v>
      </c>
      <c r="C932" t="s">
        <v>680</v>
      </c>
      <c r="D932" t="s">
        <v>33</v>
      </c>
      <c r="E932" s="58">
        <v>43393</v>
      </c>
      <c r="F932">
        <v>2</v>
      </c>
      <c r="G932" t="s">
        <v>105</v>
      </c>
      <c r="H932" t="s">
        <v>53</v>
      </c>
      <c r="I932" t="s">
        <v>148</v>
      </c>
      <c r="J932" t="s">
        <v>155</v>
      </c>
      <c r="K932" t="s">
        <v>1688</v>
      </c>
      <c r="L932" t="s">
        <v>65</v>
      </c>
      <c r="M932" t="b">
        <v>0</v>
      </c>
      <c r="N932" t="s">
        <v>140</v>
      </c>
      <c r="O932" t="b">
        <v>1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1</v>
      </c>
      <c r="V932" t="b">
        <v>0</v>
      </c>
      <c r="W932" t="b">
        <v>1</v>
      </c>
      <c r="X932" t="b">
        <v>1</v>
      </c>
      <c r="Y932" t="b">
        <v>1</v>
      </c>
      <c r="Z932" t="b">
        <v>1</v>
      </c>
      <c r="AA932" t="b">
        <v>1</v>
      </c>
      <c r="AB932" t="s">
        <v>5988</v>
      </c>
      <c r="AC932" t="s">
        <v>8463</v>
      </c>
    </row>
    <row r="933" spans="1:29" x14ac:dyDescent="0.3">
      <c r="A933">
        <v>-73.954911030000005</v>
      </c>
      <c r="B933">
        <v>40.784679330000003</v>
      </c>
      <c r="C933" t="s">
        <v>1326</v>
      </c>
      <c r="D933" t="s">
        <v>38</v>
      </c>
      <c r="E933" s="58">
        <v>43385</v>
      </c>
      <c r="F933">
        <v>12</v>
      </c>
      <c r="G933" t="s">
        <v>105</v>
      </c>
      <c r="H933" t="s">
        <v>53</v>
      </c>
      <c r="I933" t="s">
        <v>42</v>
      </c>
      <c r="J933" t="s">
        <v>1142</v>
      </c>
      <c r="K933" t="s">
        <v>3248</v>
      </c>
      <c r="L933" t="s">
        <v>65</v>
      </c>
      <c r="M933" t="b">
        <v>0</v>
      </c>
      <c r="N933" t="s">
        <v>4953</v>
      </c>
      <c r="O933" t="b">
        <v>0</v>
      </c>
      <c r="P933" t="b">
        <v>0</v>
      </c>
      <c r="Q933" t="b">
        <v>0</v>
      </c>
      <c r="R933" t="b">
        <v>0</v>
      </c>
      <c r="S933" t="b">
        <v>1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1</v>
      </c>
      <c r="AB933" t="s">
        <v>836</v>
      </c>
      <c r="AC933" t="s">
        <v>8464</v>
      </c>
    </row>
    <row r="934" spans="1:29" x14ac:dyDescent="0.3">
      <c r="A934">
        <v>-73.950212109999995</v>
      </c>
      <c r="B934">
        <v>40.784650300000003</v>
      </c>
      <c r="C934" t="s">
        <v>530</v>
      </c>
      <c r="D934" t="s">
        <v>33</v>
      </c>
      <c r="E934" s="58">
        <v>43382</v>
      </c>
      <c r="F934">
        <v>12</v>
      </c>
      <c r="G934" t="s">
        <v>48</v>
      </c>
      <c r="H934" t="s">
        <v>176</v>
      </c>
      <c r="I934" t="s">
        <v>176</v>
      </c>
      <c r="J934" t="s">
        <v>97</v>
      </c>
      <c r="K934" t="s">
        <v>1896</v>
      </c>
      <c r="L934" t="s">
        <v>44</v>
      </c>
      <c r="M934">
        <v>30</v>
      </c>
      <c r="N934" t="s">
        <v>3716</v>
      </c>
      <c r="O934" t="b">
        <v>1</v>
      </c>
      <c r="P934" t="b">
        <v>1</v>
      </c>
      <c r="Q934" t="b">
        <v>1</v>
      </c>
      <c r="R934" t="b">
        <v>0</v>
      </c>
      <c r="S934" t="b">
        <v>1</v>
      </c>
      <c r="T934" t="b">
        <v>0</v>
      </c>
      <c r="U934" t="b">
        <v>0</v>
      </c>
      <c r="V934" t="b">
        <v>0</v>
      </c>
      <c r="W934" t="b">
        <v>1</v>
      </c>
      <c r="X934" t="b">
        <v>0</v>
      </c>
      <c r="Y934" t="b">
        <v>1</v>
      </c>
      <c r="Z934" t="b">
        <v>1</v>
      </c>
      <c r="AA934" t="b">
        <v>1</v>
      </c>
      <c r="AB934" t="s">
        <v>5913</v>
      </c>
      <c r="AC934" t="s">
        <v>8465</v>
      </c>
    </row>
    <row r="935" spans="1:29" x14ac:dyDescent="0.3">
      <c r="A935">
        <v>-73.964632559999998</v>
      </c>
      <c r="B935">
        <v>40.78615817</v>
      </c>
      <c r="C935" t="s">
        <v>2798</v>
      </c>
      <c r="D935" t="s">
        <v>33</v>
      </c>
      <c r="E935" s="58">
        <v>43389</v>
      </c>
      <c r="F935">
        <v>30</v>
      </c>
      <c r="G935" t="s">
        <v>105</v>
      </c>
      <c r="H935" t="s">
        <v>53</v>
      </c>
      <c r="I935" t="s">
        <v>115</v>
      </c>
      <c r="J935" t="s">
        <v>79</v>
      </c>
      <c r="K935" t="s">
        <v>3407</v>
      </c>
      <c r="L935" t="s">
        <v>65</v>
      </c>
      <c r="M935" t="b">
        <v>0</v>
      </c>
      <c r="N935" t="s">
        <v>1883</v>
      </c>
      <c r="O935" t="b">
        <v>1</v>
      </c>
      <c r="P935" t="b">
        <v>1</v>
      </c>
      <c r="Q935" t="b">
        <v>0</v>
      </c>
      <c r="R935" t="b">
        <v>1</v>
      </c>
      <c r="S935" t="b">
        <v>1</v>
      </c>
      <c r="T935" t="b">
        <v>1</v>
      </c>
      <c r="U935" t="b">
        <v>1</v>
      </c>
      <c r="V935" t="b">
        <v>1</v>
      </c>
      <c r="W935" t="b">
        <v>0</v>
      </c>
      <c r="X935" t="b">
        <v>1</v>
      </c>
      <c r="Y935" t="b">
        <v>1</v>
      </c>
      <c r="Z935" t="b">
        <v>0</v>
      </c>
      <c r="AA935" t="b">
        <v>0</v>
      </c>
      <c r="AB935" t="s">
        <v>1428</v>
      </c>
      <c r="AC935" t="s">
        <v>8466</v>
      </c>
    </row>
    <row r="936" spans="1:29" x14ac:dyDescent="0.3">
      <c r="A936">
        <v>-73.97576153</v>
      </c>
      <c r="B936">
        <v>40.788727649999998</v>
      </c>
      <c r="C936" t="s">
        <v>851</v>
      </c>
      <c r="D936" t="s">
        <v>38</v>
      </c>
      <c r="E936" s="58">
        <v>43380</v>
      </c>
      <c r="F936">
        <v>4</v>
      </c>
      <c r="G936" t="s">
        <v>105</v>
      </c>
      <c r="H936" t="s">
        <v>53</v>
      </c>
      <c r="I936" t="s">
        <v>176</v>
      </c>
      <c r="J936" t="s">
        <v>54</v>
      </c>
      <c r="K936" t="s">
        <v>894</v>
      </c>
      <c r="L936" t="s">
        <v>65</v>
      </c>
      <c r="M936" t="b">
        <v>0</v>
      </c>
      <c r="N936" t="s">
        <v>5512</v>
      </c>
      <c r="O936" t="b">
        <v>0</v>
      </c>
      <c r="P936" t="b">
        <v>1</v>
      </c>
      <c r="Q936" t="b">
        <v>0</v>
      </c>
      <c r="R936" t="b">
        <v>1</v>
      </c>
      <c r="S936" t="b">
        <v>0</v>
      </c>
      <c r="T936" t="b">
        <v>0</v>
      </c>
      <c r="U936" t="b">
        <v>1</v>
      </c>
      <c r="V936" t="b">
        <v>0</v>
      </c>
      <c r="W936" t="b">
        <v>1</v>
      </c>
      <c r="X936" t="b">
        <v>1</v>
      </c>
      <c r="Y936" t="b">
        <v>0</v>
      </c>
      <c r="Z936" t="b">
        <v>1</v>
      </c>
      <c r="AA936" t="b">
        <v>1</v>
      </c>
      <c r="AB936" t="s">
        <v>3820</v>
      </c>
      <c r="AC936" t="s">
        <v>8467</v>
      </c>
    </row>
    <row r="937" spans="1:29" x14ac:dyDescent="0.3">
      <c r="A937">
        <v>-73.972598110000007</v>
      </c>
      <c r="B937">
        <v>40.793252600000002</v>
      </c>
      <c r="C937" t="s">
        <v>4588</v>
      </c>
      <c r="D937" t="s">
        <v>33</v>
      </c>
      <c r="E937" s="58">
        <v>43383</v>
      </c>
      <c r="F937">
        <v>18</v>
      </c>
      <c r="G937" t="s">
        <v>48</v>
      </c>
      <c r="H937" t="s">
        <v>42</v>
      </c>
      <c r="I937" t="s">
        <v>59</v>
      </c>
      <c r="J937" t="s">
        <v>1922</v>
      </c>
      <c r="K937" t="s">
        <v>3407</v>
      </c>
      <c r="L937" t="s">
        <v>65</v>
      </c>
      <c r="M937" t="b">
        <v>0</v>
      </c>
      <c r="N937" t="s">
        <v>748</v>
      </c>
      <c r="O937" t="b">
        <v>1</v>
      </c>
      <c r="P937" t="b">
        <v>1</v>
      </c>
      <c r="Q937" t="b">
        <v>0</v>
      </c>
      <c r="R937" t="b">
        <v>0</v>
      </c>
      <c r="S937" t="b">
        <v>0</v>
      </c>
      <c r="T937" t="b">
        <v>1</v>
      </c>
      <c r="U937" t="b">
        <v>1</v>
      </c>
      <c r="V937" t="b">
        <v>1</v>
      </c>
      <c r="W937" t="b">
        <v>0</v>
      </c>
      <c r="X937" t="b">
        <v>1</v>
      </c>
      <c r="Y937" t="b">
        <v>0</v>
      </c>
      <c r="Z937" t="b">
        <v>1</v>
      </c>
      <c r="AA937" t="b">
        <v>0</v>
      </c>
      <c r="AB937" t="s">
        <v>5988</v>
      </c>
      <c r="AC937" t="s">
        <v>8468</v>
      </c>
    </row>
    <row r="938" spans="1:29" x14ac:dyDescent="0.3">
      <c r="A938">
        <v>-73.980580439999997</v>
      </c>
      <c r="B938">
        <v>40.77441048</v>
      </c>
      <c r="C938" t="s">
        <v>1775</v>
      </c>
      <c r="D938" t="s">
        <v>38</v>
      </c>
      <c r="E938" s="58">
        <v>43390</v>
      </c>
      <c r="F938">
        <v>26</v>
      </c>
      <c r="G938" t="s">
        <v>48</v>
      </c>
      <c r="H938" t="s">
        <v>176</v>
      </c>
      <c r="I938" t="s">
        <v>148</v>
      </c>
      <c r="J938" t="s">
        <v>177</v>
      </c>
      <c r="K938" t="s">
        <v>4123</v>
      </c>
      <c r="L938" t="s">
        <v>44</v>
      </c>
      <c r="M938">
        <v>15</v>
      </c>
      <c r="N938" t="s">
        <v>348</v>
      </c>
      <c r="O938" t="b">
        <v>0</v>
      </c>
      <c r="P938" t="b">
        <v>0</v>
      </c>
      <c r="Q938" t="b">
        <v>0</v>
      </c>
      <c r="R938" t="b">
        <v>0</v>
      </c>
      <c r="S938" t="b">
        <v>1</v>
      </c>
      <c r="T938" t="b">
        <v>0</v>
      </c>
      <c r="U938" t="b">
        <v>1</v>
      </c>
      <c r="V938" t="b">
        <v>0</v>
      </c>
      <c r="W938" t="b">
        <v>0</v>
      </c>
      <c r="X938" t="b">
        <v>1</v>
      </c>
      <c r="Y938" t="b">
        <v>1</v>
      </c>
      <c r="Z938" t="b">
        <v>1</v>
      </c>
      <c r="AA938" t="b">
        <v>0</v>
      </c>
      <c r="AB938" t="s">
        <v>121</v>
      </c>
      <c r="AC938" t="s">
        <v>8469</v>
      </c>
    </row>
    <row r="939" spans="1:29" x14ac:dyDescent="0.3">
      <c r="A939">
        <v>-73.952415939999995</v>
      </c>
      <c r="B939">
        <v>40.793958879999998</v>
      </c>
      <c r="C939" t="s">
        <v>1301</v>
      </c>
      <c r="D939" t="s">
        <v>38</v>
      </c>
      <c r="E939" s="58">
        <v>43381</v>
      </c>
      <c r="F939">
        <v>21</v>
      </c>
      <c r="G939" t="s">
        <v>48</v>
      </c>
      <c r="H939" t="s">
        <v>42</v>
      </c>
      <c r="I939" t="s">
        <v>737</v>
      </c>
      <c r="J939" t="s">
        <v>738</v>
      </c>
      <c r="K939" t="s">
        <v>4791</v>
      </c>
      <c r="L939" t="s">
        <v>65</v>
      </c>
      <c r="M939" t="b">
        <v>0</v>
      </c>
      <c r="N939" t="s">
        <v>4320</v>
      </c>
      <c r="O939" t="b">
        <v>1</v>
      </c>
      <c r="P939" t="b">
        <v>0</v>
      </c>
      <c r="Q939" t="b">
        <v>1</v>
      </c>
      <c r="R939" t="b">
        <v>0</v>
      </c>
      <c r="S939" t="b">
        <v>1</v>
      </c>
      <c r="T939" t="b">
        <v>1</v>
      </c>
      <c r="U939" t="b">
        <v>0</v>
      </c>
      <c r="V939" t="b">
        <v>0</v>
      </c>
      <c r="W939" t="b">
        <v>1</v>
      </c>
      <c r="X939" t="b">
        <v>0</v>
      </c>
      <c r="Y939" t="b">
        <v>1</v>
      </c>
      <c r="Z939" t="b">
        <v>0</v>
      </c>
      <c r="AA939" t="b">
        <v>1</v>
      </c>
      <c r="AB939" t="s">
        <v>2713</v>
      </c>
      <c r="AC939" t="s">
        <v>8470</v>
      </c>
    </row>
    <row r="940" spans="1:29" x14ac:dyDescent="0.3">
      <c r="A940">
        <v>-73.977456860000004</v>
      </c>
      <c r="B940">
        <v>40.782453179999997</v>
      </c>
      <c r="C940" t="s">
        <v>1245</v>
      </c>
      <c r="D940" t="s">
        <v>38</v>
      </c>
      <c r="E940" s="58">
        <v>43384</v>
      </c>
      <c r="F940">
        <v>7</v>
      </c>
      <c r="G940" t="s">
        <v>105</v>
      </c>
      <c r="H940" t="s">
        <v>42</v>
      </c>
      <c r="I940" t="s">
        <v>53</v>
      </c>
      <c r="J940" t="s">
        <v>3580</v>
      </c>
      <c r="K940" t="s">
        <v>49</v>
      </c>
      <c r="L940" t="s">
        <v>65</v>
      </c>
      <c r="M940" t="b">
        <v>0</v>
      </c>
      <c r="N940" t="s">
        <v>4688</v>
      </c>
      <c r="O940" t="b">
        <v>0</v>
      </c>
      <c r="P940" t="b">
        <v>0</v>
      </c>
      <c r="Q940" t="b">
        <v>1</v>
      </c>
      <c r="R940" t="b">
        <v>0</v>
      </c>
      <c r="S940" t="b">
        <v>1</v>
      </c>
      <c r="T940" t="b">
        <v>1</v>
      </c>
      <c r="U940" t="b">
        <v>0</v>
      </c>
      <c r="V940" t="b">
        <v>1</v>
      </c>
      <c r="W940" t="b">
        <v>0</v>
      </c>
      <c r="X940" t="b">
        <v>1</v>
      </c>
      <c r="Y940" t="b">
        <v>1</v>
      </c>
      <c r="Z940" t="b">
        <v>0</v>
      </c>
      <c r="AA940" t="b">
        <v>0</v>
      </c>
      <c r="AB940" t="s">
        <v>6487</v>
      </c>
      <c r="AC940" t="s">
        <v>8471</v>
      </c>
    </row>
    <row r="941" spans="1:29" x14ac:dyDescent="0.3">
      <c r="A941">
        <v>-73.963034739999998</v>
      </c>
      <c r="B941">
        <v>40.767623720000003</v>
      </c>
      <c r="C941" t="s">
        <v>215</v>
      </c>
      <c r="D941" t="s">
        <v>38</v>
      </c>
      <c r="E941" s="58">
        <v>43386</v>
      </c>
      <c r="F941">
        <v>29</v>
      </c>
      <c r="G941" t="s">
        <v>105</v>
      </c>
      <c r="H941" t="s">
        <v>176</v>
      </c>
      <c r="I941" t="s">
        <v>96</v>
      </c>
      <c r="J941" t="s">
        <v>3228</v>
      </c>
      <c r="K941" t="s">
        <v>3859</v>
      </c>
      <c r="L941" t="s">
        <v>44</v>
      </c>
      <c r="M941">
        <v>12</v>
      </c>
      <c r="N941" t="s">
        <v>140</v>
      </c>
      <c r="O941" t="b">
        <v>0</v>
      </c>
      <c r="P941" t="b">
        <v>1</v>
      </c>
      <c r="Q941" t="b">
        <v>0</v>
      </c>
      <c r="R941" t="b">
        <v>1</v>
      </c>
      <c r="S941" t="b">
        <v>0</v>
      </c>
      <c r="T941" t="b">
        <v>1</v>
      </c>
      <c r="U941" t="b">
        <v>0</v>
      </c>
      <c r="V941" t="b">
        <v>1</v>
      </c>
      <c r="W941" t="b">
        <v>1</v>
      </c>
      <c r="X941" t="b">
        <v>0</v>
      </c>
      <c r="Y941" t="b">
        <v>0</v>
      </c>
      <c r="Z941" t="b">
        <v>0</v>
      </c>
      <c r="AA941" t="b">
        <v>0</v>
      </c>
      <c r="AB941" t="s">
        <v>5241</v>
      </c>
      <c r="AC941" t="s">
        <v>8472</v>
      </c>
    </row>
    <row r="942" spans="1:29" x14ac:dyDescent="0.3">
      <c r="A942">
        <v>-73.972543160000001</v>
      </c>
      <c r="B942">
        <v>40.766972119999998</v>
      </c>
      <c r="C942" t="s">
        <v>1221</v>
      </c>
      <c r="D942" t="s">
        <v>33</v>
      </c>
      <c r="E942" s="58">
        <v>43385</v>
      </c>
      <c r="F942">
        <v>1</v>
      </c>
      <c r="G942" t="s">
        <v>105</v>
      </c>
      <c r="H942" t="s">
        <v>53</v>
      </c>
      <c r="I942" t="s">
        <v>53</v>
      </c>
      <c r="J942" t="s">
        <v>79</v>
      </c>
      <c r="K942" t="s">
        <v>7359</v>
      </c>
      <c r="L942" t="s">
        <v>65</v>
      </c>
      <c r="M942" t="b">
        <v>0</v>
      </c>
      <c r="N942" t="s">
        <v>3898</v>
      </c>
      <c r="O942" t="b">
        <v>1</v>
      </c>
      <c r="P942" t="b">
        <v>0</v>
      </c>
      <c r="Q942" t="b">
        <v>1</v>
      </c>
      <c r="R942" t="b">
        <v>1</v>
      </c>
      <c r="S942" t="b">
        <v>1</v>
      </c>
      <c r="T942" t="b">
        <v>0</v>
      </c>
      <c r="U942" t="b">
        <v>0</v>
      </c>
      <c r="V942" t="b">
        <v>1</v>
      </c>
      <c r="W942" t="b">
        <v>0</v>
      </c>
      <c r="X942" t="b">
        <v>0</v>
      </c>
      <c r="Y942" t="b">
        <v>1</v>
      </c>
      <c r="Z942" t="b">
        <v>0</v>
      </c>
      <c r="AA942" t="b">
        <v>0</v>
      </c>
      <c r="AB942" t="s">
        <v>1293</v>
      </c>
      <c r="AC942" t="s">
        <v>8473</v>
      </c>
    </row>
    <row r="943" spans="1:29" x14ac:dyDescent="0.3">
      <c r="A943">
        <v>-73.963736990000001</v>
      </c>
      <c r="B943">
        <v>40.776678480000001</v>
      </c>
      <c r="C943" t="s">
        <v>275</v>
      </c>
      <c r="D943" t="s">
        <v>33</v>
      </c>
      <c r="E943" s="58">
        <v>43381</v>
      </c>
      <c r="F943">
        <v>26</v>
      </c>
      <c r="G943" t="s">
        <v>48</v>
      </c>
      <c r="H943" t="s">
        <v>42</v>
      </c>
      <c r="I943" t="s">
        <v>53</v>
      </c>
      <c r="J943" t="s">
        <v>339</v>
      </c>
      <c r="K943" t="s">
        <v>4477</v>
      </c>
      <c r="L943" t="s">
        <v>44</v>
      </c>
      <c r="M943">
        <v>2</v>
      </c>
      <c r="N943" t="s">
        <v>848</v>
      </c>
      <c r="O943" t="b">
        <v>0</v>
      </c>
      <c r="P943" t="b">
        <v>0</v>
      </c>
      <c r="Q943" t="b">
        <v>1</v>
      </c>
      <c r="R943" t="b">
        <v>1</v>
      </c>
      <c r="S943" t="b">
        <v>0</v>
      </c>
      <c r="T943" t="b">
        <v>0</v>
      </c>
      <c r="U943" t="b">
        <v>0</v>
      </c>
      <c r="V943" t="b">
        <v>1</v>
      </c>
      <c r="W943" t="b">
        <v>1</v>
      </c>
      <c r="X943" t="b">
        <v>0</v>
      </c>
      <c r="Y943" t="b">
        <v>0</v>
      </c>
      <c r="Z943" t="b">
        <v>0</v>
      </c>
      <c r="AA943" t="b">
        <v>0</v>
      </c>
      <c r="AB943" t="s">
        <v>4073</v>
      </c>
      <c r="AC943" t="s">
        <v>8474</v>
      </c>
    </row>
    <row r="944" spans="1:29" x14ac:dyDescent="0.3">
      <c r="A944">
        <v>-73.960679999999996</v>
      </c>
      <c r="B944">
        <v>40.792545199999999</v>
      </c>
      <c r="C944" t="s">
        <v>663</v>
      </c>
      <c r="D944" t="s">
        <v>33</v>
      </c>
      <c r="E944" s="58">
        <v>43386</v>
      </c>
      <c r="F944">
        <v>26</v>
      </c>
      <c r="G944" t="s">
        <v>3842</v>
      </c>
      <c r="H944" t="s">
        <v>176</v>
      </c>
      <c r="I944" t="s">
        <v>5105</v>
      </c>
      <c r="J944" t="s">
        <v>60</v>
      </c>
      <c r="K944" t="s">
        <v>2319</v>
      </c>
      <c r="L944" t="s">
        <v>65</v>
      </c>
      <c r="M944" t="b">
        <v>0</v>
      </c>
      <c r="N944" t="s">
        <v>3458</v>
      </c>
      <c r="O944" t="b">
        <v>1</v>
      </c>
      <c r="P944" t="b">
        <v>0</v>
      </c>
      <c r="Q944" t="b">
        <v>1</v>
      </c>
      <c r="R944" t="b">
        <v>1</v>
      </c>
      <c r="S944" t="b">
        <v>1</v>
      </c>
      <c r="T944" t="b">
        <v>1</v>
      </c>
      <c r="U944" t="b">
        <v>0</v>
      </c>
      <c r="V944" t="b">
        <v>0</v>
      </c>
      <c r="W944" t="b">
        <v>1</v>
      </c>
      <c r="X944" t="b">
        <v>0</v>
      </c>
      <c r="Y944" t="b">
        <v>0</v>
      </c>
      <c r="Z944" t="b">
        <v>0</v>
      </c>
      <c r="AA944" t="b">
        <v>1</v>
      </c>
      <c r="AB944" t="s">
        <v>6161</v>
      </c>
      <c r="AC944" t="s">
        <v>8475</v>
      </c>
    </row>
    <row r="945" spans="1:29" x14ac:dyDescent="0.3">
      <c r="A945">
        <v>-73.955074139999994</v>
      </c>
      <c r="B945">
        <v>40.789826589999997</v>
      </c>
      <c r="C945" t="s">
        <v>502</v>
      </c>
      <c r="D945" t="s">
        <v>33</v>
      </c>
      <c r="E945" s="58">
        <v>43380</v>
      </c>
      <c r="F945">
        <v>23</v>
      </c>
      <c r="G945" t="s">
        <v>105</v>
      </c>
      <c r="H945" t="s">
        <v>53</v>
      </c>
      <c r="I945" t="s">
        <v>737</v>
      </c>
      <c r="J945" t="s">
        <v>738</v>
      </c>
      <c r="K945" t="s">
        <v>1636</v>
      </c>
      <c r="L945" t="s">
        <v>44</v>
      </c>
      <c r="M945">
        <v>2</v>
      </c>
      <c r="N945" t="s">
        <v>5312</v>
      </c>
      <c r="O945" t="b">
        <v>1</v>
      </c>
      <c r="P945" t="b">
        <v>0</v>
      </c>
      <c r="Q945" t="b">
        <v>1</v>
      </c>
      <c r="R945" t="b">
        <v>1</v>
      </c>
      <c r="S945" t="b">
        <v>0</v>
      </c>
      <c r="T945" t="b">
        <v>1</v>
      </c>
      <c r="U945" t="b">
        <v>1</v>
      </c>
      <c r="V945" t="b">
        <v>0</v>
      </c>
      <c r="W945" t="b">
        <v>0</v>
      </c>
      <c r="X945" t="b">
        <v>1</v>
      </c>
      <c r="Y945" t="b">
        <v>0</v>
      </c>
      <c r="Z945" t="b">
        <v>0</v>
      </c>
      <c r="AA945" t="b">
        <v>1</v>
      </c>
      <c r="AB945" t="s">
        <v>4055</v>
      </c>
      <c r="AC945" t="s">
        <v>8476</v>
      </c>
    </row>
    <row r="946" spans="1:29" x14ac:dyDescent="0.3">
      <c r="A946">
        <v>-73.974669349999999</v>
      </c>
      <c r="B946">
        <v>40.792676110000002</v>
      </c>
      <c r="C946" t="s">
        <v>1083</v>
      </c>
      <c r="D946" t="s">
        <v>33</v>
      </c>
      <c r="E946" s="58">
        <v>43388</v>
      </c>
      <c r="F946">
        <v>26</v>
      </c>
      <c r="G946" t="s">
        <v>3842</v>
      </c>
      <c r="H946" t="s">
        <v>176</v>
      </c>
      <c r="I946" t="s">
        <v>176</v>
      </c>
      <c r="J946" t="s">
        <v>149</v>
      </c>
      <c r="K946" t="s">
        <v>3758</v>
      </c>
      <c r="L946" t="s">
        <v>44</v>
      </c>
      <c r="M946">
        <v>40</v>
      </c>
      <c r="N946" t="s">
        <v>6196</v>
      </c>
      <c r="O946" t="b">
        <v>0</v>
      </c>
      <c r="P946" t="b">
        <v>0</v>
      </c>
      <c r="Q946" t="b">
        <v>1</v>
      </c>
      <c r="R946" t="b">
        <v>1</v>
      </c>
      <c r="S946" t="b">
        <v>0</v>
      </c>
      <c r="T946" t="b">
        <v>1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1</v>
      </c>
      <c r="AA946" t="b">
        <v>0</v>
      </c>
      <c r="AB946" t="s">
        <v>144</v>
      </c>
      <c r="AC946" t="s">
        <v>8477</v>
      </c>
    </row>
    <row r="947" spans="1:29" x14ac:dyDescent="0.3">
      <c r="A947">
        <v>-73.980812909999997</v>
      </c>
      <c r="B947">
        <v>40.783122599999999</v>
      </c>
      <c r="C947" t="s">
        <v>835</v>
      </c>
      <c r="D947" t="s">
        <v>38</v>
      </c>
      <c r="E947" s="58">
        <v>43387</v>
      </c>
      <c r="F947">
        <v>13</v>
      </c>
      <c r="G947" t="s">
        <v>48</v>
      </c>
      <c r="H947" t="s">
        <v>42</v>
      </c>
      <c r="I947" t="s">
        <v>5105</v>
      </c>
      <c r="J947" t="s">
        <v>97</v>
      </c>
      <c r="K947" t="s">
        <v>242</v>
      </c>
      <c r="L947" t="s">
        <v>65</v>
      </c>
      <c r="M947" t="b">
        <v>0</v>
      </c>
      <c r="N947" t="s">
        <v>2488</v>
      </c>
      <c r="O947" t="b">
        <v>1</v>
      </c>
      <c r="P947" t="b">
        <v>1</v>
      </c>
      <c r="Q947" t="b">
        <v>0</v>
      </c>
      <c r="R947" t="b">
        <v>0</v>
      </c>
      <c r="S947" t="b">
        <v>0</v>
      </c>
      <c r="T947" t="b">
        <v>1</v>
      </c>
      <c r="U947" t="b">
        <v>1</v>
      </c>
      <c r="V947" t="b">
        <v>1</v>
      </c>
      <c r="W947" t="b">
        <v>1</v>
      </c>
      <c r="X947" t="b">
        <v>1</v>
      </c>
      <c r="Y947" t="b">
        <v>0</v>
      </c>
      <c r="Z947" t="b">
        <v>1</v>
      </c>
      <c r="AA947" t="b">
        <v>0</v>
      </c>
      <c r="AB947" t="s">
        <v>4383</v>
      </c>
      <c r="AC947" t="s">
        <v>8478</v>
      </c>
    </row>
    <row r="948" spans="1:29" x14ac:dyDescent="0.3">
      <c r="A948">
        <v>-73.976855330000006</v>
      </c>
      <c r="B948">
        <v>40.780409130000002</v>
      </c>
      <c r="C948" t="s">
        <v>468</v>
      </c>
      <c r="D948" t="s">
        <v>33</v>
      </c>
      <c r="E948" s="58">
        <v>43382</v>
      </c>
      <c r="F948">
        <v>6</v>
      </c>
      <c r="G948" t="s">
        <v>105</v>
      </c>
      <c r="H948" t="s">
        <v>53</v>
      </c>
      <c r="I948" t="s">
        <v>53</v>
      </c>
      <c r="J948" t="s">
        <v>155</v>
      </c>
      <c r="K948" t="s">
        <v>6869</v>
      </c>
      <c r="L948" t="s">
        <v>65</v>
      </c>
      <c r="M948" t="b">
        <v>0</v>
      </c>
      <c r="N948" t="s">
        <v>1072</v>
      </c>
      <c r="O948" t="b">
        <v>1</v>
      </c>
      <c r="P948" t="b">
        <v>0</v>
      </c>
      <c r="Q948" t="b">
        <v>1</v>
      </c>
      <c r="R948" t="b">
        <v>0</v>
      </c>
      <c r="S948" t="b">
        <v>1</v>
      </c>
      <c r="T948" t="b">
        <v>1</v>
      </c>
      <c r="U948" t="b">
        <v>1</v>
      </c>
      <c r="V948" t="b">
        <v>1</v>
      </c>
      <c r="W948" t="b">
        <v>1</v>
      </c>
      <c r="X948" t="b">
        <v>0</v>
      </c>
      <c r="Y948" t="b">
        <v>1</v>
      </c>
      <c r="Z948" t="b">
        <v>0</v>
      </c>
      <c r="AA948" t="b">
        <v>0</v>
      </c>
      <c r="AB948" t="s">
        <v>810</v>
      </c>
      <c r="AC948" t="s">
        <v>8479</v>
      </c>
    </row>
    <row r="949" spans="1:29" x14ac:dyDescent="0.3">
      <c r="A949">
        <v>-73.952864860000005</v>
      </c>
      <c r="B949">
        <v>40.77010215</v>
      </c>
      <c r="C949" t="s">
        <v>1310</v>
      </c>
      <c r="D949" t="s">
        <v>33</v>
      </c>
      <c r="E949" s="58">
        <v>43379</v>
      </c>
      <c r="F949">
        <v>6</v>
      </c>
      <c r="G949" t="s">
        <v>3842</v>
      </c>
      <c r="H949" t="s">
        <v>53</v>
      </c>
      <c r="I949" t="s">
        <v>59</v>
      </c>
      <c r="J949" t="s">
        <v>619</v>
      </c>
      <c r="K949" t="s">
        <v>1472</v>
      </c>
      <c r="L949" t="s">
        <v>44</v>
      </c>
      <c r="M949">
        <v>25</v>
      </c>
      <c r="N949" t="s">
        <v>3037</v>
      </c>
      <c r="O949" t="b">
        <v>0</v>
      </c>
      <c r="P949" t="b">
        <v>0</v>
      </c>
      <c r="Q949" t="b">
        <v>0</v>
      </c>
      <c r="R949" t="b">
        <v>1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1</v>
      </c>
      <c r="Y949" t="b">
        <v>1</v>
      </c>
      <c r="Z949" t="b">
        <v>0</v>
      </c>
      <c r="AA949" t="b">
        <v>0</v>
      </c>
      <c r="AB949" t="s">
        <v>685</v>
      </c>
      <c r="AC949" t="s">
        <v>8480</v>
      </c>
    </row>
    <row r="950" spans="1:29" x14ac:dyDescent="0.3">
      <c r="A950">
        <v>-73.953686259999998</v>
      </c>
      <c r="B950">
        <v>40.776465629999997</v>
      </c>
      <c r="C950" t="s">
        <v>1141</v>
      </c>
      <c r="D950" t="s">
        <v>33</v>
      </c>
      <c r="E950" s="58">
        <v>43386</v>
      </c>
      <c r="F950">
        <v>12</v>
      </c>
      <c r="G950" t="s">
        <v>105</v>
      </c>
      <c r="H950" t="s">
        <v>176</v>
      </c>
      <c r="I950" t="s">
        <v>96</v>
      </c>
      <c r="J950" t="s">
        <v>116</v>
      </c>
      <c r="K950" t="s">
        <v>5682</v>
      </c>
      <c r="L950" t="s">
        <v>44</v>
      </c>
      <c r="M950">
        <v>15</v>
      </c>
      <c r="N950" t="s">
        <v>1836</v>
      </c>
      <c r="O950" t="b">
        <v>1</v>
      </c>
      <c r="P950" t="b">
        <v>1</v>
      </c>
      <c r="Q950" t="b">
        <v>0</v>
      </c>
      <c r="R950" t="b">
        <v>1</v>
      </c>
      <c r="S950" t="b">
        <v>1</v>
      </c>
      <c r="T950" t="b">
        <v>1</v>
      </c>
      <c r="U950" t="b">
        <v>0</v>
      </c>
      <c r="V950" t="b">
        <v>0</v>
      </c>
      <c r="W950" t="b">
        <v>1</v>
      </c>
      <c r="X950" t="b">
        <v>0</v>
      </c>
      <c r="Y950" t="b">
        <v>0</v>
      </c>
      <c r="Z950" t="b">
        <v>0</v>
      </c>
      <c r="AA950" t="b">
        <v>0</v>
      </c>
      <c r="AB950" t="s">
        <v>2751</v>
      </c>
      <c r="AC950" t="s">
        <v>8481</v>
      </c>
    </row>
    <row r="951" spans="1:29" x14ac:dyDescent="0.3">
      <c r="A951">
        <v>-73.96237782</v>
      </c>
      <c r="B951">
        <v>40.780191559999999</v>
      </c>
      <c r="C951" t="s">
        <v>372</v>
      </c>
      <c r="D951" t="s">
        <v>38</v>
      </c>
      <c r="E951" s="58">
        <v>43385</v>
      </c>
      <c r="F951">
        <v>8</v>
      </c>
      <c r="G951" t="s">
        <v>105</v>
      </c>
      <c r="H951" t="s">
        <v>53</v>
      </c>
      <c r="I951" t="s">
        <v>53</v>
      </c>
      <c r="J951" t="s">
        <v>339</v>
      </c>
      <c r="K951" t="s">
        <v>3461</v>
      </c>
      <c r="L951" t="s">
        <v>65</v>
      </c>
      <c r="M951" t="b">
        <v>0</v>
      </c>
      <c r="N951" t="s">
        <v>958</v>
      </c>
      <c r="O951" t="b">
        <v>1</v>
      </c>
      <c r="P951" t="b">
        <v>1</v>
      </c>
      <c r="Q951" t="b">
        <v>0</v>
      </c>
      <c r="R951" t="b">
        <v>1</v>
      </c>
      <c r="S951" t="b">
        <v>0</v>
      </c>
      <c r="T951" t="b">
        <v>0</v>
      </c>
      <c r="U951" t="b">
        <v>1</v>
      </c>
      <c r="V951" t="b">
        <v>1</v>
      </c>
      <c r="W951" t="b">
        <v>1</v>
      </c>
      <c r="X951" t="b">
        <v>0</v>
      </c>
      <c r="Y951" t="b">
        <v>0</v>
      </c>
      <c r="Z951" t="b">
        <v>0</v>
      </c>
      <c r="AA951" t="b">
        <v>1</v>
      </c>
      <c r="AB951" t="s">
        <v>3051</v>
      </c>
      <c r="AC951" t="s">
        <v>8482</v>
      </c>
    </row>
    <row r="952" spans="1:29" x14ac:dyDescent="0.3">
      <c r="A952">
        <v>-73.962280239999998</v>
      </c>
      <c r="B952">
        <v>40.768030099999997</v>
      </c>
      <c r="C952" t="s">
        <v>607</v>
      </c>
      <c r="D952" t="s">
        <v>38</v>
      </c>
      <c r="E952" s="58">
        <v>43389</v>
      </c>
      <c r="F952">
        <v>24</v>
      </c>
      <c r="G952" t="s">
        <v>105</v>
      </c>
      <c r="H952" t="s">
        <v>42</v>
      </c>
      <c r="I952" t="s">
        <v>42</v>
      </c>
      <c r="J952" t="s">
        <v>5106</v>
      </c>
      <c r="K952" t="s">
        <v>565</v>
      </c>
      <c r="L952" t="s">
        <v>65</v>
      </c>
      <c r="M952" t="b">
        <v>0</v>
      </c>
      <c r="N952" t="s">
        <v>5436</v>
      </c>
      <c r="O952" t="b">
        <v>0</v>
      </c>
      <c r="P952" t="b">
        <v>0</v>
      </c>
      <c r="Q952" t="b">
        <v>1</v>
      </c>
      <c r="R952" t="b">
        <v>0</v>
      </c>
      <c r="S952" t="b">
        <v>1</v>
      </c>
      <c r="T952" t="b">
        <v>0</v>
      </c>
      <c r="U952" t="b">
        <v>1</v>
      </c>
      <c r="V952" t="b">
        <v>0</v>
      </c>
      <c r="W952" t="b">
        <v>1</v>
      </c>
      <c r="X952" t="b">
        <v>1</v>
      </c>
      <c r="Y952" t="b">
        <v>0</v>
      </c>
      <c r="Z952" t="b">
        <v>0</v>
      </c>
      <c r="AA952" t="b">
        <v>1</v>
      </c>
      <c r="AB952" t="s">
        <v>3173</v>
      </c>
      <c r="AC952" t="s">
        <v>8483</v>
      </c>
    </row>
    <row r="953" spans="1:29" x14ac:dyDescent="0.3">
      <c r="A953">
        <v>-73.96025195</v>
      </c>
      <c r="B953">
        <v>40.772677940000001</v>
      </c>
      <c r="C953" t="s">
        <v>1251</v>
      </c>
      <c r="D953" t="s">
        <v>33</v>
      </c>
      <c r="E953" s="58">
        <v>43391</v>
      </c>
      <c r="F953">
        <v>22</v>
      </c>
      <c r="G953" t="s">
        <v>3842</v>
      </c>
      <c r="H953" t="s">
        <v>42</v>
      </c>
      <c r="I953" t="s">
        <v>737</v>
      </c>
      <c r="J953" t="s">
        <v>2942</v>
      </c>
      <c r="K953" t="s">
        <v>2943</v>
      </c>
      <c r="L953" t="s">
        <v>65</v>
      </c>
      <c r="M953" t="b">
        <v>0</v>
      </c>
      <c r="N953" t="s">
        <v>299</v>
      </c>
      <c r="O953" t="b">
        <v>1</v>
      </c>
      <c r="P953" t="b">
        <v>0</v>
      </c>
      <c r="Q953" t="b">
        <v>1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1</v>
      </c>
      <c r="Y953" t="b">
        <v>0</v>
      </c>
      <c r="Z953" t="b">
        <v>1</v>
      </c>
      <c r="AA953" t="b">
        <v>1</v>
      </c>
      <c r="AB953" t="s">
        <v>3474</v>
      </c>
      <c r="AC953" t="s">
        <v>8484</v>
      </c>
    </row>
    <row r="954" spans="1:29" x14ac:dyDescent="0.3">
      <c r="A954">
        <v>-73.975645470000003</v>
      </c>
      <c r="B954">
        <v>40.785972889999996</v>
      </c>
      <c r="C954" t="s">
        <v>47</v>
      </c>
      <c r="D954" t="s">
        <v>38</v>
      </c>
      <c r="E954" s="58">
        <v>43383</v>
      </c>
      <c r="F954">
        <v>19</v>
      </c>
      <c r="G954" t="s">
        <v>48</v>
      </c>
      <c r="H954" t="s">
        <v>42</v>
      </c>
      <c r="I954" t="s">
        <v>737</v>
      </c>
      <c r="J954" t="s">
        <v>34</v>
      </c>
      <c r="K954" t="s">
        <v>1012</v>
      </c>
      <c r="L954" t="s">
        <v>65</v>
      </c>
      <c r="M954" t="b">
        <v>0</v>
      </c>
      <c r="N954" t="s">
        <v>3176</v>
      </c>
      <c r="O954" t="b">
        <v>1</v>
      </c>
      <c r="P954" t="b">
        <v>0</v>
      </c>
      <c r="Q954" t="b">
        <v>1</v>
      </c>
      <c r="R954" t="b">
        <v>0</v>
      </c>
      <c r="S954" t="b">
        <v>0</v>
      </c>
      <c r="T954" t="b">
        <v>1</v>
      </c>
      <c r="U954" t="b">
        <v>0</v>
      </c>
      <c r="V954" t="b">
        <v>0</v>
      </c>
      <c r="W954" t="b">
        <v>1</v>
      </c>
      <c r="X954" t="b">
        <v>1</v>
      </c>
      <c r="Y954" t="b">
        <v>1</v>
      </c>
      <c r="Z954" t="b">
        <v>0</v>
      </c>
      <c r="AA954" t="b">
        <v>1</v>
      </c>
      <c r="AB954" t="s">
        <v>445</v>
      </c>
      <c r="AC954" t="s">
        <v>8485</v>
      </c>
    </row>
    <row r="955" spans="1:29" x14ac:dyDescent="0.3">
      <c r="A955">
        <v>-73.952412379999998</v>
      </c>
      <c r="B955">
        <v>40.790811779999999</v>
      </c>
      <c r="C955" t="s">
        <v>428</v>
      </c>
      <c r="D955" t="s">
        <v>33</v>
      </c>
      <c r="E955" s="58">
        <v>43388</v>
      </c>
      <c r="F955">
        <v>5</v>
      </c>
      <c r="G955" t="s">
        <v>105</v>
      </c>
      <c r="H955" t="s">
        <v>176</v>
      </c>
      <c r="I955" t="s">
        <v>737</v>
      </c>
      <c r="J955" t="s">
        <v>1142</v>
      </c>
      <c r="K955" t="s">
        <v>4381</v>
      </c>
      <c r="L955" t="s">
        <v>44</v>
      </c>
      <c r="M955">
        <v>10</v>
      </c>
      <c r="N955" t="s">
        <v>1337</v>
      </c>
      <c r="O955" t="b">
        <v>0</v>
      </c>
      <c r="P955" t="b">
        <v>0</v>
      </c>
      <c r="Q955" t="b">
        <v>1</v>
      </c>
      <c r="R955" t="b">
        <v>0</v>
      </c>
      <c r="S955" t="b">
        <v>1</v>
      </c>
      <c r="T955" t="b">
        <v>1</v>
      </c>
      <c r="U955" t="b">
        <v>1</v>
      </c>
      <c r="V955" t="b">
        <v>1</v>
      </c>
      <c r="W955" t="b">
        <v>1</v>
      </c>
      <c r="X955" t="b">
        <v>1</v>
      </c>
      <c r="Y955" t="b">
        <v>0</v>
      </c>
      <c r="Z955" t="b">
        <v>0</v>
      </c>
      <c r="AA955" t="b">
        <v>0</v>
      </c>
      <c r="AB955" t="s">
        <v>1497</v>
      </c>
      <c r="AC955" t="s">
        <v>8486</v>
      </c>
    </row>
    <row r="956" spans="1:29" x14ac:dyDescent="0.3">
      <c r="A956">
        <v>-73.967993770000007</v>
      </c>
      <c r="B956">
        <v>40.800060340000002</v>
      </c>
      <c r="C956" t="s">
        <v>502</v>
      </c>
      <c r="D956" t="s">
        <v>33</v>
      </c>
      <c r="E956" s="58">
        <v>43391</v>
      </c>
      <c r="F956">
        <v>18</v>
      </c>
      <c r="G956" t="s">
        <v>48</v>
      </c>
      <c r="H956" t="s">
        <v>53</v>
      </c>
      <c r="I956" t="s">
        <v>148</v>
      </c>
      <c r="J956" t="s">
        <v>5106</v>
      </c>
      <c r="K956" t="s">
        <v>4572</v>
      </c>
      <c r="L956" t="s">
        <v>44</v>
      </c>
      <c r="M956">
        <v>7</v>
      </c>
      <c r="N956" t="s">
        <v>373</v>
      </c>
      <c r="O956" t="b">
        <v>1</v>
      </c>
      <c r="P956" t="b">
        <v>1</v>
      </c>
      <c r="Q956" t="b">
        <v>0</v>
      </c>
      <c r="R956" t="b">
        <v>1</v>
      </c>
      <c r="S956" t="b">
        <v>1</v>
      </c>
      <c r="T956" t="b">
        <v>1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s">
        <v>3910</v>
      </c>
      <c r="AC956" t="s">
        <v>8487</v>
      </c>
    </row>
    <row r="957" spans="1:29" x14ac:dyDescent="0.3">
      <c r="A957">
        <v>-73.969113930000006</v>
      </c>
      <c r="B957">
        <v>40.797763580000002</v>
      </c>
      <c r="C957" t="s">
        <v>579</v>
      </c>
      <c r="D957" t="s">
        <v>38</v>
      </c>
      <c r="E957" s="58">
        <v>43383</v>
      </c>
      <c r="F957">
        <v>30</v>
      </c>
      <c r="G957" t="s">
        <v>48</v>
      </c>
      <c r="H957" t="s">
        <v>53</v>
      </c>
      <c r="I957" t="s">
        <v>148</v>
      </c>
      <c r="J957" t="s">
        <v>1233</v>
      </c>
      <c r="K957" t="s">
        <v>5206</v>
      </c>
      <c r="L957" t="s">
        <v>44</v>
      </c>
      <c r="M957">
        <v>7</v>
      </c>
      <c r="N957" t="s">
        <v>1836</v>
      </c>
      <c r="O957" t="b">
        <v>1</v>
      </c>
      <c r="P957" t="b">
        <v>0</v>
      </c>
      <c r="Q957" t="b">
        <v>0</v>
      </c>
      <c r="R957" t="b">
        <v>0</v>
      </c>
      <c r="S957" t="b">
        <v>0</v>
      </c>
      <c r="T957" t="b">
        <v>1</v>
      </c>
      <c r="U957" t="b">
        <v>0</v>
      </c>
      <c r="V957" t="b">
        <v>1</v>
      </c>
      <c r="W957" t="b">
        <v>1</v>
      </c>
      <c r="X957" t="b">
        <v>0</v>
      </c>
      <c r="Y957" t="b">
        <v>1</v>
      </c>
      <c r="Z957" t="b">
        <v>1</v>
      </c>
      <c r="AA957" t="b">
        <v>1</v>
      </c>
      <c r="AB957" t="s">
        <v>845</v>
      </c>
      <c r="AC957" t="s">
        <v>8488</v>
      </c>
    </row>
    <row r="958" spans="1:29" x14ac:dyDescent="0.3">
      <c r="A958">
        <v>-73.964845460000006</v>
      </c>
      <c r="B958">
        <v>40.787534010000002</v>
      </c>
      <c r="C958" t="s">
        <v>668</v>
      </c>
      <c r="D958" t="s">
        <v>38</v>
      </c>
      <c r="E958" s="58">
        <v>43385</v>
      </c>
      <c r="F958">
        <v>5</v>
      </c>
      <c r="G958" t="s">
        <v>3842</v>
      </c>
      <c r="H958" t="s">
        <v>53</v>
      </c>
      <c r="I958" t="s">
        <v>115</v>
      </c>
      <c r="J958" t="s">
        <v>1922</v>
      </c>
      <c r="K958" t="s">
        <v>4069</v>
      </c>
      <c r="L958" t="s">
        <v>65</v>
      </c>
      <c r="M958" t="b">
        <v>0</v>
      </c>
      <c r="N958" t="s">
        <v>2951</v>
      </c>
      <c r="O958" t="b">
        <v>0</v>
      </c>
      <c r="P958" t="b">
        <v>1</v>
      </c>
      <c r="Q958" t="b">
        <v>0</v>
      </c>
      <c r="R958" t="b">
        <v>1</v>
      </c>
      <c r="S958" t="b">
        <v>0</v>
      </c>
      <c r="T958" t="b">
        <v>0</v>
      </c>
      <c r="U958" t="b">
        <v>0</v>
      </c>
      <c r="V958" t="b">
        <v>0</v>
      </c>
      <c r="W958" t="b">
        <v>1</v>
      </c>
      <c r="X958" t="b">
        <v>0</v>
      </c>
      <c r="Y958" t="b">
        <v>1</v>
      </c>
      <c r="Z958" t="b">
        <v>1</v>
      </c>
      <c r="AA958" t="b">
        <v>1</v>
      </c>
      <c r="AB958" t="s">
        <v>6492</v>
      </c>
      <c r="AC958" t="s">
        <v>8489</v>
      </c>
    </row>
    <row r="959" spans="1:29" x14ac:dyDescent="0.3">
      <c r="A959">
        <v>-73.979682120000007</v>
      </c>
      <c r="B959">
        <v>40.779741909999998</v>
      </c>
      <c r="C959" t="s">
        <v>2987</v>
      </c>
      <c r="D959" t="s">
        <v>33</v>
      </c>
      <c r="E959" s="58">
        <v>43383</v>
      </c>
      <c r="F959">
        <v>30</v>
      </c>
      <c r="G959" t="s">
        <v>3842</v>
      </c>
      <c r="H959" t="s">
        <v>42</v>
      </c>
      <c r="I959" t="s">
        <v>1921</v>
      </c>
      <c r="J959" t="s">
        <v>177</v>
      </c>
      <c r="K959" t="s">
        <v>2037</v>
      </c>
      <c r="L959" t="s">
        <v>65</v>
      </c>
      <c r="M959" t="b">
        <v>0</v>
      </c>
      <c r="N959" t="s">
        <v>5149</v>
      </c>
      <c r="O959" t="b">
        <v>1</v>
      </c>
      <c r="P959" t="b">
        <v>0</v>
      </c>
      <c r="Q959" t="b">
        <v>1</v>
      </c>
      <c r="R959" t="b">
        <v>0</v>
      </c>
      <c r="S959" t="b">
        <v>1</v>
      </c>
      <c r="T959" t="b">
        <v>0</v>
      </c>
      <c r="U959" t="b">
        <v>0</v>
      </c>
      <c r="V959" t="b">
        <v>1</v>
      </c>
      <c r="W959" t="b">
        <v>1</v>
      </c>
      <c r="X959" t="b">
        <v>0</v>
      </c>
      <c r="Y959" t="b">
        <v>1</v>
      </c>
      <c r="Z959" t="b">
        <v>1</v>
      </c>
      <c r="AA959" t="b">
        <v>1</v>
      </c>
      <c r="AB959" t="s">
        <v>436</v>
      </c>
      <c r="AC959" t="s">
        <v>8490</v>
      </c>
    </row>
    <row r="960" spans="1:29" x14ac:dyDescent="0.3">
      <c r="A960">
        <v>-73.975931160000002</v>
      </c>
      <c r="B960">
        <v>40.787309110000002</v>
      </c>
      <c r="C960" t="s">
        <v>459</v>
      </c>
      <c r="D960" t="s">
        <v>33</v>
      </c>
      <c r="E960" s="58">
        <v>43386</v>
      </c>
      <c r="F960">
        <v>25</v>
      </c>
      <c r="G960" t="s">
        <v>48</v>
      </c>
      <c r="H960" t="s">
        <v>53</v>
      </c>
      <c r="I960" t="s">
        <v>96</v>
      </c>
      <c r="J960" t="s">
        <v>1922</v>
      </c>
      <c r="K960" t="s">
        <v>1696</v>
      </c>
      <c r="L960" t="s">
        <v>44</v>
      </c>
      <c r="M960">
        <v>25</v>
      </c>
      <c r="N960" t="s">
        <v>2760</v>
      </c>
      <c r="O960" t="b">
        <v>1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1</v>
      </c>
      <c r="X960" t="b">
        <v>0</v>
      </c>
      <c r="Y960" t="b">
        <v>1</v>
      </c>
      <c r="Z960" t="b">
        <v>1</v>
      </c>
      <c r="AA960" t="b">
        <v>0</v>
      </c>
      <c r="AB960" t="s">
        <v>5124</v>
      </c>
      <c r="AC960" t="s">
        <v>8491</v>
      </c>
    </row>
    <row r="961" spans="1:29" x14ac:dyDescent="0.3">
      <c r="A961">
        <v>-73.957957160000007</v>
      </c>
      <c r="B961">
        <v>40.792571770000002</v>
      </c>
      <c r="C961" t="s">
        <v>4588</v>
      </c>
      <c r="D961" t="s">
        <v>38</v>
      </c>
      <c r="E961" s="58">
        <v>43389</v>
      </c>
      <c r="F961">
        <v>10</v>
      </c>
      <c r="G961" t="s">
        <v>105</v>
      </c>
      <c r="H961" t="s">
        <v>42</v>
      </c>
      <c r="I961" t="s">
        <v>5105</v>
      </c>
      <c r="J961" t="s">
        <v>97</v>
      </c>
      <c r="K961" t="s">
        <v>3461</v>
      </c>
      <c r="L961" t="s">
        <v>44</v>
      </c>
      <c r="M961">
        <v>12</v>
      </c>
      <c r="N961" t="s">
        <v>2150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1</v>
      </c>
      <c r="U961" t="b">
        <v>1</v>
      </c>
      <c r="V961" t="b">
        <v>0</v>
      </c>
      <c r="W961" t="b">
        <v>0</v>
      </c>
      <c r="X961" t="b">
        <v>1</v>
      </c>
      <c r="Y961" t="b">
        <v>0</v>
      </c>
      <c r="Z961" t="b">
        <v>0</v>
      </c>
      <c r="AA961" t="b">
        <v>0</v>
      </c>
      <c r="AB961" t="s">
        <v>2751</v>
      </c>
      <c r="AC961" t="s">
        <v>8492</v>
      </c>
    </row>
    <row r="962" spans="1:29" x14ac:dyDescent="0.3">
      <c r="A962">
        <v>-73.978555650000004</v>
      </c>
      <c r="B962">
        <v>40.769077029999998</v>
      </c>
      <c r="C962" t="s">
        <v>736</v>
      </c>
      <c r="D962" t="s">
        <v>33</v>
      </c>
      <c r="E962" s="58">
        <v>43391</v>
      </c>
      <c r="F962">
        <v>1</v>
      </c>
      <c r="G962" t="s">
        <v>3842</v>
      </c>
      <c r="H962" t="s">
        <v>53</v>
      </c>
      <c r="I962" t="s">
        <v>176</v>
      </c>
      <c r="J962" t="s">
        <v>1922</v>
      </c>
      <c r="K962" t="s">
        <v>6823</v>
      </c>
      <c r="L962" t="s">
        <v>44</v>
      </c>
      <c r="M962">
        <v>5</v>
      </c>
      <c r="N962" t="s">
        <v>4070</v>
      </c>
      <c r="O962" t="b">
        <v>0</v>
      </c>
      <c r="P962" t="b">
        <v>1</v>
      </c>
      <c r="Q962" t="b">
        <v>0</v>
      </c>
      <c r="R962" t="b">
        <v>0</v>
      </c>
      <c r="S962" t="b">
        <v>1</v>
      </c>
      <c r="T962" t="b">
        <v>1</v>
      </c>
      <c r="U962" t="b">
        <v>0</v>
      </c>
      <c r="V962" t="b">
        <v>0</v>
      </c>
      <c r="W962" t="b">
        <v>1</v>
      </c>
      <c r="X962" t="b">
        <v>1</v>
      </c>
      <c r="Y962" t="b">
        <v>0</v>
      </c>
      <c r="Z962" t="b">
        <v>1</v>
      </c>
      <c r="AA962" t="b">
        <v>0</v>
      </c>
      <c r="AB962" t="s">
        <v>1288</v>
      </c>
      <c r="AC962" t="s">
        <v>8493</v>
      </c>
    </row>
    <row r="963" spans="1:29" x14ac:dyDescent="0.3">
      <c r="A963">
        <v>-73.962197399999994</v>
      </c>
      <c r="B963">
        <v>40.779342540000002</v>
      </c>
      <c r="C963" t="s">
        <v>2181</v>
      </c>
      <c r="D963" t="s">
        <v>38</v>
      </c>
      <c r="E963" s="58">
        <v>43384</v>
      </c>
      <c r="F963">
        <v>10</v>
      </c>
      <c r="G963" t="s">
        <v>105</v>
      </c>
      <c r="H963" t="s">
        <v>42</v>
      </c>
      <c r="I963" t="s">
        <v>53</v>
      </c>
      <c r="J963" t="s">
        <v>116</v>
      </c>
      <c r="K963" t="s">
        <v>3407</v>
      </c>
      <c r="L963" t="s">
        <v>44</v>
      </c>
      <c r="M963">
        <v>10</v>
      </c>
      <c r="N963" t="s">
        <v>3826</v>
      </c>
      <c r="O963" t="b">
        <v>1</v>
      </c>
      <c r="P963" t="b">
        <v>0</v>
      </c>
      <c r="Q963" t="b">
        <v>1</v>
      </c>
      <c r="R963" t="b">
        <v>1</v>
      </c>
      <c r="S963" t="b">
        <v>1</v>
      </c>
      <c r="T963" t="b">
        <v>1</v>
      </c>
      <c r="U963" t="b">
        <v>0</v>
      </c>
      <c r="V963" t="b">
        <v>1</v>
      </c>
      <c r="W963" t="b">
        <v>1</v>
      </c>
      <c r="X963" t="b">
        <v>0</v>
      </c>
      <c r="Y963" t="b">
        <v>0</v>
      </c>
      <c r="Z963" t="b">
        <v>1</v>
      </c>
      <c r="AA963" t="b">
        <v>1</v>
      </c>
      <c r="AB963" t="s">
        <v>1367</v>
      </c>
      <c r="AC963" t="s">
        <v>8494</v>
      </c>
    </row>
    <row r="964" spans="1:29" x14ac:dyDescent="0.3">
      <c r="A964">
        <v>-73.973445589999997</v>
      </c>
      <c r="B964">
        <v>40.794478300000002</v>
      </c>
      <c r="C964" t="s">
        <v>143</v>
      </c>
      <c r="D964" t="s">
        <v>33</v>
      </c>
      <c r="E964" s="58">
        <v>43391</v>
      </c>
      <c r="F964">
        <v>5</v>
      </c>
      <c r="G964" t="s">
        <v>105</v>
      </c>
      <c r="H964" t="s">
        <v>53</v>
      </c>
      <c r="I964" t="s">
        <v>1921</v>
      </c>
      <c r="J964" t="s">
        <v>89</v>
      </c>
      <c r="K964" t="s">
        <v>4572</v>
      </c>
      <c r="L964" t="s">
        <v>44</v>
      </c>
      <c r="M964">
        <v>5</v>
      </c>
      <c r="N964" t="s">
        <v>201</v>
      </c>
      <c r="O964" t="b">
        <v>1</v>
      </c>
      <c r="P964" t="b">
        <v>0</v>
      </c>
      <c r="Q964" t="b">
        <v>0</v>
      </c>
      <c r="R964" t="b">
        <v>1</v>
      </c>
      <c r="S964" t="b">
        <v>1</v>
      </c>
      <c r="T964" t="b">
        <v>1</v>
      </c>
      <c r="U964" t="b">
        <v>1</v>
      </c>
      <c r="V964" t="b">
        <v>0</v>
      </c>
      <c r="W964" t="b">
        <v>1</v>
      </c>
      <c r="X964" t="b">
        <v>1</v>
      </c>
      <c r="Y964" t="b">
        <v>0</v>
      </c>
      <c r="Z964" t="b">
        <v>1</v>
      </c>
      <c r="AA964" t="b">
        <v>1</v>
      </c>
      <c r="AB964" t="s">
        <v>3437</v>
      </c>
      <c r="AC964" t="s">
        <v>8495</v>
      </c>
    </row>
    <row r="965" spans="1:29" x14ac:dyDescent="0.3">
      <c r="A965">
        <v>-73.968920370000006</v>
      </c>
      <c r="B965">
        <v>40.778424600000001</v>
      </c>
      <c r="C965" t="s">
        <v>1995</v>
      </c>
      <c r="D965" t="s">
        <v>38</v>
      </c>
      <c r="E965" s="58">
        <v>43383</v>
      </c>
      <c r="F965">
        <v>12</v>
      </c>
      <c r="G965" t="s">
        <v>105</v>
      </c>
      <c r="H965" t="s">
        <v>176</v>
      </c>
      <c r="I965" t="s">
        <v>176</v>
      </c>
      <c r="J965" t="s">
        <v>97</v>
      </c>
      <c r="K965" t="s">
        <v>2382</v>
      </c>
      <c r="L965" t="s">
        <v>44</v>
      </c>
      <c r="M965">
        <v>40</v>
      </c>
      <c r="N965" t="s">
        <v>752</v>
      </c>
      <c r="O965" t="b">
        <v>0</v>
      </c>
      <c r="P965" t="b">
        <v>1</v>
      </c>
      <c r="Q965" t="b">
        <v>0</v>
      </c>
      <c r="R965" t="b">
        <v>1</v>
      </c>
      <c r="S965" t="b">
        <v>0</v>
      </c>
      <c r="T965" t="b">
        <v>1</v>
      </c>
      <c r="U965" t="b">
        <v>1</v>
      </c>
      <c r="V965" t="b">
        <v>0</v>
      </c>
      <c r="W965" t="b">
        <v>1</v>
      </c>
      <c r="X965" t="b">
        <v>0</v>
      </c>
      <c r="Y965" t="b">
        <v>0</v>
      </c>
      <c r="Z965" t="b">
        <v>1</v>
      </c>
      <c r="AA965" t="b">
        <v>0</v>
      </c>
      <c r="AB965" t="s">
        <v>4147</v>
      </c>
      <c r="AC965" t="s">
        <v>8496</v>
      </c>
    </row>
    <row r="966" spans="1:29" x14ac:dyDescent="0.3">
      <c r="A966">
        <v>-73.972082970000002</v>
      </c>
      <c r="B966">
        <v>40.785045060000002</v>
      </c>
      <c r="C966" t="s">
        <v>1377</v>
      </c>
      <c r="D966" t="s">
        <v>33</v>
      </c>
      <c r="E966" s="58">
        <v>43387</v>
      </c>
      <c r="F966">
        <v>22</v>
      </c>
      <c r="G966" t="s">
        <v>48</v>
      </c>
      <c r="H966" t="s">
        <v>176</v>
      </c>
      <c r="I966" t="s">
        <v>5105</v>
      </c>
      <c r="J966" t="s">
        <v>5106</v>
      </c>
      <c r="K966" t="s">
        <v>5206</v>
      </c>
      <c r="L966" t="s">
        <v>65</v>
      </c>
      <c r="M966" t="b">
        <v>0</v>
      </c>
      <c r="N966" t="s">
        <v>6664</v>
      </c>
      <c r="O966" t="b">
        <v>1</v>
      </c>
      <c r="P966" t="b">
        <v>0</v>
      </c>
      <c r="Q966" t="b">
        <v>1</v>
      </c>
      <c r="R966" t="b">
        <v>1</v>
      </c>
      <c r="S966" t="b">
        <v>0</v>
      </c>
      <c r="T966" t="b">
        <v>1</v>
      </c>
      <c r="U966" t="b">
        <v>0</v>
      </c>
      <c r="V966" t="b">
        <v>1</v>
      </c>
      <c r="W966" t="b">
        <v>1</v>
      </c>
      <c r="X966" t="b">
        <v>0</v>
      </c>
      <c r="Y966" t="b">
        <v>0</v>
      </c>
      <c r="Z966" t="b">
        <v>1</v>
      </c>
      <c r="AA966" t="b">
        <v>0</v>
      </c>
      <c r="AB966" t="s">
        <v>5792</v>
      </c>
      <c r="AC966" t="s">
        <v>8497</v>
      </c>
    </row>
    <row r="967" spans="1:29" x14ac:dyDescent="0.3">
      <c r="A967">
        <v>-73.969977360000001</v>
      </c>
      <c r="B967">
        <v>40.785604759999998</v>
      </c>
      <c r="C967" t="s">
        <v>100</v>
      </c>
      <c r="D967" t="s">
        <v>33</v>
      </c>
      <c r="E967" s="58">
        <v>43389</v>
      </c>
      <c r="F967">
        <v>30</v>
      </c>
      <c r="G967" t="s">
        <v>105</v>
      </c>
      <c r="H967" t="s">
        <v>42</v>
      </c>
      <c r="I967" t="s">
        <v>1921</v>
      </c>
      <c r="J967" t="s">
        <v>155</v>
      </c>
      <c r="K967" t="s">
        <v>6800</v>
      </c>
      <c r="L967" t="s">
        <v>44</v>
      </c>
      <c r="M967">
        <v>3</v>
      </c>
      <c r="N967" t="s">
        <v>7207</v>
      </c>
      <c r="O967" t="b">
        <v>1</v>
      </c>
      <c r="P967" t="b">
        <v>1</v>
      </c>
      <c r="Q967" t="b">
        <v>0</v>
      </c>
      <c r="R967" t="b">
        <v>1</v>
      </c>
      <c r="S967" t="b">
        <v>0</v>
      </c>
      <c r="T967" t="b">
        <v>0</v>
      </c>
      <c r="U967" t="b">
        <v>0</v>
      </c>
      <c r="V967" t="b">
        <v>1</v>
      </c>
      <c r="W967" t="b">
        <v>0</v>
      </c>
      <c r="X967" t="b">
        <v>1</v>
      </c>
      <c r="Y967" t="b">
        <v>0</v>
      </c>
      <c r="Z967" t="b">
        <v>0</v>
      </c>
      <c r="AA967" t="b">
        <v>0</v>
      </c>
      <c r="AB967" t="s">
        <v>4327</v>
      </c>
      <c r="AC967" t="s">
        <v>8498</v>
      </c>
    </row>
    <row r="968" spans="1:29" x14ac:dyDescent="0.3">
      <c r="A968">
        <v>-73.958554070000005</v>
      </c>
      <c r="B968">
        <v>40.771405680000001</v>
      </c>
      <c r="C968" t="s">
        <v>275</v>
      </c>
      <c r="D968" t="s">
        <v>38</v>
      </c>
      <c r="E968" s="58">
        <v>43380</v>
      </c>
      <c r="F968">
        <v>27</v>
      </c>
      <c r="G968" t="s">
        <v>48</v>
      </c>
      <c r="H968" t="s">
        <v>42</v>
      </c>
      <c r="I968" t="s">
        <v>176</v>
      </c>
      <c r="J968" t="s">
        <v>177</v>
      </c>
      <c r="K968" t="s">
        <v>4180</v>
      </c>
      <c r="L968" t="s">
        <v>44</v>
      </c>
      <c r="M968">
        <v>20</v>
      </c>
      <c r="N968" t="s">
        <v>348</v>
      </c>
      <c r="O968" t="b">
        <v>1</v>
      </c>
      <c r="P968" t="b">
        <v>0</v>
      </c>
      <c r="Q968" t="b">
        <v>1</v>
      </c>
      <c r="R968" t="b">
        <v>1</v>
      </c>
      <c r="S968" t="b">
        <v>1</v>
      </c>
      <c r="T968" t="b">
        <v>0</v>
      </c>
      <c r="U968" t="b">
        <v>1</v>
      </c>
      <c r="V968" t="b">
        <v>0</v>
      </c>
      <c r="W968" t="b">
        <v>0</v>
      </c>
      <c r="X968" t="b">
        <v>0</v>
      </c>
      <c r="Y968" t="b">
        <v>0</v>
      </c>
      <c r="Z968" t="b">
        <v>1</v>
      </c>
      <c r="AA968" t="b">
        <v>1</v>
      </c>
      <c r="AB968" t="s">
        <v>527</v>
      </c>
      <c r="AC968" t="s">
        <v>8499</v>
      </c>
    </row>
    <row r="969" spans="1:29" x14ac:dyDescent="0.3">
      <c r="A969">
        <v>-73.971818020000001</v>
      </c>
      <c r="B969">
        <v>40.777664199999997</v>
      </c>
      <c r="C969" t="s">
        <v>428</v>
      </c>
      <c r="D969" t="s">
        <v>33</v>
      </c>
      <c r="E969" s="58">
        <v>43379</v>
      </c>
      <c r="F969">
        <v>7</v>
      </c>
      <c r="G969" t="s">
        <v>48</v>
      </c>
      <c r="H969" t="s">
        <v>53</v>
      </c>
      <c r="I969" t="s">
        <v>59</v>
      </c>
      <c r="J969" t="s">
        <v>619</v>
      </c>
      <c r="K969" t="s">
        <v>809</v>
      </c>
      <c r="L969" t="s">
        <v>44</v>
      </c>
      <c r="M969">
        <v>10</v>
      </c>
      <c r="N969" t="s">
        <v>5420</v>
      </c>
      <c r="O969" t="b">
        <v>0</v>
      </c>
      <c r="P969" t="b">
        <v>1</v>
      </c>
      <c r="Q969" t="b">
        <v>0</v>
      </c>
      <c r="R969" t="b">
        <v>1</v>
      </c>
      <c r="S969" t="b">
        <v>0</v>
      </c>
      <c r="T969" t="b">
        <v>1</v>
      </c>
      <c r="U969" t="b">
        <v>0</v>
      </c>
      <c r="V969" t="b">
        <v>0</v>
      </c>
      <c r="W969" t="b">
        <v>1</v>
      </c>
      <c r="X969" t="b">
        <v>1</v>
      </c>
      <c r="Y969" t="b">
        <v>0</v>
      </c>
      <c r="Z969" t="b">
        <v>1</v>
      </c>
      <c r="AA969" t="b">
        <v>0</v>
      </c>
      <c r="AB969" t="s">
        <v>2402</v>
      </c>
      <c r="AC969" t="s">
        <v>8500</v>
      </c>
    </row>
    <row r="970" spans="1:29" x14ac:dyDescent="0.3">
      <c r="A970">
        <v>-73.963352619999995</v>
      </c>
      <c r="B970">
        <v>40.77668809</v>
      </c>
      <c r="C970" t="s">
        <v>1103</v>
      </c>
      <c r="D970" t="s">
        <v>33</v>
      </c>
      <c r="E970" s="58">
        <v>43386</v>
      </c>
      <c r="F970">
        <v>9</v>
      </c>
      <c r="G970" t="s">
        <v>105</v>
      </c>
      <c r="H970" t="s">
        <v>53</v>
      </c>
      <c r="I970" t="s">
        <v>148</v>
      </c>
      <c r="J970" t="s">
        <v>149</v>
      </c>
      <c r="K970" t="s">
        <v>1005</v>
      </c>
      <c r="L970" t="s">
        <v>44</v>
      </c>
      <c r="M970">
        <v>25</v>
      </c>
      <c r="N970" t="s">
        <v>6728</v>
      </c>
      <c r="O970" t="b">
        <v>1</v>
      </c>
      <c r="P970" t="b">
        <v>1</v>
      </c>
      <c r="Q970" t="b">
        <v>1</v>
      </c>
      <c r="R970" t="b">
        <v>0</v>
      </c>
      <c r="S970" t="b">
        <v>1</v>
      </c>
      <c r="T970" t="b">
        <v>0</v>
      </c>
      <c r="U970" t="b">
        <v>0</v>
      </c>
      <c r="V970" t="b">
        <v>0</v>
      </c>
      <c r="W970" t="b">
        <v>1</v>
      </c>
      <c r="X970" t="b">
        <v>0</v>
      </c>
      <c r="Y970" t="b">
        <v>1</v>
      </c>
      <c r="Z970" t="b">
        <v>1</v>
      </c>
      <c r="AA970" t="b">
        <v>0</v>
      </c>
      <c r="AB970" t="s">
        <v>75</v>
      </c>
      <c r="AC970" t="s">
        <v>8501</v>
      </c>
    </row>
    <row r="971" spans="1:29" x14ac:dyDescent="0.3">
      <c r="A971">
        <v>-73.966193070000003</v>
      </c>
      <c r="B971">
        <v>40.765833000000001</v>
      </c>
      <c r="C971" t="s">
        <v>136</v>
      </c>
      <c r="D971" t="s">
        <v>38</v>
      </c>
      <c r="E971" s="58">
        <v>43390</v>
      </c>
      <c r="F971">
        <v>22</v>
      </c>
      <c r="G971" t="s">
        <v>105</v>
      </c>
      <c r="H971" t="s">
        <v>176</v>
      </c>
      <c r="I971" t="s">
        <v>5105</v>
      </c>
      <c r="J971" t="s">
        <v>97</v>
      </c>
      <c r="K971" t="s">
        <v>2458</v>
      </c>
      <c r="L971" t="s">
        <v>44</v>
      </c>
      <c r="M971">
        <v>8</v>
      </c>
      <c r="N971" t="s">
        <v>1064</v>
      </c>
      <c r="O971" t="b">
        <v>1</v>
      </c>
      <c r="P971" t="b">
        <v>1</v>
      </c>
      <c r="Q971" t="b">
        <v>1</v>
      </c>
      <c r="R971" t="b">
        <v>1</v>
      </c>
      <c r="S971" t="b">
        <v>1</v>
      </c>
      <c r="T971" t="b">
        <v>0</v>
      </c>
      <c r="U971" t="b">
        <v>0</v>
      </c>
      <c r="V971" t="b">
        <v>0</v>
      </c>
      <c r="W971" t="b">
        <v>0</v>
      </c>
      <c r="X971" t="b">
        <v>1</v>
      </c>
      <c r="Y971" t="b">
        <v>0</v>
      </c>
      <c r="Z971" t="b">
        <v>0</v>
      </c>
      <c r="AA971" t="b">
        <v>1</v>
      </c>
      <c r="AB971" t="s">
        <v>4073</v>
      </c>
      <c r="AC971" t="s">
        <v>8502</v>
      </c>
    </row>
    <row r="972" spans="1:29" x14ac:dyDescent="0.3">
      <c r="A972">
        <v>-73.960294869999998</v>
      </c>
      <c r="B972">
        <v>40.765762410000001</v>
      </c>
      <c r="C972" t="s">
        <v>133</v>
      </c>
      <c r="D972" t="s">
        <v>33</v>
      </c>
      <c r="E972" s="58">
        <v>43381</v>
      </c>
      <c r="F972">
        <v>21</v>
      </c>
      <c r="G972" t="s">
        <v>105</v>
      </c>
      <c r="H972" t="s">
        <v>53</v>
      </c>
      <c r="I972" t="s">
        <v>96</v>
      </c>
      <c r="J972" t="s">
        <v>149</v>
      </c>
      <c r="K972" t="s">
        <v>4814</v>
      </c>
      <c r="L972" t="s">
        <v>44</v>
      </c>
      <c r="M972">
        <v>5</v>
      </c>
      <c r="N972" t="s">
        <v>6263</v>
      </c>
      <c r="O972" t="b">
        <v>0</v>
      </c>
      <c r="P972" t="b">
        <v>0</v>
      </c>
      <c r="Q972" t="b">
        <v>1</v>
      </c>
      <c r="R972" t="b">
        <v>0</v>
      </c>
      <c r="S972" t="b">
        <v>0</v>
      </c>
      <c r="T972" t="b">
        <v>0</v>
      </c>
      <c r="U972" t="b">
        <v>1</v>
      </c>
      <c r="V972" t="b">
        <v>0</v>
      </c>
      <c r="W972" t="b">
        <v>0</v>
      </c>
      <c r="X972" t="b">
        <v>0</v>
      </c>
      <c r="Y972" t="b">
        <v>1</v>
      </c>
      <c r="Z972" t="b">
        <v>0</v>
      </c>
      <c r="AA972" t="b">
        <v>0</v>
      </c>
      <c r="AB972" t="s">
        <v>3893</v>
      </c>
      <c r="AC972" t="s">
        <v>8503</v>
      </c>
    </row>
    <row r="973" spans="1:29" x14ac:dyDescent="0.3">
      <c r="A973">
        <v>-73.951707639999995</v>
      </c>
      <c r="B973">
        <v>40.794192930000001</v>
      </c>
      <c r="C973" t="s">
        <v>2573</v>
      </c>
      <c r="D973" t="s">
        <v>33</v>
      </c>
      <c r="E973" s="58">
        <v>43392</v>
      </c>
      <c r="F973">
        <v>12</v>
      </c>
      <c r="G973" t="s">
        <v>105</v>
      </c>
      <c r="H973" t="s">
        <v>42</v>
      </c>
      <c r="I973" t="s">
        <v>42</v>
      </c>
      <c r="J973" t="s">
        <v>619</v>
      </c>
      <c r="K973" t="s">
        <v>1181</v>
      </c>
      <c r="L973" t="s">
        <v>44</v>
      </c>
      <c r="M973">
        <v>12</v>
      </c>
      <c r="N973" t="s">
        <v>2332</v>
      </c>
      <c r="O973" t="b">
        <v>0</v>
      </c>
      <c r="P973" t="b">
        <v>1</v>
      </c>
      <c r="Q973" t="b">
        <v>0</v>
      </c>
      <c r="R973" t="b">
        <v>1</v>
      </c>
      <c r="S973" t="b">
        <v>1</v>
      </c>
      <c r="T973" t="b">
        <v>0</v>
      </c>
      <c r="U973" t="b">
        <v>0</v>
      </c>
      <c r="V973" t="b">
        <v>1</v>
      </c>
      <c r="W973" t="b">
        <v>0</v>
      </c>
      <c r="X973" t="b">
        <v>0</v>
      </c>
      <c r="Y973" t="b">
        <v>1</v>
      </c>
      <c r="Z973" t="b">
        <v>0</v>
      </c>
      <c r="AA973" t="b">
        <v>0</v>
      </c>
      <c r="AB973" t="s">
        <v>3832</v>
      </c>
      <c r="AC973" t="s">
        <v>8504</v>
      </c>
    </row>
    <row r="974" spans="1:29" x14ac:dyDescent="0.3">
      <c r="A974">
        <v>-73.958128849999994</v>
      </c>
      <c r="B974">
        <v>40.774524900000003</v>
      </c>
      <c r="C974" t="s">
        <v>7052</v>
      </c>
      <c r="D974" t="s">
        <v>33</v>
      </c>
      <c r="E974" s="58">
        <v>43389</v>
      </c>
      <c r="F974">
        <v>23</v>
      </c>
      <c r="G974" t="s">
        <v>48</v>
      </c>
      <c r="H974" t="s">
        <v>42</v>
      </c>
      <c r="I974" t="s">
        <v>59</v>
      </c>
      <c r="J974" t="s">
        <v>54</v>
      </c>
      <c r="K974" t="s">
        <v>700</v>
      </c>
      <c r="L974" t="s">
        <v>65</v>
      </c>
      <c r="M974" t="b">
        <v>0</v>
      </c>
      <c r="N974" t="s">
        <v>4326</v>
      </c>
      <c r="O974" t="b">
        <v>0</v>
      </c>
      <c r="P974" t="b">
        <v>1</v>
      </c>
      <c r="Q974" t="b">
        <v>0</v>
      </c>
      <c r="R974" t="b">
        <v>0</v>
      </c>
      <c r="S974" t="b">
        <v>0</v>
      </c>
      <c r="T974" t="b">
        <v>1</v>
      </c>
      <c r="U974" t="b">
        <v>0</v>
      </c>
      <c r="V974" t="b">
        <v>0</v>
      </c>
      <c r="W974" t="b">
        <v>1</v>
      </c>
      <c r="X974" t="b">
        <v>1</v>
      </c>
      <c r="Y974" t="b">
        <v>1</v>
      </c>
      <c r="Z974" t="b">
        <v>0</v>
      </c>
      <c r="AA974" t="b">
        <v>0</v>
      </c>
      <c r="AB974" t="s">
        <v>5813</v>
      </c>
      <c r="AC974" t="s">
        <v>8505</v>
      </c>
    </row>
    <row r="975" spans="1:29" x14ac:dyDescent="0.3">
      <c r="A975">
        <v>-73.974401540000002</v>
      </c>
      <c r="B975">
        <v>40.783151109999999</v>
      </c>
      <c r="C975" t="s">
        <v>1832</v>
      </c>
      <c r="D975" t="s">
        <v>38</v>
      </c>
      <c r="E975" s="58">
        <v>43390</v>
      </c>
      <c r="F975">
        <v>29</v>
      </c>
      <c r="G975" t="s">
        <v>105</v>
      </c>
      <c r="H975" t="s">
        <v>42</v>
      </c>
      <c r="I975" t="s">
        <v>148</v>
      </c>
      <c r="J975" t="s">
        <v>54</v>
      </c>
      <c r="K975" t="s">
        <v>6245</v>
      </c>
      <c r="L975" t="s">
        <v>44</v>
      </c>
      <c r="M975">
        <v>12</v>
      </c>
      <c r="N975" t="s">
        <v>5946</v>
      </c>
      <c r="O975" t="b">
        <v>1</v>
      </c>
      <c r="P975" t="b">
        <v>0</v>
      </c>
      <c r="Q975" t="b">
        <v>1</v>
      </c>
      <c r="R975" t="b">
        <v>1</v>
      </c>
      <c r="S975" t="b">
        <v>1</v>
      </c>
      <c r="T975" t="b">
        <v>0</v>
      </c>
      <c r="U975" t="b">
        <v>1</v>
      </c>
      <c r="V975" t="b">
        <v>1</v>
      </c>
      <c r="W975" t="b">
        <v>1</v>
      </c>
      <c r="X975" t="b">
        <v>0</v>
      </c>
      <c r="Y975" t="b">
        <v>1</v>
      </c>
      <c r="Z975" t="b">
        <v>0</v>
      </c>
      <c r="AA975" t="b">
        <v>0</v>
      </c>
      <c r="AB975" t="s">
        <v>2392</v>
      </c>
      <c r="AC975" t="s">
        <v>8506</v>
      </c>
    </row>
    <row r="976" spans="1:29" x14ac:dyDescent="0.3">
      <c r="A976">
        <v>-73.980178280000004</v>
      </c>
      <c r="B976">
        <v>40.775428150000003</v>
      </c>
      <c r="C976" t="s">
        <v>985</v>
      </c>
      <c r="D976" t="s">
        <v>38</v>
      </c>
      <c r="E976" s="58">
        <v>43390</v>
      </c>
      <c r="F976">
        <v>1</v>
      </c>
      <c r="G976" t="s">
        <v>105</v>
      </c>
      <c r="H976" t="s">
        <v>42</v>
      </c>
      <c r="I976" t="s">
        <v>737</v>
      </c>
      <c r="J976" t="s">
        <v>34</v>
      </c>
      <c r="K976" t="s">
        <v>2169</v>
      </c>
      <c r="L976" t="s">
        <v>65</v>
      </c>
      <c r="M976" t="b">
        <v>0</v>
      </c>
      <c r="N976" t="s">
        <v>1871</v>
      </c>
      <c r="O976" t="b">
        <v>1</v>
      </c>
      <c r="P976" t="b">
        <v>1</v>
      </c>
      <c r="Q976" t="b">
        <v>1</v>
      </c>
      <c r="R976" t="b">
        <v>0</v>
      </c>
      <c r="S976" t="b">
        <v>1</v>
      </c>
      <c r="T976" t="b">
        <v>1</v>
      </c>
      <c r="U976" t="b">
        <v>0</v>
      </c>
      <c r="V976" t="b">
        <v>1</v>
      </c>
      <c r="W976" t="b">
        <v>1</v>
      </c>
      <c r="X976" t="b">
        <v>0</v>
      </c>
      <c r="Y976" t="b">
        <v>0</v>
      </c>
      <c r="Z976" t="b">
        <v>0</v>
      </c>
      <c r="AA976" t="b">
        <v>1</v>
      </c>
      <c r="AB976" t="s">
        <v>7171</v>
      </c>
      <c r="AC976" t="s">
        <v>8507</v>
      </c>
    </row>
    <row r="977" spans="1:29" x14ac:dyDescent="0.3">
      <c r="A977">
        <v>-73.972913829999996</v>
      </c>
      <c r="B977">
        <v>40.798029960000001</v>
      </c>
      <c r="C977" t="s">
        <v>314</v>
      </c>
      <c r="D977" t="s">
        <v>38</v>
      </c>
      <c r="E977" s="58">
        <v>43390</v>
      </c>
      <c r="F977">
        <v>11</v>
      </c>
      <c r="G977" t="s">
        <v>48</v>
      </c>
      <c r="H977" t="s">
        <v>42</v>
      </c>
      <c r="I977" t="s">
        <v>148</v>
      </c>
      <c r="J977" t="s">
        <v>3580</v>
      </c>
      <c r="K977" t="s">
        <v>2169</v>
      </c>
      <c r="L977" t="s">
        <v>65</v>
      </c>
      <c r="M977" t="b">
        <v>0</v>
      </c>
      <c r="N977" t="s">
        <v>524</v>
      </c>
      <c r="O977" t="b">
        <v>0</v>
      </c>
      <c r="P977" t="b">
        <v>0</v>
      </c>
      <c r="Q977" t="b">
        <v>1</v>
      </c>
      <c r="R977" t="b">
        <v>1</v>
      </c>
      <c r="S977" t="b">
        <v>1</v>
      </c>
      <c r="T977" t="b">
        <v>1</v>
      </c>
      <c r="U977" t="b">
        <v>0</v>
      </c>
      <c r="V977" t="b">
        <v>0</v>
      </c>
      <c r="W977" t="b">
        <v>1</v>
      </c>
      <c r="X977" t="b">
        <v>1</v>
      </c>
      <c r="Y977" t="b">
        <v>1</v>
      </c>
      <c r="Z977" t="b">
        <v>0</v>
      </c>
      <c r="AA977" t="b">
        <v>0</v>
      </c>
      <c r="AB977" t="s">
        <v>6161</v>
      </c>
      <c r="AC977" t="s">
        <v>8508</v>
      </c>
    </row>
    <row r="978" spans="1:29" x14ac:dyDescent="0.3">
      <c r="A978">
        <v>-73.962451229999999</v>
      </c>
      <c r="B978">
        <v>40.774039950000002</v>
      </c>
      <c r="C978" t="s">
        <v>3637</v>
      </c>
      <c r="D978" t="s">
        <v>33</v>
      </c>
      <c r="E978" s="58">
        <v>43385</v>
      </c>
      <c r="F978">
        <v>30</v>
      </c>
      <c r="G978" t="s">
        <v>3842</v>
      </c>
      <c r="H978" t="s">
        <v>176</v>
      </c>
      <c r="I978" t="s">
        <v>1921</v>
      </c>
      <c r="J978" t="s">
        <v>3228</v>
      </c>
      <c r="K978" t="s">
        <v>2927</v>
      </c>
      <c r="L978" t="s">
        <v>65</v>
      </c>
      <c r="M978" t="b">
        <v>0</v>
      </c>
      <c r="N978" t="s">
        <v>6273</v>
      </c>
      <c r="O978" t="b">
        <v>1</v>
      </c>
      <c r="P978" t="b">
        <v>0</v>
      </c>
      <c r="Q978" t="b">
        <v>1</v>
      </c>
      <c r="R978" t="b">
        <v>1</v>
      </c>
      <c r="S978" t="b">
        <v>0</v>
      </c>
      <c r="T978" t="b">
        <v>0</v>
      </c>
      <c r="U978" t="b">
        <v>0</v>
      </c>
      <c r="V978" t="b">
        <v>1</v>
      </c>
      <c r="W978" t="b">
        <v>1</v>
      </c>
      <c r="X978" t="b">
        <v>1</v>
      </c>
      <c r="Y978" t="b">
        <v>1</v>
      </c>
      <c r="Z978" t="b">
        <v>0</v>
      </c>
      <c r="AA978" t="b">
        <v>1</v>
      </c>
      <c r="AB978" t="s">
        <v>499</v>
      </c>
      <c r="AC978" t="s">
        <v>8509</v>
      </c>
    </row>
    <row r="979" spans="1:29" x14ac:dyDescent="0.3">
      <c r="A979">
        <v>-73.979541920000003</v>
      </c>
      <c r="B979">
        <v>40.780037960000001</v>
      </c>
      <c r="C979" t="s">
        <v>228</v>
      </c>
      <c r="D979" t="s">
        <v>33</v>
      </c>
      <c r="E979" s="58">
        <v>43388</v>
      </c>
      <c r="F979">
        <v>21</v>
      </c>
      <c r="G979" t="s">
        <v>3842</v>
      </c>
      <c r="H979" t="s">
        <v>176</v>
      </c>
      <c r="I979" t="s">
        <v>115</v>
      </c>
      <c r="J979" t="s">
        <v>43</v>
      </c>
      <c r="K979" t="s">
        <v>3028</v>
      </c>
      <c r="L979" t="s">
        <v>44</v>
      </c>
      <c r="M979">
        <v>10</v>
      </c>
      <c r="N979" t="s">
        <v>3066</v>
      </c>
      <c r="O979" t="b">
        <v>1</v>
      </c>
      <c r="P979" t="b">
        <v>1</v>
      </c>
      <c r="Q979" t="b">
        <v>1</v>
      </c>
      <c r="R979" t="b">
        <v>1</v>
      </c>
      <c r="S979" t="b">
        <v>1</v>
      </c>
      <c r="T979" t="b">
        <v>1</v>
      </c>
      <c r="U979" t="b">
        <v>0</v>
      </c>
      <c r="V979" t="b">
        <v>0</v>
      </c>
      <c r="W979" t="b">
        <v>1</v>
      </c>
      <c r="X979" t="b">
        <v>1</v>
      </c>
      <c r="Y979" t="b">
        <v>0</v>
      </c>
      <c r="Z979" t="b">
        <v>1</v>
      </c>
      <c r="AA979" t="b">
        <v>0</v>
      </c>
      <c r="AB979" t="s">
        <v>7278</v>
      </c>
      <c r="AC979" t="s">
        <v>8510</v>
      </c>
    </row>
    <row r="980" spans="1:29" x14ac:dyDescent="0.3">
      <c r="A980">
        <v>-73.965554409999996</v>
      </c>
      <c r="B980">
        <v>40.795637620000001</v>
      </c>
      <c r="C980" t="s">
        <v>936</v>
      </c>
      <c r="D980" t="s">
        <v>33</v>
      </c>
      <c r="E980" s="58">
        <v>43391</v>
      </c>
      <c r="F980">
        <v>15</v>
      </c>
      <c r="G980" t="s">
        <v>48</v>
      </c>
      <c r="H980" t="s">
        <v>42</v>
      </c>
      <c r="I980" t="s">
        <v>59</v>
      </c>
      <c r="J980" t="s">
        <v>54</v>
      </c>
      <c r="K980" t="s">
        <v>5180</v>
      </c>
      <c r="L980" t="s">
        <v>44</v>
      </c>
      <c r="M980">
        <v>40</v>
      </c>
      <c r="N980" t="s">
        <v>1311</v>
      </c>
      <c r="O980" t="b">
        <v>1</v>
      </c>
      <c r="P980" t="b">
        <v>1</v>
      </c>
      <c r="Q980" t="b">
        <v>1</v>
      </c>
      <c r="R980" t="b">
        <v>1</v>
      </c>
      <c r="S980" t="b">
        <v>0</v>
      </c>
      <c r="T980" t="b">
        <v>0</v>
      </c>
      <c r="U980" t="b">
        <v>1</v>
      </c>
      <c r="V980" t="b">
        <v>1</v>
      </c>
      <c r="W980" t="b">
        <v>0</v>
      </c>
      <c r="X980" t="b">
        <v>0</v>
      </c>
      <c r="Y980" t="b">
        <v>1</v>
      </c>
      <c r="Z980" t="b">
        <v>1</v>
      </c>
      <c r="AA980" t="b">
        <v>1</v>
      </c>
      <c r="AB980" t="s">
        <v>5188</v>
      </c>
      <c r="AC980" t="s">
        <v>8511</v>
      </c>
    </row>
    <row r="981" spans="1:29" x14ac:dyDescent="0.3">
      <c r="A981">
        <v>-73.962395740000005</v>
      </c>
      <c r="B981">
        <v>40.79455334</v>
      </c>
      <c r="C981" t="s">
        <v>239</v>
      </c>
      <c r="D981" t="s">
        <v>33</v>
      </c>
      <c r="E981" s="58">
        <v>43389</v>
      </c>
      <c r="F981">
        <v>2</v>
      </c>
      <c r="G981" t="s">
        <v>3842</v>
      </c>
      <c r="H981" t="s">
        <v>53</v>
      </c>
      <c r="I981" t="s">
        <v>737</v>
      </c>
      <c r="J981" t="s">
        <v>738</v>
      </c>
      <c r="K981" t="s">
        <v>6623</v>
      </c>
      <c r="L981" t="s">
        <v>44</v>
      </c>
      <c r="M981">
        <v>2</v>
      </c>
      <c r="N981" t="s">
        <v>6452</v>
      </c>
      <c r="O981" t="b">
        <v>1</v>
      </c>
      <c r="P981" t="b">
        <v>0</v>
      </c>
      <c r="Q981" t="b">
        <v>1</v>
      </c>
      <c r="R981" t="b">
        <v>0</v>
      </c>
      <c r="S981" t="b">
        <v>1</v>
      </c>
      <c r="T981" t="b">
        <v>1</v>
      </c>
      <c r="U981" t="b">
        <v>1</v>
      </c>
      <c r="V981" t="b">
        <v>1</v>
      </c>
      <c r="W981" t="b">
        <v>0</v>
      </c>
      <c r="X981" t="b">
        <v>1</v>
      </c>
      <c r="Y981" t="b">
        <v>0</v>
      </c>
      <c r="Z981" t="b">
        <v>0</v>
      </c>
      <c r="AA981" t="b">
        <v>0</v>
      </c>
      <c r="AB981" t="s">
        <v>1854</v>
      </c>
      <c r="AC981" t="s">
        <v>8512</v>
      </c>
    </row>
    <row r="982" spans="1:29" x14ac:dyDescent="0.3">
      <c r="A982">
        <v>-73.970651020000005</v>
      </c>
      <c r="B982">
        <v>40.771462900000003</v>
      </c>
      <c r="C982" t="s">
        <v>486</v>
      </c>
      <c r="D982" t="s">
        <v>38</v>
      </c>
      <c r="E982" s="58">
        <v>43386</v>
      </c>
      <c r="F982">
        <v>20</v>
      </c>
      <c r="G982" t="s">
        <v>48</v>
      </c>
      <c r="H982" t="s">
        <v>42</v>
      </c>
      <c r="I982" t="s">
        <v>1921</v>
      </c>
      <c r="J982" t="s">
        <v>89</v>
      </c>
      <c r="K982" t="s">
        <v>5038</v>
      </c>
      <c r="L982" t="s">
        <v>44</v>
      </c>
      <c r="M982">
        <v>8</v>
      </c>
      <c r="N982" t="s">
        <v>1627</v>
      </c>
      <c r="O982" t="b">
        <v>0</v>
      </c>
      <c r="P982" t="b">
        <v>1</v>
      </c>
      <c r="Q982" t="b">
        <v>1</v>
      </c>
      <c r="R982" t="b">
        <v>1</v>
      </c>
      <c r="S982" t="b">
        <v>1</v>
      </c>
      <c r="T982" t="b">
        <v>1</v>
      </c>
      <c r="U982" t="b">
        <v>0</v>
      </c>
      <c r="V982" t="b">
        <v>0</v>
      </c>
      <c r="W982" t="b">
        <v>1</v>
      </c>
      <c r="X982" t="b">
        <v>1</v>
      </c>
      <c r="Y982" t="b">
        <v>0</v>
      </c>
      <c r="Z982" t="b">
        <v>1</v>
      </c>
      <c r="AA982" t="b">
        <v>0</v>
      </c>
      <c r="AB982" t="s">
        <v>5410</v>
      </c>
      <c r="AC982" t="s">
        <v>8513</v>
      </c>
    </row>
    <row r="983" spans="1:29" x14ac:dyDescent="0.3">
      <c r="A983">
        <v>-73.956923560000007</v>
      </c>
      <c r="B983">
        <v>40.793170009999997</v>
      </c>
      <c r="C983" t="s">
        <v>1240</v>
      </c>
      <c r="D983" t="s">
        <v>33</v>
      </c>
      <c r="E983" s="58">
        <v>43393</v>
      </c>
      <c r="F983">
        <v>7</v>
      </c>
      <c r="G983" t="s">
        <v>105</v>
      </c>
      <c r="H983" t="s">
        <v>176</v>
      </c>
      <c r="I983" t="s">
        <v>5105</v>
      </c>
      <c r="J983" t="s">
        <v>619</v>
      </c>
      <c r="K983" t="s">
        <v>3859</v>
      </c>
      <c r="L983" t="s">
        <v>44</v>
      </c>
      <c r="M983">
        <v>6</v>
      </c>
      <c r="N983" t="s">
        <v>140</v>
      </c>
      <c r="O983" t="b">
        <v>0</v>
      </c>
      <c r="P983" t="b">
        <v>1</v>
      </c>
      <c r="Q983" t="b">
        <v>1</v>
      </c>
      <c r="R983" t="b">
        <v>1</v>
      </c>
      <c r="S983" t="b">
        <v>1</v>
      </c>
      <c r="T983" t="b">
        <v>0</v>
      </c>
      <c r="U983" t="b">
        <v>0</v>
      </c>
      <c r="V983" t="b">
        <v>0</v>
      </c>
      <c r="W983" t="b">
        <v>1</v>
      </c>
      <c r="X983" t="b">
        <v>1</v>
      </c>
      <c r="Y983" t="b">
        <v>0</v>
      </c>
      <c r="Z983" t="b">
        <v>0</v>
      </c>
      <c r="AA983" t="b">
        <v>1</v>
      </c>
      <c r="AB983" t="s">
        <v>3827</v>
      </c>
      <c r="AC983" t="s">
        <v>8514</v>
      </c>
    </row>
    <row r="984" spans="1:29" x14ac:dyDescent="0.3">
      <c r="A984">
        <v>-73.977807470000002</v>
      </c>
      <c r="B984">
        <v>40.78104244</v>
      </c>
      <c r="C984" t="s">
        <v>1035</v>
      </c>
      <c r="D984" t="s">
        <v>33</v>
      </c>
      <c r="E984" s="58">
        <v>43391</v>
      </c>
      <c r="F984">
        <v>21</v>
      </c>
      <c r="G984" t="s">
        <v>105</v>
      </c>
      <c r="H984" t="s">
        <v>42</v>
      </c>
      <c r="I984" t="s">
        <v>96</v>
      </c>
      <c r="J984" t="s">
        <v>3580</v>
      </c>
      <c r="K984" t="s">
        <v>4020</v>
      </c>
      <c r="L984" t="s">
        <v>44</v>
      </c>
      <c r="M984">
        <v>8</v>
      </c>
      <c r="N984" t="s">
        <v>1359</v>
      </c>
      <c r="O984" t="b">
        <v>1</v>
      </c>
      <c r="P984" t="b">
        <v>1</v>
      </c>
      <c r="Q984" t="b">
        <v>1</v>
      </c>
      <c r="R984" t="b">
        <v>0</v>
      </c>
      <c r="S984" t="b">
        <v>0</v>
      </c>
      <c r="T984" t="b">
        <v>0</v>
      </c>
      <c r="U984" t="b">
        <v>0</v>
      </c>
      <c r="V984" t="b">
        <v>1</v>
      </c>
      <c r="W984" t="b">
        <v>1</v>
      </c>
      <c r="X984" t="b">
        <v>0</v>
      </c>
      <c r="Y984" t="b">
        <v>0</v>
      </c>
      <c r="Z984" t="b">
        <v>1</v>
      </c>
      <c r="AA984" t="b">
        <v>0</v>
      </c>
      <c r="AB984" t="s">
        <v>5356</v>
      </c>
      <c r="AC984" t="s">
        <v>8515</v>
      </c>
    </row>
    <row r="985" spans="1:29" x14ac:dyDescent="0.3">
      <c r="A985">
        <v>-73.978796489999993</v>
      </c>
      <c r="B985">
        <v>40.781914960000002</v>
      </c>
      <c r="C985" t="s">
        <v>268</v>
      </c>
      <c r="D985" t="s">
        <v>33</v>
      </c>
      <c r="E985" s="58">
        <v>43391</v>
      </c>
      <c r="F985">
        <v>12</v>
      </c>
      <c r="G985" t="s">
        <v>3842</v>
      </c>
      <c r="H985" t="s">
        <v>176</v>
      </c>
      <c r="I985" t="s">
        <v>148</v>
      </c>
      <c r="J985" t="s">
        <v>34</v>
      </c>
      <c r="K985" t="s">
        <v>4237</v>
      </c>
      <c r="L985" t="s">
        <v>44</v>
      </c>
      <c r="M985">
        <v>25</v>
      </c>
      <c r="N985" t="s">
        <v>5371</v>
      </c>
      <c r="O985" t="b">
        <v>0</v>
      </c>
      <c r="P985" t="b">
        <v>1</v>
      </c>
      <c r="Q985" t="b">
        <v>1</v>
      </c>
      <c r="R985" t="b">
        <v>1</v>
      </c>
      <c r="S985" t="b">
        <v>0</v>
      </c>
      <c r="T985" t="b">
        <v>1</v>
      </c>
      <c r="U985" t="b">
        <v>0</v>
      </c>
      <c r="V985" t="b">
        <v>0</v>
      </c>
      <c r="W985" t="b">
        <v>0</v>
      </c>
      <c r="X985" t="b">
        <v>1</v>
      </c>
      <c r="Y985" t="b">
        <v>1</v>
      </c>
      <c r="Z985" t="b">
        <v>1</v>
      </c>
      <c r="AA985" t="b">
        <v>0</v>
      </c>
      <c r="AB985" t="s">
        <v>2795</v>
      </c>
      <c r="AC985" t="s">
        <v>8516</v>
      </c>
    </row>
    <row r="986" spans="1:29" x14ac:dyDescent="0.3">
      <c r="A986">
        <v>-73.958266649999999</v>
      </c>
      <c r="B986">
        <v>40.769610210000003</v>
      </c>
      <c r="C986" t="s">
        <v>221</v>
      </c>
      <c r="D986" t="s">
        <v>38</v>
      </c>
      <c r="E986" s="58">
        <v>43384</v>
      </c>
      <c r="F986">
        <v>22</v>
      </c>
      <c r="G986" t="s">
        <v>105</v>
      </c>
      <c r="H986" t="s">
        <v>176</v>
      </c>
      <c r="I986" t="s">
        <v>5105</v>
      </c>
      <c r="J986" t="s">
        <v>3228</v>
      </c>
      <c r="K986" t="s">
        <v>3758</v>
      </c>
      <c r="L986" t="s">
        <v>44</v>
      </c>
      <c r="M986">
        <v>12</v>
      </c>
      <c r="N986" t="s">
        <v>5123</v>
      </c>
      <c r="O986" t="b">
        <v>1</v>
      </c>
      <c r="P986" t="b">
        <v>0</v>
      </c>
      <c r="Q986" t="b">
        <v>1</v>
      </c>
      <c r="R986" t="b">
        <v>0</v>
      </c>
      <c r="S986" t="b">
        <v>0</v>
      </c>
      <c r="T986" t="b">
        <v>0</v>
      </c>
      <c r="U986" t="b">
        <v>1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1</v>
      </c>
      <c r="AB986" t="s">
        <v>1146</v>
      </c>
      <c r="AC986" t="s">
        <v>8517</v>
      </c>
    </row>
    <row r="987" spans="1:29" x14ac:dyDescent="0.3">
      <c r="A987">
        <v>-73.965581909999997</v>
      </c>
      <c r="B987">
        <v>40.767748470000001</v>
      </c>
      <c r="C987" t="s">
        <v>844</v>
      </c>
      <c r="D987" t="s">
        <v>33</v>
      </c>
      <c r="E987" s="58">
        <v>43390</v>
      </c>
      <c r="F987">
        <v>18</v>
      </c>
      <c r="G987" t="s">
        <v>3842</v>
      </c>
      <c r="H987" t="s">
        <v>42</v>
      </c>
      <c r="I987" t="s">
        <v>737</v>
      </c>
      <c r="J987" t="s">
        <v>2942</v>
      </c>
      <c r="K987" t="s">
        <v>4123</v>
      </c>
      <c r="L987" t="s">
        <v>44</v>
      </c>
      <c r="M987">
        <v>3</v>
      </c>
      <c r="N987" t="s">
        <v>6557</v>
      </c>
      <c r="O987" t="b">
        <v>1</v>
      </c>
      <c r="P987" t="b">
        <v>0</v>
      </c>
      <c r="Q987" t="b">
        <v>0</v>
      </c>
      <c r="R987" t="b">
        <v>0</v>
      </c>
      <c r="S987" t="b">
        <v>0</v>
      </c>
      <c r="T987" t="b">
        <v>1</v>
      </c>
      <c r="U987" t="b">
        <v>1</v>
      </c>
      <c r="V987" t="b">
        <v>1</v>
      </c>
      <c r="W987" t="b">
        <v>0</v>
      </c>
      <c r="X987" t="b">
        <v>0</v>
      </c>
      <c r="Y987" t="b">
        <v>1</v>
      </c>
      <c r="Z987" t="b">
        <v>1</v>
      </c>
      <c r="AA987" t="b">
        <v>0</v>
      </c>
      <c r="AB987" t="s">
        <v>2742</v>
      </c>
      <c r="AC987" t="s">
        <v>8518</v>
      </c>
    </row>
    <row r="988" spans="1:29" x14ac:dyDescent="0.3">
      <c r="A988">
        <v>-73.959517399999996</v>
      </c>
      <c r="B988">
        <v>40.790539850000002</v>
      </c>
      <c r="C988" t="s">
        <v>933</v>
      </c>
      <c r="D988" t="s">
        <v>33</v>
      </c>
      <c r="E988" s="58">
        <v>43388</v>
      </c>
      <c r="F988">
        <v>3</v>
      </c>
      <c r="G988" t="s">
        <v>3842</v>
      </c>
      <c r="H988" t="s">
        <v>42</v>
      </c>
      <c r="I988" t="s">
        <v>1921</v>
      </c>
      <c r="J988" t="s">
        <v>34</v>
      </c>
      <c r="K988" t="s">
        <v>6367</v>
      </c>
      <c r="L988" t="s">
        <v>44</v>
      </c>
      <c r="M988">
        <v>30</v>
      </c>
      <c r="N988" t="s">
        <v>373</v>
      </c>
      <c r="O988" t="b">
        <v>0</v>
      </c>
      <c r="P988" t="b">
        <v>1</v>
      </c>
      <c r="Q988" t="b">
        <v>1</v>
      </c>
      <c r="R988" t="b">
        <v>1</v>
      </c>
      <c r="S988" t="b">
        <v>0</v>
      </c>
      <c r="T988" t="b">
        <v>0</v>
      </c>
      <c r="U988" t="b">
        <v>1</v>
      </c>
      <c r="V988" t="b">
        <v>1</v>
      </c>
      <c r="W988" t="b">
        <v>0</v>
      </c>
      <c r="X988" t="b">
        <v>1</v>
      </c>
      <c r="Y988" t="b">
        <v>1</v>
      </c>
      <c r="Z988" t="b">
        <v>0</v>
      </c>
      <c r="AA988" t="b">
        <v>0</v>
      </c>
      <c r="AB988" t="s">
        <v>4181</v>
      </c>
      <c r="AC988" t="s">
        <v>8519</v>
      </c>
    </row>
    <row r="989" spans="1:29" x14ac:dyDescent="0.3">
      <c r="A989">
        <v>-73.967488990000007</v>
      </c>
      <c r="B989">
        <v>40.782389999999999</v>
      </c>
      <c r="C989" t="s">
        <v>1439</v>
      </c>
      <c r="D989" t="s">
        <v>33</v>
      </c>
      <c r="E989" s="58">
        <v>43392</v>
      </c>
      <c r="F989">
        <v>7</v>
      </c>
      <c r="G989" t="s">
        <v>105</v>
      </c>
      <c r="H989" t="s">
        <v>53</v>
      </c>
      <c r="I989" t="s">
        <v>115</v>
      </c>
      <c r="J989" t="s">
        <v>3580</v>
      </c>
      <c r="K989" t="s">
        <v>531</v>
      </c>
      <c r="L989" t="s">
        <v>65</v>
      </c>
      <c r="M989" t="b">
        <v>0</v>
      </c>
      <c r="N989" t="s">
        <v>1763</v>
      </c>
      <c r="O989" t="b">
        <v>0</v>
      </c>
      <c r="P989" t="b">
        <v>0</v>
      </c>
      <c r="Q989" t="b">
        <v>0</v>
      </c>
      <c r="R989" t="b">
        <v>1</v>
      </c>
      <c r="S989" t="b">
        <v>1</v>
      </c>
      <c r="T989" t="b">
        <v>1</v>
      </c>
      <c r="U989" t="b">
        <v>0</v>
      </c>
      <c r="V989" t="b">
        <v>1</v>
      </c>
      <c r="W989" t="b">
        <v>1</v>
      </c>
      <c r="X989" t="b">
        <v>0</v>
      </c>
      <c r="Y989" t="b">
        <v>0</v>
      </c>
      <c r="Z989" t="b">
        <v>0</v>
      </c>
      <c r="AA989" t="b">
        <v>0</v>
      </c>
      <c r="AB989" t="s">
        <v>2748</v>
      </c>
      <c r="AC989" t="s">
        <v>8520</v>
      </c>
    </row>
    <row r="990" spans="1:29" x14ac:dyDescent="0.3">
      <c r="A990">
        <v>-73.973412490000001</v>
      </c>
      <c r="B990">
        <v>40.780291239999997</v>
      </c>
      <c r="C990" t="s">
        <v>2053</v>
      </c>
      <c r="D990" t="s">
        <v>33</v>
      </c>
      <c r="E990" s="58">
        <v>43387</v>
      </c>
      <c r="F990">
        <v>11</v>
      </c>
      <c r="G990" t="s">
        <v>105</v>
      </c>
      <c r="H990" t="s">
        <v>176</v>
      </c>
      <c r="I990" t="s">
        <v>148</v>
      </c>
      <c r="J990" t="s">
        <v>5106</v>
      </c>
      <c r="K990" t="s">
        <v>4069</v>
      </c>
      <c r="L990" t="s">
        <v>44</v>
      </c>
      <c r="M990">
        <v>40</v>
      </c>
      <c r="N990" t="s">
        <v>4757</v>
      </c>
      <c r="O990" t="b">
        <v>1</v>
      </c>
      <c r="P990" t="b">
        <v>1</v>
      </c>
      <c r="Q990" t="b">
        <v>0</v>
      </c>
      <c r="R990" t="b">
        <v>0</v>
      </c>
      <c r="S990" t="b">
        <v>1</v>
      </c>
      <c r="T990" t="b">
        <v>1</v>
      </c>
      <c r="U990" t="b">
        <v>0</v>
      </c>
      <c r="V990" t="b">
        <v>0</v>
      </c>
      <c r="W990" t="b">
        <v>0</v>
      </c>
      <c r="X990" t="b">
        <v>0</v>
      </c>
      <c r="Y990" t="b">
        <v>1</v>
      </c>
      <c r="Z990" t="b">
        <v>1</v>
      </c>
      <c r="AA990" t="b">
        <v>0</v>
      </c>
      <c r="AB990" t="s">
        <v>836</v>
      </c>
      <c r="AC990" t="s">
        <v>8521</v>
      </c>
    </row>
    <row r="991" spans="1:29" x14ac:dyDescent="0.3">
      <c r="A991">
        <v>-73.955408610000006</v>
      </c>
      <c r="B991">
        <v>40.790595080000003</v>
      </c>
      <c r="C991" t="s">
        <v>1431</v>
      </c>
      <c r="D991" t="s">
        <v>33</v>
      </c>
      <c r="E991" s="58">
        <v>43385</v>
      </c>
      <c r="F991">
        <v>18</v>
      </c>
      <c r="G991" t="s">
        <v>3842</v>
      </c>
      <c r="H991" t="s">
        <v>53</v>
      </c>
      <c r="I991" t="s">
        <v>96</v>
      </c>
      <c r="J991" t="s">
        <v>43</v>
      </c>
      <c r="K991" t="s">
        <v>4594</v>
      </c>
      <c r="L991" t="s">
        <v>44</v>
      </c>
      <c r="M991">
        <v>20</v>
      </c>
      <c r="N991" t="s">
        <v>3632</v>
      </c>
      <c r="O991" t="b">
        <v>1</v>
      </c>
      <c r="P991" t="b">
        <v>1</v>
      </c>
      <c r="Q991" t="b">
        <v>0</v>
      </c>
      <c r="R991" t="b">
        <v>1</v>
      </c>
      <c r="S991" t="b">
        <v>0</v>
      </c>
      <c r="T991" t="b">
        <v>1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s">
        <v>4495</v>
      </c>
      <c r="AC991" t="s">
        <v>8522</v>
      </c>
    </row>
    <row r="992" spans="1:29" x14ac:dyDescent="0.3">
      <c r="A992">
        <v>-73.956027489999997</v>
      </c>
      <c r="B992">
        <v>40.791862729999998</v>
      </c>
      <c r="C992" t="s">
        <v>52</v>
      </c>
      <c r="D992" t="s">
        <v>38</v>
      </c>
      <c r="E992" s="58">
        <v>43393</v>
      </c>
      <c r="F992">
        <v>12</v>
      </c>
      <c r="G992" t="s">
        <v>105</v>
      </c>
      <c r="H992" t="s">
        <v>42</v>
      </c>
      <c r="I992" t="s">
        <v>115</v>
      </c>
      <c r="J992" t="s">
        <v>738</v>
      </c>
      <c r="K992" t="s">
        <v>150</v>
      </c>
      <c r="L992" t="s">
        <v>44</v>
      </c>
      <c r="M992">
        <v>5</v>
      </c>
      <c r="N992" t="s">
        <v>6098</v>
      </c>
      <c r="O992" t="b">
        <v>1</v>
      </c>
      <c r="P992" t="b">
        <v>1</v>
      </c>
      <c r="Q992" t="b">
        <v>1</v>
      </c>
      <c r="R992" t="b">
        <v>0</v>
      </c>
      <c r="S992" t="b">
        <v>0</v>
      </c>
      <c r="T992" t="b">
        <v>1</v>
      </c>
      <c r="U992" t="b">
        <v>1</v>
      </c>
      <c r="V992" t="b">
        <v>0</v>
      </c>
      <c r="W992" t="b">
        <v>1</v>
      </c>
      <c r="X992" t="b">
        <v>0</v>
      </c>
      <c r="Y992" t="b">
        <v>1</v>
      </c>
      <c r="Z992" t="b">
        <v>1</v>
      </c>
      <c r="AA992" t="b">
        <v>1</v>
      </c>
      <c r="AB992" t="s">
        <v>1073</v>
      </c>
      <c r="AC992" t="s">
        <v>8523</v>
      </c>
    </row>
    <row r="993" spans="1:29" x14ac:dyDescent="0.3">
      <c r="A993">
        <v>-73.959319539999996</v>
      </c>
      <c r="B993">
        <v>40.770505479999997</v>
      </c>
      <c r="C993" t="s">
        <v>398</v>
      </c>
      <c r="D993" t="s">
        <v>33</v>
      </c>
      <c r="E993" s="58">
        <v>43388</v>
      </c>
      <c r="F993">
        <v>6</v>
      </c>
      <c r="G993" t="s">
        <v>48</v>
      </c>
      <c r="H993" t="s">
        <v>176</v>
      </c>
      <c r="I993" t="s">
        <v>176</v>
      </c>
      <c r="J993" t="s">
        <v>705</v>
      </c>
      <c r="K993" t="s">
        <v>3050</v>
      </c>
      <c r="L993" t="s">
        <v>65</v>
      </c>
      <c r="M993" t="b">
        <v>0</v>
      </c>
      <c r="N993" t="s">
        <v>2737</v>
      </c>
      <c r="O993" t="b">
        <v>1</v>
      </c>
      <c r="P993" t="b">
        <v>1</v>
      </c>
      <c r="Q993" t="b">
        <v>0</v>
      </c>
      <c r="R993" t="b">
        <v>1</v>
      </c>
      <c r="S993" t="b">
        <v>0</v>
      </c>
      <c r="T993" t="b">
        <v>1</v>
      </c>
      <c r="U993" t="b">
        <v>1</v>
      </c>
      <c r="V993" t="b">
        <v>1</v>
      </c>
      <c r="W993" t="b">
        <v>1</v>
      </c>
      <c r="X993" t="b">
        <v>0</v>
      </c>
      <c r="Y993" t="b">
        <v>1</v>
      </c>
      <c r="Z993" t="b">
        <v>1</v>
      </c>
      <c r="AA993" t="b">
        <v>1</v>
      </c>
      <c r="AB993" t="s">
        <v>4117</v>
      </c>
      <c r="AC993" t="s">
        <v>8524</v>
      </c>
    </row>
    <row r="994" spans="1:29" x14ac:dyDescent="0.3">
      <c r="A994">
        <v>-73.972603199999995</v>
      </c>
      <c r="B994">
        <v>40.786395380000002</v>
      </c>
      <c r="C994" t="s">
        <v>2803</v>
      </c>
      <c r="D994" t="s">
        <v>33</v>
      </c>
      <c r="E994" s="58">
        <v>43383</v>
      </c>
      <c r="F994">
        <v>5</v>
      </c>
      <c r="G994" t="s">
        <v>105</v>
      </c>
      <c r="H994" t="s">
        <v>53</v>
      </c>
      <c r="I994" t="s">
        <v>1921</v>
      </c>
      <c r="J994" t="s">
        <v>2942</v>
      </c>
      <c r="K994" t="s">
        <v>4020</v>
      </c>
      <c r="L994" t="s">
        <v>44</v>
      </c>
      <c r="M994">
        <v>5</v>
      </c>
      <c r="N994" t="s">
        <v>6098</v>
      </c>
      <c r="O994" t="b">
        <v>0</v>
      </c>
      <c r="P994" t="b">
        <v>0</v>
      </c>
      <c r="Q994" t="b">
        <v>1</v>
      </c>
      <c r="R994" t="b">
        <v>1</v>
      </c>
      <c r="S994" t="b">
        <v>0</v>
      </c>
      <c r="T994" t="b">
        <v>0</v>
      </c>
      <c r="U994" t="b">
        <v>1</v>
      </c>
      <c r="V994" t="b">
        <v>0</v>
      </c>
      <c r="W994" t="b">
        <v>1</v>
      </c>
      <c r="X994" t="b">
        <v>1</v>
      </c>
      <c r="Y994" t="b">
        <v>1</v>
      </c>
      <c r="Z994" t="b">
        <v>0</v>
      </c>
      <c r="AA994" t="b">
        <v>0</v>
      </c>
      <c r="AB994" t="s">
        <v>5150</v>
      </c>
      <c r="AC994" t="s">
        <v>8525</v>
      </c>
    </row>
    <row r="995" spans="1:29" x14ac:dyDescent="0.3">
      <c r="A995">
        <v>-73.962603610000002</v>
      </c>
      <c r="B995">
        <v>40.769676189999998</v>
      </c>
      <c r="C995" t="s">
        <v>1544</v>
      </c>
      <c r="D995" t="s">
        <v>33</v>
      </c>
      <c r="E995" s="58">
        <v>43386</v>
      </c>
      <c r="F995">
        <v>26</v>
      </c>
      <c r="G995" t="s">
        <v>105</v>
      </c>
      <c r="H995" t="s">
        <v>53</v>
      </c>
      <c r="I995" t="s">
        <v>5105</v>
      </c>
      <c r="J995" t="s">
        <v>177</v>
      </c>
      <c r="K995" t="s">
        <v>6823</v>
      </c>
      <c r="L995" t="s">
        <v>44</v>
      </c>
      <c r="M995">
        <v>3</v>
      </c>
      <c r="N995" t="s">
        <v>1555</v>
      </c>
      <c r="O995" t="b">
        <v>0</v>
      </c>
      <c r="P995" t="b">
        <v>1</v>
      </c>
      <c r="Q995" t="b">
        <v>0</v>
      </c>
      <c r="R995" t="b">
        <v>0</v>
      </c>
      <c r="S995" t="b">
        <v>1</v>
      </c>
      <c r="T995" t="b">
        <v>1</v>
      </c>
      <c r="U995" t="b">
        <v>1</v>
      </c>
      <c r="V995" t="b">
        <v>1</v>
      </c>
      <c r="W995" t="b">
        <v>0</v>
      </c>
      <c r="X995" t="b">
        <v>1</v>
      </c>
      <c r="Y995" t="b">
        <v>1</v>
      </c>
      <c r="Z995" t="b">
        <v>0</v>
      </c>
      <c r="AA995" t="b">
        <v>0</v>
      </c>
      <c r="AB995" t="s">
        <v>272</v>
      </c>
      <c r="AC995" t="s">
        <v>8526</v>
      </c>
    </row>
    <row r="996" spans="1:29" x14ac:dyDescent="0.3">
      <c r="A996">
        <v>-73.969810710000004</v>
      </c>
      <c r="B996">
        <v>40.791364969999997</v>
      </c>
      <c r="C996" t="s">
        <v>250</v>
      </c>
      <c r="D996" t="s">
        <v>33</v>
      </c>
      <c r="E996" s="58">
        <v>43393</v>
      </c>
      <c r="F996">
        <v>1</v>
      </c>
      <c r="G996" t="s">
        <v>48</v>
      </c>
      <c r="H996" t="s">
        <v>53</v>
      </c>
      <c r="I996" t="s">
        <v>148</v>
      </c>
      <c r="J996" t="s">
        <v>738</v>
      </c>
      <c r="K996" t="s">
        <v>3453</v>
      </c>
      <c r="L996" t="s">
        <v>65</v>
      </c>
      <c r="M996" t="b">
        <v>0</v>
      </c>
      <c r="N996" t="s">
        <v>815</v>
      </c>
      <c r="O996" t="b">
        <v>1</v>
      </c>
      <c r="P996" t="b">
        <v>0</v>
      </c>
      <c r="Q996" t="b">
        <v>1</v>
      </c>
      <c r="R996" t="b">
        <v>1</v>
      </c>
      <c r="S996" t="b">
        <v>0</v>
      </c>
      <c r="T996" t="b">
        <v>0</v>
      </c>
      <c r="U996" t="b">
        <v>1</v>
      </c>
      <c r="V996" t="b">
        <v>1</v>
      </c>
      <c r="W996" t="b">
        <v>1</v>
      </c>
      <c r="X996" t="b">
        <v>1</v>
      </c>
      <c r="Y996" t="b">
        <v>0</v>
      </c>
      <c r="Z996" t="b">
        <v>0</v>
      </c>
      <c r="AA996" t="b">
        <v>1</v>
      </c>
      <c r="AB996" t="s">
        <v>6624</v>
      </c>
      <c r="AC996" t="s">
        <v>8527</v>
      </c>
    </row>
    <row r="997" spans="1:29" x14ac:dyDescent="0.3">
      <c r="A997">
        <v>-73.978279529999995</v>
      </c>
      <c r="B997">
        <v>40.788040649999999</v>
      </c>
      <c r="C997" t="s">
        <v>855</v>
      </c>
      <c r="D997" t="s">
        <v>33</v>
      </c>
      <c r="E997" s="58">
        <v>43380</v>
      </c>
      <c r="F997">
        <v>12</v>
      </c>
      <c r="G997" t="s">
        <v>105</v>
      </c>
      <c r="H997" t="s">
        <v>42</v>
      </c>
      <c r="I997" t="s">
        <v>148</v>
      </c>
      <c r="J997" t="s">
        <v>89</v>
      </c>
      <c r="K997" t="s">
        <v>3050</v>
      </c>
      <c r="L997" t="s">
        <v>44</v>
      </c>
      <c r="M997">
        <v>4</v>
      </c>
      <c r="N997" t="s">
        <v>4500</v>
      </c>
      <c r="O997" t="b">
        <v>1</v>
      </c>
      <c r="P997" t="b">
        <v>1</v>
      </c>
      <c r="Q997" t="b">
        <v>1</v>
      </c>
      <c r="R997" t="b">
        <v>1</v>
      </c>
      <c r="S997" t="b">
        <v>0</v>
      </c>
      <c r="T997" t="b">
        <v>0</v>
      </c>
      <c r="U997" t="b">
        <v>0</v>
      </c>
      <c r="V997" t="b">
        <v>1</v>
      </c>
      <c r="W997" t="b">
        <v>0</v>
      </c>
      <c r="X997" t="b">
        <v>0</v>
      </c>
      <c r="Y997" t="b">
        <v>0</v>
      </c>
      <c r="Z997" t="b">
        <v>0</v>
      </c>
      <c r="AA997" t="b">
        <v>1</v>
      </c>
      <c r="AB997" t="s">
        <v>4172</v>
      </c>
      <c r="AC997" t="s">
        <v>8528</v>
      </c>
    </row>
    <row r="998" spans="1:29" x14ac:dyDescent="0.3">
      <c r="A998">
        <v>-73.952321170000005</v>
      </c>
      <c r="B998">
        <v>40.798591010000003</v>
      </c>
      <c r="C998" t="s">
        <v>1310</v>
      </c>
      <c r="D998" t="s">
        <v>33</v>
      </c>
      <c r="E998" s="58">
        <v>43385</v>
      </c>
      <c r="F998">
        <v>27</v>
      </c>
      <c r="G998" t="s">
        <v>105</v>
      </c>
      <c r="H998" t="s">
        <v>42</v>
      </c>
      <c r="I998" t="s">
        <v>737</v>
      </c>
      <c r="J998" t="s">
        <v>3228</v>
      </c>
      <c r="K998" t="s">
        <v>4110</v>
      </c>
      <c r="L998" t="s">
        <v>65</v>
      </c>
      <c r="M998" t="b">
        <v>0</v>
      </c>
      <c r="N998" t="s">
        <v>3687</v>
      </c>
      <c r="O998" t="b">
        <v>0</v>
      </c>
      <c r="P998" t="b">
        <v>0</v>
      </c>
      <c r="Q998" t="b">
        <v>0</v>
      </c>
      <c r="R998" t="b">
        <v>1</v>
      </c>
      <c r="S998" t="b">
        <v>0</v>
      </c>
      <c r="T998" t="b">
        <v>1</v>
      </c>
      <c r="U998" t="b">
        <v>0</v>
      </c>
      <c r="V998" t="b">
        <v>1</v>
      </c>
      <c r="W998" t="b">
        <v>0</v>
      </c>
      <c r="X998" t="b">
        <v>1</v>
      </c>
      <c r="Y998" t="b">
        <v>1</v>
      </c>
      <c r="Z998" t="b">
        <v>0</v>
      </c>
      <c r="AA998" t="b">
        <v>1</v>
      </c>
      <c r="AB998" t="s">
        <v>7278</v>
      </c>
      <c r="AC998" t="s">
        <v>8529</v>
      </c>
    </row>
    <row r="999" spans="1:29" x14ac:dyDescent="0.3">
      <c r="A999">
        <v>-73.976857440000003</v>
      </c>
      <c r="B999">
        <v>40.767338530000004</v>
      </c>
      <c r="C999" t="s">
        <v>92</v>
      </c>
      <c r="D999" t="s">
        <v>33</v>
      </c>
      <c r="E999" s="58">
        <v>43393</v>
      </c>
      <c r="F999">
        <v>26</v>
      </c>
      <c r="G999" t="s">
        <v>3842</v>
      </c>
      <c r="H999" t="s">
        <v>42</v>
      </c>
      <c r="I999" t="s">
        <v>96</v>
      </c>
      <c r="J999" t="s">
        <v>149</v>
      </c>
      <c r="K999" t="s">
        <v>4660</v>
      </c>
      <c r="L999" t="s">
        <v>65</v>
      </c>
      <c r="M999" t="b">
        <v>0</v>
      </c>
      <c r="N999" t="s">
        <v>4948</v>
      </c>
      <c r="O999" t="b">
        <v>1</v>
      </c>
      <c r="P999" t="b">
        <v>0</v>
      </c>
      <c r="Q999" t="b">
        <v>0</v>
      </c>
      <c r="R999" t="b">
        <v>0</v>
      </c>
      <c r="S999" t="b">
        <v>0</v>
      </c>
      <c r="T999" t="b">
        <v>1</v>
      </c>
      <c r="U999" t="b">
        <v>0</v>
      </c>
      <c r="V999" t="b">
        <v>1</v>
      </c>
      <c r="W999" t="b">
        <v>0</v>
      </c>
      <c r="X999" t="b">
        <v>0</v>
      </c>
      <c r="Y999" t="b">
        <v>1</v>
      </c>
      <c r="Z999" t="b">
        <v>1</v>
      </c>
      <c r="AA999" t="b">
        <v>1</v>
      </c>
      <c r="AB999" t="s">
        <v>5499</v>
      </c>
      <c r="AC999" t="s">
        <v>8530</v>
      </c>
    </row>
    <row r="1000" spans="1:29" x14ac:dyDescent="0.3">
      <c r="A1000">
        <v>-73.951286150000001</v>
      </c>
      <c r="B1000">
        <v>40.766919440000002</v>
      </c>
      <c r="C1000" t="s">
        <v>1292</v>
      </c>
      <c r="D1000" t="s">
        <v>33</v>
      </c>
      <c r="E1000" s="58">
        <v>43382</v>
      </c>
      <c r="F1000">
        <v>11</v>
      </c>
      <c r="G1000" t="s">
        <v>105</v>
      </c>
      <c r="H1000" t="s">
        <v>176</v>
      </c>
      <c r="I1000" t="s">
        <v>42</v>
      </c>
      <c r="J1000" t="s">
        <v>79</v>
      </c>
      <c r="K1000" t="s">
        <v>3887</v>
      </c>
      <c r="L1000" t="s">
        <v>65</v>
      </c>
      <c r="M1000" t="b">
        <v>0</v>
      </c>
      <c r="N1000" t="s">
        <v>4805</v>
      </c>
      <c r="O1000" t="b">
        <v>0</v>
      </c>
      <c r="P1000" t="b">
        <v>0</v>
      </c>
      <c r="Q1000" t="b">
        <v>1</v>
      </c>
      <c r="R1000" t="b">
        <v>1</v>
      </c>
      <c r="S1000" t="b">
        <v>1</v>
      </c>
      <c r="T1000" t="b">
        <v>0</v>
      </c>
      <c r="U1000" t="b">
        <v>1</v>
      </c>
      <c r="V1000" t="b">
        <v>1</v>
      </c>
      <c r="W1000" t="b">
        <v>0</v>
      </c>
      <c r="X1000" t="b">
        <v>0</v>
      </c>
      <c r="Y1000" t="b">
        <v>1</v>
      </c>
      <c r="Z1000" t="b">
        <v>0</v>
      </c>
      <c r="AA1000" t="b">
        <v>1</v>
      </c>
      <c r="AB1000" t="s">
        <v>601</v>
      </c>
      <c r="AC1000" t="s">
        <v>8531</v>
      </c>
    </row>
    <row r="1001" spans="1:29" x14ac:dyDescent="0.3">
      <c r="A1001">
        <v>-73.967137579999999</v>
      </c>
      <c r="B1001">
        <v>40.77484587</v>
      </c>
      <c r="C1001" t="s">
        <v>281</v>
      </c>
      <c r="D1001" t="s">
        <v>33</v>
      </c>
      <c r="E1001" s="58">
        <v>43387</v>
      </c>
      <c r="F1001">
        <v>4</v>
      </c>
      <c r="G1001" t="s">
        <v>105</v>
      </c>
      <c r="H1001" t="s">
        <v>42</v>
      </c>
      <c r="I1001" t="s">
        <v>176</v>
      </c>
      <c r="J1001" t="s">
        <v>3228</v>
      </c>
      <c r="K1001" t="s">
        <v>3758</v>
      </c>
      <c r="L1001" t="s">
        <v>65</v>
      </c>
      <c r="M1001" t="b">
        <v>0</v>
      </c>
      <c r="N1001" t="s">
        <v>5606</v>
      </c>
      <c r="O1001" t="b">
        <v>1</v>
      </c>
      <c r="P1001" t="b">
        <v>0</v>
      </c>
      <c r="Q1001" t="b">
        <v>0</v>
      </c>
      <c r="R1001" t="b">
        <v>0</v>
      </c>
      <c r="S1001" t="b">
        <v>1</v>
      </c>
      <c r="T1001" t="b">
        <v>1</v>
      </c>
      <c r="U1001" t="b">
        <v>0</v>
      </c>
      <c r="V1001" t="b">
        <v>1</v>
      </c>
      <c r="W1001" t="b">
        <v>1</v>
      </c>
      <c r="X1001" t="b">
        <v>0</v>
      </c>
      <c r="Y1001" t="b">
        <v>1</v>
      </c>
      <c r="Z1001" t="b">
        <v>1</v>
      </c>
      <c r="AA1001" t="b">
        <v>1</v>
      </c>
      <c r="AB1001" t="s">
        <v>3051</v>
      </c>
      <c r="AC1001" t="s">
        <v>8532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FBE11-4460-4164-90DA-39FA4177CD67}">
  <sheetPr>
    <tabColor theme="3"/>
  </sheetPr>
  <dimension ref="A1:AC1001"/>
  <sheetViews>
    <sheetView topLeftCell="F1" workbookViewId="0">
      <selection activeCell="M42" sqref="A1:AC1001"/>
    </sheetView>
  </sheetViews>
  <sheetFormatPr defaultRowHeight="14.4" x14ac:dyDescent="0.3"/>
  <cols>
    <col min="14" max="14" width="35.21875" customWidth="1"/>
  </cols>
  <sheetData>
    <row r="1" spans="1:29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20</v>
      </c>
      <c r="AC1" t="s">
        <v>2</v>
      </c>
    </row>
    <row r="2" spans="1:29" x14ac:dyDescent="0.3">
      <c r="A2">
        <v>-73.969384230000003</v>
      </c>
      <c r="B2">
        <v>40.771428800000002</v>
      </c>
      <c r="C2" t="s">
        <v>367</v>
      </c>
      <c r="D2" t="s">
        <v>38</v>
      </c>
      <c r="E2" s="58">
        <v>43388</v>
      </c>
      <c r="F2">
        <v>2</v>
      </c>
      <c r="G2" t="s">
        <v>48</v>
      </c>
      <c r="H2" t="s">
        <v>42</v>
      </c>
      <c r="I2" t="s">
        <v>53</v>
      </c>
      <c r="J2" t="s">
        <v>149</v>
      </c>
      <c r="K2" t="s">
        <v>1843</v>
      </c>
      <c r="L2" t="s">
        <v>65</v>
      </c>
      <c r="M2" t="b">
        <v>0</v>
      </c>
      <c r="N2" t="s">
        <v>561</v>
      </c>
      <c r="O2" t="b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s">
        <v>2916</v>
      </c>
      <c r="AC2" t="s">
        <v>8533</v>
      </c>
    </row>
    <row r="3" spans="1:29" x14ac:dyDescent="0.3">
      <c r="A3">
        <v>-73.951271149999997</v>
      </c>
      <c r="B3">
        <v>40.783989839999997</v>
      </c>
      <c r="C3" t="s">
        <v>520</v>
      </c>
      <c r="D3" t="s">
        <v>38</v>
      </c>
      <c r="E3" s="58">
        <v>43383</v>
      </c>
      <c r="F3">
        <v>25</v>
      </c>
      <c r="G3" t="s">
        <v>48</v>
      </c>
      <c r="H3" t="s">
        <v>42</v>
      </c>
      <c r="I3" t="s">
        <v>59</v>
      </c>
      <c r="J3" t="s">
        <v>43</v>
      </c>
      <c r="K3" t="s">
        <v>1636</v>
      </c>
      <c r="L3" t="s">
        <v>65</v>
      </c>
      <c r="M3" t="b">
        <v>0</v>
      </c>
      <c r="N3" t="s">
        <v>5606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1</v>
      </c>
      <c r="Y3" t="b">
        <v>0</v>
      </c>
      <c r="Z3" t="b">
        <v>0</v>
      </c>
      <c r="AA3" t="b">
        <v>0</v>
      </c>
      <c r="AB3" t="s">
        <v>2792</v>
      </c>
      <c r="AC3" t="s">
        <v>8534</v>
      </c>
    </row>
    <row r="4" spans="1:29" x14ac:dyDescent="0.3">
      <c r="A4">
        <v>-73.958147019999998</v>
      </c>
      <c r="B4">
        <v>40.795645210000004</v>
      </c>
      <c r="C4" t="s">
        <v>1056</v>
      </c>
      <c r="D4" t="s">
        <v>33</v>
      </c>
      <c r="E4" s="58">
        <v>43383</v>
      </c>
      <c r="F4">
        <v>29</v>
      </c>
      <c r="G4" t="s">
        <v>48</v>
      </c>
      <c r="H4" t="s">
        <v>42</v>
      </c>
      <c r="I4" t="s">
        <v>53</v>
      </c>
      <c r="J4" t="s">
        <v>54</v>
      </c>
      <c r="K4" t="s">
        <v>700</v>
      </c>
      <c r="L4" t="s">
        <v>65</v>
      </c>
      <c r="M4" t="b">
        <v>0</v>
      </c>
      <c r="N4" t="s">
        <v>4635</v>
      </c>
      <c r="O4" t="b">
        <v>0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1</v>
      </c>
      <c r="AA4" t="b">
        <v>0</v>
      </c>
      <c r="AB4" t="s">
        <v>511</v>
      </c>
      <c r="AC4" t="s">
        <v>8535</v>
      </c>
    </row>
    <row r="5" spans="1:29" x14ac:dyDescent="0.3">
      <c r="A5">
        <v>-73.962338669999994</v>
      </c>
      <c r="B5">
        <v>40.790690730000001</v>
      </c>
      <c r="C5" t="s">
        <v>520</v>
      </c>
      <c r="D5" t="s">
        <v>38</v>
      </c>
      <c r="E5" s="58">
        <v>43389</v>
      </c>
      <c r="F5">
        <v>13</v>
      </c>
      <c r="G5" t="s">
        <v>48</v>
      </c>
      <c r="H5" t="s">
        <v>42</v>
      </c>
      <c r="I5" t="s">
        <v>59</v>
      </c>
      <c r="J5" t="s">
        <v>54</v>
      </c>
      <c r="K5" t="s">
        <v>1843</v>
      </c>
      <c r="L5" t="s">
        <v>44</v>
      </c>
      <c r="M5">
        <v>6</v>
      </c>
      <c r="N5" t="s">
        <v>1408</v>
      </c>
      <c r="O5" t="b">
        <v>0</v>
      </c>
      <c r="P5" t="b">
        <v>0</v>
      </c>
      <c r="Q5" t="b">
        <v>1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s">
        <v>5392</v>
      </c>
      <c r="AC5" t="s">
        <v>8536</v>
      </c>
    </row>
    <row r="6" spans="1:29" x14ac:dyDescent="0.3">
      <c r="A6">
        <v>-73.976253850000006</v>
      </c>
      <c r="B6">
        <v>40.793307949999999</v>
      </c>
      <c r="C6" t="s">
        <v>402</v>
      </c>
      <c r="D6" t="s">
        <v>38</v>
      </c>
      <c r="E6" s="58">
        <v>43385</v>
      </c>
      <c r="F6">
        <v>6</v>
      </c>
      <c r="G6" t="s">
        <v>105</v>
      </c>
      <c r="H6" t="s">
        <v>42</v>
      </c>
      <c r="I6" t="s">
        <v>53</v>
      </c>
      <c r="J6" t="s">
        <v>54</v>
      </c>
      <c r="K6" t="s">
        <v>1381</v>
      </c>
      <c r="L6" t="s">
        <v>65</v>
      </c>
      <c r="M6" t="b">
        <v>0</v>
      </c>
      <c r="N6" t="s">
        <v>1311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s">
        <v>3823</v>
      </c>
      <c r="AC6" t="s">
        <v>8537</v>
      </c>
    </row>
    <row r="7" spans="1:29" x14ac:dyDescent="0.3">
      <c r="A7">
        <v>-73.976254609999998</v>
      </c>
      <c r="B7">
        <v>40.788105010000002</v>
      </c>
      <c r="C7" t="s">
        <v>1389</v>
      </c>
      <c r="D7" t="s">
        <v>38</v>
      </c>
      <c r="E7" s="58">
        <v>43382</v>
      </c>
      <c r="F7">
        <v>21</v>
      </c>
      <c r="G7" t="s">
        <v>48</v>
      </c>
      <c r="H7" t="s">
        <v>42</v>
      </c>
      <c r="I7" t="s">
        <v>53</v>
      </c>
      <c r="J7" t="s">
        <v>79</v>
      </c>
      <c r="K7" t="s">
        <v>3050</v>
      </c>
      <c r="L7" t="s">
        <v>44</v>
      </c>
      <c r="M7">
        <v>3</v>
      </c>
      <c r="N7" t="s">
        <v>5571</v>
      </c>
      <c r="O7" t="b">
        <v>1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1</v>
      </c>
      <c r="AA7" t="b">
        <v>0</v>
      </c>
      <c r="AB7" t="s">
        <v>7114</v>
      </c>
      <c r="AC7" t="s">
        <v>8538</v>
      </c>
    </row>
    <row r="8" spans="1:29" x14ac:dyDescent="0.3">
      <c r="A8">
        <v>-73.979332619999994</v>
      </c>
      <c r="B8">
        <v>40.789284240000001</v>
      </c>
      <c r="C8" t="s">
        <v>517</v>
      </c>
      <c r="D8" t="s">
        <v>38</v>
      </c>
      <c r="E8" s="58">
        <v>43391</v>
      </c>
      <c r="F8">
        <v>26</v>
      </c>
      <c r="G8" t="s">
        <v>48</v>
      </c>
      <c r="H8" t="s">
        <v>53</v>
      </c>
      <c r="I8" t="s">
        <v>53</v>
      </c>
      <c r="J8" t="s">
        <v>54</v>
      </c>
      <c r="K8" t="s">
        <v>6299</v>
      </c>
      <c r="L8" t="s">
        <v>44</v>
      </c>
      <c r="M8">
        <v>3</v>
      </c>
      <c r="N8" t="s">
        <v>748</v>
      </c>
      <c r="O8" t="b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b">
        <v>0</v>
      </c>
      <c r="W8" t="b">
        <v>0</v>
      </c>
      <c r="X8" t="b">
        <v>1</v>
      </c>
      <c r="Y8" t="b">
        <v>0</v>
      </c>
      <c r="Z8" t="b">
        <v>0</v>
      </c>
      <c r="AA8" t="b">
        <v>0</v>
      </c>
      <c r="AB8" t="s">
        <v>685</v>
      </c>
      <c r="AC8" t="s">
        <v>8539</v>
      </c>
    </row>
    <row r="9" spans="1:29" x14ac:dyDescent="0.3">
      <c r="A9">
        <v>-73.953928759999997</v>
      </c>
      <c r="B9">
        <v>40.794809020000002</v>
      </c>
      <c r="C9" t="s">
        <v>95</v>
      </c>
      <c r="D9" t="s">
        <v>33</v>
      </c>
      <c r="E9" s="58">
        <v>43382</v>
      </c>
      <c r="F9">
        <v>6</v>
      </c>
      <c r="G9" t="s">
        <v>48</v>
      </c>
      <c r="H9" t="s">
        <v>42</v>
      </c>
      <c r="I9" t="s">
        <v>59</v>
      </c>
      <c r="J9" t="s">
        <v>54</v>
      </c>
      <c r="K9" t="s">
        <v>4572</v>
      </c>
      <c r="L9" t="s">
        <v>44</v>
      </c>
      <c r="M9">
        <v>12</v>
      </c>
      <c r="N9" t="s">
        <v>2700</v>
      </c>
      <c r="O9" t="b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s">
        <v>229</v>
      </c>
      <c r="AC9" t="s">
        <v>8540</v>
      </c>
    </row>
    <row r="10" spans="1:29" x14ac:dyDescent="0.3">
      <c r="A10">
        <v>-73.962261440000006</v>
      </c>
      <c r="B10">
        <v>40.773700939999998</v>
      </c>
      <c r="C10" t="s">
        <v>502</v>
      </c>
      <c r="D10" t="s">
        <v>38</v>
      </c>
      <c r="E10" s="58">
        <v>43387</v>
      </c>
      <c r="F10">
        <v>9</v>
      </c>
      <c r="G10" t="s">
        <v>48</v>
      </c>
      <c r="H10" t="s">
        <v>42</v>
      </c>
      <c r="I10" t="s">
        <v>59</v>
      </c>
      <c r="J10" t="s">
        <v>97</v>
      </c>
      <c r="K10" t="s">
        <v>672</v>
      </c>
      <c r="L10" t="s">
        <v>65</v>
      </c>
      <c r="M10" t="b">
        <v>0</v>
      </c>
      <c r="N10" t="s">
        <v>2865</v>
      </c>
      <c r="O10" t="b">
        <v>1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s">
        <v>101</v>
      </c>
      <c r="AC10" t="s">
        <v>8541</v>
      </c>
    </row>
    <row r="11" spans="1:29" x14ac:dyDescent="0.3">
      <c r="A11">
        <v>-73.958899040000006</v>
      </c>
      <c r="B11">
        <v>40.782142270000001</v>
      </c>
      <c r="C11" t="s">
        <v>2085</v>
      </c>
      <c r="D11" t="s">
        <v>33</v>
      </c>
      <c r="E11" s="58">
        <v>43384</v>
      </c>
      <c r="F11">
        <v>16</v>
      </c>
      <c r="G11" t="s">
        <v>48</v>
      </c>
      <c r="H11" t="s">
        <v>42</v>
      </c>
      <c r="I11" t="s">
        <v>53</v>
      </c>
      <c r="J11" t="s">
        <v>79</v>
      </c>
      <c r="K11" t="s">
        <v>2136</v>
      </c>
      <c r="L11" t="s">
        <v>65</v>
      </c>
      <c r="M11" t="b">
        <v>0</v>
      </c>
      <c r="N11" t="s">
        <v>4142</v>
      </c>
      <c r="O11" t="b">
        <v>1</v>
      </c>
      <c r="P11" t="b">
        <v>0</v>
      </c>
      <c r="Q11" t="b">
        <v>1</v>
      </c>
      <c r="R11" t="b">
        <v>1</v>
      </c>
      <c r="S11" t="b">
        <v>1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s">
        <v>1222</v>
      </c>
      <c r="AC11" t="s">
        <v>8542</v>
      </c>
    </row>
    <row r="12" spans="1:29" x14ac:dyDescent="0.3">
      <c r="A12">
        <v>-73.980511469999996</v>
      </c>
      <c r="B12">
        <v>40.772698980000001</v>
      </c>
      <c r="C12" t="s">
        <v>851</v>
      </c>
      <c r="D12" t="s">
        <v>33</v>
      </c>
      <c r="E12" s="58">
        <v>43393</v>
      </c>
      <c r="F12">
        <v>11</v>
      </c>
      <c r="G12" t="s">
        <v>105</v>
      </c>
      <c r="H12" t="s">
        <v>42</v>
      </c>
      <c r="I12" t="s">
        <v>59</v>
      </c>
      <c r="J12" t="s">
        <v>89</v>
      </c>
      <c r="K12" t="s">
        <v>3351</v>
      </c>
      <c r="L12" t="s">
        <v>44</v>
      </c>
      <c r="M12">
        <v>6</v>
      </c>
      <c r="N12" t="s">
        <v>4876</v>
      </c>
      <c r="O12" t="b">
        <v>1</v>
      </c>
      <c r="P12" t="b">
        <v>0</v>
      </c>
      <c r="Q12" t="b">
        <v>1</v>
      </c>
      <c r="R12" t="b">
        <v>0</v>
      </c>
      <c r="S12" t="b">
        <v>1</v>
      </c>
      <c r="T12" t="b">
        <v>1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1</v>
      </c>
      <c r="AA12" t="b">
        <v>0</v>
      </c>
      <c r="AB12" t="s">
        <v>4327</v>
      </c>
      <c r="AC12" t="s">
        <v>8543</v>
      </c>
    </row>
    <row r="13" spans="1:29" x14ac:dyDescent="0.3">
      <c r="A13">
        <v>-73.950667710000005</v>
      </c>
      <c r="B13">
        <v>40.799684339999999</v>
      </c>
      <c r="C13" t="s">
        <v>52</v>
      </c>
      <c r="D13" t="s">
        <v>33</v>
      </c>
      <c r="E13" s="58">
        <v>43382</v>
      </c>
      <c r="F13">
        <v>7</v>
      </c>
      <c r="G13" t="s">
        <v>48</v>
      </c>
      <c r="H13" t="s">
        <v>42</v>
      </c>
      <c r="I13" t="s">
        <v>53</v>
      </c>
      <c r="J13" t="s">
        <v>43</v>
      </c>
      <c r="K13" t="s">
        <v>4463</v>
      </c>
      <c r="L13" t="s">
        <v>65</v>
      </c>
      <c r="M13" t="b">
        <v>0</v>
      </c>
      <c r="N13" t="s">
        <v>449</v>
      </c>
      <c r="O13" t="b">
        <v>1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s">
        <v>1751</v>
      </c>
      <c r="AC13" t="s">
        <v>8544</v>
      </c>
    </row>
    <row r="14" spans="1:29" x14ac:dyDescent="0.3">
      <c r="A14">
        <v>-73.954989240000003</v>
      </c>
      <c r="B14">
        <v>40.79814897</v>
      </c>
      <c r="C14" t="s">
        <v>1056</v>
      </c>
      <c r="D14" t="s">
        <v>33</v>
      </c>
      <c r="E14" s="58">
        <v>43380</v>
      </c>
      <c r="F14">
        <v>10</v>
      </c>
      <c r="G14" t="s">
        <v>48</v>
      </c>
      <c r="H14" t="s">
        <v>42</v>
      </c>
      <c r="I14" t="s">
        <v>59</v>
      </c>
      <c r="J14" t="s">
        <v>79</v>
      </c>
      <c r="K14" t="s">
        <v>4939</v>
      </c>
      <c r="L14" t="s">
        <v>65</v>
      </c>
      <c r="M14" t="b">
        <v>0</v>
      </c>
      <c r="N14" t="s">
        <v>752</v>
      </c>
      <c r="O14" t="b">
        <v>1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s">
        <v>432</v>
      </c>
      <c r="AC14" t="s">
        <v>8545</v>
      </c>
    </row>
    <row r="15" spans="1:29" x14ac:dyDescent="0.3">
      <c r="A15">
        <v>-73.974483320000004</v>
      </c>
      <c r="B15">
        <v>40.766298800000001</v>
      </c>
      <c r="C15" t="s">
        <v>1326</v>
      </c>
      <c r="D15" t="s">
        <v>33</v>
      </c>
      <c r="E15" s="58">
        <v>43384</v>
      </c>
      <c r="F15">
        <v>10</v>
      </c>
      <c r="G15" t="s">
        <v>48</v>
      </c>
      <c r="H15" t="s">
        <v>42</v>
      </c>
      <c r="I15" t="s">
        <v>59</v>
      </c>
      <c r="J15" t="s">
        <v>79</v>
      </c>
      <c r="K15" t="s">
        <v>4660</v>
      </c>
      <c r="L15" t="s">
        <v>65</v>
      </c>
      <c r="M15" t="b">
        <v>0</v>
      </c>
      <c r="N15" t="s">
        <v>5262</v>
      </c>
      <c r="O15" t="b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1</v>
      </c>
      <c r="Z15" t="b">
        <v>1</v>
      </c>
      <c r="AA15" t="b">
        <v>0</v>
      </c>
      <c r="AB15" t="s">
        <v>432</v>
      </c>
      <c r="AC15" t="s">
        <v>8546</v>
      </c>
    </row>
    <row r="16" spans="1:29" x14ac:dyDescent="0.3">
      <c r="A16">
        <v>-73.975442580000006</v>
      </c>
      <c r="B16">
        <v>40.789752450000002</v>
      </c>
      <c r="C16" t="s">
        <v>622</v>
      </c>
      <c r="D16" t="s">
        <v>38</v>
      </c>
      <c r="E16" s="58">
        <v>43380</v>
      </c>
      <c r="F16">
        <v>30</v>
      </c>
      <c r="G16" t="s">
        <v>48</v>
      </c>
      <c r="H16" t="s">
        <v>42</v>
      </c>
      <c r="I16" t="s">
        <v>59</v>
      </c>
      <c r="J16" t="s">
        <v>54</v>
      </c>
      <c r="K16" t="s">
        <v>4243</v>
      </c>
      <c r="L16" t="s">
        <v>65</v>
      </c>
      <c r="M16" t="b">
        <v>0</v>
      </c>
      <c r="N16" t="s">
        <v>1016</v>
      </c>
      <c r="O16" t="b">
        <v>0</v>
      </c>
      <c r="P16" t="b">
        <v>0</v>
      </c>
      <c r="Q16" t="b">
        <v>1</v>
      </c>
      <c r="R16" t="b">
        <v>1</v>
      </c>
      <c r="S16" t="b">
        <v>1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s">
        <v>4569</v>
      </c>
      <c r="AC16" t="s">
        <v>8547</v>
      </c>
    </row>
    <row r="17" spans="1:29" x14ac:dyDescent="0.3">
      <c r="A17">
        <v>-73.975392929999998</v>
      </c>
      <c r="B17">
        <v>40.797486669999998</v>
      </c>
      <c r="C17" t="s">
        <v>78</v>
      </c>
      <c r="D17" t="s">
        <v>33</v>
      </c>
      <c r="E17" s="58">
        <v>43383</v>
      </c>
      <c r="F17">
        <v>25</v>
      </c>
      <c r="G17" t="s">
        <v>48</v>
      </c>
      <c r="H17" t="s">
        <v>42</v>
      </c>
      <c r="I17" t="s">
        <v>96</v>
      </c>
      <c r="J17" t="s">
        <v>54</v>
      </c>
      <c r="K17" t="s">
        <v>5957</v>
      </c>
      <c r="L17" t="s">
        <v>44</v>
      </c>
      <c r="M17">
        <v>6</v>
      </c>
      <c r="N17" t="s">
        <v>3251</v>
      </c>
      <c r="O17" t="b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b">
        <v>0</v>
      </c>
      <c r="W17" t="b">
        <v>0</v>
      </c>
      <c r="X17" t="b">
        <v>1</v>
      </c>
      <c r="Y17" t="b">
        <v>1</v>
      </c>
      <c r="Z17" t="b">
        <v>1</v>
      </c>
      <c r="AA17" t="b">
        <v>0</v>
      </c>
      <c r="AB17" t="s">
        <v>7069</v>
      </c>
      <c r="AC17" t="s">
        <v>8548</v>
      </c>
    </row>
    <row r="18" spans="1:29" x14ac:dyDescent="0.3">
      <c r="A18">
        <v>-73.971594170000003</v>
      </c>
      <c r="B18">
        <v>40.771268339999999</v>
      </c>
      <c r="C18" t="s">
        <v>1245</v>
      </c>
      <c r="D18" t="s">
        <v>38</v>
      </c>
      <c r="E18" s="58">
        <v>43384</v>
      </c>
      <c r="F18">
        <v>20</v>
      </c>
      <c r="G18" t="s">
        <v>48</v>
      </c>
      <c r="H18" t="s">
        <v>42</v>
      </c>
      <c r="I18" t="s">
        <v>53</v>
      </c>
      <c r="J18" t="s">
        <v>54</v>
      </c>
      <c r="K18" t="s">
        <v>3028</v>
      </c>
      <c r="L18" t="s">
        <v>65</v>
      </c>
      <c r="M18" t="b">
        <v>0</v>
      </c>
      <c r="N18" t="s">
        <v>6098</v>
      </c>
      <c r="O18" t="b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  <c r="U18" t="b">
        <v>0</v>
      </c>
      <c r="V18" t="b">
        <v>0</v>
      </c>
      <c r="W18" t="b">
        <v>0</v>
      </c>
      <c r="X18" t="b">
        <v>1</v>
      </c>
      <c r="Y18" t="b">
        <v>0</v>
      </c>
      <c r="Z18" t="b">
        <v>0</v>
      </c>
      <c r="AA18" t="b">
        <v>0</v>
      </c>
      <c r="AB18" t="s">
        <v>488</v>
      </c>
      <c r="AC18" t="s">
        <v>8549</v>
      </c>
    </row>
    <row r="19" spans="1:29" x14ac:dyDescent="0.3">
      <c r="A19">
        <v>-73.964661910000004</v>
      </c>
      <c r="B19">
        <v>40.784906800000002</v>
      </c>
      <c r="C19" t="s">
        <v>579</v>
      </c>
      <c r="D19" t="s">
        <v>33</v>
      </c>
      <c r="E19" s="58">
        <v>43382</v>
      </c>
      <c r="F19">
        <v>18</v>
      </c>
      <c r="G19" t="s">
        <v>48</v>
      </c>
      <c r="H19" t="s">
        <v>176</v>
      </c>
      <c r="I19" t="s">
        <v>96</v>
      </c>
      <c r="J19" t="s">
        <v>43</v>
      </c>
      <c r="K19" t="s">
        <v>1688</v>
      </c>
      <c r="L19" t="s">
        <v>65</v>
      </c>
      <c r="M19" t="b">
        <v>0</v>
      </c>
      <c r="N19" t="s">
        <v>6242</v>
      </c>
      <c r="O19" t="b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1</v>
      </c>
      <c r="AA19" t="b">
        <v>0</v>
      </c>
      <c r="AB19" t="s">
        <v>3552</v>
      </c>
      <c r="AC19" t="s">
        <v>8550</v>
      </c>
    </row>
    <row r="20" spans="1:29" x14ac:dyDescent="0.3">
      <c r="A20">
        <v>-73.967579610000001</v>
      </c>
      <c r="B20">
        <v>40.797143040000002</v>
      </c>
      <c r="C20" t="s">
        <v>100</v>
      </c>
      <c r="D20" t="s">
        <v>33</v>
      </c>
      <c r="E20" s="58">
        <v>43392</v>
      </c>
      <c r="F20">
        <v>28</v>
      </c>
      <c r="G20" t="s">
        <v>48</v>
      </c>
      <c r="H20" t="s">
        <v>42</v>
      </c>
      <c r="I20" t="s">
        <v>59</v>
      </c>
      <c r="J20" t="s">
        <v>43</v>
      </c>
      <c r="K20" t="s">
        <v>3028</v>
      </c>
      <c r="L20" t="s">
        <v>65</v>
      </c>
      <c r="M20" t="b">
        <v>0</v>
      </c>
      <c r="N20" t="s">
        <v>3098</v>
      </c>
      <c r="O20" t="b">
        <v>0</v>
      </c>
      <c r="P20" t="b">
        <v>0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s">
        <v>1660</v>
      </c>
      <c r="AC20" t="s">
        <v>8551</v>
      </c>
    </row>
    <row r="21" spans="1:29" x14ac:dyDescent="0.3">
      <c r="A21">
        <v>-73.972003259999994</v>
      </c>
      <c r="B21">
        <v>40.766105830000001</v>
      </c>
      <c r="C21" t="s">
        <v>585</v>
      </c>
      <c r="D21" t="s">
        <v>38</v>
      </c>
      <c r="E21" s="58">
        <v>43391</v>
      </c>
      <c r="F21">
        <v>24</v>
      </c>
      <c r="G21" t="s">
        <v>48</v>
      </c>
      <c r="H21" t="s">
        <v>42</v>
      </c>
      <c r="I21" t="s">
        <v>59</v>
      </c>
      <c r="J21" t="s">
        <v>43</v>
      </c>
      <c r="K21" t="s">
        <v>4594</v>
      </c>
      <c r="L21" t="s">
        <v>65</v>
      </c>
      <c r="M21" t="b">
        <v>0</v>
      </c>
      <c r="N21" t="s">
        <v>6675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1</v>
      </c>
      <c r="Z21" t="b">
        <v>0</v>
      </c>
      <c r="AA21" t="b">
        <v>0</v>
      </c>
      <c r="AB21" t="s">
        <v>6518</v>
      </c>
      <c r="AC21" t="s">
        <v>8552</v>
      </c>
    </row>
    <row r="22" spans="1:29" x14ac:dyDescent="0.3">
      <c r="A22">
        <v>-73.961923880000001</v>
      </c>
      <c r="B22">
        <v>40.78946534</v>
      </c>
      <c r="C22" t="s">
        <v>943</v>
      </c>
      <c r="D22" t="s">
        <v>33</v>
      </c>
      <c r="E22" s="58">
        <v>43381</v>
      </c>
      <c r="F22">
        <v>20</v>
      </c>
      <c r="G22" t="s">
        <v>48</v>
      </c>
      <c r="H22" t="s">
        <v>42</v>
      </c>
      <c r="I22" t="s">
        <v>59</v>
      </c>
      <c r="J22" t="s">
        <v>79</v>
      </c>
      <c r="K22" t="s">
        <v>2382</v>
      </c>
      <c r="L22" t="s">
        <v>65</v>
      </c>
      <c r="M22" t="b">
        <v>0</v>
      </c>
      <c r="N22" t="s">
        <v>190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1</v>
      </c>
      <c r="AA22" t="b">
        <v>0</v>
      </c>
      <c r="AB22" t="s">
        <v>3437</v>
      </c>
      <c r="AC22" t="s">
        <v>8553</v>
      </c>
    </row>
    <row r="23" spans="1:29" x14ac:dyDescent="0.3">
      <c r="A23">
        <v>-73.976773339999994</v>
      </c>
      <c r="B23">
        <v>40.775379690000001</v>
      </c>
      <c r="C23" t="s">
        <v>1515</v>
      </c>
      <c r="D23" t="s">
        <v>33</v>
      </c>
      <c r="E23" s="58">
        <v>43385</v>
      </c>
      <c r="F23">
        <v>29</v>
      </c>
      <c r="G23" t="s">
        <v>48</v>
      </c>
      <c r="H23" t="s">
        <v>42</v>
      </c>
      <c r="I23" t="s">
        <v>53</v>
      </c>
      <c r="J23" t="s">
        <v>79</v>
      </c>
      <c r="K23" t="s">
        <v>3050</v>
      </c>
      <c r="L23" t="s">
        <v>65</v>
      </c>
      <c r="M23" t="b">
        <v>0</v>
      </c>
      <c r="N23" t="s">
        <v>1374</v>
      </c>
      <c r="O23" t="b">
        <v>0</v>
      </c>
      <c r="P23" t="b">
        <v>0</v>
      </c>
      <c r="Q23" t="b">
        <v>0</v>
      </c>
      <c r="R23" t="b">
        <v>1</v>
      </c>
      <c r="S23" t="b">
        <v>1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1</v>
      </c>
      <c r="AA23" t="b">
        <v>1</v>
      </c>
      <c r="AB23" t="s">
        <v>4974</v>
      </c>
      <c r="AC23" t="s">
        <v>8554</v>
      </c>
    </row>
    <row r="24" spans="1:29" x14ac:dyDescent="0.3">
      <c r="A24">
        <v>-73.97197448</v>
      </c>
      <c r="B24">
        <v>40.797456670000003</v>
      </c>
      <c r="C24" t="s">
        <v>1099</v>
      </c>
      <c r="D24" t="s">
        <v>38</v>
      </c>
      <c r="E24" s="58">
        <v>43380</v>
      </c>
      <c r="F24">
        <v>9</v>
      </c>
      <c r="G24" t="s">
        <v>48</v>
      </c>
      <c r="H24" t="s">
        <v>42</v>
      </c>
      <c r="I24" t="s">
        <v>59</v>
      </c>
      <c r="J24" t="s">
        <v>34</v>
      </c>
      <c r="K24" t="s">
        <v>5180</v>
      </c>
      <c r="L24" t="s">
        <v>44</v>
      </c>
      <c r="M24">
        <v>8</v>
      </c>
      <c r="N24" t="s">
        <v>6098</v>
      </c>
      <c r="O24" t="b">
        <v>0</v>
      </c>
      <c r="P24" t="b">
        <v>1</v>
      </c>
      <c r="Q24" t="b">
        <v>1</v>
      </c>
      <c r="R24" t="b">
        <v>0</v>
      </c>
      <c r="S24" t="b">
        <v>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1</v>
      </c>
      <c r="AA24" t="b">
        <v>0</v>
      </c>
      <c r="AB24" t="s">
        <v>121</v>
      </c>
      <c r="AC24" t="s">
        <v>8555</v>
      </c>
    </row>
    <row r="25" spans="1:29" x14ac:dyDescent="0.3">
      <c r="A25">
        <v>-73.969641330000002</v>
      </c>
      <c r="B25">
        <v>40.79909954</v>
      </c>
      <c r="C25" t="s">
        <v>415</v>
      </c>
      <c r="D25" t="s">
        <v>33</v>
      </c>
      <c r="E25" s="58">
        <v>43391</v>
      </c>
      <c r="F25">
        <v>15</v>
      </c>
      <c r="G25" t="s">
        <v>48</v>
      </c>
      <c r="H25" t="s">
        <v>42</v>
      </c>
      <c r="I25" t="s">
        <v>59</v>
      </c>
      <c r="J25" t="s">
        <v>97</v>
      </c>
      <c r="K25" t="s">
        <v>7307</v>
      </c>
      <c r="L25" t="s">
        <v>65</v>
      </c>
      <c r="M25" t="b">
        <v>0</v>
      </c>
      <c r="N25" t="s">
        <v>1359</v>
      </c>
      <c r="O25" t="b">
        <v>0</v>
      </c>
      <c r="P25" t="b">
        <v>0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1</v>
      </c>
      <c r="AB25" t="s">
        <v>2518</v>
      </c>
      <c r="AC25" t="s">
        <v>8556</v>
      </c>
    </row>
    <row r="26" spans="1:29" x14ac:dyDescent="0.3">
      <c r="A26">
        <v>-73.966821190000005</v>
      </c>
      <c r="B26">
        <v>40.798156259999999</v>
      </c>
      <c r="C26" t="s">
        <v>408</v>
      </c>
      <c r="D26" t="s">
        <v>33</v>
      </c>
      <c r="E26" s="58">
        <v>43389</v>
      </c>
      <c r="F26">
        <v>4</v>
      </c>
      <c r="G26" t="s">
        <v>48</v>
      </c>
      <c r="H26" t="s">
        <v>42</v>
      </c>
      <c r="I26" t="s">
        <v>53</v>
      </c>
      <c r="J26" t="s">
        <v>43</v>
      </c>
      <c r="K26" t="s">
        <v>442</v>
      </c>
      <c r="L26" t="s">
        <v>44</v>
      </c>
      <c r="M26">
        <v>7</v>
      </c>
      <c r="N26" t="s">
        <v>1359</v>
      </c>
      <c r="O26" t="b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0</v>
      </c>
      <c r="Z26" t="b">
        <v>0</v>
      </c>
      <c r="AA26" t="b">
        <v>0</v>
      </c>
      <c r="AB26" t="s">
        <v>1455</v>
      </c>
      <c r="AC26" t="s">
        <v>8557</v>
      </c>
    </row>
    <row r="27" spans="1:29" x14ac:dyDescent="0.3">
      <c r="A27">
        <v>-73.956475150000003</v>
      </c>
      <c r="B27">
        <v>40.78160673</v>
      </c>
      <c r="C27" t="s">
        <v>245</v>
      </c>
      <c r="D27" t="s">
        <v>33</v>
      </c>
      <c r="E27" s="58">
        <v>43392</v>
      </c>
      <c r="F27">
        <v>8</v>
      </c>
      <c r="G27" t="s">
        <v>48</v>
      </c>
      <c r="H27" t="s">
        <v>42</v>
      </c>
      <c r="I27" t="s">
        <v>53</v>
      </c>
      <c r="J27" t="s">
        <v>177</v>
      </c>
      <c r="K27" t="s">
        <v>3318</v>
      </c>
      <c r="L27" t="s">
        <v>65</v>
      </c>
      <c r="M27" t="b">
        <v>0</v>
      </c>
      <c r="N27" t="s">
        <v>2451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1</v>
      </c>
      <c r="AA27" t="b">
        <v>0</v>
      </c>
      <c r="AB27" t="s">
        <v>499</v>
      </c>
      <c r="AC27" t="s">
        <v>8558</v>
      </c>
    </row>
    <row r="28" spans="1:29" x14ac:dyDescent="0.3">
      <c r="A28">
        <v>-73.97488147</v>
      </c>
      <c r="B28">
        <v>40.795261340000003</v>
      </c>
      <c r="C28" t="s">
        <v>756</v>
      </c>
      <c r="D28" t="s">
        <v>38</v>
      </c>
      <c r="E28" s="58">
        <v>43384</v>
      </c>
      <c r="F28">
        <v>9</v>
      </c>
      <c r="G28" t="s">
        <v>48</v>
      </c>
      <c r="H28" t="s">
        <v>42</v>
      </c>
      <c r="I28" t="s">
        <v>53</v>
      </c>
      <c r="J28" t="s">
        <v>60</v>
      </c>
      <c r="K28" t="s">
        <v>894</v>
      </c>
      <c r="L28" t="s">
        <v>65</v>
      </c>
      <c r="M28" t="b">
        <v>0</v>
      </c>
      <c r="N28" t="s">
        <v>1929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1</v>
      </c>
      <c r="AA28" t="b">
        <v>0</v>
      </c>
      <c r="AB28" t="s">
        <v>1893</v>
      </c>
      <c r="AC28" t="s">
        <v>8559</v>
      </c>
    </row>
    <row r="29" spans="1:29" x14ac:dyDescent="0.3">
      <c r="A29">
        <v>-73.964992690000003</v>
      </c>
      <c r="B29">
        <v>40.794645439999996</v>
      </c>
      <c r="C29" t="s">
        <v>186</v>
      </c>
      <c r="D29" t="s">
        <v>38</v>
      </c>
      <c r="E29" s="58">
        <v>43391</v>
      </c>
      <c r="F29">
        <v>13</v>
      </c>
      <c r="G29" t="s">
        <v>48</v>
      </c>
      <c r="H29" t="s">
        <v>42</v>
      </c>
      <c r="I29" t="s">
        <v>42</v>
      </c>
      <c r="J29" t="s">
        <v>54</v>
      </c>
      <c r="K29" t="s">
        <v>2637</v>
      </c>
      <c r="L29" t="s">
        <v>65</v>
      </c>
      <c r="M29" t="b">
        <v>0</v>
      </c>
      <c r="N29" t="s">
        <v>3334</v>
      </c>
      <c r="O29" t="b">
        <v>1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1</v>
      </c>
      <c r="Z29" t="b">
        <v>1</v>
      </c>
      <c r="AA29" t="b">
        <v>0</v>
      </c>
      <c r="AB29" t="s">
        <v>2287</v>
      </c>
      <c r="AC29" t="s">
        <v>8560</v>
      </c>
    </row>
    <row r="30" spans="1:29" x14ac:dyDescent="0.3">
      <c r="A30">
        <v>-73.962534950000006</v>
      </c>
      <c r="B30">
        <v>40.776145509999999</v>
      </c>
      <c r="C30" t="s">
        <v>245</v>
      </c>
      <c r="D30" t="s">
        <v>38</v>
      </c>
      <c r="E30" s="58">
        <v>43382</v>
      </c>
      <c r="F30">
        <v>9</v>
      </c>
      <c r="G30" t="s">
        <v>48</v>
      </c>
      <c r="H30" t="s">
        <v>42</v>
      </c>
      <c r="I30" t="s">
        <v>59</v>
      </c>
      <c r="J30" t="s">
        <v>79</v>
      </c>
      <c r="K30" t="s">
        <v>1785</v>
      </c>
      <c r="L30" t="s">
        <v>65</v>
      </c>
      <c r="M30" t="b">
        <v>0</v>
      </c>
      <c r="N30" t="s">
        <v>3389</v>
      </c>
      <c r="O30" t="b">
        <v>0</v>
      </c>
      <c r="P30" t="b">
        <v>0</v>
      </c>
      <c r="Q30" t="b">
        <v>0</v>
      </c>
      <c r="R30" t="b">
        <v>0</v>
      </c>
      <c r="S30" t="b">
        <v>1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s">
        <v>3823</v>
      </c>
      <c r="AC30" t="s">
        <v>8561</v>
      </c>
    </row>
    <row r="31" spans="1:29" x14ac:dyDescent="0.3">
      <c r="A31">
        <v>-73.979698330000005</v>
      </c>
      <c r="B31">
        <v>40.794094999999999</v>
      </c>
      <c r="C31" t="s">
        <v>298</v>
      </c>
      <c r="D31" t="s">
        <v>38</v>
      </c>
      <c r="E31" s="58">
        <v>43384</v>
      </c>
      <c r="F31">
        <v>26</v>
      </c>
      <c r="G31" t="s">
        <v>48</v>
      </c>
      <c r="H31" t="s">
        <v>42</v>
      </c>
      <c r="I31" t="s">
        <v>53</v>
      </c>
      <c r="J31" t="s">
        <v>339</v>
      </c>
      <c r="K31" t="s">
        <v>4110</v>
      </c>
      <c r="L31" t="s">
        <v>44</v>
      </c>
      <c r="M31">
        <v>3</v>
      </c>
      <c r="N31" t="s">
        <v>6050</v>
      </c>
      <c r="O31" t="b">
        <v>0</v>
      </c>
      <c r="P31" t="b">
        <v>0</v>
      </c>
      <c r="Q31" t="b">
        <v>1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1</v>
      </c>
      <c r="AA31" t="b">
        <v>0</v>
      </c>
      <c r="AB31" t="s">
        <v>340</v>
      </c>
      <c r="AC31" t="s">
        <v>8562</v>
      </c>
    </row>
    <row r="32" spans="1:29" x14ac:dyDescent="0.3">
      <c r="A32">
        <v>-73.962059310000001</v>
      </c>
      <c r="B32">
        <v>40.766213630000003</v>
      </c>
      <c r="C32" t="s">
        <v>235</v>
      </c>
      <c r="D32" t="s">
        <v>33</v>
      </c>
      <c r="E32" s="58">
        <v>43382</v>
      </c>
      <c r="F32">
        <v>4</v>
      </c>
      <c r="G32" t="s">
        <v>48</v>
      </c>
      <c r="H32" t="s">
        <v>42</v>
      </c>
      <c r="I32" t="s">
        <v>53</v>
      </c>
      <c r="J32" t="s">
        <v>54</v>
      </c>
      <c r="K32" t="s">
        <v>2037</v>
      </c>
      <c r="L32" t="s">
        <v>44</v>
      </c>
      <c r="M32">
        <v>20</v>
      </c>
      <c r="N32" t="s">
        <v>2767</v>
      </c>
      <c r="O32" t="b">
        <v>1</v>
      </c>
      <c r="P32" t="b">
        <v>1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1</v>
      </c>
      <c r="Y32" t="b">
        <v>0</v>
      </c>
      <c r="Z32" t="b">
        <v>1</v>
      </c>
      <c r="AA32" t="b">
        <v>0</v>
      </c>
      <c r="AB32" t="s">
        <v>2123</v>
      </c>
      <c r="AC32" t="s">
        <v>8563</v>
      </c>
    </row>
    <row r="33" spans="1:29" x14ac:dyDescent="0.3">
      <c r="A33">
        <v>-73.975797850000006</v>
      </c>
      <c r="B33">
        <v>40.785904049999999</v>
      </c>
      <c r="C33" t="s">
        <v>1759</v>
      </c>
      <c r="D33" t="s">
        <v>33</v>
      </c>
      <c r="E33" s="58">
        <v>43382</v>
      </c>
      <c r="F33">
        <v>17</v>
      </c>
      <c r="G33" t="s">
        <v>48</v>
      </c>
      <c r="H33" t="s">
        <v>42</v>
      </c>
      <c r="I33" t="s">
        <v>59</v>
      </c>
      <c r="J33" t="s">
        <v>155</v>
      </c>
      <c r="K33" t="s">
        <v>6166</v>
      </c>
      <c r="L33" t="s">
        <v>65</v>
      </c>
      <c r="M33" t="b">
        <v>0</v>
      </c>
      <c r="N33" t="s">
        <v>742</v>
      </c>
      <c r="O33" t="b">
        <v>0</v>
      </c>
      <c r="P33" t="b">
        <v>0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1</v>
      </c>
      <c r="AA33" t="b">
        <v>0</v>
      </c>
      <c r="AB33" t="s">
        <v>685</v>
      </c>
      <c r="AC33" t="s">
        <v>8564</v>
      </c>
    </row>
    <row r="34" spans="1:29" x14ac:dyDescent="0.3">
      <c r="A34">
        <v>-73.979113569999996</v>
      </c>
      <c r="B34">
        <v>40.773008779999998</v>
      </c>
      <c r="C34" t="s">
        <v>879</v>
      </c>
      <c r="D34" t="s">
        <v>38</v>
      </c>
      <c r="E34" s="58">
        <v>43393</v>
      </c>
      <c r="F34">
        <v>16</v>
      </c>
      <c r="G34" t="s">
        <v>48</v>
      </c>
      <c r="H34" t="s">
        <v>42</v>
      </c>
      <c r="I34" t="s">
        <v>96</v>
      </c>
      <c r="J34" t="s">
        <v>43</v>
      </c>
      <c r="K34" t="s">
        <v>1181</v>
      </c>
      <c r="L34" t="s">
        <v>65</v>
      </c>
      <c r="M34" t="b">
        <v>0</v>
      </c>
      <c r="N34" t="s">
        <v>6521</v>
      </c>
      <c r="O34" t="b">
        <v>0</v>
      </c>
      <c r="P34" t="b">
        <v>0</v>
      </c>
      <c r="Q34" t="b">
        <v>0</v>
      </c>
      <c r="R34" t="b">
        <v>1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1</v>
      </c>
      <c r="AB34" t="s">
        <v>1367</v>
      </c>
      <c r="AC34" t="s">
        <v>8565</v>
      </c>
    </row>
    <row r="35" spans="1:29" x14ac:dyDescent="0.3">
      <c r="A35">
        <v>-73.95132864</v>
      </c>
      <c r="B35">
        <v>40.769155570000002</v>
      </c>
      <c r="C35" t="s">
        <v>1652</v>
      </c>
      <c r="D35" t="s">
        <v>33</v>
      </c>
      <c r="E35" s="58">
        <v>43382</v>
      </c>
      <c r="F35">
        <v>15</v>
      </c>
      <c r="G35" t="s">
        <v>48</v>
      </c>
      <c r="H35" t="s">
        <v>53</v>
      </c>
      <c r="I35" t="s">
        <v>53</v>
      </c>
      <c r="J35" t="s">
        <v>43</v>
      </c>
      <c r="K35" t="s">
        <v>1012</v>
      </c>
      <c r="L35" t="s">
        <v>44</v>
      </c>
      <c r="M35">
        <v>2</v>
      </c>
      <c r="N35" t="s">
        <v>1084</v>
      </c>
      <c r="O35" t="b">
        <v>1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1</v>
      </c>
      <c r="AB35" t="s">
        <v>2792</v>
      </c>
      <c r="AC35" t="s">
        <v>8566</v>
      </c>
    </row>
    <row r="36" spans="1:29" x14ac:dyDescent="0.3">
      <c r="A36">
        <v>-73.950802190000005</v>
      </c>
      <c r="B36">
        <v>40.767620020000003</v>
      </c>
      <c r="C36" t="s">
        <v>773</v>
      </c>
      <c r="D36" t="s">
        <v>33</v>
      </c>
      <c r="E36" s="58">
        <v>43387</v>
      </c>
      <c r="F36">
        <v>3</v>
      </c>
      <c r="G36" t="s">
        <v>48</v>
      </c>
      <c r="H36" t="s">
        <v>42</v>
      </c>
      <c r="I36" t="s">
        <v>53</v>
      </c>
      <c r="J36" t="s">
        <v>54</v>
      </c>
      <c r="K36" t="s">
        <v>6800</v>
      </c>
      <c r="L36" t="s">
        <v>65</v>
      </c>
      <c r="M36" t="b">
        <v>0</v>
      </c>
      <c r="N36" t="s">
        <v>456</v>
      </c>
      <c r="O36" t="b">
        <v>0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s">
        <v>1216</v>
      </c>
      <c r="AC36" t="s">
        <v>8567</v>
      </c>
    </row>
    <row r="37" spans="1:29" x14ac:dyDescent="0.3">
      <c r="A37">
        <v>-73.955745140000005</v>
      </c>
      <c r="B37">
        <v>40.7894255</v>
      </c>
      <c r="C37" t="s">
        <v>1906</v>
      </c>
      <c r="D37" t="s">
        <v>33</v>
      </c>
      <c r="E37" s="58">
        <v>43385</v>
      </c>
      <c r="F37">
        <v>25</v>
      </c>
      <c r="G37" t="s">
        <v>48</v>
      </c>
      <c r="H37" t="s">
        <v>53</v>
      </c>
      <c r="I37" t="s">
        <v>42</v>
      </c>
      <c r="J37" t="s">
        <v>79</v>
      </c>
      <c r="K37" t="s">
        <v>4237</v>
      </c>
      <c r="L37" t="s">
        <v>65</v>
      </c>
      <c r="M37" t="b">
        <v>0</v>
      </c>
      <c r="N37" t="s">
        <v>190</v>
      </c>
      <c r="O37" t="b">
        <v>1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1</v>
      </c>
      <c r="AA37" t="b">
        <v>1</v>
      </c>
      <c r="AB37" t="s">
        <v>418</v>
      </c>
      <c r="AC37" t="s">
        <v>8568</v>
      </c>
    </row>
    <row r="38" spans="1:29" x14ac:dyDescent="0.3">
      <c r="A38">
        <v>-73.971582490000003</v>
      </c>
      <c r="B38">
        <v>40.77687693</v>
      </c>
      <c r="C38" t="s">
        <v>646</v>
      </c>
      <c r="D38" t="s">
        <v>33</v>
      </c>
      <c r="E38" s="58">
        <v>43381</v>
      </c>
      <c r="F38">
        <v>20</v>
      </c>
      <c r="G38" t="s">
        <v>48</v>
      </c>
      <c r="H38" t="s">
        <v>42</v>
      </c>
      <c r="I38" t="s">
        <v>53</v>
      </c>
      <c r="J38" t="s">
        <v>89</v>
      </c>
      <c r="K38" t="s">
        <v>2927</v>
      </c>
      <c r="L38" t="s">
        <v>44</v>
      </c>
      <c r="M38">
        <v>6</v>
      </c>
      <c r="N38" t="s">
        <v>1207</v>
      </c>
      <c r="O38" t="b">
        <v>0</v>
      </c>
      <c r="P38" t="b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s">
        <v>4055</v>
      </c>
      <c r="AC38" t="s">
        <v>8569</v>
      </c>
    </row>
    <row r="39" spans="1:29" x14ac:dyDescent="0.3">
      <c r="A39">
        <v>-73.978088080000006</v>
      </c>
      <c r="B39">
        <v>40.790428149999997</v>
      </c>
      <c r="C39" t="s">
        <v>88</v>
      </c>
      <c r="D39" t="s">
        <v>38</v>
      </c>
      <c r="E39" s="58">
        <v>43381</v>
      </c>
      <c r="F39">
        <v>5</v>
      </c>
      <c r="G39" t="s">
        <v>48</v>
      </c>
      <c r="H39" t="s">
        <v>42</v>
      </c>
      <c r="I39" t="s">
        <v>53</v>
      </c>
      <c r="J39" t="s">
        <v>1922</v>
      </c>
      <c r="K39" t="s">
        <v>5168</v>
      </c>
      <c r="L39" t="s">
        <v>65</v>
      </c>
      <c r="M39" t="b">
        <v>0</v>
      </c>
      <c r="N39" t="s">
        <v>456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s">
        <v>3104</v>
      </c>
      <c r="AC39" t="s">
        <v>8570</v>
      </c>
    </row>
    <row r="40" spans="1:29" x14ac:dyDescent="0.3">
      <c r="A40">
        <v>-73.959648470000005</v>
      </c>
      <c r="B40">
        <v>40.767211719999999</v>
      </c>
      <c r="C40" t="s">
        <v>212</v>
      </c>
      <c r="D40" t="s">
        <v>33</v>
      </c>
      <c r="E40" s="58">
        <v>43384</v>
      </c>
      <c r="F40">
        <v>23</v>
      </c>
      <c r="G40" t="s">
        <v>48</v>
      </c>
      <c r="H40" t="s">
        <v>42</v>
      </c>
      <c r="I40" t="s">
        <v>176</v>
      </c>
      <c r="J40" t="s">
        <v>54</v>
      </c>
      <c r="K40" t="s">
        <v>2382</v>
      </c>
      <c r="L40" t="s">
        <v>44</v>
      </c>
      <c r="M40">
        <v>5</v>
      </c>
      <c r="N40" t="s">
        <v>456</v>
      </c>
      <c r="O40" t="b">
        <v>0</v>
      </c>
      <c r="P40" t="b">
        <v>0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1</v>
      </c>
      <c r="AA40" t="b">
        <v>0</v>
      </c>
      <c r="AB40" t="s">
        <v>749</v>
      </c>
      <c r="AC40" t="s">
        <v>8571</v>
      </c>
    </row>
    <row r="41" spans="1:29" x14ac:dyDescent="0.3">
      <c r="A41">
        <v>-73.967321589999997</v>
      </c>
      <c r="B41">
        <v>40.776011359999998</v>
      </c>
      <c r="C41" t="s">
        <v>564</v>
      </c>
      <c r="D41" t="s">
        <v>33</v>
      </c>
      <c r="E41" s="58">
        <v>43384</v>
      </c>
      <c r="F41">
        <v>5</v>
      </c>
      <c r="G41" t="s">
        <v>48</v>
      </c>
      <c r="H41" t="s">
        <v>53</v>
      </c>
      <c r="I41" t="s">
        <v>59</v>
      </c>
      <c r="J41" t="s">
        <v>43</v>
      </c>
      <c r="K41" t="s">
        <v>4180</v>
      </c>
      <c r="L41" t="s">
        <v>65</v>
      </c>
      <c r="M41" t="b">
        <v>0</v>
      </c>
      <c r="N41" t="s">
        <v>2101</v>
      </c>
      <c r="O41" t="b">
        <v>0</v>
      </c>
      <c r="P41" t="b">
        <v>0</v>
      </c>
      <c r="Q41" t="b">
        <v>1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b">
        <v>1</v>
      </c>
      <c r="Y41" t="b">
        <v>0</v>
      </c>
      <c r="Z41" t="b">
        <v>1</v>
      </c>
      <c r="AA41" t="b">
        <v>0</v>
      </c>
      <c r="AB41" t="s">
        <v>7073</v>
      </c>
      <c r="AC41" t="s">
        <v>8572</v>
      </c>
    </row>
    <row r="42" spans="1:29" x14ac:dyDescent="0.3">
      <c r="A42">
        <v>-73.977322090000001</v>
      </c>
      <c r="B42">
        <v>40.783904999999997</v>
      </c>
      <c r="C42" t="s">
        <v>893</v>
      </c>
      <c r="D42" t="s">
        <v>33</v>
      </c>
      <c r="E42" s="58">
        <v>43382</v>
      </c>
      <c r="F42">
        <v>20</v>
      </c>
      <c r="G42" t="s">
        <v>48</v>
      </c>
      <c r="H42" t="s">
        <v>42</v>
      </c>
      <c r="I42" t="s">
        <v>53</v>
      </c>
      <c r="J42" t="s">
        <v>89</v>
      </c>
      <c r="K42" t="s">
        <v>3050</v>
      </c>
      <c r="L42" t="s">
        <v>65</v>
      </c>
      <c r="M42" t="b">
        <v>0</v>
      </c>
      <c r="N42" t="s">
        <v>1819</v>
      </c>
      <c r="O42" t="b">
        <v>0</v>
      </c>
      <c r="P42" t="b">
        <v>0</v>
      </c>
      <c r="Q42" t="b">
        <v>1</v>
      </c>
      <c r="R42" t="b">
        <v>0</v>
      </c>
      <c r="S42" t="b">
        <v>1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1</v>
      </c>
      <c r="AA42" t="b">
        <v>0</v>
      </c>
      <c r="AB42" t="s">
        <v>3884</v>
      </c>
      <c r="AC42" t="s">
        <v>8573</v>
      </c>
    </row>
    <row r="43" spans="1:29" x14ac:dyDescent="0.3">
      <c r="A43">
        <v>-73.965591799999999</v>
      </c>
      <c r="B43">
        <v>40.792750329999997</v>
      </c>
      <c r="C43" t="s">
        <v>1515</v>
      </c>
      <c r="D43" t="s">
        <v>38</v>
      </c>
      <c r="E43" s="58">
        <v>43393</v>
      </c>
      <c r="F43">
        <v>15</v>
      </c>
      <c r="G43" t="s">
        <v>48</v>
      </c>
      <c r="H43" t="s">
        <v>42</v>
      </c>
      <c r="I43" t="s">
        <v>53</v>
      </c>
      <c r="J43" t="s">
        <v>79</v>
      </c>
      <c r="K43" t="s">
        <v>1181</v>
      </c>
      <c r="L43" t="s">
        <v>65</v>
      </c>
      <c r="M43" t="b">
        <v>0</v>
      </c>
      <c r="N43" t="s">
        <v>1871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1</v>
      </c>
      <c r="AB43" t="s">
        <v>4117</v>
      </c>
      <c r="AC43" t="s">
        <v>8574</v>
      </c>
    </row>
    <row r="44" spans="1:29" x14ac:dyDescent="0.3">
      <c r="A44">
        <v>-73.980077519999995</v>
      </c>
      <c r="B44">
        <v>40.776133260000002</v>
      </c>
      <c r="C44" t="s">
        <v>574</v>
      </c>
      <c r="D44" t="s">
        <v>33</v>
      </c>
      <c r="E44" s="58">
        <v>43393</v>
      </c>
      <c r="F44">
        <v>18</v>
      </c>
      <c r="G44" t="s">
        <v>48</v>
      </c>
      <c r="H44" t="s">
        <v>42</v>
      </c>
      <c r="I44" t="s">
        <v>53</v>
      </c>
      <c r="J44" t="s">
        <v>43</v>
      </c>
      <c r="K44" t="s">
        <v>49</v>
      </c>
      <c r="L44" t="s">
        <v>65</v>
      </c>
      <c r="M44" t="b">
        <v>0</v>
      </c>
      <c r="N44" t="s">
        <v>4648</v>
      </c>
      <c r="O44" t="b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s">
        <v>1660</v>
      </c>
      <c r="AC44" t="s">
        <v>8575</v>
      </c>
    </row>
    <row r="45" spans="1:29" x14ac:dyDescent="0.3">
      <c r="A45">
        <v>-73.952572450000005</v>
      </c>
      <c r="B45">
        <v>40.786946960000002</v>
      </c>
      <c r="C45" t="s">
        <v>646</v>
      </c>
      <c r="D45" t="s">
        <v>33</v>
      </c>
      <c r="E45" s="58">
        <v>43387</v>
      </c>
      <c r="F45">
        <v>15</v>
      </c>
      <c r="G45" t="s">
        <v>48</v>
      </c>
      <c r="H45" t="s">
        <v>42</v>
      </c>
      <c r="I45" t="s">
        <v>53</v>
      </c>
      <c r="J45" t="s">
        <v>54</v>
      </c>
      <c r="K45" t="s">
        <v>5413</v>
      </c>
      <c r="L45" t="s">
        <v>65</v>
      </c>
      <c r="M45" t="b">
        <v>0</v>
      </c>
      <c r="N45" t="s">
        <v>4012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0</v>
      </c>
      <c r="Z45" t="b">
        <v>0</v>
      </c>
      <c r="AA45" t="b">
        <v>0</v>
      </c>
      <c r="AB45" t="s">
        <v>1182</v>
      </c>
      <c r="AC45" t="s">
        <v>8576</v>
      </c>
    </row>
    <row r="46" spans="1:29" x14ac:dyDescent="0.3">
      <c r="A46">
        <v>-73.973023359999999</v>
      </c>
      <c r="B46">
        <v>40.796104040000003</v>
      </c>
      <c r="C46" t="s">
        <v>1240</v>
      </c>
      <c r="D46" t="s">
        <v>38</v>
      </c>
      <c r="E46" s="58">
        <v>43382</v>
      </c>
      <c r="F46">
        <v>2</v>
      </c>
      <c r="G46" t="s">
        <v>48</v>
      </c>
      <c r="H46" t="s">
        <v>42</v>
      </c>
      <c r="I46" t="s">
        <v>42</v>
      </c>
      <c r="J46" t="s">
        <v>97</v>
      </c>
      <c r="K46" t="s">
        <v>442</v>
      </c>
      <c r="L46" t="s">
        <v>65</v>
      </c>
      <c r="M46" t="b">
        <v>0</v>
      </c>
      <c r="N46" t="s">
        <v>1072</v>
      </c>
      <c r="O46" t="b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1</v>
      </c>
      <c r="AA46" t="b">
        <v>1</v>
      </c>
      <c r="AB46" t="s">
        <v>1963</v>
      </c>
      <c r="AC46" t="s">
        <v>8577</v>
      </c>
    </row>
    <row r="47" spans="1:29" x14ac:dyDescent="0.3">
      <c r="A47">
        <v>-73.960330990000003</v>
      </c>
      <c r="B47">
        <v>40.786593889999999</v>
      </c>
      <c r="C47" t="s">
        <v>304</v>
      </c>
      <c r="D47" t="s">
        <v>38</v>
      </c>
      <c r="E47" s="58">
        <v>43387</v>
      </c>
      <c r="F47">
        <v>29</v>
      </c>
      <c r="G47" t="s">
        <v>105</v>
      </c>
      <c r="H47" t="s">
        <v>53</v>
      </c>
      <c r="I47" t="s">
        <v>59</v>
      </c>
      <c r="J47" t="s">
        <v>97</v>
      </c>
      <c r="K47" t="s">
        <v>4180</v>
      </c>
      <c r="L47" t="s">
        <v>65</v>
      </c>
      <c r="M47" t="b">
        <v>0</v>
      </c>
      <c r="N47" t="s">
        <v>701</v>
      </c>
      <c r="O47" t="b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1</v>
      </c>
      <c r="AA47" t="b">
        <v>0</v>
      </c>
      <c r="AB47" t="s">
        <v>2182</v>
      </c>
      <c r="AC47" t="s">
        <v>8578</v>
      </c>
    </row>
    <row r="48" spans="1:29" x14ac:dyDescent="0.3">
      <c r="A48">
        <v>-73.971359379999996</v>
      </c>
      <c r="B48">
        <v>40.773112670000003</v>
      </c>
      <c r="C48" t="s">
        <v>502</v>
      </c>
      <c r="D48" t="s">
        <v>33</v>
      </c>
      <c r="E48" s="58">
        <v>43382</v>
      </c>
      <c r="F48">
        <v>13</v>
      </c>
      <c r="G48" t="s">
        <v>105</v>
      </c>
      <c r="H48" t="s">
        <v>176</v>
      </c>
      <c r="I48" t="s">
        <v>96</v>
      </c>
      <c r="J48" t="s">
        <v>54</v>
      </c>
      <c r="K48" t="s">
        <v>6823</v>
      </c>
      <c r="L48" t="s">
        <v>65</v>
      </c>
      <c r="M48" t="b">
        <v>0</v>
      </c>
      <c r="N48" t="s">
        <v>6787</v>
      </c>
      <c r="O48" t="b">
        <v>1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s">
        <v>799</v>
      </c>
      <c r="AC48" t="s">
        <v>8579</v>
      </c>
    </row>
    <row r="49" spans="1:29" x14ac:dyDescent="0.3">
      <c r="A49">
        <v>-73.964809299999999</v>
      </c>
      <c r="B49">
        <v>40.765769769999999</v>
      </c>
      <c r="C49" t="s">
        <v>2803</v>
      </c>
      <c r="D49" t="s">
        <v>33</v>
      </c>
      <c r="E49" s="58">
        <v>43380</v>
      </c>
      <c r="F49">
        <v>4</v>
      </c>
      <c r="G49" t="s">
        <v>48</v>
      </c>
      <c r="H49" t="s">
        <v>42</v>
      </c>
      <c r="I49" t="s">
        <v>42</v>
      </c>
      <c r="J49" t="s">
        <v>54</v>
      </c>
      <c r="K49" t="s">
        <v>2282</v>
      </c>
      <c r="L49" t="s">
        <v>65</v>
      </c>
      <c r="M49" t="b">
        <v>0</v>
      </c>
      <c r="N49" t="s">
        <v>190</v>
      </c>
      <c r="O49" t="b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1</v>
      </c>
      <c r="AA49" t="b">
        <v>1</v>
      </c>
      <c r="AB49" t="s">
        <v>669</v>
      </c>
      <c r="AC49" t="s">
        <v>8580</v>
      </c>
    </row>
    <row r="50" spans="1:29" x14ac:dyDescent="0.3">
      <c r="A50">
        <v>-73.963971749999999</v>
      </c>
      <c r="B50">
        <v>40.795544980000003</v>
      </c>
      <c r="C50" t="s">
        <v>1025</v>
      </c>
      <c r="D50" t="s">
        <v>33</v>
      </c>
      <c r="E50" s="58">
        <v>43380</v>
      </c>
      <c r="F50">
        <v>10</v>
      </c>
      <c r="G50" t="s">
        <v>48</v>
      </c>
      <c r="H50" t="s">
        <v>53</v>
      </c>
      <c r="I50" t="s">
        <v>59</v>
      </c>
      <c r="J50" t="s">
        <v>339</v>
      </c>
      <c r="K50" t="s">
        <v>2362</v>
      </c>
      <c r="L50" t="s">
        <v>65</v>
      </c>
      <c r="M50" t="b">
        <v>0</v>
      </c>
      <c r="N50" t="s">
        <v>5652</v>
      </c>
      <c r="O50" t="b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s">
        <v>340</v>
      </c>
      <c r="AC50" t="s">
        <v>8581</v>
      </c>
    </row>
    <row r="51" spans="1:29" x14ac:dyDescent="0.3">
      <c r="A51">
        <v>-73.975347350000007</v>
      </c>
      <c r="B51">
        <v>40.76565952</v>
      </c>
      <c r="C51" t="s">
        <v>1581</v>
      </c>
      <c r="D51" t="s">
        <v>33</v>
      </c>
      <c r="E51" s="58">
        <v>43383</v>
      </c>
      <c r="F51">
        <v>13</v>
      </c>
      <c r="G51" t="s">
        <v>48</v>
      </c>
      <c r="H51" t="s">
        <v>42</v>
      </c>
      <c r="I51" t="s">
        <v>53</v>
      </c>
      <c r="J51" t="s">
        <v>79</v>
      </c>
      <c r="K51" t="s">
        <v>1558</v>
      </c>
      <c r="L51" t="s">
        <v>65</v>
      </c>
      <c r="M51" t="b">
        <v>0</v>
      </c>
      <c r="N51" t="s">
        <v>815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s">
        <v>2552</v>
      </c>
      <c r="AC51" t="s">
        <v>8582</v>
      </c>
    </row>
    <row r="52" spans="1:29" x14ac:dyDescent="0.3">
      <c r="A52">
        <v>-73.950677929999998</v>
      </c>
      <c r="B52">
        <v>40.795707030000003</v>
      </c>
      <c r="C52" t="s">
        <v>782</v>
      </c>
      <c r="D52" t="s">
        <v>33</v>
      </c>
      <c r="E52" s="58">
        <v>43382</v>
      </c>
      <c r="F52">
        <v>10</v>
      </c>
      <c r="G52" t="s">
        <v>48</v>
      </c>
      <c r="H52" t="s">
        <v>42</v>
      </c>
      <c r="I52" t="s">
        <v>59</v>
      </c>
      <c r="J52" t="s">
        <v>54</v>
      </c>
      <c r="K52" t="s">
        <v>2382</v>
      </c>
      <c r="L52" t="s">
        <v>65</v>
      </c>
      <c r="M52" t="b">
        <v>0</v>
      </c>
      <c r="N52" t="s">
        <v>6641</v>
      </c>
      <c r="O52" t="b">
        <v>0</v>
      </c>
      <c r="P52" t="b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1</v>
      </c>
      <c r="AA52" t="b">
        <v>0</v>
      </c>
      <c r="AB52" t="s">
        <v>3679</v>
      </c>
      <c r="AC52" t="s">
        <v>8583</v>
      </c>
    </row>
    <row r="53" spans="1:29" x14ac:dyDescent="0.3">
      <c r="A53">
        <v>-73.956790870000006</v>
      </c>
      <c r="B53">
        <v>40.783533409999997</v>
      </c>
      <c r="C53" t="s">
        <v>1320</v>
      </c>
      <c r="D53" t="s">
        <v>33</v>
      </c>
      <c r="E53" s="58">
        <v>43385</v>
      </c>
      <c r="F53">
        <v>29</v>
      </c>
      <c r="G53" t="s">
        <v>48</v>
      </c>
      <c r="H53" t="s">
        <v>42</v>
      </c>
      <c r="I53" t="s">
        <v>42</v>
      </c>
      <c r="J53" t="s">
        <v>43</v>
      </c>
      <c r="K53" t="s">
        <v>1696</v>
      </c>
      <c r="L53" t="s">
        <v>65</v>
      </c>
      <c r="M53" t="b">
        <v>0</v>
      </c>
      <c r="N53" t="s">
        <v>3424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1</v>
      </c>
      <c r="AA53" t="b">
        <v>0</v>
      </c>
      <c r="AB53" t="s">
        <v>4464</v>
      </c>
      <c r="AC53" t="s">
        <v>8584</v>
      </c>
    </row>
    <row r="54" spans="1:29" x14ac:dyDescent="0.3">
      <c r="A54">
        <v>-73.951623729999994</v>
      </c>
      <c r="B54">
        <v>40.797973220000003</v>
      </c>
      <c r="C54" t="s">
        <v>286</v>
      </c>
      <c r="D54" t="s">
        <v>33</v>
      </c>
      <c r="E54" s="58">
        <v>43392</v>
      </c>
      <c r="F54">
        <v>9</v>
      </c>
      <c r="G54" t="s">
        <v>48</v>
      </c>
      <c r="H54" t="s">
        <v>42</v>
      </c>
      <c r="I54" t="s">
        <v>96</v>
      </c>
      <c r="J54" t="s">
        <v>97</v>
      </c>
      <c r="K54" t="s">
        <v>3248</v>
      </c>
      <c r="L54" t="s">
        <v>65</v>
      </c>
      <c r="M54" t="b">
        <v>0</v>
      </c>
      <c r="N54" t="s">
        <v>3334</v>
      </c>
      <c r="O54" t="b">
        <v>1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b">
        <v>0</v>
      </c>
      <c r="W54" t="b">
        <v>0</v>
      </c>
      <c r="X54" t="b">
        <v>1</v>
      </c>
      <c r="Y54" t="b">
        <v>0</v>
      </c>
      <c r="Z54" t="b">
        <v>0</v>
      </c>
      <c r="AA54" t="b">
        <v>0</v>
      </c>
      <c r="AB54" t="s">
        <v>669</v>
      </c>
      <c r="AC54" t="s">
        <v>8585</v>
      </c>
    </row>
    <row r="55" spans="1:29" x14ac:dyDescent="0.3">
      <c r="A55">
        <v>-73.953028059999994</v>
      </c>
      <c r="B55">
        <v>40.793034110000001</v>
      </c>
      <c r="C55" t="s">
        <v>2016</v>
      </c>
      <c r="D55" t="s">
        <v>33</v>
      </c>
      <c r="E55" s="58">
        <v>43389</v>
      </c>
      <c r="F55">
        <v>8</v>
      </c>
      <c r="G55" t="s">
        <v>48</v>
      </c>
      <c r="H55" t="s">
        <v>176</v>
      </c>
      <c r="I55" t="s">
        <v>53</v>
      </c>
      <c r="J55" t="s">
        <v>43</v>
      </c>
      <c r="K55" t="s">
        <v>7359</v>
      </c>
      <c r="L55" t="s">
        <v>65</v>
      </c>
      <c r="M55" t="b">
        <v>0</v>
      </c>
      <c r="N55" t="s">
        <v>3166</v>
      </c>
      <c r="O55" t="b">
        <v>1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1</v>
      </c>
      <c r="AA55" t="b">
        <v>0</v>
      </c>
      <c r="AB55" t="s">
        <v>205</v>
      </c>
      <c r="AC55" t="s">
        <v>8586</v>
      </c>
    </row>
    <row r="56" spans="1:29" x14ac:dyDescent="0.3">
      <c r="A56">
        <v>-73.962362510000005</v>
      </c>
      <c r="B56">
        <v>40.800045779999998</v>
      </c>
      <c r="C56" t="s">
        <v>893</v>
      </c>
      <c r="D56" t="s">
        <v>38</v>
      </c>
      <c r="E56" s="58">
        <v>43383</v>
      </c>
      <c r="F56">
        <v>3</v>
      </c>
      <c r="G56" t="s">
        <v>48</v>
      </c>
      <c r="H56" t="s">
        <v>42</v>
      </c>
      <c r="I56" t="s">
        <v>59</v>
      </c>
      <c r="J56" t="s">
        <v>43</v>
      </c>
      <c r="K56" t="s">
        <v>6800</v>
      </c>
      <c r="L56" t="s">
        <v>65</v>
      </c>
      <c r="M56" t="b">
        <v>0</v>
      </c>
      <c r="N56" t="s">
        <v>1555</v>
      </c>
      <c r="O56" t="b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s">
        <v>340</v>
      </c>
      <c r="AC56" t="s">
        <v>8587</v>
      </c>
    </row>
    <row r="57" spans="1:29" x14ac:dyDescent="0.3">
      <c r="A57">
        <v>-73.952177789999993</v>
      </c>
      <c r="B57">
        <v>40.77725848</v>
      </c>
      <c r="C57" t="s">
        <v>604</v>
      </c>
      <c r="D57" t="s">
        <v>38</v>
      </c>
      <c r="E57" s="58">
        <v>43384</v>
      </c>
      <c r="F57">
        <v>16</v>
      </c>
      <c r="G57" t="s">
        <v>48</v>
      </c>
      <c r="H57" t="s">
        <v>42</v>
      </c>
      <c r="I57" t="s">
        <v>59</v>
      </c>
      <c r="J57" t="s">
        <v>54</v>
      </c>
      <c r="K57" t="s">
        <v>5976</v>
      </c>
      <c r="L57" t="s">
        <v>44</v>
      </c>
      <c r="M57">
        <v>25</v>
      </c>
      <c r="N57" t="s">
        <v>2996</v>
      </c>
      <c r="O57" t="b">
        <v>0</v>
      </c>
      <c r="P57" t="b">
        <v>0</v>
      </c>
      <c r="Q57" t="b">
        <v>1</v>
      </c>
      <c r="R57" t="b">
        <v>0</v>
      </c>
      <c r="S57" t="b">
        <v>1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1</v>
      </c>
      <c r="AA57" t="b">
        <v>1</v>
      </c>
      <c r="AB57" t="s">
        <v>1029</v>
      </c>
      <c r="AC57" t="s">
        <v>8588</v>
      </c>
    </row>
    <row r="58" spans="1:29" x14ac:dyDescent="0.3">
      <c r="A58">
        <v>-73.978376659999995</v>
      </c>
      <c r="B58">
        <v>40.791921719999998</v>
      </c>
      <c r="C58" t="s">
        <v>879</v>
      </c>
      <c r="D58" t="s">
        <v>38</v>
      </c>
      <c r="E58" s="58">
        <v>43388</v>
      </c>
      <c r="F58">
        <v>14</v>
      </c>
      <c r="G58" t="s">
        <v>48</v>
      </c>
      <c r="H58" t="s">
        <v>42</v>
      </c>
      <c r="I58" t="s">
        <v>42</v>
      </c>
      <c r="J58" t="s">
        <v>43</v>
      </c>
      <c r="K58" t="s">
        <v>6299</v>
      </c>
      <c r="L58" t="s">
        <v>65</v>
      </c>
      <c r="M58" t="b">
        <v>0</v>
      </c>
      <c r="N58" t="s">
        <v>1016</v>
      </c>
      <c r="O58" t="b">
        <v>0</v>
      </c>
      <c r="P58" t="b">
        <v>0</v>
      </c>
      <c r="Q58" t="b">
        <v>1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s">
        <v>4589</v>
      </c>
      <c r="AC58" t="s">
        <v>8589</v>
      </c>
    </row>
    <row r="59" spans="1:29" x14ac:dyDescent="0.3">
      <c r="A59">
        <v>-73.974997500000001</v>
      </c>
      <c r="B59">
        <v>40.77906179</v>
      </c>
      <c r="C59" t="s">
        <v>78</v>
      </c>
      <c r="D59" t="s">
        <v>33</v>
      </c>
      <c r="E59" s="58">
        <v>43382</v>
      </c>
      <c r="F59">
        <v>9</v>
      </c>
      <c r="G59" t="s">
        <v>105</v>
      </c>
      <c r="H59" t="s">
        <v>42</v>
      </c>
      <c r="I59" t="s">
        <v>53</v>
      </c>
      <c r="J59" t="s">
        <v>79</v>
      </c>
      <c r="K59" t="s">
        <v>1688</v>
      </c>
      <c r="L59" t="s">
        <v>65</v>
      </c>
      <c r="M59" t="b">
        <v>0</v>
      </c>
      <c r="N59" t="s">
        <v>3496</v>
      </c>
      <c r="O59" t="b">
        <v>0</v>
      </c>
      <c r="P59" t="b">
        <v>1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s">
        <v>2668</v>
      </c>
      <c r="AC59" t="s">
        <v>8590</v>
      </c>
    </row>
    <row r="60" spans="1:29" x14ac:dyDescent="0.3">
      <c r="A60">
        <v>-73.979736779999996</v>
      </c>
      <c r="B60">
        <v>40.781806060000001</v>
      </c>
      <c r="C60" t="s">
        <v>260</v>
      </c>
      <c r="D60" t="s">
        <v>33</v>
      </c>
      <c r="E60" s="58">
        <v>43391</v>
      </c>
      <c r="F60">
        <v>30</v>
      </c>
      <c r="G60" t="s">
        <v>48</v>
      </c>
      <c r="H60" t="s">
        <v>42</v>
      </c>
      <c r="I60" t="s">
        <v>59</v>
      </c>
      <c r="J60" t="s">
        <v>43</v>
      </c>
      <c r="K60" t="s">
        <v>3758</v>
      </c>
      <c r="L60" t="s">
        <v>44</v>
      </c>
      <c r="M60">
        <v>4</v>
      </c>
      <c r="N60" t="s">
        <v>190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s">
        <v>2131</v>
      </c>
      <c r="AC60" t="s">
        <v>8591</v>
      </c>
    </row>
    <row r="61" spans="1:29" x14ac:dyDescent="0.3">
      <c r="A61">
        <v>-73.970931230000005</v>
      </c>
      <c r="B61">
        <v>40.78700379</v>
      </c>
      <c r="C61" t="s">
        <v>1112</v>
      </c>
      <c r="D61" t="s">
        <v>38</v>
      </c>
      <c r="E61" s="58">
        <v>43390</v>
      </c>
      <c r="F61">
        <v>21</v>
      </c>
      <c r="G61" t="s">
        <v>48</v>
      </c>
      <c r="H61" t="s">
        <v>176</v>
      </c>
      <c r="I61" t="s">
        <v>42</v>
      </c>
      <c r="J61" t="s">
        <v>79</v>
      </c>
      <c r="K61" t="s">
        <v>6367</v>
      </c>
      <c r="L61" t="s">
        <v>44</v>
      </c>
      <c r="M61">
        <v>3</v>
      </c>
      <c r="N61" t="s">
        <v>190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s">
        <v>1660</v>
      </c>
      <c r="AC61" t="s">
        <v>8592</v>
      </c>
    </row>
    <row r="62" spans="1:29" x14ac:dyDescent="0.3">
      <c r="A62">
        <v>-73.968939809999995</v>
      </c>
      <c r="B62">
        <v>40.795670960000002</v>
      </c>
      <c r="C62" t="s">
        <v>52</v>
      </c>
      <c r="D62" t="s">
        <v>33</v>
      </c>
      <c r="E62" s="58">
        <v>43380</v>
      </c>
      <c r="F62">
        <v>11</v>
      </c>
      <c r="G62" t="s">
        <v>105</v>
      </c>
      <c r="H62" t="s">
        <v>42</v>
      </c>
      <c r="I62" t="s">
        <v>59</v>
      </c>
      <c r="J62" t="s">
        <v>43</v>
      </c>
      <c r="K62" t="s">
        <v>4791</v>
      </c>
      <c r="L62" t="s">
        <v>65</v>
      </c>
      <c r="M62" t="b">
        <v>0</v>
      </c>
      <c r="N62" t="s">
        <v>4573</v>
      </c>
      <c r="O62" t="b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s">
        <v>5150</v>
      </c>
      <c r="AC62" t="s">
        <v>8593</v>
      </c>
    </row>
    <row r="63" spans="1:29" x14ac:dyDescent="0.3">
      <c r="A63">
        <v>-73.972628229999998</v>
      </c>
      <c r="B63">
        <v>40.799558130000001</v>
      </c>
      <c r="C63" t="s">
        <v>423</v>
      </c>
      <c r="D63" t="s">
        <v>33</v>
      </c>
      <c r="E63" s="58">
        <v>43391</v>
      </c>
      <c r="F63">
        <v>3</v>
      </c>
      <c r="G63" t="s">
        <v>48</v>
      </c>
      <c r="H63" t="s">
        <v>42</v>
      </c>
      <c r="I63" t="s">
        <v>59</v>
      </c>
      <c r="J63" t="s">
        <v>43</v>
      </c>
      <c r="K63" t="s">
        <v>7049</v>
      </c>
      <c r="L63" t="s">
        <v>44</v>
      </c>
      <c r="M63">
        <v>15</v>
      </c>
      <c r="N63" t="s">
        <v>456</v>
      </c>
      <c r="O63" t="b">
        <v>0</v>
      </c>
      <c r="P63" t="b">
        <v>0</v>
      </c>
      <c r="Q63" t="b">
        <v>1</v>
      </c>
      <c r="R63" t="b">
        <v>1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1</v>
      </c>
      <c r="AA63" t="b">
        <v>0</v>
      </c>
      <c r="AB63" t="s">
        <v>2552</v>
      </c>
      <c r="AC63" t="s">
        <v>8594</v>
      </c>
    </row>
    <row r="64" spans="1:29" x14ac:dyDescent="0.3">
      <c r="A64">
        <v>-73.955105709999998</v>
      </c>
      <c r="B64">
        <v>40.791959919999996</v>
      </c>
      <c r="C64" t="s">
        <v>1090</v>
      </c>
      <c r="D64" t="s">
        <v>38</v>
      </c>
      <c r="E64" s="58">
        <v>43388</v>
      </c>
      <c r="F64">
        <v>5</v>
      </c>
      <c r="G64" t="s">
        <v>48</v>
      </c>
      <c r="H64" t="s">
        <v>42</v>
      </c>
      <c r="I64" t="s">
        <v>53</v>
      </c>
      <c r="J64" t="s">
        <v>43</v>
      </c>
      <c r="K64" t="s">
        <v>150</v>
      </c>
      <c r="L64" t="s">
        <v>65</v>
      </c>
      <c r="M64" t="b">
        <v>0</v>
      </c>
      <c r="N64" t="s">
        <v>2632</v>
      </c>
      <c r="O64" t="b">
        <v>1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1</v>
      </c>
      <c r="AA64" t="b">
        <v>0</v>
      </c>
      <c r="AB64" t="s">
        <v>3274</v>
      </c>
      <c r="AC64" t="s">
        <v>8595</v>
      </c>
    </row>
    <row r="65" spans="1:29" x14ac:dyDescent="0.3">
      <c r="A65">
        <v>-73.969943389999997</v>
      </c>
      <c r="B65">
        <v>40.779619340000004</v>
      </c>
      <c r="C65" t="s">
        <v>782</v>
      </c>
      <c r="D65" t="s">
        <v>38</v>
      </c>
      <c r="E65" s="58">
        <v>43387</v>
      </c>
      <c r="F65">
        <v>29</v>
      </c>
      <c r="G65" t="s">
        <v>48</v>
      </c>
      <c r="H65" t="s">
        <v>42</v>
      </c>
      <c r="I65" t="s">
        <v>53</v>
      </c>
      <c r="J65" t="s">
        <v>116</v>
      </c>
      <c r="K65" t="s">
        <v>3248</v>
      </c>
      <c r="L65" t="s">
        <v>44</v>
      </c>
      <c r="M65">
        <v>3</v>
      </c>
      <c r="N65" t="s">
        <v>140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1</v>
      </c>
      <c r="AA65" t="b">
        <v>0</v>
      </c>
      <c r="AB65" t="s">
        <v>3312</v>
      </c>
      <c r="AC65" t="s">
        <v>8596</v>
      </c>
    </row>
    <row r="66" spans="1:29" x14ac:dyDescent="0.3">
      <c r="A66">
        <v>-73.972326899999999</v>
      </c>
      <c r="B66">
        <v>40.779745740000003</v>
      </c>
      <c r="C66" t="s">
        <v>415</v>
      </c>
      <c r="D66" t="s">
        <v>38</v>
      </c>
      <c r="E66" s="58">
        <v>43388</v>
      </c>
      <c r="F66">
        <v>10</v>
      </c>
      <c r="G66" t="s">
        <v>48</v>
      </c>
      <c r="H66" t="s">
        <v>42</v>
      </c>
      <c r="I66" t="s">
        <v>53</v>
      </c>
      <c r="J66" t="s">
        <v>60</v>
      </c>
      <c r="K66" t="s">
        <v>4177</v>
      </c>
      <c r="L66" t="s">
        <v>65</v>
      </c>
      <c r="M66" t="b">
        <v>0</v>
      </c>
      <c r="N66" t="s">
        <v>3185</v>
      </c>
      <c r="O66" t="b">
        <v>0</v>
      </c>
      <c r="P66" t="b">
        <v>0</v>
      </c>
      <c r="Q66" t="b">
        <v>1</v>
      </c>
      <c r="R66" t="b">
        <v>0</v>
      </c>
      <c r="S66" t="b">
        <v>1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1</v>
      </c>
      <c r="AA66" t="b">
        <v>0</v>
      </c>
      <c r="AB66" t="s">
        <v>2090</v>
      </c>
      <c r="AC66" t="s">
        <v>8597</v>
      </c>
    </row>
    <row r="67" spans="1:29" x14ac:dyDescent="0.3">
      <c r="A67">
        <v>-73.964097949999996</v>
      </c>
      <c r="B67">
        <v>40.790879359999998</v>
      </c>
      <c r="C67" t="s">
        <v>514</v>
      </c>
      <c r="D67" t="s">
        <v>33</v>
      </c>
      <c r="E67" s="58">
        <v>43393</v>
      </c>
      <c r="F67">
        <v>13</v>
      </c>
      <c r="G67" t="s">
        <v>48</v>
      </c>
      <c r="H67" t="s">
        <v>42</v>
      </c>
      <c r="I67" t="s">
        <v>115</v>
      </c>
      <c r="J67" t="s">
        <v>43</v>
      </c>
      <c r="K67" t="s">
        <v>7003</v>
      </c>
      <c r="L67" t="s">
        <v>65</v>
      </c>
      <c r="M67" t="b">
        <v>0</v>
      </c>
      <c r="N67" t="s">
        <v>815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1</v>
      </c>
      <c r="AA67" t="b">
        <v>0</v>
      </c>
      <c r="AB67" t="s">
        <v>650</v>
      </c>
      <c r="AC67" t="s">
        <v>8598</v>
      </c>
    </row>
    <row r="68" spans="1:29" x14ac:dyDescent="0.3">
      <c r="A68">
        <v>-73.976728370000004</v>
      </c>
      <c r="B68">
        <v>40.773317499999997</v>
      </c>
      <c r="C68" t="s">
        <v>311</v>
      </c>
      <c r="D68" t="s">
        <v>33</v>
      </c>
      <c r="E68" s="58">
        <v>43385</v>
      </c>
      <c r="F68">
        <v>4</v>
      </c>
      <c r="G68" t="s">
        <v>48</v>
      </c>
      <c r="H68" t="s">
        <v>42</v>
      </c>
      <c r="I68" t="s">
        <v>53</v>
      </c>
      <c r="J68" t="s">
        <v>97</v>
      </c>
      <c r="K68" t="s">
        <v>565</v>
      </c>
      <c r="L68" t="s">
        <v>44</v>
      </c>
      <c r="M68">
        <v>40</v>
      </c>
      <c r="N68" t="s">
        <v>978</v>
      </c>
      <c r="O68" t="b">
        <v>0</v>
      </c>
      <c r="P68" t="b">
        <v>0</v>
      </c>
      <c r="Q68" t="b">
        <v>1</v>
      </c>
      <c r="R68" t="b">
        <v>1</v>
      </c>
      <c r="S68" t="b">
        <v>1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1</v>
      </c>
      <c r="AA68" t="b">
        <v>0</v>
      </c>
      <c r="AB68" t="s">
        <v>6121</v>
      </c>
      <c r="AC68" t="s">
        <v>8599</v>
      </c>
    </row>
    <row r="69" spans="1:29" x14ac:dyDescent="0.3">
      <c r="A69">
        <v>-73.955940060000003</v>
      </c>
      <c r="B69">
        <v>40.768800220000003</v>
      </c>
      <c r="C69" t="s">
        <v>245</v>
      </c>
      <c r="D69" t="s">
        <v>38</v>
      </c>
      <c r="E69" s="58">
        <v>43382</v>
      </c>
      <c r="F69">
        <v>24</v>
      </c>
      <c r="G69" t="s">
        <v>48</v>
      </c>
      <c r="H69" t="s">
        <v>42</v>
      </c>
      <c r="I69" t="s">
        <v>59</v>
      </c>
      <c r="J69" t="s">
        <v>79</v>
      </c>
      <c r="K69" t="s">
        <v>4477</v>
      </c>
      <c r="L69" t="s">
        <v>65</v>
      </c>
      <c r="M69" t="b">
        <v>0</v>
      </c>
      <c r="N69" t="s">
        <v>456</v>
      </c>
      <c r="O69" t="b">
        <v>0</v>
      </c>
      <c r="P69" t="b">
        <v>0</v>
      </c>
      <c r="Q69" t="b">
        <v>1</v>
      </c>
      <c r="R69" t="b">
        <v>0</v>
      </c>
      <c r="S69" t="b">
        <v>1</v>
      </c>
      <c r="T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0</v>
      </c>
      <c r="Z69" t="b">
        <v>0</v>
      </c>
      <c r="AA69" t="b">
        <v>1</v>
      </c>
      <c r="AB69" t="s">
        <v>3061</v>
      </c>
      <c r="AC69" t="s">
        <v>8600</v>
      </c>
    </row>
    <row r="70" spans="1:29" x14ac:dyDescent="0.3">
      <c r="A70">
        <v>-73.97881495</v>
      </c>
      <c r="B70">
        <v>40.777396150000001</v>
      </c>
      <c r="C70" t="s">
        <v>286</v>
      </c>
      <c r="D70" t="s">
        <v>33</v>
      </c>
      <c r="E70" s="58">
        <v>43381</v>
      </c>
      <c r="F70">
        <v>13</v>
      </c>
      <c r="G70" t="s">
        <v>48</v>
      </c>
      <c r="H70" t="s">
        <v>42</v>
      </c>
      <c r="I70" t="s">
        <v>59</v>
      </c>
      <c r="J70" t="s">
        <v>149</v>
      </c>
      <c r="K70" t="s">
        <v>2136</v>
      </c>
      <c r="L70" t="s">
        <v>65</v>
      </c>
      <c r="M70" t="b">
        <v>0</v>
      </c>
      <c r="N70" t="s">
        <v>190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1</v>
      </c>
      <c r="Y70" t="b">
        <v>0</v>
      </c>
      <c r="Z70" t="b">
        <v>0</v>
      </c>
      <c r="AA70" t="b">
        <v>0</v>
      </c>
      <c r="AB70" t="s">
        <v>4147</v>
      </c>
      <c r="AC70" t="s">
        <v>8601</v>
      </c>
    </row>
    <row r="71" spans="1:29" x14ac:dyDescent="0.3">
      <c r="A71">
        <v>-73.950134000000006</v>
      </c>
      <c r="B71">
        <v>40.775023740000002</v>
      </c>
      <c r="C71" t="s">
        <v>439</v>
      </c>
      <c r="D71" t="s">
        <v>38</v>
      </c>
      <c r="E71" s="58">
        <v>43388</v>
      </c>
      <c r="F71">
        <v>12</v>
      </c>
      <c r="G71" t="s">
        <v>48</v>
      </c>
      <c r="H71" t="s">
        <v>42</v>
      </c>
      <c r="I71" t="s">
        <v>53</v>
      </c>
      <c r="J71" t="s">
        <v>54</v>
      </c>
      <c r="K71" t="s">
        <v>809</v>
      </c>
      <c r="L71" t="s">
        <v>65</v>
      </c>
      <c r="M71" t="b">
        <v>0</v>
      </c>
      <c r="N71" t="s">
        <v>190</v>
      </c>
      <c r="O71" t="b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1</v>
      </c>
      <c r="AA71" t="b">
        <v>1</v>
      </c>
      <c r="AB71" t="s">
        <v>1367</v>
      </c>
      <c r="AC71" t="s">
        <v>8602</v>
      </c>
    </row>
    <row r="72" spans="1:29" x14ac:dyDescent="0.3">
      <c r="A72">
        <v>-73.956881670000001</v>
      </c>
      <c r="B72">
        <v>40.775343040000003</v>
      </c>
      <c r="C72" t="s">
        <v>1352</v>
      </c>
      <c r="D72" t="s">
        <v>38</v>
      </c>
      <c r="E72" s="58">
        <v>43392</v>
      </c>
      <c r="F72">
        <v>5</v>
      </c>
      <c r="G72" t="s">
        <v>105</v>
      </c>
      <c r="H72" t="s">
        <v>42</v>
      </c>
      <c r="I72" t="s">
        <v>59</v>
      </c>
      <c r="J72" t="s">
        <v>79</v>
      </c>
      <c r="K72" t="s">
        <v>4814</v>
      </c>
      <c r="L72" t="s">
        <v>65</v>
      </c>
      <c r="M72" t="b">
        <v>0</v>
      </c>
      <c r="N72" t="s">
        <v>6706</v>
      </c>
      <c r="O72" t="b">
        <v>0</v>
      </c>
      <c r="P72" t="b">
        <v>0</v>
      </c>
      <c r="Q72" t="b">
        <v>1</v>
      </c>
      <c r="R72" t="b">
        <v>0</v>
      </c>
      <c r="S72" t="b">
        <v>1</v>
      </c>
      <c r="T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0</v>
      </c>
      <c r="Z72" t="b">
        <v>0</v>
      </c>
      <c r="AA72" t="b">
        <v>1</v>
      </c>
      <c r="AB72" t="s">
        <v>2751</v>
      </c>
      <c r="AC72" t="s">
        <v>8603</v>
      </c>
    </row>
    <row r="73" spans="1:29" x14ac:dyDescent="0.3">
      <c r="A73">
        <v>-73.974911590000005</v>
      </c>
      <c r="B73">
        <v>40.773135490000001</v>
      </c>
      <c r="C73" t="s">
        <v>505</v>
      </c>
      <c r="D73" t="s">
        <v>38</v>
      </c>
      <c r="E73" s="58">
        <v>43393</v>
      </c>
      <c r="F73">
        <v>10</v>
      </c>
      <c r="G73" t="s">
        <v>48</v>
      </c>
      <c r="H73" t="s">
        <v>42</v>
      </c>
      <c r="I73" t="s">
        <v>96</v>
      </c>
      <c r="J73" t="s">
        <v>43</v>
      </c>
      <c r="K73" t="s">
        <v>2503</v>
      </c>
      <c r="L73" t="s">
        <v>65</v>
      </c>
      <c r="M73" t="b">
        <v>0</v>
      </c>
      <c r="N73" t="s">
        <v>456</v>
      </c>
      <c r="O73" t="b">
        <v>0</v>
      </c>
      <c r="P73" t="b">
        <v>0</v>
      </c>
      <c r="Q73" t="b">
        <v>1</v>
      </c>
      <c r="R73" t="b">
        <v>0</v>
      </c>
      <c r="S73" t="b">
        <v>1</v>
      </c>
      <c r="T73" t="b">
        <v>0</v>
      </c>
      <c r="U73" t="b">
        <v>0</v>
      </c>
      <c r="V73" t="b">
        <v>0</v>
      </c>
      <c r="W73" t="b">
        <v>0</v>
      </c>
      <c r="X73" t="b">
        <v>1</v>
      </c>
      <c r="Y73" t="b">
        <v>1</v>
      </c>
      <c r="Z73" t="b">
        <v>1</v>
      </c>
      <c r="AA73" t="b">
        <v>0</v>
      </c>
      <c r="AB73" t="s">
        <v>5849</v>
      </c>
      <c r="AC73" t="s">
        <v>8604</v>
      </c>
    </row>
    <row r="74" spans="1:29" x14ac:dyDescent="0.3">
      <c r="A74">
        <v>-73.980984980000002</v>
      </c>
      <c r="B74">
        <v>40.766392680000003</v>
      </c>
      <c r="C74" t="s">
        <v>311</v>
      </c>
      <c r="D74" t="s">
        <v>33</v>
      </c>
      <c r="E74" s="58">
        <v>43381</v>
      </c>
      <c r="F74">
        <v>28</v>
      </c>
      <c r="G74" t="s">
        <v>48</v>
      </c>
      <c r="H74" t="s">
        <v>42</v>
      </c>
      <c r="I74" t="s">
        <v>42</v>
      </c>
      <c r="J74" t="s">
        <v>54</v>
      </c>
      <c r="K74" t="s">
        <v>3843</v>
      </c>
      <c r="L74" t="s">
        <v>65</v>
      </c>
      <c r="M74" t="b">
        <v>0</v>
      </c>
      <c r="N74" t="s">
        <v>3176</v>
      </c>
      <c r="O74" t="b">
        <v>1</v>
      </c>
      <c r="P74" t="b">
        <v>0</v>
      </c>
      <c r="Q74" t="b">
        <v>1</v>
      </c>
      <c r="R74" t="b">
        <v>0</v>
      </c>
      <c r="S74" t="b">
        <v>1</v>
      </c>
      <c r="T74" t="b">
        <v>1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1</v>
      </c>
      <c r="AA74" t="b">
        <v>0</v>
      </c>
      <c r="AB74" t="s">
        <v>635</v>
      </c>
      <c r="AC74" t="s">
        <v>8605</v>
      </c>
    </row>
    <row r="75" spans="1:29" x14ac:dyDescent="0.3">
      <c r="A75">
        <v>-73.955523069999998</v>
      </c>
      <c r="B75">
        <v>40.765539969999999</v>
      </c>
      <c r="C75" t="s">
        <v>2418</v>
      </c>
      <c r="D75" t="s">
        <v>33</v>
      </c>
      <c r="E75" s="58">
        <v>43387</v>
      </c>
      <c r="F75">
        <v>24</v>
      </c>
      <c r="G75" t="s">
        <v>48</v>
      </c>
      <c r="H75" t="s">
        <v>53</v>
      </c>
      <c r="I75" t="s">
        <v>59</v>
      </c>
      <c r="J75" t="s">
        <v>149</v>
      </c>
      <c r="K75" t="s">
        <v>2382</v>
      </c>
      <c r="L75" t="s">
        <v>65</v>
      </c>
      <c r="M75" t="b">
        <v>0</v>
      </c>
      <c r="N75" t="s">
        <v>190</v>
      </c>
      <c r="O75" t="b">
        <v>0</v>
      </c>
      <c r="P75" t="b">
        <v>0</v>
      </c>
      <c r="Q75" t="b">
        <v>0</v>
      </c>
      <c r="R75" t="b">
        <v>1</v>
      </c>
      <c r="S75" t="b">
        <v>1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s">
        <v>4005</v>
      </c>
      <c r="AC75" t="s">
        <v>8606</v>
      </c>
    </row>
    <row r="76" spans="1:29" x14ac:dyDescent="0.3">
      <c r="A76">
        <v>-73.958937239999997</v>
      </c>
      <c r="B76">
        <v>40.799686250000001</v>
      </c>
      <c r="C76" t="s">
        <v>2418</v>
      </c>
      <c r="D76" t="s">
        <v>38</v>
      </c>
      <c r="E76" s="58">
        <v>43383</v>
      </c>
      <c r="F76">
        <v>9</v>
      </c>
      <c r="G76" t="s">
        <v>48</v>
      </c>
      <c r="H76" t="s">
        <v>42</v>
      </c>
      <c r="I76" t="s">
        <v>59</v>
      </c>
      <c r="J76" t="s">
        <v>54</v>
      </c>
      <c r="K76" t="s">
        <v>1754</v>
      </c>
      <c r="L76" t="s">
        <v>65</v>
      </c>
      <c r="M76" t="b">
        <v>0</v>
      </c>
      <c r="N76" t="s">
        <v>456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1</v>
      </c>
      <c r="AA76" t="b">
        <v>0</v>
      </c>
      <c r="AB76" t="s">
        <v>5188</v>
      </c>
      <c r="AC76" t="s">
        <v>8607</v>
      </c>
    </row>
    <row r="77" spans="1:29" x14ac:dyDescent="0.3">
      <c r="A77">
        <v>-73.958240919999994</v>
      </c>
      <c r="B77">
        <v>40.779971639999999</v>
      </c>
      <c r="C77" t="s">
        <v>2053</v>
      </c>
      <c r="D77" t="s">
        <v>38</v>
      </c>
      <c r="E77" s="58">
        <v>43391</v>
      </c>
      <c r="F77">
        <v>20</v>
      </c>
      <c r="G77" t="s">
        <v>105</v>
      </c>
      <c r="H77" t="s">
        <v>42</v>
      </c>
      <c r="I77" t="s">
        <v>53</v>
      </c>
      <c r="J77" t="s">
        <v>43</v>
      </c>
      <c r="K77" t="s">
        <v>3341</v>
      </c>
      <c r="L77" t="s">
        <v>65</v>
      </c>
      <c r="M77" t="b">
        <v>0</v>
      </c>
      <c r="N77" t="s">
        <v>348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s">
        <v>511</v>
      </c>
      <c r="AC77" t="s">
        <v>8608</v>
      </c>
    </row>
    <row r="78" spans="1:29" x14ac:dyDescent="0.3">
      <c r="A78">
        <v>-73.956912299999999</v>
      </c>
      <c r="B78">
        <v>40.778441979999997</v>
      </c>
      <c r="C78" t="s">
        <v>232</v>
      </c>
      <c r="D78" t="s">
        <v>38</v>
      </c>
      <c r="E78" s="58">
        <v>43393</v>
      </c>
      <c r="F78">
        <v>7</v>
      </c>
      <c r="G78" t="s">
        <v>48</v>
      </c>
      <c r="H78" t="s">
        <v>42</v>
      </c>
      <c r="I78" t="s">
        <v>115</v>
      </c>
      <c r="J78" t="s">
        <v>43</v>
      </c>
      <c r="K78" t="s">
        <v>5180</v>
      </c>
      <c r="L78" t="s">
        <v>65</v>
      </c>
      <c r="M78" t="b">
        <v>0</v>
      </c>
      <c r="N78" t="s">
        <v>4635</v>
      </c>
      <c r="O78" t="b">
        <v>0</v>
      </c>
      <c r="P78" t="b">
        <v>0</v>
      </c>
      <c r="Q78" t="b">
        <v>0</v>
      </c>
      <c r="R78" t="b">
        <v>1</v>
      </c>
      <c r="S78" t="b">
        <v>1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1</v>
      </c>
      <c r="AA78" t="b">
        <v>0</v>
      </c>
      <c r="AB78" t="s">
        <v>3823</v>
      </c>
      <c r="AC78" t="s">
        <v>8609</v>
      </c>
    </row>
    <row r="79" spans="1:29" x14ac:dyDescent="0.3">
      <c r="A79">
        <v>-73.978830849999994</v>
      </c>
      <c r="B79">
        <v>40.788839590000002</v>
      </c>
      <c r="C79" t="s">
        <v>517</v>
      </c>
      <c r="D79" t="s">
        <v>33</v>
      </c>
      <c r="E79" s="58">
        <v>43381</v>
      </c>
      <c r="F79">
        <v>2</v>
      </c>
      <c r="G79" t="s">
        <v>48</v>
      </c>
      <c r="H79" t="s">
        <v>42</v>
      </c>
      <c r="I79" t="s">
        <v>53</v>
      </c>
      <c r="J79" t="s">
        <v>79</v>
      </c>
      <c r="K79" t="s">
        <v>5957</v>
      </c>
      <c r="L79" t="s">
        <v>65</v>
      </c>
      <c r="M79" t="b">
        <v>0</v>
      </c>
      <c r="N79" t="s">
        <v>6664</v>
      </c>
      <c r="O79" t="b">
        <v>0</v>
      </c>
      <c r="P79" t="b">
        <v>0</v>
      </c>
      <c r="Q79" t="b">
        <v>0</v>
      </c>
      <c r="R79" t="b">
        <v>1</v>
      </c>
      <c r="S79" t="b">
        <v>1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1</v>
      </c>
      <c r="AA79" t="b">
        <v>0</v>
      </c>
      <c r="AB79" t="s">
        <v>6392</v>
      </c>
      <c r="AC79" t="s">
        <v>8610</v>
      </c>
    </row>
    <row r="80" spans="1:29" x14ac:dyDescent="0.3">
      <c r="A80">
        <v>-73.969889559999999</v>
      </c>
      <c r="B80">
        <v>40.772594920000003</v>
      </c>
      <c r="C80" t="s">
        <v>1574</v>
      </c>
      <c r="D80" t="s">
        <v>33</v>
      </c>
      <c r="E80" s="58">
        <v>43393</v>
      </c>
      <c r="F80">
        <v>22</v>
      </c>
      <c r="G80" t="s">
        <v>48</v>
      </c>
      <c r="H80" t="s">
        <v>42</v>
      </c>
      <c r="I80" t="s">
        <v>96</v>
      </c>
      <c r="J80" t="s">
        <v>79</v>
      </c>
      <c r="K80" t="s">
        <v>7049</v>
      </c>
      <c r="L80" t="s">
        <v>44</v>
      </c>
      <c r="M80">
        <v>5</v>
      </c>
      <c r="N80" t="s">
        <v>6636</v>
      </c>
      <c r="O80" t="b">
        <v>0</v>
      </c>
      <c r="P80" t="b">
        <v>0</v>
      </c>
      <c r="Q80" t="b">
        <v>0</v>
      </c>
      <c r="R80" t="b">
        <v>1</v>
      </c>
      <c r="S80" t="b">
        <v>1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1</v>
      </c>
      <c r="AA80" t="b">
        <v>0</v>
      </c>
      <c r="AB80" t="s">
        <v>2274</v>
      </c>
      <c r="AC80" t="s">
        <v>8611</v>
      </c>
    </row>
    <row r="81" spans="1:29" x14ac:dyDescent="0.3">
      <c r="A81">
        <v>-73.977516030000004</v>
      </c>
      <c r="B81">
        <v>40.798356759999997</v>
      </c>
      <c r="C81" t="s">
        <v>2662</v>
      </c>
      <c r="D81" t="s">
        <v>38</v>
      </c>
      <c r="E81" s="58">
        <v>43383</v>
      </c>
      <c r="F81">
        <v>24</v>
      </c>
      <c r="G81" t="s">
        <v>48</v>
      </c>
      <c r="H81" t="s">
        <v>53</v>
      </c>
      <c r="I81" t="s">
        <v>53</v>
      </c>
      <c r="J81" t="s">
        <v>54</v>
      </c>
      <c r="K81" t="s">
        <v>2037</v>
      </c>
      <c r="L81" t="s">
        <v>65</v>
      </c>
      <c r="M81" t="b">
        <v>0</v>
      </c>
      <c r="N81" t="s">
        <v>4282</v>
      </c>
      <c r="O81" t="b">
        <v>1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0</v>
      </c>
      <c r="Z81" t="b">
        <v>0</v>
      </c>
      <c r="AA81" t="b">
        <v>0</v>
      </c>
      <c r="AB81" t="s">
        <v>75</v>
      </c>
      <c r="AC81" t="s">
        <v>8612</v>
      </c>
    </row>
    <row r="82" spans="1:29" x14ac:dyDescent="0.3">
      <c r="A82">
        <v>-73.954025360000003</v>
      </c>
      <c r="B82">
        <v>40.792596189999998</v>
      </c>
      <c r="C82" t="s">
        <v>100</v>
      </c>
      <c r="D82" t="s">
        <v>38</v>
      </c>
      <c r="E82" s="58">
        <v>43380</v>
      </c>
      <c r="F82">
        <v>28</v>
      </c>
      <c r="G82" t="s">
        <v>48</v>
      </c>
      <c r="H82" t="s">
        <v>42</v>
      </c>
      <c r="I82" t="s">
        <v>115</v>
      </c>
      <c r="J82" t="s">
        <v>34</v>
      </c>
      <c r="K82" t="s">
        <v>4381</v>
      </c>
      <c r="L82" t="s">
        <v>65</v>
      </c>
      <c r="M82" t="b">
        <v>0</v>
      </c>
      <c r="N82" t="s">
        <v>1853</v>
      </c>
      <c r="O82" t="b">
        <v>0</v>
      </c>
      <c r="P82" t="b">
        <v>0</v>
      </c>
      <c r="Q82" t="b">
        <v>1</v>
      </c>
      <c r="R82" t="b">
        <v>1</v>
      </c>
      <c r="S82" t="b">
        <v>1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s">
        <v>511</v>
      </c>
      <c r="AC82" t="s">
        <v>8613</v>
      </c>
    </row>
    <row r="83" spans="1:29" x14ac:dyDescent="0.3">
      <c r="A83">
        <v>-73.961564069999994</v>
      </c>
      <c r="B83">
        <v>40.76805864</v>
      </c>
      <c r="C83" t="s">
        <v>502</v>
      </c>
      <c r="D83" t="s">
        <v>38</v>
      </c>
      <c r="E83" s="58">
        <v>43389</v>
      </c>
      <c r="F83">
        <v>23</v>
      </c>
      <c r="G83" t="s">
        <v>48</v>
      </c>
      <c r="H83" t="s">
        <v>42</v>
      </c>
      <c r="I83" t="s">
        <v>96</v>
      </c>
      <c r="J83" t="s">
        <v>43</v>
      </c>
      <c r="K83" t="s">
        <v>64</v>
      </c>
      <c r="L83" t="s">
        <v>44</v>
      </c>
      <c r="M83">
        <v>3</v>
      </c>
      <c r="N83" t="s">
        <v>4120</v>
      </c>
      <c r="O83" t="b">
        <v>1</v>
      </c>
      <c r="P83" t="b">
        <v>0</v>
      </c>
      <c r="Q83" t="b">
        <v>1</v>
      </c>
      <c r="R83" t="b">
        <v>1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1</v>
      </c>
      <c r="AB83" t="s">
        <v>1660</v>
      </c>
      <c r="AC83" t="s">
        <v>8614</v>
      </c>
    </row>
    <row r="84" spans="1:29" x14ac:dyDescent="0.3">
      <c r="A84">
        <v>-73.970756199999997</v>
      </c>
      <c r="B84">
        <v>40.779612790000002</v>
      </c>
      <c r="C84" t="s">
        <v>879</v>
      </c>
      <c r="D84" t="s">
        <v>33</v>
      </c>
      <c r="E84" s="58">
        <v>43382</v>
      </c>
      <c r="F84">
        <v>7</v>
      </c>
      <c r="G84" t="s">
        <v>48</v>
      </c>
      <c r="H84" t="s">
        <v>42</v>
      </c>
      <c r="I84" t="s">
        <v>96</v>
      </c>
      <c r="J84" t="s">
        <v>54</v>
      </c>
      <c r="K84" t="s">
        <v>3182</v>
      </c>
      <c r="L84" t="s">
        <v>44</v>
      </c>
      <c r="M84">
        <v>5</v>
      </c>
      <c r="N84" t="s">
        <v>524</v>
      </c>
      <c r="O84" t="b">
        <v>1</v>
      </c>
      <c r="P84" t="b">
        <v>0</v>
      </c>
      <c r="Q84" t="b">
        <v>0</v>
      </c>
      <c r="R84" t="b">
        <v>0</v>
      </c>
      <c r="S84" t="b">
        <v>1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1</v>
      </c>
      <c r="AB84" t="s">
        <v>101</v>
      </c>
      <c r="AC84" t="s">
        <v>8615</v>
      </c>
    </row>
    <row r="85" spans="1:29" x14ac:dyDescent="0.3">
      <c r="A85">
        <v>-73.97916051</v>
      </c>
      <c r="B85">
        <v>40.795862530000001</v>
      </c>
      <c r="C85" t="s">
        <v>1145</v>
      </c>
      <c r="D85" t="s">
        <v>38</v>
      </c>
      <c r="E85" s="58">
        <v>43388</v>
      </c>
      <c r="F85">
        <v>8</v>
      </c>
      <c r="G85" t="s">
        <v>105</v>
      </c>
      <c r="H85" t="s">
        <v>42</v>
      </c>
      <c r="I85" t="s">
        <v>53</v>
      </c>
      <c r="J85" t="s">
        <v>155</v>
      </c>
      <c r="K85" t="s">
        <v>64</v>
      </c>
      <c r="L85" t="s">
        <v>65</v>
      </c>
      <c r="M85" t="b">
        <v>0</v>
      </c>
      <c r="N85" t="s">
        <v>6641</v>
      </c>
      <c r="O85" t="b">
        <v>0</v>
      </c>
      <c r="P85" t="b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1</v>
      </c>
      <c r="AA85" t="b">
        <v>0</v>
      </c>
      <c r="AB85" t="s">
        <v>1264</v>
      </c>
      <c r="AC85" t="s">
        <v>8616</v>
      </c>
    </row>
    <row r="86" spans="1:29" x14ac:dyDescent="0.3">
      <c r="A86">
        <v>-73.971382289999994</v>
      </c>
      <c r="B86">
        <v>40.798172649999998</v>
      </c>
      <c r="C86" t="s">
        <v>969</v>
      </c>
      <c r="D86" t="s">
        <v>38</v>
      </c>
      <c r="E86" s="58">
        <v>43380</v>
      </c>
      <c r="F86">
        <v>7</v>
      </c>
      <c r="G86" t="s">
        <v>48</v>
      </c>
      <c r="H86" t="s">
        <v>42</v>
      </c>
      <c r="I86" t="s">
        <v>59</v>
      </c>
      <c r="J86" t="s">
        <v>54</v>
      </c>
      <c r="K86" t="s">
        <v>64</v>
      </c>
      <c r="L86" t="s">
        <v>44</v>
      </c>
      <c r="M86">
        <v>4</v>
      </c>
      <c r="N86" t="s">
        <v>1853</v>
      </c>
      <c r="O86" t="b">
        <v>0</v>
      </c>
      <c r="P86" t="b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1</v>
      </c>
      <c r="Y86" t="b">
        <v>0</v>
      </c>
      <c r="Z86" t="b">
        <v>0</v>
      </c>
      <c r="AA86" t="b">
        <v>0</v>
      </c>
      <c r="AB86" t="s">
        <v>121</v>
      </c>
      <c r="AC86" t="s">
        <v>8617</v>
      </c>
    </row>
    <row r="87" spans="1:29" x14ac:dyDescent="0.3">
      <c r="A87">
        <v>-73.970935850000004</v>
      </c>
      <c r="B87">
        <v>40.781366869999999</v>
      </c>
      <c r="C87" t="s">
        <v>239</v>
      </c>
      <c r="D87" t="s">
        <v>38</v>
      </c>
      <c r="E87" s="58">
        <v>43380</v>
      </c>
      <c r="F87">
        <v>21</v>
      </c>
      <c r="G87" t="s">
        <v>48</v>
      </c>
      <c r="H87" t="s">
        <v>53</v>
      </c>
      <c r="I87" t="s">
        <v>59</v>
      </c>
      <c r="J87" t="s">
        <v>43</v>
      </c>
      <c r="K87" t="s">
        <v>2458</v>
      </c>
      <c r="L87" t="s">
        <v>65</v>
      </c>
      <c r="M87" t="b">
        <v>0</v>
      </c>
      <c r="N87" t="s">
        <v>1421</v>
      </c>
      <c r="O87" t="b">
        <v>0</v>
      </c>
      <c r="P87" t="b">
        <v>0</v>
      </c>
      <c r="Q87" t="b">
        <v>1</v>
      </c>
      <c r="R87" t="b">
        <v>0</v>
      </c>
      <c r="S87" t="b">
        <v>0</v>
      </c>
      <c r="T87" t="b">
        <v>1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1</v>
      </c>
      <c r="AA87" t="b">
        <v>0</v>
      </c>
      <c r="AB87" t="s">
        <v>3061</v>
      </c>
      <c r="AC87" t="s">
        <v>8618</v>
      </c>
    </row>
    <row r="88" spans="1:29" x14ac:dyDescent="0.3">
      <c r="A88">
        <v>-73.958222090000007</v>
      </c>
      <c r="B88">
        <v>40.786507559999997</v>
      </c>
      <c r="C88" t="s">
        <v>455</v>
      </c>
      <c r="D88" t="s">
        <v>33</v>
      </c>
      <c r="E88" s="58">
        <v>43390</v>
      </c>
      <c r="F88">
        <v>23</v>
      </c>
      <c r="G88" t="s">
        <v>48</v>
      </c>
      <c r="H88" t="s">
        <v>42</v>
      </c>
      <c r="I88" t="s">
        <v>96</v>
      </c>
      <c r="J88" t="s">
        <v>54</v>
      </c>
      <c r="K88" t="s">
        <v>2362</v>
      </c>
      <c r="L88" t="s">
        <v>44</v>
      </c>
      <c r="M88">
        <v>12</v>
      </c>
      <c r="N88" t="s">
        <v>1311</v>
      </c>
      <c r="O88" t="b">
        <v>1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1</v>
      </c>
      <c r="AA88" t="b">
        <v>1</v>
      </c>
      <c r="AB88" t="s">
        <v>418</v>
      </c>
      <c r="AC88" t="s">
        <v>8619</v>
      </c>
    </row>
    <row r="89" spans="1:29" x14ac:dyDescent="0.3">
      <c r="A89">
        <v>-73.961115809999995</v>
      </c>
      <c r="B89">
        <v>40.77079157</v>
      </c>
      <c r="C89" t="s">
        <v>327</v>
      </c>
      <c r="D89" t="s">
        <v>33</v>
      </c>
      <c r="E89" s="58">
        <v>43386</v>
      </c>
      <c r="F89">
        <v>29</v>
      </c>
      <c r="G89" t="s">
        <v>48</v>
      </c>
      <c r="H89" t="s">
        <v>42</v>
      </c>
      <c r="I89" t="s">
        <v>53</v>
      </c>
      <c r="J89" t="s">
        <v>89</v>
      </c>
      <c r="K89" t="s">
        <v>1816</v>
      </c>
      <c r="L89" t="s">
        <v>65</v>
      </c>
      <c r="M89" t="b">
        <v>0</v>
      </c>
      <c r="N89" t="s">
        <v>190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1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s">
        <v>803</v>
      </c>
      <c r="AC89" t="s">
        <v>8620</v>
      </c>
    </row>
    <row r="90" spans="1:29" x14ac:dyDescent="0.3">
      <c r="A90">
        <v>-73.953267440000005</v>
      </c>
      <c r="B90">
        <v>40.79980758</v>
      </c>
      <c r="C90" t="s">
        <v>2181</v>
      </c>
      <c r="D90" t="s">
        <v>38</v>
      </c>
      <c r="E90" s="58">
        <v>43379</v>
      </c>
      <c r="F90">
        <v>14</v>
      </c>
      <c r="G90" t="s">
        <v>105</v>
      </c>
      <c r="H90" t="s">
        <v>42</v>
      </c>
      <c r="I90" t="s">
        <v>176</v>
      </c>
      <c r="J90" t="s">
        <v>43</v>
      </c>
      <c r="K90" t="s">
        <v>3050</v>
      </c>
      <c r="L90" t="s">
        <v>65</v>
      </c>
      <c r="M90" t="b">
        <v>0</v>
      </c>
      <c r="N90" t="s">
        <v>6636</v>
      </c>
      <c r="O90" t="b">
        <v>1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1</v>
      </c>
      <c r="AA90" t="b">
        <v>0</v>
      </c>
      <c r="AB90" t="s">
        <v>2123</v>
      </c>
      <c r="AC90" t="s">
        <v>8621</v>
      </c>
    </row>
    <row r="91" spans="1:29" x14ac:dyDescent="0.3">
      <c r="A91">
        <v>-73.966313650000004</v>
      </c>
      <c r="B91">
        <v>40.773067330000003</v>
      </c>
      <c r="C91" t="s">
        <v>428</v>
      </c>
      <c r="D91" t="s">
        <v>33</v>
      </c>
      <c r="E91" s="58">
        <v>43392</v>
      </c>
      <c r="F91">
        <v>26</v>
      </c>
      <c r="G91" t="s">
        <v>48</v>
      </c>
      <c r="H91" t="s">
        <v>42</v>
      </c>
      <c r="I91" t="s">
        <v>42</v>
      </c>
      <c r="J91" t="s">
        <v>116</v>
      </c>
      <c r="K91" t="s">
        <v>1816</v>
      </c>
      <c r="L91" t="s">
        <v>65</v>
      </c>
      <c r="M91" t="b">
        <v>0</v>
      </c>
      <c r="N91" t="s">
        <v>2996</v>
      </c>
      <c r="O91" t="b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1</v>
      </c>
      <c r="AA91" t="b">
        <v>0</v>
      </c>
      <c r="AB91" t="s">
        <v>3823</v>
      </c>
      <c r="AC91" t="s">
        <v>8622</v>
      </c>
    </row>
    <row r="92" spans="1:29" x14ac:dyDescent="0.3">
      <c r="A92">
        <v>-73.977398919999999</v>
      </c>
      <c r="B92">
        <v>40.798102229999998</v>
      </c>
      <c r="C92" t="s">
        <v>95</v>
      </c>
      <c r="D92" t="s">
        <v>33</v>
      </c>
      <c r="E92" s="58">
        <v>43385</v>
      </c>
      <c r="F92">
        <v>19</v>
      </c>
      <c r="G92" t="s">
        <v>48</v>
      </c>
      <c r="H92" t="s">
        <v>42</v>
      </c>
      <c r="I92" t="s">
        <v>53</v>
      </c>
      <c r="J92" t="s">
        <v>89</v>
      </c>
      <c r="K92" t="s">
        <v>1666</v>
      </c>
      <c r="L92" t="s">
        <v>44</v>
      </c>
      <c r="M92">
        <v>8</v>
      </c>
      <c r="N92" t="s">
        <v>3458</v>
      </c>
      <c r="O92" t="b">
        <v>0</v>
      </c>
      <c r="P92" t="b">
        <v>0</v>
      </c>
      <c r="Q92" t="b">
        <v>0</v>
      </c>
      <c r="R92" t="b">
        <v>0</v>
      </c>
      <c r="S92" t="b">
        <v>1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s">
        <v>121</v>
      </c>
      <c r="AC92" t="s">
        <v>8623</v>
      </c>
    </row>
    <row r="93" spans="1:29" x14ac:dyDescent="0.3">
      <c r="A93">
        <v>-73.958736439999996</v>
      </c>
      <c r="B93">
        <v>40.787783330000003</v>
      </c>
      <c r="C93" t="s">
        <v>946</v>
      </c>
      <c r="D93" t="s">
        <v>38</v>
      </c>
      <c r="E93" s="58">
        <v>43383</v>
      </c>
      <c r="F93">
        <v>5</v>
      </c>
      <c r="G93" t="s">
        <v>48</v>
      </c>
      <c r="H93" t="s">
        <v>42</v>
      </c>
      <c r="I93" t="s">
        <v>96</v>
      </c>
      <c r="J93" t="s">
        <v>43</v>
      </c>
      <c r="K93" t="s">
        <v>3050</v>
      </c>
      <c r="L93" t="s">
        <v>65</v>
      </c>
      <c r="M93" t="b">
        <v>0</v>
      </c>
      <c r="N93" t="s">
        <v>456</v>
      </c>
      <c r="O93" t="b">
        <v>1</v>
      </c>
      <c r="P93" t="b">
        <v>0</v>
      </c>
      <c r="Q93" t="b">
        <v>0</v>
      </c>
      <c r="R93" t="b">
        <v>1</v>
      </c>
      <c r="S93" t="b">
        <v>1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1</v>
      </c>
      <c r="AB93" t="s">
        <v>101</v>
      </c>
      <c r="AC93" t="s">
        <v>8624</v>
      </c>
    </row>
    <row r="94" spans="1:29" x14ac:dyDescent="0.3">
      <c r="A94">
        <v>-73.957241920000001</v>
      </c>
      <c r="B94">
        <v>40.786307770000001</v>
      </c>
      <c r="C94" t="s">
        <v>311</v>
      </c>
      <c r="D94" t="s">
        <v>33</v>
      </c>
      <c r="E94" s="58">
        <v>43393</v>
      </c>
      <c r="F94">
        <v>23</v>
      </c>
      <c r="G94" t="s">
        <v>48</v>
      </c>
      <c r="H94" t="s">
        <v>42</v>
      </c>
      <c r="I94" t="s">
        <v>59</v>
      </c>
      <c r="J94" t="s">
        <v>97</v>
      </c>
      <c r="K94" t="s">
        <v>6764</v>
      </c>
      <c r="L94" t="s">
        <v>65</v>
      </c>
      <c r="M94" t="b">
        <v>0</v>
      </c>
      <c r="N94" t="s">
        <v>4958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1</v>
      </c>
      <c r="Z94" t="b">
        <v>0</v>
      </c>
      <c r="AA94" t="b">
        <v>0</v>
      </c>
      <c r="AB94" t="s">
        <v>121</v>
      </c>
      <c r="AC94" t="s">
        <v>8625</v>
      </c>
    </row>
    <row r="95" spans="1:29" x14ac:dyDescent="0.3">
      <c r="A95">
        <v>-73.963513809999995</v>
      </c>
      <c r="B95">
        <v>40.782961329999999</v>
      </c>
      <c r="C95" t="s">
        <v>574</v>
      </c>
      <c r="D95" t="s">
        <v>38</v>
      </c>
      <c r="E95" s="58">
        <v>43389</v>
      </c>
      <c r="F95">
        <v>25</v>
      </c>
      <c r="G95" t="s">
        <v>48</v>
      </c>
      <c r="H95" t="s">
        <v>42</v>
      </c>
      <c r="I95" t="s">
        <v>59</v>
      </c>
      <c r="J95" t="s">
        <v>54</v>
      </c>
      <c r="K95" t="s">
        <v>3261</v>
      </c>
      <c r="L95" t="s">
        <v>65</v>
      </c>
      <c r="M95" t="b">
        <v>0</v>
      </c>
      <c r="N95" t="s">
        <v>190</v>
      </c>
      <c r="O95" t="b">
        <v>1</v>
      </c>
      <c r="P95" t="b">
        <v>0</v>
      </c>
      <c r="Q95" t="b">
        <v>1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1</v>
      </c>
      <c r="AA95" t="b">
        <v>0</v>
      </c>
      <c r="AB95" t="s">
        <v>295</v>
      </c>
      <c r="AC95" t="s">
        <v>8626</v>
      </c>
    </row>
    <row r="96" spans="1:29" x14ac:dyDescent="0.3">
      <c r="A96">
        <v>-73.956921829999999</v>
      </c>
      <c r="B96">
        <v>40.773032059999998</v>
      </c>
      <c r="C96" t="s">
        <v>1278</v>
      </c>
      <c r="D96" t="s">
        <v>33</v>
      </c>
      <c r="E96" s="58">
        <v>43386</v>
      </c>
      <c r="F96">
        <v>18</v>
      </c>
      <c r="G96" t="s">
        <v>48</v>
      </c>
      <c r="H96" t="s">
        <v>42</v>
      </c>
      <c r="I96" t="s">
        <v>53</v>
      </c>
      <c r="J96" t="s">
        <v>54</v>
      </c>
      <c r="K96" t="s">
        <v>3843</v>
      </c>
      <c r="L96" t="s">
        <v>44</v>
      </c>
      <c r="M96">
        <v>40</v>
      </c>
      <c r="N96" t="s">
        <v>4948</v>
      </c>
      <c r="O96" t="b">
        <v>0</v>
      </c>
      <c r="P96" t="b">
        <v>0</v>
      </c>
      <c r="Q96" t="b">
        <v>1</v>
      </c>
      <c r="R96" t="b">
        <v>1</v>
      </c>
      <c r="S96" t="b">
        <v>1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1</v>
      </c>
      <c r="AA96" t="b">
        <v>0</v>
      </c>
      <c r="AB96" t="s">
        <v>340</v>
      </c>
      <c r="AC96" t="s">
        <v>8627</v>
      </c>
    </row>
    <row r="97" spans="1:29" x14ac:dyDescent="0.3">
      <c r="A97">
        <v>-73.965635219999996</v>
      </c>
      <c r="B97">
        <v>40.771125840000003</v>
      </c>
      <c r="C97" t="s">
        <v>627</v>
      </c>
      <c r="D97" t="s">
        <v>38</v>
      </c>
      <c r="E97" s="58">
        <v>43379</v>
      </c>
      <c r="F97">
        <v>20</v>
      </c>
      <c r="G97" t="s">
        <v>48</v>
      </c>
      <c r="H97" t="s">
        <v>53</v>
      </c>
      <c r="I97" t="s">
        <v>59</v>
      </c>
      <c r="J97" t="s">
        <v>97</v>
      </c>
      <c r="K97" t="s">
        <v>5180</v>
      </c>
      <c r="L97" t="s">
        <v>44</v>
      </c>
      <c r="M97">
        <v>30</v>
      </c>
      <c r="N97" t="s">
        <v>456</v>
      </c>
      <c r="O97" t="b">
        <v>0</v>
      </c>
      <c r="P97" t="b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1</v>
      </c>
      <c r="AB97" t="s">
        <v>4172</v>
      </c>
      <c r="AC97" t="s">
        <v>8628</v>
      </c>
    </row>
    <row r="98" spans="1:29" x14ac:dyDescent="0.3">
      <c r="A98">
        <v>-73.964725529999996</v>
      </c>
      <c r="B98">
        <v>40.772673509999997</v>
      </c>
      <c r="C98" t="s">
        <v>221</v>
      </c>
      <c r="D98" t="s">
        <v>38</v>
      </c>
      <c r="E98" s="58">
        <v>43389</v>
      </c>
      <c r="F98">
        <v>12</v>
      </c>
      <c r="G98" t="s">
        <v>48</v>
      </c>
      <c r="H98" t="s">
        <v>42</v>
      </c>
      <c r="I98" t="s">
        <v>96</v>
      </c>
      <c r="J98" t="s">
        <v>149</v>
      </c>
      <c r="K98" t="s">
        <v>6623</v>
      </c>
      <c r="L98" t="s">
        <v>65</v>
      </c>
      <c r="M98" t="b">
        <v>0</v>
      </c>
      <c r="N98" t="s">
        <v>5784</v>
      </c>
      <c r="O98" t="b">
        <v>0</v>
      </c>
      <c r="P98" t="b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s">
        <v>3061</v>
      </c>
      <c r="AC98" t="s">
        <v>8629</v>
      </c>
    </row>
    <row r="99" spans="1:29" x14ac:dyDescent="0.3">
      <c r="A99">
        <v>-73.967718050000002</v>
      </c>
      <c r="B99">
        <v>40.771474759999997</v>
      </c>
      <c r="C99" t="s">
        <v>1401</v>
      </c>
      <c r="D99" t="s">
        <v>33</v>
      </c>
      <c r="E99" s="58">
        <v>43385</v>
      </c>
      <c r="F99">
        <v>23</v>
      </c>
      <c r="G99" t="s">
        <v>48</v>
      </c>
      <c r="H99" t="s">
        <v>42</v>
      </c>
      <c r="I99" t="s">
        <v>59</v>
      </c>
      <c r="J99" t="s">
        <v>43</v>
      </c>
      <c r="K99" t="s">
        <v>3453</v>
      </c>
      <c r="L99" t="s">
        <v>65</v>
      </c>
      <c r="M99" t="b">
        <v>0</v>
      </c>
      <c r="N99" t="s">
        <v>3496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s">
        <v>6624</v>
      </c>
      <c r="AC99" t="s">
        <v>8630</v>
      </c>
    </row>
    <row r="100" spans="1:29" x14ac:dyDescent="0.3">
      <c r="A100">
        <v>-73.980359480000004</v>
      </c>
      <c r="B100">
        <v>40.792358159999999</v>
      </c>
      <c r="C100" t="s">
        <v>802</v>
      </c>
      <c r="D100" t="s">
        <v>33</v>
      </c>
      <c r="E100" s="58">
        <v>43383</v>
      </c>
      <c r="F100">
        <v>17</v>
      </c>
      <c r="G100" t="s">
        <v>48</v>
      </c>
      <c r="H100" t="s">
        <v>42</v>
      </c>
      <c r="I100" t="s">
        <v>59</v>
      </c>
      <c r="J100" t="s">
        <v>54</v>
      </c>
      <c r="K100" t="s">
        <v>4742</v>
      </c>
      <c r="L100" t="s">
        <v>65</v>
      </c>
      <c r="M100" t="b">
        <v>0</v>
      </c>
      <c r="N100" t="s">
        <v>748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s">
        <v>867</v>
      </c>
      <c r="AC100" t="s">
        <v>8631</v>
      </c>
    </row>
    <row r="101" spans="1:29" x14ac:dyDescent="0.3">
      <c r="A101">
        <v>-73.977766819999999</v>
      </c>
      <c r="B101">
        <v>40.777237829999997</v>
      </c>
      <c r="C101" t="s">
        <v>41</v>
      </c>
      <c r="D101" t="s">
        <v>33</v>
      </c>
      <c r="E101" s="58">
        <v>43382</v>
      </c>
      <c r="F101">
        <v>13</v>
      </c>
      <c r="G101" t="s">
        <v>48</v>
      </c>
      <c r="H101" t="s">
        <v>42</v>
      </c>
      <c r="I101" t="s">
        <v>96</v>
      </c>
      <c r="J101" t="s">
        <v>54</v>
      </c>
      <c r="K101" t="s">
        <v>3351</v>
      </c>
      <c r="L101" t="s">
        <v>65</v>
      </c>
      <c r="M101" t="b">
        <v>0</v>
      </c>
      <c r="N101" t="s">
        <v>1241</v>
      </c>
      <c r="O101" t="b">
        <v>1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s">
        <v>445</v>
      </c>
      <c r="AC101" t="s">
        <v>8632</v>
      </c>
    </row>
    <row r="102" spans="1:29" x14ac:dyDescent="0.3">
      <c r="A102">
        <v>-73.980170549999997</v>
      </c>
      <c r="B102">
        <v>40.766947180000003</v>
      </c>
      <c r="C102" t="s">
        <v>1810</v>
      </c>
      <c r="D102" t="s">
        <v>33</v>
      </c>
      <c r="E102" s="58">
        <v>43385</v>
      </c>
      <c r="F102">
        <v>2</v>
      </c>
      <c r="G102" t="s">
        <v>48</v>
      </c>
      <c r="H102" t="s">
        <v>42</v>
      </c>
      <c r="I102" t="s">
        <v>96</v>
      </c>
      <c r="J102" t="s">
        <v>54</v>
      </c>
      <c r="K102" t="s">
        <v>7046</v>
      </c>
      <c r="L102" t="s">
        <v>44</v>
      </c>
      <c r="M102">
        <v>20</v>
      </c>
      <c r="N102" t="s">
        <v>2877</v>
      </c>
      <c r="O102" t="b">
        <v>1</v>
      </c>
      <c r="P102" t="b">
        <v>0</v>
      </c>
      <c r="Q102" t="b">
        <v>0</v>
      </c>
      <c r="R102" t="b">
        <v>1</v>
      </c>
      <c r="S102" t="b">
        <v>1</v>
      </c>
      <c r="T102" t="b">
        <v>1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1</v>
      </c>
      <c r="AA102" t="b">
        <v>0</v>
      </c>
      <c r="AB102" t="s">
        <v>4636</v>
      </c>
      <c r="AC102" t="s">
        <v>8633</v>
      </c>
    </row>
    <row r="103" spans="1:29" x14ac:dyDescent="0.3">
      <c r="A103">
        <v>-73.961151869999995</v>
      </c>
      <c r="B103">
        <v>40.799030690000002</v>
      </c>
      <c r="C103" t="s">
        <v>886</v>
      </c>
      <c r="D103" t="s">
        <v>38</v>
      </c>
      <c r="E103" s="58">
        <v>43388</v>
      </c>
      <c r="F103">
        <v>25</v>
      </c>
      <c r="G103" t="s">
        <v>105</v>
      </c>
      <c r="H103" t="s">
        <v>42</v>
      </c>
      <c r="I103" t="s">
        <v>53</v>
      </c>
      <c r="J103" t="s">
        <v>54</v>
      </c>
      <c r="K103" t="s">
        <v>5481</v>
      </c>
      <c r="L103" t="s">
        <v>65</v>
      </c>
      <c r="M103" t="b">
        <v>0</v>
      </c>
      <c r="N103" t="s">
        <v>2865</v>
      </c>
      <c r="O103" t="b">
        <v>0</v>
      </c>
      <c r="P103" t="b">
        <v>0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b">
        <v>0</v>
      </c>
      <c r="W103" t="b">
        <v>1</v>
      </c>
      <c r="X103" t="b">
        <v>1</v>
      </c>
      <c r="Y103" t="b">
        <v>0</v>
      </c>
      <c r="Z103" t="b">
        <v>0</v>
      </c>
      <c r="AA103" t="b">
        <v>0</v>
      </c>
      <c r="AB103" t="s">
        <v>3835</v>
      </c>
      <c r="AC103" t="s">
        <v>8634</v>
      </c>
    </row>
    <row r="104" spans="1:29" x14ac:dyDescent="0.3">
      <c r="A104">
        <v>-73.971276230000001</v>
      </c>
      <c r="B104">
        <v>40.796026869999999</v>
      </c>
      <c r="C104" t="s">
        <v>256</v>
      </c>
      <c r="D104" t="s">
        <v>38</v>
      </c>
      <c r="E104" s="58">
        <v>43393</v>
      </c>
      <c r="F104">
        <v>13</v>
      </c>
      <c r="G104" t="s">
        <v>48</v>
      </c>
      <c r="H104" t="s">
        <v>42</v>
      </c>
      <c r="I104" t="s">
        <v>42</v>
      </c>
      <c r="J104" t="s">
        <v>43</v>
      </c>
      <c r="K104" t="s">
        <v>5971</v>
      </c>
      <c r="L104" t="s">
        <v>65</v>
      </c>
      <c r="M104" t="b">
        <v>0</v>
      </c>
      <c r="N104" t="s">
        <v>5312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1</v>
      </c>
      <c r="Y104" t="b">
        <v>0</v>
      </c>
      <c r="Z104" t="b">
        <v>0</v>
      </c>
      <c r="AA104" t="b">
        <v>0</v>
      </c>
      <c r="AB104" t="s">
        <v>2671</v>
      </c>
      <c r="AC104" t="s">
        <v>8635</v>
      </c>
    </row>
    <row r="105" spans="1:29" x14ac:dyDescent="0.3">
      <c r="A105">
        <v>-73.965170740000005</v>
      </c>
      <c r="B105">
        <v>40.797574830000002</v>
      </c>
      <c r="C105" t="s">
        <v>1103</v>
      </c>
      <c r="D105" t="s">
        <v>33</v>
      </c>
      <c r="E105" s="58">
        <v>43380</v>
      </c>
      <c r="F105">
        <v>26</v>
      </c>
      <c r="G105" t="s">
        <v>48</v>
      </c>
      <c r="H105" t="s">
        <v>176</v>
      </c>
      <c r="I105" t="s">
        <v>59</v>
      </c>
      <c r="J105" t="s">
        <v>79</v>
      </c>
      <c r="K105" t="s">
        <v>1666</v>
      </c>
      <c r="L105" t="s">
        <v>65</v>
      </c>
      <c r="M105" t="b">
        <v>0</v>
      </c>
      <c r="N105" t="s">
        <v>1800</v>
      </c>
      <c r="O105" t="b">
        <v>1</v>
      </c>
      <c r="P105" t="b">
        <v>0</v>
      </c>
      <c r="Q105" t="b">
        <v>0</v>
      </c>
      <c r="R105" t="b">
        <v>1</v>
      </c>
      <c r="S105" t="b">
        <v>1</v>
      </c>
      <c r="T105" t="b">
        <v>1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s">
        <v>6579</v>
      </c>
      <c r="AC105" t="s">
        <v>8636</v>
      </c>
    </row>
    <row r="106" spans="1:29" x14ac:dyDescent="0.3">
      <c r="A106">
        <v>-73.952627579999998</v>
      </c>
      <c r="B106">
        <v>40.79993923</v>
      </c>
      <c r="C106" t="s">
        <v>677</v>
      </c>
      <c r="D106" t="s">
        <v>33</v>
      </c>
      <c r="E106" s="58">
        <v>43390</v>
      </c>
      <c r="F106">
        <v>7</v>
      </c>
      <c r="G106" t="s">
        <v>48</v>
      </c>
      <c r="H106" t="s">
        <v>42</v>
      </c>
      <c r="I106" t="s">
        <v>53</v>
      </c>
      <c r="J106" t="s">
        <v>54</v>
      </c>
      <c r="K106" t="s">
        <v>809</v>
      </c>
      <c r="L106" t="s">
        <v>65</v>
      </c>
      <c r="M106" t="b">
        <v>0</v>
      </c>
      <c r="N106" t="s">
        <v>1730</v>
      </c>
      <c r="O106" t="b">
        <v>0</v>
      </c>
      <c r="P106" t="b">
        <v>0</v>
      </c>
      <c r="Q106" t="b">
        <v>0</v>
      </c>
      <c r="R106" t="b">
        <v>0</v>
      </c>
      <c r="S106" t="b">
        <v>1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1</v>
      </c>
      <c r="AA106" t="b">
        <v>0</v>
      </c>
      <c r="AB106" t="s">
        <v>295</v>
      </c>
      <c r="AC106" t="s">
        <v>8637</v>
      </c>
    </row>
    <row r="107" spans="1:29" x14ac:dyDescent="0.3">
      <c r="A107">
        <v>-73.973321630000001</v>
      </c>
      <c r="B107">
        <v>40.771033150000001</v>
      </c>
      <c r="C107" t="s">
        <v>225</v>
      </c>
      <c r="D107" t="s">
        <v>33</v>
      </c>
      <c r="E107" s="58">
        <v>43393</v>
      </c>
      <c r="F107">
        <v>28</v>
      </c>
      <c r="G107" t="s">
        <v>48</v>
      </c>
      <c r="H107" t="s">
        <v>42</v>
      </c>
      <c r="I107" t="s">
        <v>53</v>
      </c>
      <c r="J107" t="s">
        <v>43</v>
      </c>
      <c r="K107" t="s">
        <v>1005</v>
      </c>
      <c r="L107" t="s">
        <v>65</v>
      </c>
      <c r="M107" t="b">
        <v>0</v>
      </c>
      <c r="N107" t="s">
        <v>748</v>
      </c>
      <c r="O107" t="b">
        <v>0</v>
      </c>
      <c r="P107" t="b">
        <v>1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s">
        <v>5062</v>
      </c>
      <c r="AC107" t="s">
        <v>8638</v>
      </c>
    </row>
    <row r="108" spans="1:29" x14ac:dyDescent="0.3">
      <c r="A108">
        <v>-73.968257449999996</v>
      </c>
      <c r="B108">
        <v>40.778861499999998</v>
      </c>
      <c r="C108" t="s">
        <v>1165</v>
      </c>
      <c r="D108" t="s">
        <v>38</v>
      </c>
      <c r="E108" s="58">
        <v>43379</v>
      </c>
      <c r="F108">
        <v>10</v>
      </c>
      <c r="G108" t="s">
        <v>48</v>
      </c>
      <c r="H108" t="s">
        <v>42</v>
      </c>
      <c r="I108" t="s">
        <v>59</v>
      </c>
      <c r="J108" t="s">
        <v>89</v>
      </c>
      <c r="K108" t="s">
        <v>809</v>
      </c>
      <c r="L108" t="s">
        <v>65</v>
      </c>
      <c r="M108" t="b">
        <v>0</v>
      </c>
      <c r="N108" t="s">
        <v>1575</v>
      </c>
      <c r="O108" t="b">
        <v>0</v>
      </c>
      <c r="P108" t="b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s">
        <v>4998</v>
      </c>
      <c r="AC108" t="s">
        <v>8639</v>
      </c>
    </row>
    <row r="109" spans="1:29" x14ac:dyDescent="0.3">
      <c r="A109">
        <v>-73.957406460000001</v>
      </c>
      <c r="B109">
        <v>40.791606610000002</v>
      </c>
      <c r="C109" t="s">
        <v>1056</v>
      </c>
      <c r="D109" t="s">
        <v>33</v>
      </c>
      <c r="E109" s="58">
        <v>43379</v>
      </c>
      <c r="F109">
        <v>23</v>
      </c>
      <c r="G109" t="s">
        <v>48</v>
      </c>
      <c r="H109" t="s">
        <v>42</v>
      </c>
      <c r="I109" t="s">
        <v>42</v>
      </c>
      <c r="J109" t="s">
        <v>89</v>
      </c>
      <c r="K109" t="s">
        <v>5971</v>
      </c>
      <c r="L109" t="s">
        <v>65</v>
      </c>
      <c r="M109" t="b">
        <v>0</v>
      </c>
      <c r="N109" t="s">
        <v>5529</v>
      </c>
      <c r="O109" t="b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s">
        <v>1203</v>
      </c>
      <c r="AC109" t="s">
        <v>8640</v>
      </c>
    </row>
    <row r="110" spans="1:29" x14ac:dyDescent="0.3">
      <c r="A110">
        <v>-73.973965899999996</v>
      </c>
      <c r="B110">
        <v>40.789416060000001</v>
      </c>
      <c r="C110" t="s">
        <v>689</v>
      </c>
      <c r="D110" t="s">
        <v>38</v>
      </c>
      <c r="E110" s="58">
        <v>43389</v>
      </c>
      <c r="F110">
        <v>6</v>
      </c>
      <c r="G110" t="s">
        <v>48</v>
      </c>
      <c r="H110" t="s">
        <v>42</v>
      </c>
      <c r="I110" t="s">
        <v>53</v>
      </c>
      <c r="J110" t="s">
        <v>54</v>
      </c>
      <c r="K110" t="s">
        <v>1381</v>
      </c>
      <c r="L110" t="s">
        <v>65</v>
      </c>
      <c r="M110" t="b">
        <v>0</v>
      </c>
      <c r="N110" t="s">
        <v>848</v>
      </c>
      <c r="O110" t="b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s">
        <v>1660</v>
      </c>
      <c r="AC110" t="s">
        <v>8641</v>
      </c>
    </row>
    <row r="111" spans="1:29" x14ac:dyDescent="0.3">
      <c r="A111">
        <v>-73.978738579999998</v>
      </c>
      <c r="B111">
        <v>40.770329009999998</v>
      </c>
      <c r="C111" t="s">
        <v>1336</v>
      </c>
      <c r="D111" t="s">
        <v>38</v>
      </c>
      <c r="E111" s="58">
        <v>43390</v>
      </c>
      <c r="F111">
        <v>3</v>
      </c>
      <c r="G111" t="s">
        <v>48</v>
      </c>
      <c r="H111" t="s">
        <v>53</v>
      </c>
      <c r="I111" t="s">
        <v>96</v>
      </c>
      <c r="J111" t="s">
        <v>54</v>
      </c>
      <c r="K111" t="s">
        <v>2637</v>
      </c>
      <c r="L111" t="s">
        <v>65</v>
      </c>
      <c r="M111" t="b">
        <v>0</v>
      </c>
      <c r="N111" t="s">
        <v>6664</v>
      </c>
      <c r="O111" t="b">
        <v>0</v>
      </c>
      <c r="P111" t="b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1</v>
      </c>
      <c r="Z111" t="b">
        <v>1</v>
      </c>
      <c r="AA111" t="b">
        <v>0</v>
      </c>
      <c r="AB111" t="s">
        <v>374</v>
      </c>
      <c r="AC111" t="s">
        <v>8642</v>
      </c>
    </row>
    <row r="112" spans="1:29" x14ac:dyDescent="0.3">
      <c r="A112">
        <v>-73.972049720000001</v>
      </c>
      <c r="B112">
        <v>40.793634400000002</v>
      </c>
      <c r="C112" t="s">
        <v>1326</v>
      </c>
      <c r="D112" t="s">
        <v>38</v>
      </c>
      <c r="E112" s="58">
        <v>43379</v>
      </c>
      <c r="F112">
        <v>26</v>
      </c>
      <c r="G112" t="s">
        <v>48</v>
      </c>
      <c r="H112" t="s">
        <v>42</v>
      </c>
      <c r="I112" t="s">
        <v>53</v>
      </c>
      <c r="J112" t="s">
        <v>79</v>
      </c>
      <c r="K112" t="s">
        <v>809</v>
      </c>
      <c r="L112" t="s">
        <v>65</v>
      </c>
      <c r="M112" t="b">
        <v>0</v>
      </c>
      <c r="N112" t="s">
        <v>6641</v>
      </c>
      <c r="O112" t="b">
        <v>1</v>
      </c>
      <c r="P112" t="b">
        <v>0</v>
      </c>
      <c r="Q112" t="b">
        <v>1</v>
      </c>
      <c r="R112" t="b">
        <v>0</v>
      </c>
      <c r="S112" t="b">
        <v>1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1</v>
      </c>
      <c r="AA112" t="b">
        <v>0</v>
      </c>
      <c r="AB112" t="s">
        <v>3468</v>
      </c>
      <c r="AC112" t="s">
        <v>8643</v>
      </c>
    </row>
    <row r="113" spans="1:29" x14ac:dyDescent="0.3">
      <c r="A113">
        <v>-73.976090299999996</v>
      </c>
      <c r="B113">
        <v>40.772812739999999</v>
      </c>
      <c r="C113" t="s">
        <v>311</v>
      </c>
      <c r="D113" t="s">
        <v>33</v>
      </c>
      <c r="E113" s="58">
        <v>43393</v>
      </c>
      <c r="F113">
        <v>3</v>
      </c>
      <c r="G113" t="s">
        <v>48</v>
      </c>
      <c r="H113" t="s">
        <v>42</v>
      </c>
      <c r="I113" t="s">
        <v>59</v>
      </c>
      <c r="J113" t="s">
        <v>43</v>
      </c>
      <c r="K113" t="s">
        <v>5957</v>
      </c>
      <c r="L113" t="s">
        <v>65</v>
      </c>
      <c r="M113" t="b">
        <v>0</v>
      </c>
      <c r="N113" t="s">
        <v>456</v>
      </c>
      <c r="O113" t="b">
        <v>0</v>
      </c>
      <c r="P113" t="b">
        <v>0</v>
      </c>
      <c r="Q113" t="b">
        <v>0</v>
      </c>
      <c r="R113" t="b">
        <v>0</v>
      </c>
      <c r="S113" t="b">
        <v>1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1</v>
      </c>
      <c r="AA113" t="b">
        <v>1</v>
      </c>
      <c r="AB113" t="s">
        <v>2552</v>
      </c>
      <c r="AC113" t="s">
        <v>8644</v>
      </c>
    </row>
    <row r="114" spans="1:29" x14ac:dyDescent="0.3">
      <c r="A114">
        <v>-73.951931849999994</v>
      </c>
      <c r="B114">
        <v>40.772790800000003</v>
      </c>
      <c r="C114" t="s">
        <v>709</v>
      </c>
      <c r="D114" t="s">
        <v>38</v>
      </c>
      <c r="E114" s="58">
        <v>43390</v>
      </c>
      <c r="F114">
        <v>18</v>
      </c>
      <c r="G114" t="s">
        <v>105</v>
      </c>
      <c r="H114" t="s">
        <v>42</v>
      </c>
      <c r="I114" t="s">
        <v>737</v>
      </c>
      <c r="J114" t="s">
        <v>43</v>
      </c>
      <c r="K114" t="s">
        <v>531</v>
      </c>
      <c r="L114" t="s">
        <v>44</v>
      </c>
      <c r="M114">
        <v>25</v>
      </c>
      <c r="N114" t="s">
        <v>2865</v>
      </c>
      <c r="O114" t="b">
        <v>1</v>
      </c>
      <c r="P114" t="b">
        <v>0</v>
      </c>
      <c r="Q114" t="b">
        <v>1</v>
      </c>
      <c r="R114" t="b">
        <v>1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1</v>
      </c>
      <c r="AA114" t="b">
        <v>0</v>
      </c>
      <c r="AB114" t="s">
        <v>432</v>
      </c>
      <c r="AC114" t="s">
        <v>8645</v>
      </c>
    </row>
    <row r="115" spans="1:29" x14ac:dyDescent="0.3">
      <c r="A115">
        <v>-73.955753849999994</v>
      </c>
      <c r="B115">
        <v>40.783816379999998</v>
      </c>
      <c r="C115" t="s">
        <v>523</v>
      </c>
      <c r="D115" t="s">
        <v>33</v>
      </c>
      <c r="E115" s="58">
        <v>43383</v>
      </c>
      <c r="F115">
        <v>11</v>
      </c>
      <c r="G115" t="s">
        <v>48</v>
      </c>
      <c r="H115" t="s">
        <v>42</v>
      </c>
      <c r="I115" t="s">
        <v>96</v>
      </c>
      <c r="J115" t="s">
        <v>97</v>
      </c>
      <c r="K115" t="s">
        <v>5206</v>
      </c>
      <c r="L115" t="s">
        <v>65</v>
      </c>
      <c r="M115" t="b">
        <v>0</v>
      </c>
      <c r="N115" t="s">
        <v>5420</v>
      </c>
      <c r="O115" t="b">
        <v>1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s">
        <v>743</v>
      </c>
      <c r="AC115" t="s">
        <v>8646</v>
      </c>
    </row>
    <row r="116" spans="1:29" x14ac:dyDescent="0.3">
      <c r="A116">
        <v>-73.961246389999999</v>
      </c>
      <c r="B116">
        <v>40.785786809999998</v>
      </c>
      <c r="C116" t="s">
        <v>298</v>
      </c>
      <c r="D116" t="s">
        <v>33</v>
      </c>
      <c r="E116" s="58">
        <v>43388</v>
      </c>
      <c r="F116">
        <v>22</v>
      </c>
      <c r="G116" t="s">
        <v>48</v>
      </c>
      <c r="H116" t="s">
        <v>42</v>
      </c>
      <c r="I116" t="s">
        <v>53</v>
      </c>
      <c r="J116" t="s">
        <v>43</v>
      </c>
      <c r="K116" t="s">
        <v>2685</v>
      </c>
      <c r="L116" t="s">
        <v>65</v>
      </c>
      <c r="M116" t="b">
        <v>0</v>
      </c>
      <c r="N116" t="s">
        <v>1689</v>
      </c>
      <c r="O116" t="b">
        <v>0</v>
      </c>
      <c r="P116" t="b">
        <v>0</v>
      </c>
      <c r="Q116" t="b">
        <v>1</v>
      </c>
      <c r="R116" t="b">
        <v>1</v>
      </c>
      <c r="S116" t="b">
        <v>1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1</v>
      </c>
      <c r="AA116" t="b">
        <v>1</v>
      </c>
      <c r="AB116" t="s">
        <v>3468</v>
      </c>
      <c r="AC116" t="s">
        <v>8647</v>
      </c>
    </row>
    <row r="117" spans="1:29" x14ac:dyDescent="0.3">
      <c r="A117">
        <v>-73.953762639999994</v>
      </c>
      <c r="B117">
        <v>40.785334259999999</v>
      </c>
      <c r="C117" t="s">
        <v>88</v>
      </c>
      <c r="D117" t="s">
        <v>38</v>
      </c>
      <c r="E117" s="58">
        <v>43385</v>
      </c>
      <c r="F117">
        <v>20</v>
      </c>
      <c r="G117" t="s">
        <v>105</v>
      </c>
      <c r="H117" t="s">
        <v>42</v>
      </c>
      <c r="I117" t="s">
        <v>59</v>
      </c>
      <c r="J117" t="s">
        <v>43</v>
      </c>
      <c r="K117" t="s">
        <v>1381</v>
      </c>
      <c r="L117" t="s">
        <v>44</v>
      </c>
      <c r="M117">
        <v>4</v>
      </c>
      <c r="N117" t="s">
        <v>190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1</v>
      </c>
      <c r="AB117" t="s">
        <v>5951</v>
      </c>
      <c r="AC117" t="s">
        <v>8648</v>
      </c>
    </row>
    <row r="118" spans="1:29" x14ac:dyDescent="0.3">
      <c r="A118">
        <v>-73.955893689999996</v>
      </c>
      <c r="B118">
        <v>40.76813172</v>
      </c>
      <c r="C118" t="s">
        <v>320</v>
      </c>
      <c r="D118" t="s">
        <v>38</v>
      </c>
      <c r="E118" s="58">
        <v>43380</v>
      </c>
      <c r="F118">
        <v>5</v>
      </c>
      <c r="G118" t="s">
        <v>48</v>
      </c>
      <c r="H118" t="s">
        <v>42</v>
      </c>
      <c r="I118" t="s">
        <v>53</v>
      </c>
      <c r="J118" t="s">
        <v>43</v>
      </c>
      <c r="K118" t="s">
        <v>894</v>
      </c>
      <c r="L118" t="s">
        <v>65</v>
      </c>
      <c r="M118" t="b">
        <v>0</v>
      </c>
      <c r="N118" t="s">
        <v>1359</v>
      </c>
      <c r="O118" t="b">
        <v>0</v>
      </c>
      <c r="P118" t="b">
        <v>0</v>
      </c>
      <c r="Q118" t="b">
        <v>0</v>
      </c>
      <c r="R118" t="b">
        <v>0</v>
      </c>
      <c r="S118" t="b">
        <v>1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1</v>
      </c>
      <c r="AA118" t="b">
        <v>0</v>
      </c>
      <c r="AB118" t="s">
        <v>3437</v>
      </c>
      <c r="AC118" t="s">
        <v>8649</v>
      </c>
    </row>
    <row r="119" spans="1:29" x14ac:dyDescent="0.3">
      <c r="A119">
        <v>-73.975293410000006</v>
      </c>
      <c r="B119">
        <v>40.795804179999998</v>
      </c>
      <c r="C119" t="s">
        <v>793</v>
      </c>
      <c r="D119" t="s">
        <v>33</v>
      </c>
      <c r="E119" s="58">
        <v>43388</v>
      </c>
      <c r="F119">
        <v>19</v>
      </c>
      <c r="G119" t="s">
        <v>48</v>
      </c>
      <c r="H119" t="s">
        <v>42</v>
      </c>
      <c r="I119" t="s">
        <v>59</v>
      </c>
      <c r="J119" t="s">
        <v>43</v>
      </c>
      <c r="K119" t="s">
        <v>64</v>
      </c>
      <c r="L119" t="s">
        <v>65</v>
      </c>
      <c r="M119" t="b">
        <v>0</v>
      </c>
      <c r="N119" t="s">
        <v>1203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1</v>
      </c>
      <c r="AA119" t="b">
        <v>1</v>
      </c>
      <c r="AB119" t="s">
        <v>5284</v>
      </c>
      <c r="AC119" t="s">
        <v>8650</v>
      </c>
    </row>
    <row r="120" spans="1:29" x14ac:dyDescent="0.3">
      <c r="A120">
        <v>-73.953099370000004</v>
      </c>
      <c r="B120">
        <v>40.774261869999997</v>
      </c>
      <c r="C120" t="s">
        <v>1581</v>
      </c>
      <c r="D120" t="s">
        <v>33</v>
      </c>
      <c r="E120" s="58">
        <v>43386</v>
      </c>
      <c r="F120">
        <v>22</v>
      </c>
      <c r="G120" t="s">
        <v>48</v>
      </c>
      <c r="H120" t="s">
        <v>42</v>
      </c>
      <c r="I120" t="s">
        <v>96</v>
      </c>
      <c r="J120" t="s">
        <v>43</v>
      </c>
      <c r="K120" t="s">
        <v>1896</v>
      </c>
      <c r="L120" t="s">
        <v>65</v>
      </c>
      <c r="M120" t="b">
        <v>0</v>
      </c>
      <c r="N120" t="s">
        <v>4455</v>
      </c>
      <c r="O120" t="b">
        <v>0</v>
      </c>
      <c r="P120" t="b">
        <v>1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1</v>
      </c>
      <c r="AA120" t="b">
        <v>1</v>
      </c>
      <c r="AB120" t="s">
        <v>1801</v>
      </c>
      <c r="AC120" t="s">
        <v>8651</v>
      </c>
    </row>
    <row r="121" spans="1:29" x14ac:dyDescent="0.3">
      <c r="A121">
        <v>-73.964203380000001</v>
      </c>
      <c r="B121">
        <v>40.769470609999999</v>
      </c>
      <c r="C121" t="s">
        <v>3049</v>
      </c>
      <c r="D121" t="s">
        <v>33</v>
      </c>
      <c r="E121" s="58">
        <v>43382</v>
      </c>
      <c r="F121">
        <v>27</v>
      </c>
      <c r="G121" t="s">
        <v>105</v>
      </c>
      <c r="H121" t="s">
        <v>176</v>
      </c>
      <c r="I121" t="s">
        <v>96</v>
      </c>
      <c r="J121" t="s">
        <v>738</v>
      </c>
      <c r="K121" t="s">
        <v>3887</v>
      </c>
      <c r="L121" t="s">
        <v>65</v>
      </c>
      <c r="M121" t="b">
        <v>0</v>
      </c>
      <c r="N121" t="s">
        <v>456</v>
      </c>
      <c r="O121" t="b">
        <v>1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s">
        <v>121</v>
      </c>
      <c r="AC121" t="s">
        <v>8652</v>
      </c>
    </row>
    <row r="122" spans="1:29" x14ac:dyDescent="0.3">
      <c r="A122">
        <v>-73.955775239999994</v>
      </c>
      <c r="B122">
        <v>40.796201580000002</v>
      </c>
      <c r="C122" t="s">
        <v>963</v>
      </c>
      <c r="D122" t="s">
        <v>33</v>
      </c>
      <c r="E122" s="58">
        <v>43390</v>
      </c>
      <c r="F122">
        <v>28</v>
      </c>
      <c r="G122" t="s">
        <v>48</v>
      </c>
      <c r="H122" t="s">
        <v>42</v>
      </c>
      <c r="I122" t="s">
        <v>53</v>
      </c>
      <c r="J122" t="s">
        <v>43</v>
      </c>
      <c r="K122" t="s">
        <v>4110</v>
      </c>
      <c r="L122" t="s">
        <v>65</v>
      </c>
      <c r="M122" t="b">
        <v>0</v>
      </c>
      <c r="N122" t="s">
        <v>456</v>
      </c>
      <c r="O122" t="b">
        <v>0</v>
      </c>
      <c r="P122" t="b">
        <v>1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1</v>
      </c>
      <c r="AA122" t="b">
        <v>0</v>
      </c>
      <c r="AB122" t="s">
        <v>101</v>
      </c>
      <c r="AC122" t="s">
        <v>8653</v>
      </c>
    </row>
    <row r="123" spans="1:29" x14ac:dyDescent="0.3">
      <c r="A123">
        <v>-73.952988329999997</v>
      </c>
      <c r="B123">
        <v>40.798557099999996</v>
      </c>
      <c r="C123" t="s">
        <v>343</v>
      </c>
      <c r="D123" t="s">
        <v>33</v>
      </c>
      <c r="E123" s="58">
        <v>43381</v>
      </c>
      <c r="F123">
        <v>19</v>
      </c>
      <c r="G123" t="s">
        <v>105</v>
      </c>
      <c r="H123" t="s">
        <v>42</v>
      </c>
      <c r="I123" t="s">
        <v>42</v>
      </c>
      <c r="J123" t="s">
        <v>43</v>
      </c>
      <c r="K123" t="s">
        <v>4243</v>
      </c>
      <c r="L123" t="s">
        <v>65</v>
      </c>
      <c r="M123" t="b">
        <v>0</v>
      </c>
      <c r="N123" t="s">
        <v>6409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1</v>
      </c>
      <c r="AA123" t="b">
        <v>0</v>
      </c>
      <c r="AB123" t="s">
        <v>2004</v>
      </c>
      <c r="AC123" t="s">
        <v>8654</v>
      </c>
    </row>
    <row r="124" spans="1:29" x14ac:dyDescent="0.3">
      <c r="A124">
        <v>-73.971161559999999</v>
      </c>
      <c r="B124">
        <v>40.795264330000002</v>
      </c>
      <c r="C124" t="s">
        <v>1115</v>
      </c>
      <c r="D124" t="s">
        <v>33</v>
      </c>
      <c r="E124" s="58">
        <v>43388</v>
      </c>
      <c r="F124">
        <v>30</v>
      </c>
      <c r="G124" t="s">
        <v>48</v>
      </c>
      <c r="H124" t="s">
        <v>42</v>
      </c>
      <c r="I124" t="s">
        <v>59</v>
      </c>
      <c r="J124" t="s">
        <v>43</v>
      </c>
      <c r="K124" t="s">
        <v>4317</v>
      </c>
      <c r="L124" t="s">
        <v>44</v>
      </c>
      <c r="M124">
        <v>30</v>
      </c>
      <c r="N124" t="s">
        <v>3781</v>
      </c>
      <c r="O124" t="b">
        <v>1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b">
        <v>0</v>
      </c>
      <c r="W124" t="b">
        <v>0</v>
      </c>
      <c r="X124" t="b">
        <v>1</v>
      </c>
      <c r="Y124" t="b">
        <v>0</v>
      </c>
      <c r="Z124" t="b">
        <v>0</v>
      </c>
      <c r="AA124" t="b">
        <v>0</v>
      </c>
      <c r="AB124" t="s">
        <v>2182</v>
      </c>
      <c r="AC124" t="s">
        <v>8655</v>
      </c>
    </row>
    <row r="125" spans="1:29" x14ac:dyDescent="0.3">
      <c r="A125">
        <v>-73.977698899999993</v>
      </c>
      <c r="B125">
        <v>40.793411990000003</v>
      </c>
      <c r="C125" t="s">
        <v>408</v>
      </c>
      <c r="D125" t="s">
        <v>33</v>
      </c>
      <c r="E125" s="58">
        <v>43389</v>
      </c>
      <c r="F125">
        <v>15</v>
      </c>
      <c r="G125" t="s">
        <v>48</v>
      </c>
      <c r="H125" t="s">
        <v>42</v>
      </c>
      <c r="I125" t="s">
        <v>53</v>
      </c>
      <c r="J125" t="s">
        <v>116</v>
      </c>
      <c r="K125" t="s">
        <v>1381</v>
      </c>
      <c r="L125" t="s">
        <v>44</v>
      </c>
      <c r="M125">
        <v>40</v>
      </c>
      <c r="N125" t="s">
        <v>1582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s">
        <v>3061</v>
      </c>
      <c r="AC125" t="s">
        <v>8656</v>
      </c>
    </row>
    <row r="126" spans="1:29" x14ac:dyDescent="0.3">
      <c r="A126">
        <v>-73.973993030000003</v>
      </c>
      <c r="B126">
        <v>40.787980330000003</v>
      </c>
      <c r="C126" t="s">
        <v>1336</v>
      </c>
      <c r="D126" t="s">
        <v>38</v>
      </c>
      <c r="E126" s="58">
        <v>43386</v>
      </c>
      <c r="F126">
        <v>30</v>
      </c>
      <c r="G126" t="s">
        <v>105</v>
      </c>
      <c r="H126" t="s">
        <v>42</v>
      </c>
      <c r="I126" t="s">
        <v>59</v>
      </c>
      <c r="J126" t="s">
        <v>54</v>
      </c>
      <c r="K126" t="s">
        <v>7003</v>
      </c>
      <c r="L126" t="s">
        <v>65</v>
      </c>
      <c r="M126" t="b">
        <v>0</v>
      </c>
      <c r="N126" t="s">
        <v>4107</v>
      </c>
      <c r="O126" t="b">
        <v>0</v>
      </c>
      <c r="P126" t="b">
        <v>0</v>
      </c>
      <c r="Q126" t="b">
        <v>0</v>
      </c>
      <c r="R126" t="b">
        <v>0</v>
      </c>
      <c r="S126" t="b">
        <v>1</v>
      </c>
      <c r="T126" t="b">
        <v>0</v>
      </c>
      <c r="U126" t="b">
        <v>1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s">
        <v>690</v>
      </c>
      <c r="AC126" t="s">
        <v>8657</v>
      </c>
    </row>
    <row r="127" spans="1:29" x14ac:dyDescent="0.3">
      <c r="A127">
        <v>-73.967731670000006</v>
      </c>
      <c r="B127">
        <v>40.784305170000003</v>
      </c>
      <c r="C127" t="s">
        <v>604</v>
      </c>
      <c r="D127" t="s">
        <v>38</v>
      </c>
      <c r="E127" s="58">
        <v>43380</v>
      </c>
      <c r="F127">
        <v>16</v>
      </c>
      <c r="G127" t="s">
        <v>48</v>
      </c>
      <c r="H127" t="s">
        <v>42</v>
      </c>
      <c r="I127" t="s">
        <v>59</v>
      </c>
      <c r="J127" t="s">
        <v>54</v>
      </c>
      <c r="K127" t="s">
        <v>5429</v>
      </c>
      <c r="L127" t="s">
        <v>65</v>
      </c>
      <c r="M127" t="b">
        <v>0</v>
      </c>
      <c r="N127" t="s">
        <v>2737</v>
      </c>
      <c r="O127" t="b">
        <v>0</v>
      </c>
      <c r="P127" t="b">
        <v>0</v>
      </c>
      <c r="Q127" t="b">
        <v>0</v>
      </c>
      <c r="R127" t="b">
        <v>1</v>
      </c>
      <c r="S127" t="b">
        <v>1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1</v>
      </c>
      <c r="AA127" t="b">
        <v>0</v>
      </c>
      <c r="AB127" t="s">
        <v>3315</v>
      </c>
      <c r="AC127" t="s">
        <v>8658</v>
      </c>
    </row>
    <row r="128" spans="1:29" x14ac:dyDescent="0.3">
      <c r="A128">
        <v>-73.9554428</v>
      </c>
      <c r="B128">
        <v>40.76797328</v>
      </c>
      <c r="C128" t="s">
        <v>1401</v>
      </c>
      <c r="D128" t="s">
        <v>38</v>
      </c>
      <c r="E128" s="58">
        <v>43389</v>
      </c>
      <c r="F128">
        <v>24</v>
      </c>
      <c r="G128" t="s">
        <v>48</v>
      </c>
      <c r="H128" t="s">
        <v>42</v>
      </c>
      <c r="I128" t="s">
        <v>59</v>
      </c>
      <c r="J128" t="s">
        <v>60</v>
      </c>
      <c r="K128" t="s">
        <v>6582</v>
      </c>
      <c r="L128" t="s">
        <v>65</v>
      </c>
      <c r="M128" t="b">
        <v>0</v>
      </c>
      <c r="N128" t="s">
        <v>3990</v>
      </c>
      <c r="O128" t="b">
        <v>0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1</v>
      </c>
      <c r="AA128" t="b">
        <v>0</v>
      </c>
      <c r="AB128" t="s">
        <v>5110</v>
      </c>
      <c r="AC128" t="s">
        <v>8659</v>
      </c>
    </row>
    <row r="129" spans="1:29" x14ac:dyDescent="0.3">
      <c r="A129">
        <v>-73.95409995</v>
      </c>
      <c r="B129">
        <v>40.779291430000001</v>
      </c>
      <c r="C129" t="s">
        <v>286</v>
      </c>
      <c r="D129" t="s">
        <v>33</v>
      </c>
      <c r="E129" s="58">
        <v>43389</v>
      </c>
      <c r="F129">
        <v>9</v>
      </c>
      <c r="G129" t="s">
        <v>48</v>
      </c>
      <c r="H129" t="s">
        <v>42</v>
      </c>
      <c r="I129" t="s">
        <v>59</v>
      </c>
      <c r="J129" t="s">
        <v>54</v>
      </c>
      <c r="K129" t="s">
        <v>1381</v>
      </c>
      <c r="L129" t="s">
        <v>65</v>
      </c>
      <c r="M129" t="b">
        <v>0</v>
      </c>
      <c r="N129" t="s">
        <v>874</v>
      </c>
      <c r="O129" t="b">
        <v>1</v>
      </c>
      <c r="P129" t="b">
        <v>0</v>
      </c>
      <c r="Q129" t="b">
        <v>0</v>
      </c>
      <c r="R129" t="b">
        <v>1</v>
      </c>
      <c r="S129" t="b">
        <v>1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1</v>
      </c>
      <c r="AB129" t="s">
        <v>4974</v>
      </c>
      <c r="AC129" t="s">
        <v>8660</v>
      </c>
    </row>
    <row r="130" spans="1:29" x14ac:dyDescent="0.3">
      <c r="A130">
        <v>-73.980940029999999</v>
      </c>
      <c r="B130">
        <v>40.778032230000001</v>
      </c>
      <c r="C130" t="s">
        <v>3049</v>
      </c>
      <c r="D130" t="s">
        <v>38</v>
      </c>
      <c r="E130" s="58">
        <v>43391</v>
      </c>
      <c r="F130">
        <v>4</v>
      </c>
      <c r="G130" t="s">
        <v>48</v>
      </c>
      <c r="H130" t="s">
        <v>42</v>
      </c>
      <c r="I130" t="s">
        <v>59</v>
      </c>
      <c r="J130" t="s">
        <v>54</v>
      </c>
      <c r="K130" t="s">
        <v>6764</v>
      </c>
      <c r="L130" t="s">
        <v>65</v>
      </c>
      <c r="M130" t="b">
        <v>0</v>
      </c>
      <c r="N130" t="s">
        <v>701</v>
      </c>
      <c r="O130" t="b">
        <v>0</v>
      </c>
      <c r="P130" t="b">
        <v>0</v>
      </c>
      <c r="Q130" t="b">
        <v>1</v>
      </c>
      <c r="R130" t="b">
        <v>0</v>
      </c>
      <c r="S130" t="b">
        <v>1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s">
        <v>4104</v>
      </c>
      <c r="AC130" t="s">
        <v>8661</v>
      </c>
    </row>
    <row r="131" spans="1:29" x14ac:dyDescent="0.3">
      <c r="A131">
        <v>-73.965102310000006</v>
      </c>
      <c r="B131">
        <v>40.774056039999998</v>
      </c>
      <c r="C131" t="s">
        <v>1899</v>
      </c>
      <c r="D131" t="s">
        <v>38</v>
      </c>
      <c r="E131" s="58">
        <v>43381</v>
      </c>
      <c r="F131">
        <v>15</v>
      </c>
      <c r="G131" t="s">
        <v>105</v>
      </c>
      <c r="H131" t="s">
        <v>53</v>
      </c>
      <c r="I131" t="s">
        <v>53</v>
      </c>
      <c r="J131" t="s">
        <v>43</v>
      </c>
      <c r="K131" t="s">
        <v>5413</v>
      </c>
      <c r="L131" t="s">
        <v>44</v>
      </c>
      <c r="M131">
        <v>10</v>
      </c>
      <c r="N131" t="s">
        <v>3496</v>
      </c>
      <c r="O131" t="b">
        <v>1</v>
      </c>
      <c r="P131" t="b">
        <v>0</v>
      </c>
      <c r="Q131" t="b">
        <v>0</v>
      </c>
      <c r="R131" t="b">
        <v>1</v>
      </c>
      <c r="S131" t="b">
        <v>1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1</v>
      </c>
      <c r="AB131" t="s">
        <v>1432</v>
      </c>
      <c r="AC131" t="s">
        <v>8662</v>
      </c>
    </row>
    <row r="132" spans="1:29" x14ac:dyDescent="0.3">
      <c r="A132">
        <v>-73.968036510000005</v>
      </c>
      <c r="B132">
        <v>40.790380740000003</v>
      </c>
      <c r="C132" t="s">
        <v>286</v>
      </c>
      <c r="D132" t="s">
        <v>38</v>
      </c>
      <c r="E132" s="58">
        <v>43390</v>
      </c>
      <c r="F132">
        <v>25</v>
      </c>
      <c r="G132" t="s">
        <v>48</v>
      </c>
      <c r="H132" t="s">
        <v>42</v>
      </c>
      <c r="I132" t="s">
        <v>96</v>
      </c>
      <c r="J132" t="s">
        <v>54</v>
      </c>
      <c r="K132" t="s">
        <v>5682</v>
      </c>
      <c r="L132" t="s">
        <v>65</v>
      </c>
      <c r="M132" t="b">
        <v>0</v>
      </c>
      <c r="N132" t="s">
        <v>2304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1</v>
      </c>
      <c r="AA132" t="b">
        <v>1</v>
      </c>
      <c r="AB132" t="s">
        <v>7266</v>
      </c>
      <c r="AC132" t="s">
        <v>8663</v>
      </c>
    </row>
    <row r="133" spans="1:29" x14ac:dyDescent="0.3">
      <c r="A133">
        <v>-73.974176220000004</v>
      </c>
      <c r="B133">
        <v>40.782369389999999</v>
      </c>
      <c r="C133" t="s">
        <v>47</v>
      </c>
      <c r="D133" t="s">
        <v>38</v>
      </c>
      <c r="E133" s="58">
        <v>43381</v>
      </c>
      <c r="F133">
        <v>12</v>
      </c>
      <c r="G133" t="s">
        <v>48</v>
      </c>
      <c r="H133" t="s">
        <v>42</v>
      </c>
      <c r="I133" t="s">
        <v>59</v>
      </c>
      <c r="J133" t="s">
        <v>54</v>
      </c>
      <c r="K133" t="s">
        <v>1012</v>
      </c>
      <c r="L133" t="s">
        <v>44</v>
      </c>
      <c r="M133">
        <v>12</v>
      </c>
      <c r="N133" t="s">
        <v>7012</v>
      </c>
      <c r="O133" t="b">
        <v>0</v>
      </c>
      <c r="P133" t="b">
        <v>0</v>
      </c>
      <c r="Q133" t="b">
        <v>0</v>
      </c>
      <c r="R133" t="b">
        <v>0</v>
      </c>
      <c r="S133" t="b">
        <v>1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1</v>
      </c>
      <c r="AA133" t="b">
        <v>0</v>
      </c>
      <c r="AB133" t="s">
        <v>630</v>
      </c>
      <c r="AC133" t="s">
        <v>8664</v>
      </c>
    </row>
    <row r="134" spans="1:29" x14ac:dyDescent="0.3">
      <c r="A134">
        <v>-73.977390400000004</v>
      </c>
      <c r="B134">
        <v>40.767764130000003</v>
      </c>
      <c r="C134" t="s">
        <v>1515</v>
      </c>
      <c r="D134" t="s">
        <v>38</v>
      </c>
      <c r="E134" s="58">
        <v>43388</v>
      </c>
      <c r="F134">
        <v>23</v>
      </c>
      <c r="G134" t="s">
        <v>48</v>
      </c>
      <c r="H134" t="s">
        <v>42</v>
      </c>
      <c r="I134" t="s">
        <v>53</v>
      </c>
      <c r="J134" t="s">
        <v>79</v>
      </c>
      <c r="K134" t="s">
        <v>4463</v>
      </c>
      <c r="L134" t="s">
        <v>44</v>
      </c>
      <c r="M134">
        <v>30</v>
      </c>
      <c r="N134" t="s">
        <v>449</v>
      </c>
      <c r="O134" t="b">
        <v>0</v>
      </c>
      <c r="P134" t="b">
        <v>0</v>
      </c>
      <c r="Q134" t="b">
        <v>0</v>
      </c>
      <c r="R134" t="b">
        <v>1</v>
      </c>
      <c r="S134" t="b">
        <v>1</v>
      </c>
      <c r="T134" t="b">
        <v>0</v>
      </c>
      <c r="U134" t="b">
        <v>0</v>
      </c>
      <c r="V134" t="b">
        <v>0</v>
      </c>
      <c r="W134" t="b">
        <v>1</v>
      </c>
      <c r="X134" t="b">
        <v>0</v>
      </c>
      <c r="Y134" t="b">
        <v>0</v>
      </c>
      <c r="Z134" t="b">
        <v>1</v>
      </c>
      <c r="AA134" t="b">
        <v>1</v>
      </c>
      <c r="AB134" t="s">
        <v>2974</v>
      </c>
      <c r="AC134" t="s">
        <v>8665</v>
      </c>
    </row>
    <row r="135" spans="1:29" x14ac:dyDescent="0.3">
      <c r="A135">
        <v>-73.970545040000005</v>
      </c>
      <c r="B135">
        <v>40.772662850000003</v>
      </c>
      <c r="C135" t="s">
        <v>612</v>
      </c>
      <c r="D135" t="s">
        <v>33</v>
      </c>
      <c r="E135" s="58">
        <v>43389</v>
      </c>
      <c r="F135">
        <v>3</v>
      </c>
      <c r="G135" t="s">
        <v>48</v>
      </c>
      <c r="H135" t="s">
        <v>53</v>
      </c>
      <c r="I135" t="s">
        <v>96</v>
      </c>
      <c r="J135" t="s">
        <v>43</v>
      </c>
      <c r="K135" t="s">
        <v>7046</v>
      </c>
      <c r="L135" t="s">
        <v>44</v>
      </c>
      <c r="M135">
        <v>8</v>
      </c>
      <c r="N135" t="s">
        <v>6409</v>
      </c>
      <c r="O135" t="b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s">
        <v>5720</v>
      </c>
      <c r="AC135" t="s">
        <v>8666</v>
      </c>
    </row>
    <row r="136" spans="1:29" x14ac:dyDescent="0.3">
      <c r="A136">
        <v>-73.951516499999997</v>
      </c>
      <c r="B136">
        <v>40.788966739999999</v>
      </c>
      <c r="C136" t="s">
        <v>228</v>
      </c>
      <c r="D136" t="s">
        <v>33</v>
      </c>
      <c r="E136" s="58">
        <v>43379</v>
      </c>
      <c r="F136">
        <v>23</v>
      </c>
      <c r="G136" t="s">
        <v>48</v>
      </c>
      <c r="H136" t="s">
        <v>42</v>
      </c>
      <c r="I136" t="s">
        <v>115</v>
      </c>
      <c r="J136" t="s">
        <v>79</v>
      </c>
      <c r="K136" t="s">
        <v>3887</v>
      </c>
      <c r="L136" t="s">
        <v>65</v>
      </c>
      <c r="M136" t="b">
        <v>0</v>
      </c>
      <c r="N136" t="s">
        <v>6524</v>
      </c>
      <c r="O136" t="b">
        <v>1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1</v>
      </c>
      <c r="Z136" t="b">
        <v>1</v>
      </c>
      <c r="AA136" t="b">
        <v>0</v>
      </c>
      <c r="AB136" t="s">
        <v>2287</v>
      </c>
      <c r="AC136" t="s">
        <v>8667</v>
      </c>
    </row>
    <row r="137" spans="1:29" x14ac:dyDescent="0.3">
      <c r="A137">
        <v>-73.970998109999996</v>
      </c>
      <c r="B137">
        <v>40.767591070000002</v>
      </c>
      <c r="C137" t="s">
        <v>208</v>
      </c>
      <c r="D137" t="s">
        <v>38</v>
      </c>
      <c r="E137" s="58">
        <v>43384</v>
      </c>
      <c r="F137">
        <v>14</v>
      </c>
      <c r="G137" t="s">
        <v>48</v>
      </c>
      <c r="H137" t="s">
        <v>42</v>
      </c>
      <c r="I137" t="s">
        <v>115</v>
      </c>
      <c r="J137" t="s">
        <v>43</v>
      </c>
      <c r="K137" t="s">
        <v>2823</v>
      </c>
      <c r="L137" t="s">
        <v>65</v>
      </c>
      <c r="M137" t="b">
        <v>0</v>
      </c>
      <c r="N137" t="s">
        <v>424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s">
        <v>4727</v>
      </c>
      <c r="AC137" t="s">
        <v>8668</v>
      </c>
    </row>
    <row r="138" spans="1:29" x14ac:dyDescent="0.3">
      <c r="A138">
        <v>-73.964849459999996</v>
      </c>
      <c r="B138">
        <v>40.794879829999999</v>
      </c>
      <c r="C138" t="s">
        <v>1581</v>
      </c>
      <c r="D138" t="s">
        <v>38</v>
      </c>
      <c r="E138" s="58">
        <v>43380</v>
      </c>
      <c r="F138">
        <v>17</v>
      </c>
      <c r="G138" t="s">
        <v>48</v>
      </c>
      <c r="H138" t="s">
        <v>42</v>
      </c>
      <c r="I138" t="s">
        <v>53</v>
      </c>
      <c r="J138" t="s">
        <v>43</v>
      </c>
      <c r="K138" t="s">
        <v>6869</v>
      </c>
      <c r="L138" t="s">
        <v>65</v>
      </c>
      <c r="M138" t="b">
        <v>0</v>
      </c>
      <c r="N138" t="s">
        <v>4445</v>
      </c>
      <c r="O138" t="b">
        <v>0</v>
      </c>
      <c r="P138" t="b">
        <v>1</v>
      </c>
      <c r="Q138" t="b">
        <v>0</v>
      </c>
      <c r="R138" t="b">
        <v>0</v>
      </c>
      <c r="S138" t="b">
        <v>1</v>
      </c>
      <c r="T138" t="b">
        <v>1</v>
      </c>
      <c r="U138" t="b">
        <v>0</v>
      </c>
      <c r="V138" t="b">
        <v>0</v>
      </c>
      <c r="W138" t="b">
        <v>0</v>
      </c>
      <c r="X138" t="b">
        <v>1</v>
      </c>
      <c r="Y138" t="b">
        <v>0</v>
      </c>
      <c r="Z138" t="b">
        <v>1</v>
      </c>
      <c r="AA138" t="b">
        <v>1</v>
      </c>
      <c r="AB138" t="s">
        <v>263</v>
      </c>
      <c r="AC138" t="s">
        <v>8669</v>
      </c>
    </row>
    <row r="139" spans="1:29" x14ac:dyDescent="0.3">
      <c r="A139">
        <v>-73.959057909999999</v>
      </c>
      <c r="B139">
        <v>40.782343709999999</v>
      </c>
      <c r="C139" t="s">
        <v>756</v>
      </c>
      <c r="D139" t="s">
        <v>38</v>
      </c>
      <c r="E139" s="58">
        <v>43379</v>
      </c>
      <c r="F139">
        <v>19</v>
      </c>
      <c r="G139" t="s">
        <v>105</v>
      </c>
      <c r="H139" t="s">
        <v>42</v>
      </c>
      <c r="I139" t="s">
        <v>53</v>
      </c>
      <c r="J139" t="s">
        <v>54</v>
      </c>
      <c r="K139" t="s">
        <v>981</v>
      </c>
      <c r="L139" t="s">
        <v>65</v>
      </c>
      <c r="M139" t="b">
        <v>0</v>
      </c>
      <c r="N139" t="s">
        <v>3185</v>
      </c>
      <c r="O139" t="b">
        <v>0</v>
      </c>
      <c r="P139" t="b">
        <v>0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b">
        <v>0</v>
      </c>
      <c r="W139" t="b">
        <v>0</v>
      </c>
      <c r="X139" t="b">
        <v>1</v>
      </c>
      <c r="Y139" t="b">
        <v>0</v>
      </c>
      <c r="Z139" t="b">
        <v>0</v>
      </c>
      <c r="AA139" t="b">
        <v>0</v>
      </c>
      <c r="AB139" t="s">
        <v>2407</v>
      </c>
      <c r="AC139" t="s">
        <v>8670</v>
      </c>
    </row>
    <row r="140" spans="1:29" x14ac:dyDescent="0.3">
      <c r="A140">
        <v>-73.969727219999996</v>
      </c>
      <c r="B140">
        <v>40.781831089999997</v>
      </c>
      <c r="C140" t="s">
        <v>790</v>
      </c>
      <c r="D140" t="s">
        <v>33</v>
      </c>
      <c r="E140" s="58">
        <v>43380</v>
      </c>
      <c r="F140">
        <v>6</v>
      </c>
      <c r="G140" t="s">
        <v>48</v>
      </c>
      <c r="H140" t="s">
        <v>53</v>
      </c>
      <c r="I140" t="s">
        <v>59</v>
      </c>
      <c r="J140" t="s">
        <v>116</v>
      </c>
      <c r="K140" t="s">
        <v>3248</v>
      </c>
      <c r="L140" t="s">
        <v>65</v>
      </c>
      <c r="M140" t="b">
        <v>0</v>
      </c>
      <c r="N140" t="s">
        <v>6373</v>
      </c>
      <c r="O140" t="b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1</v>
      </c>
      <c r="AA140" t="b">
        <v>0</v>
      </c>
      <c r="AB140" t="s">
        <v>121</v>
      </c>
      <c r="AC140" t="s">
        <v>8671</v>
      </c>
    </row>
    <row r="141" spans="1:29" x14ac:dyDescent="0.3">
      <c r="A141">
        <v>-73.950608849999995</v>
      </c>
      <c r="B141">
        <v>40.785768070000003</v>
      </c>
      <c r="C141" t="s">
        <v>1170</v>
      </c>
      <c r="D141" t="s">
        <v>33</v>
      </c>
      <c r="E141" s="58">
        <v>43390</v>
      </c>
      <c r="F141">
        <v>4</v>
      </c>
      <c r="G141" t="s">
        <v>48</v>
      </c>
      <c r="H141" t="s">
        <v>42</v>
      </c>
      <c r="I141" t="s">
        <v>53</v>
      </c>
      <c r="J141" t="s">
        <v>54</v>
      </c>
      <c r="K141" t="s">
        <v>1696</v>
      </c>
      <c r="L141" t="s">
        <v>65</v>
      </c>
      <c r="M141" t="b">
        <v>0</v>
      </c>
      <c r="N141" t="s">
        <v>3931</v>
      </c>
      <c r="O141" t="b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s">
        <v>7266</v>
      </c>
      <c r="AC141" t="s">
        <v>8672</v>
      </c>
    </row>
    <row r="142" spans="1:29" x14ac:dyDescent="0.3">
      <c r="A142">
        <v>-73.950902299999996</v>
      </c>
      <c r="B142">
        <v>40.793945909999998</v>
      </c>
      <c r="C142" t="s">
        <v>1995</v>
      </c>
      <c r="D142" t="s">
        <v>33</v>
      </c>
      <c r="E142" s="58">
        <v>43384</v>
      </c>
      <c r="F142">
        <v>7</v>
      </c>
      <c r="G142" t="s">
        <v>105</v>
      </c>
      <c r="H142" t="s">
        <v>42</v>
      </c>
      <c r="I142" t="s">
        <v>115</v>
      </c>
      <c r="J142" t="s">
        <v>79</v>
      </c>
      <c r="K142" t="s">
        <v>6764</v>
      </c>
      <c r="L142" t="s">
        <v>65</v>
      </c>
      <c r="M142" t="b">
        <v>0</v>
      </c>
      <c r="N142" t="s">
        <v>3705</v>
      </c>
      <c r="O142" t="b">
        <v>1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1</v>
      </c>
      <c r="AA142" t="b">
        <v>0</v>
      </c>
      <c r="AB142" t="s">
        <v>4924</v>
      </c>
      <c r="AC142" t="s">
        <v>8673</v>
      </c>
    </row>
    <row r="143" spans="1:29" x14ac:dyDescent="0.3">
      <c r="A143">
        <v>-73.973243350000004</v>
      </c>
      <c r="B143">
        <v>40.77715628</v>
      </c>
      <c r="C143" t="s">
        <v>1025</v>
      </c>
      <c r="D143" t="s">
        <v>38</v>
      </c>
      <c r="E143" s="58">
        <v>43392</v>
      </c>
      <c r="F143">
        <v>30</v>
      </c>
      <c r="G143" t="s">
        <v>48</v>
      </c>
      <c r="H143" t="s">
        <v>53</v>
      </c>
      <c r="I143" t="s">
        <v>53</v>
      </c>
      <c r="J143" t="s">
        <v>43</v>
      </c>
      <c r="K143" t="s">
        <v>2637</v>
      </c>
      <c r="L143" t="s">
        <v>65</v>
      </c>
      <c r="M143" t="b">
        <v>0</v>
      </c>
      <c r="N143" t="s">
        <v>4712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s">
        <v>5813</v>
      </c>
      <c r="AC143" t="s">
        <v>8674</v>
      </c>
    </row>
    <row r="144" spans="1:29" x14ac:dyDescent="0.3">
      <c r="A144">
        <v>-73.965526670000003</v>
      </c>
      <c r="B144">
        <v>40.788782159999997</v>
      </c>
      <c r="C144" t="s">
        <v>68</v>
      </c>
      <c r="D144" t="s">
        <v>38</v>
      </c>
      <c r="E144" s="58">
        <v>43382</v>
      </c>
      <c r="F144">
        <v>19</v>
      </c>
      <c r="G144" t="s">
        <v>48</v>
      </c>
      <c r="H144" t="s">
        <v>42</v>
      </c>
      <c r="I144" t="s">
        <v>53</v>
      </c>
      <c r="J144" t="s">
        <v>43</v>
      </c>
      <c r="K144" t="s">
        <v>1843</v>
      </c>
      <c r="L144" t="s">
        <v>44</v>
      </c>
      <c r="M144">
        <v>7</v>
      </c>
      <c r="N144" t="s">
        <v>222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1</v>
      </c>
      <c r="AB144" t="s">
        <v>3663</v>
      </c>
      <c r="AC144" t="s">
        <v>8675</v>
      </c>
    </row>
    <row r="145" spans="1:29" x14ac:dyDescent="0.3">
      <c r="A145">
        <v>-73.97169993</v>
      </c>
      <c r="B145">
        <v>40.784828869999998</v>
      </c>
      <c r="C145" t="s">
        <v>225</v>
      </c>
      <c r="D145" t="s">
        <v>33</v>
      </c>
      <c r="E145" s="58">
        <v>43384</v>
      </c>
      <c r="F145">
        <v>17</v>
      </c>
      <c r="G145" t="s">
        <v>48</v>
      </c>
      <c r="H145" t="s">
        <v>42</v>
      </c>
      <c r="I145" t="s">
        <v>59</v>
      </c>
      <c r="J145" t="s">
        <v>43</v>
      </c>
      <c r="K145" t="s">
        <v>4020</v>
      </c>
      <c r="L145" t="s">
        <v>65</v>
      </c>
      <c r="M145" t="b">
        <v>0</v>
      </c>
      <c r="N145" t="s">
        <v>815</v>
      </c>
      <c r="O145" t="b">
        <v>0</v>
      </c>
      <c r="P145" t="b">
        <v>0</v>
      </c>
      <c r="Q145" t="b">
        <v>1</v>
      </c>
      <c r="R145" t="b">
        <v>1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1</v>
      </c>
      <c r="AA145" t="b">
        <v>0</v>
      </c>
      <c r="AB145" t="s">
        <v>75</v>
      </c>
      <c r="AC145" t="s">
        <v>8676</v>
      </c>
    </row>
    <row r="146" spans="1:29" x14ac:dyDescent="0.3">
      <c r="A146">
        <v>-73.972204099999999</v>
      </c>
      <c r="B146">
        <v>40.774312160000001</v>
      </c>
      <c r="C146" t="s">
        <v>1141</v>
      </c>
      <c r="D146" t="s">
        <v>33</v>
      </c>
      <c r="E146" s="58">
        <v>43390</v>
      </c>
      <c r="F146">
        <v>25</v>
      </c>
      <c r="G146" t="s">
        <v>48</v>
      </c>
      <c r="H146" t="s">
        <v>42</v>
      </c>
      <c r="I146" t="s">
        <v>53</v>
      </c>
      <c r="J146" t="s">
        <v>54</v>
      </c>
      <c r="K146" t="s">
        <v>5168</v>
      </c>
      <c r="L146" t="s">
        <v>65</v>
      </c>
      <c r="M146" t="b">
        <v>0</v>
      </c>
      <c r="N146" t="s">
        <v>2700</v>
      </c>
      <c r="O146" t="b">
        <v>0</v>
      </c>
      <c r="P146" t="b">
        <v>1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s">
        <v>340</v>
      </c>
      <c r="AC146" t="s">
        <v>8677</v>
      </c>
    </row>
    <row r="147" spans="1:29" x14ac:dyDescent="0.3">
      <c r="A147">
        <v>-73.979998969999997</v>
      </c>
      <c r="B147">
        <v>40.79584534</v>
      </c>
      <c r="C147" t="s">
        <v>2181</v>
      </c>
      <c r="D147" t="s">
        <v>33</v>
      </c>
      <c r="E147" s="58">
        <v>43387</v>
      </c>
      <c r="F147">
        <v>16</v>
      </c>
      <c r="G147" t="s">
        <v>48</v>
      </c>
      <c r="H147" t="s">
        <v>42</v>
      </c>
      <c r="I147" t="s">
        <v>96</v>
      </c>
      <c r="J147" t="s">
        <v>43</v>
      </c>
      <c r="K147" t="s">
        <v>2973</v>
      </c>
      <c r="L147" t="s">
        <v>65</v>
      </c>
      <c r="M147" t="b">
        <v>0</v>
      </c>
      <c r="N147" t="s">
        <v>3898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s">
        <v>5792</v>
      </c>
      <c r="AC147" t="s">
        <v>8678</v>
      </c>
    </row>
    <row r="148" spans="1:29" x14ac:dyDescent="0.3">
      <c r="A148">
        <v>-73.961995819999999</v>
      </c>
      <c r="B148">
        <v>40.792986319999997</v>
      </c>
      <c r="C148" t="s">
        <v>782</v>
      </c>
      <c r="D148" t="s">
        <v>38</v>
      </c>
      <c r="E148" s="58">
        <v>43391</v>
      </c>
      <c r="F148">
        <v>15</v>
      </c>
      <c r="G148" t="s">
        <v>105</v>
      </c>
      <c r="H148" t="s">
        <v>42</v>
      </c>
      <c r="I148" t="s">
        <v>59</v>
      </c>
      <c r="J148" t="s">
        <v>43</v>
      </c>
      <c r="K148" t="s">
        <v>6623</v>
      </c>
      <c r="L148" t="s">
        <v>44</v>
      </c>
      <c r="M148">
        <v>5</v>
      </c>
      <c r="N148" t="s">
        <v>1883</v>
      </c>
      <c r="O148" t="b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1</v>
      </c>
      <c r="Y148" t="b">
        <v>0</v>
      </c>
      <c r="Z148" t="b">
        <v>0</v>
      </c>
      <c r="AA148" t="b">
        <v>0</v>
      </c>
      <c r="AB148" t="s">
        <v>6346</v>
      </c>
      <c r="AC148" t="s">
        <v>8679</v>
      </c>
    </row>
    <row r="149" spans="1:29" x14ac:dyDescent="0.3">
      <c r="A149">
        <v>-73.965355950000003</v>
      </c>
      <c r="B149">
        <v>40.788093340000003</v>
      </c>
      <c r="C149" t="s">
        <v>2056</v>
      </c>
      <c r="D149" t="s">
        <v>38</v>
      </c>
      <c r="E149" s="58">
        <v>43388</v>
      </c>
      <c r="F149">
        <v>22</v>
      </c>
      <c r="G149" t="s">
        <v>48</v>
      </c>
      <c r="H149" t="s">
        <v>42</v>
      </c>
      <c r="I149" t="s">
        <v>53</v>
      </c>
      <c r="J149" t="s">
        <v>97</v>
      </c>
      <c r="K149" t="s">
        <v>6823</v>
      </c>
      <c r="L149" t="s">
        <v>65</v>
      </c>
      <c r="M149" t="b">
        <v>0</v>
      </c>
      <c r="N149" t="s">
        <v>2970</v>
      </c>
      <c r="O149" t="b">
        <v>0</v>
      </c>
      <c r="P149" t="b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s">
        <v>1893</v>
      </c>
      <c r="AC149" t="s">
        <v>8680</v>
      </c>
    </row>
    <row r="150" spans="1:29" x14ac:dyDescent="0.3">
      <c r="A150">
        <v>-73.979540249999999</v>
      </c>
      <c r="B150">
        <v>40.794857819999997</v>
      </c>
      <c r="C150" t="s">
        <v>139</v>
      </c>
      <c r="D150" t="s">
        <v>38</v>
      </c>
      <c r="E150" s="58">
        <v>43390</v>
      </c>
      <c r="F150">
        <v>8</v>
      </c>
      <c r="G150" t="s">
        <v>48</v>
      </c>
      <c r="H150" t="s">
        <v>42</v>
      </c>
      <c r="I150" t="s">
        <v>53</v>
      </c>
      <c r="J150" t="s">
        <v>43</v>
      </c>
      <c r="K150" t="s">
        <v>2637</v>
      </c>
      <c r="L150" t="s">
        <v>65</v>
      </c>
      <c r="M150" t="b">
        <v>0</v>
      </c>
      <c r="N150" t="s">
        <v>1819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s">
        <v>2090</v>
      </c>
      <c r="AC150" t="s">
        <v>8681</v>
      </c>
    </row>
    <row r="151" spans="1:29" x14ac:dyDescent="0.3">
      <c r="A151">
        <v>-73.972398819999995</v>
      </c>
      <c r="B151">
        <v>40.795446230000003</v>
      </c>
      <c r="C151" t="s">
        <v>3964</v>
      </c>
      <c r="D151" t="s">
        <v>33</v>
      </c>
      <c r="E151" s="58">
        <v>43388</v>
      </c>
      <c r="F151">
        <v>19</v>
      </c>
      <c r="G151" t="s">
        <v>48</v>
      </c>
      <c r="H151" t="s">
        <v>42</v>
      </c>
      <c r="I151" t="s">
        <v>59</v>
      </c>
      <c r="J151" t="s">
        <v>79</v>
      </c>
      <c r="K151" t="s">
        <v>5180</v>
      </c>
      <c r="L151" t="s">
        <v>65</v>
      </c>
      <c r="M151" t="b">
        <v>0</v>
      </c>
      <c r="N151" t="s">
        <v>5488</v>
      </c>
      <c r="O151" t="b">
        <v>1</v>
      </c>
      <c r="P151" t="b">
        <v>0</v>
      </c>
      <c r="Q151" t="b">
        <v>0</v>
      </c>
      <c r="R151" t="b">
        <v>0</v>
      </c>
      <c r="S151" t="b">
        <v>1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1</v>
      </c>
      <c r="AA151" t="b">
        <v>0</v>
      </c>
      <c r="AB151" t="s">
        <v>290</v>
      </c>
      <c r="AC151" t="s">
        <v>8682</v>
      </c>
    </row>
    <row r="152" spans="1:29" x14ac:dyDescent="0.3">
      <c r="A152">
        <v>-73.952605599999998</v>
      </c>
      <c r="B152">
        <v>40.789850610000002</v>
      </c>
      <c r="C152" t="s">
        <v>870</v>
      </c>
      <c r="D152" t="s">
        <v>38</v>
      </c>
      <c r="E152" s="58">
        <v>43386</v>
      </c>
      <c r="F152">
        <v>8</v>
      </c>
      <c r="G152" t="s">
        <v>48</v>
      </c>
      <c r="H152" t="s">
        <v>42</v>
      </c>
      <c r="I152" t="s">
        <v>53</v>
      </c>
      <c r="J152" t="s">
        <v>54</v>
      </c>
      <c r="K152" t="s">
        <v>1381</v>
      </c>
      <c r="L152" t="s">
        <v>44</v>
      </c>
      <c r="M152">
        <v>6</v>
      </c>
      <c r="N152" t="s">
        <v>190</v>
      </c>
      <c r="O152" t="b">
        <v>0</v>
      </c>
      <c r="P152" t="b">
        <v>0</v>
      </c>
      <c r="Q152" t="b">
        <v>0</v>
      </c>
      <c r="R152" t="b">
        <v>1</v>
      </c>
      <c r="S152" t="b">
        <v>1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1</v>
      </c>
      <c r="AA152" t="b">
        <v>0</v>
      </c>
      <c r="AB152" t="s">
        <v>3121</v>
      </c>
      <c r="AC152" t="s">
        <v>8683</v>
      </c>
    </row>
    <row r="153" spans="1:29" x14ac:dyDescent="0.3">
      <c r="A153">
        <v>-73.973627519999994</v>
      </c>
      <c r="B153">
        <v>40.794380109999999</v>
      </c>
      <c r="C153" t="s">
        <v>353</v>
      </c>
      <c r="D153" t="s">
        <v>33</v>
      </c>
      <c r="E153" s="58">
        <v>43379</v>
      </c>
      <c r="F153">
        <v>18</v>
      </c>
      <c r="G153" t="s">
        <v>48</v>
      </c>
      <c r="H153" t="s">
        <v>42</v>
      </c>
      <c r="I153" t="s">
        <v>59</v>
      </c>
      <c r="J153" t="s">
        <v>54</v>
      </c>
      <c r="K153" t="s">
        <v>2382</v>
      </c>
      <c r="L153" t="s">
        <v>44</v>
      </c>
      <c r="M153">
        <v>10</v>
      </c>
      <c r="N153" t="s">
        <v>4688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1</v>
      </c>
      <c r="V153" t="b">
        <v>0</v>
      </c>
      <c r="W153" t="b">
        <v>0</v>
      </c>
      <c r="X153" t="b">
        <v>1</v>
      </c>
      <c r="Y153" t="b">
        <v>0</v>
      </c>
      <c r="Z153" t="b">
        <v>0</v>
      </c>
      <c r="AA153" t="b">
        <v>0</v>
      </c>
      <c r="AB153" t="s">
        <v>859</v>
      </c>
      <c r="AC153" t="s">
        <v>8684</v>
      </c>
    </row>
    <row r="154" spans="1:29" x14ac:dyDescent="0.3">
      <c r="A154">
        <v>-73.976603549999993</v>
      </c>
      <c r="B154">
        <v>40.789467139999999</v>
      </c>
      <c r="C154" t="s">
        <v>147</v>
      </c>
      <c r="D154" t="s">
        <v>38</v>
      </c>
      <c r="E154" s="58">
        <v>43391</v>
      </c>
      <c r="F154">
        <v>28</v>
      </c>
      <c r="G154" t="s">
        <v>48</v>
      </c>
      <c r="H154" t="s">
        <v>42</v>
      </c>
      <c r="I154" t="s">
        <v>59</v>
      </c>
      <c r="J154" t="s">
        <v>79</v>
      </c>
      <c r="K154" t="s">
        <v>2311</v>
      </c>
      <c r="L154" t="s">
        <v>65</v>
      </c>
      <c r="M154" t="b">
        <v>0</v>
      </c>
      <c r="N154" t="s">
        <v>7207</v>
      </c>
      <c r="O154" t="b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s">
        <v>3672</v>
      </c>
      <c r="AC154" t="s">
        <v>8685</v>
      </c>
    </row>
    <row r="155" spans="1:29" x14ac:dyDescent="0.3">
      <c r="A155">
        <v>-73.965771750000002</v>
      </c>
      <c r="B155">
        <v>40.788856959999997</v>
      </c>
      <c r="C155" t="s">
        <v>2889</v>
      </c>
      <c r="D155" t="s">
        <v>33</v>
      </c>
      <c r="E155" s="58">
        <v>43386</v>
      </c>
      <c r="F155">
        <v>16</v>
      </c>
      <c r="G155" t="s">
        <v>48</v>
      </c>
      <c r="H155" t="s">
        <v>42</v>
      </c>
      <c r="I155" t="s">
        <v>96</v>
      </c>
      <c r="J155" t="s">
        <v>54</v>
      </c>
      <c r="K155" t="s">
        <v>6623</v>
      </c>
      <c r="L155" t="s">
        <v>65</v>
      </c>
      <c r="M155" t="b">
        <v>0</v>
      </c>
      <c r="N155" t="s">
        <v>1800</v>
      </c>
      <c r="O155" t="b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  <c r="U155" t="b">
        <v>0</v>
      </c>
      <c r="V155" t="b">
        <v>0</v>
      </c>
      <c r="W155" t="b">
        <v>1</v>
      </c>
      <c r="X155" t="b">
        <v>0</v>
      </c>
      <c r="Y155" t="b">
        <v>1</v>
      </c>
      <c r="Z155" t="b">
        <v>1</v>
      </c>
      <c r="AA155" t="b">
        <v>0</v>
      </c>
      <c r="AB155" t="s">
        <v>5702</v>
      </c>
      <c r="AC155" t="s">
        <v>8686</v>
      </c>
    </row>
    <row r="156" spans="1:29" x14ac:dyDescent="0.3">
      <c r="A156">
        <v>-73.950172870000003</v>
      </c>
      <c r="B156">
        <v>40.786690640000003</v>
      </c>
      <c r="C156" t="s">
        <v>455</v>
      </c>
      <c r="D156" t="s">
        <v>33</v>
      </c>
      <c r="E156" s="58">
        <v>43387</v>
      </c>
      <c r="F156">
        <v>20</v>
      </c>
      <c r="G156" t="s">
        <v>48</v>
      </c>
      <c r="H156" t="s">
        <v>42</v>
      </c>
      <c r="I156" t="s">
        <v>115</v>
      </c>
      <c r="J156" t="s">
        <v>43</v>
      </c>
      <c r="K156" t="s">
        <v>5933</v>
      </c>
      <c r="L156" t="s">
        <v>65</v>
      </c>
      <c r="M156" t="b">
        <v>0</v>
      </c>
      <c r="N156" t="s">
        <v>190</v>
      </c>
      <c r="O156" t="b">
        <v>0</v>
      </c>
      <c r="P156" t="b">
        <v>1</v>
      </c>
      <c r="Q156" t="b">
        <v>1</v>
      </c>
      <c r="R156" t="b">
        <v>1</v>
      </c>
      <c r="S156" t="b">
        <v>1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1</v>
      </c>
      <c r="Z156" t="b">
        <v>0</v>
      </c>
      <c r="AA156" t="b">
        <v>0</v>
      </c>
      <c r="AB156" t="s">
        <v>1428</v>
      </c>
      <c r="AC156" t="s">
        <v>8687</v>
      </c>
    </row>
    <row r="157" spans="1:29" x14ac:dyDescent="0.3">
      <c r="A157">
        <v>-73.973549129999995</v>
      </c>
      <c r="B157">
        <v>40.791412200000003</v>
      </c>
      <c r="C157" t="s">
        <v>471</v>
      </c>
      <c r="D157" t="s">
        <v>38</v>
      </c>
      <c r="E157" s="58">
        <v>43384</v>
      </c>
      <c r="F157">
        <v>19</v>
      </c>
      <c r="G157" t="s">
        <v>48</v>
      </c>
      <c r="H157" t="s">
        <v>42</v>
      </c>
      <c r="I157" t="s">
        <v>42</v>
      </c>
      <c r="J157" t="s">
        <v>97</v>
      </c>
      <c r="K157" t="s">
        <v>3050</v>
      </c>
      <c r="L157" t="s">
        <v>65</v>
      </c>
      <c r="M157" t="b">
        <v>0</v>
      </c>
      <c r="N157" t="s">
        <v>748</v>
      </c>
      <c r="O157" t="b">
        <v>0</v>
      </c>
      <c r="P157" t="b">
        <v>0</v>
      </c>
      <c r="Q157" t="b">
        <v>0</v>
      </c>
      <c r="R157" t="b">
        <v>0</v>
      </c>
      <c r="S157" t="b">
        <v>1</v>
      </c>
      <c r="T157" t="b">
        <v>0</v>
      </c>
      <c r="U157" t="b">
        <v>0</v>
      </c>
      <c r="V157" t="b">
        <v>0</v>
      </c>
      <c r="W157" t="b">
        <v>1</v>
      </c>
      <c r="X157" t="b">
        <v>1</v>
      </c>
      <c r="Y157" t="b">
        <v>0</v>
      </c>
      <c r="Z157" t="b">
        <v>1</v>
      </c>
      <c r="AA157" t="b">
        <v>0</v>
      </c>
      <c r="AB157" t="s">
        <v>2182</v>
      </c>
      <c r="AC157" t="s">
        <v>8688</v>
      </c>
    </row>
    <row r="158" spans="1:29" x14ac:dyDescent="0.3">
      <c r="A158">
        <v>-73.960028780000002</v>
      </c>
      <c r="B158">
        <v>40.770494810000002</v>
      </c>
      <c r="C158" t="s">
        <v>1701</v>
      </c>
      <c r="D158" t="s">
        <v>38</v>
      </c>
      <c r="E158" s="58">
        <v>43388</v>
      </c>
      <c r="F158">
        <v>10</v>
      </c>
      <c r="G158" t="s">
        <v>48</v>
      </c>
      <c r="H158" t="s">
        <v>42</v>
      </c>
      <c r="I158" t="s">
        <v>115</v>
      </c>
      <c r="J158" t="s">
        <v>60</v>
      </c>
      <c r="K158" t="s">
        <v>1012</v>
      </c>
      <c r="L158" t="s">
        <v>65</v>
      </c>
      <c r="M158" t="b">
        <v>0</v>
      </c>
      <c r="N158" t="s">
        <v>2508</v>
      </c>
      <c r="O158" t="b">
        <v>0</v>
      </c>
      <c r="P158" t="b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s">
        <v>399</v>
      </c>
      <c r="AC158" t="s">
        <v>8689</v>
      </c>
    </row>
    <row r="159" spans="1:29" x14ac:dyDescent="0.3">
      <c r="A159">
        <v>-73.957215689999998</v>
      </c>
      <c r="B159">
        <v>40.795924229999997</v>
      </c>
      <c r="C159" t="s">
        <v>1245</v>
      </c>
      <c r="D159" t="s">
        <v>33</v>
      </c>
      <c r="E159" s="58">
        <v>43393</v>
      </c>
      <c r="F159">
        <v>17</v>
      </c>
      <c r="G159" t="s">
        <v>48</v>
      </c>
      <c r="H159" t="s">
        <v>42</v>
      </c>
      <c r="I159" t="s">
        <v>53</v>
      </c>
      <c r="J159" t="s">
        <v>43</v>
      </c>
      <c r="K159" t="s">
        <v>3157</v>
      </c>
      <c r="L159" t="s">
        <v>44</v>
      </c>
      <c r="M159">
        <v>4</v>
      </c>
      <c r="N159" t="s">
        <v>1929</v>
      </c>
      <c r="O159" t="b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1</v>
      </c>
      <c r="AB159" t="s">
        <v>7069</v>
      </c>
      <c r="AC159" t="s">
        <v>8690</v>
      </c>
    </row>
    <row r="160" spans="1:29" x14ac:dyDescent="0.3">
      <c r="A160">
        <v>-73.973688010000004</v>
      </c>
      <c r="B160">
        <v>40.795606399999997</v>
      </c>
      <c r="C160" t="s">
        <v>517</v>
      </c>
      <c r="D160" t="s">
        <v>38</v>
      </c>
      <c r="E160" s="58">
        <v>43383</v>
      </c>
      <c r="F160">
        <v>13</v>
      </c>
      <c r="G160" t="s">
        <v>48</v>
      </c>
      <c r="H160" t="s">
        <v>42</v>
      </c>
      <c r="I160" t="s">
        <v>53</v>
      </c>
      <c r="J160" t="s">
        <v>43</v>
      </c>
      <c r="K160" t="s">
        <v>2282</v>
      </c>
      <c r="L160" t="s">
        <v>44</v>
      </c>
      <c r="M160">
        <v>3</v>
      </c>
      <c r="N160" t="s">
        <v>4326</v>
      </c>
      <c r="O160" t="b">
        <v>0</v>
      </c>
      <c r="P160" t="b">
        <v>1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b">
        <v>0</v>
      </c>
      <c r="W160" t="b">
        <v>1</v>
      </c>
      <c r="X160" t="b">
        <v>0</v>
      </c>
      <c r="Y160" t="b">
        <v>0</v>
      </c>
      <c r="Z160" t="b">
        <v>0</v>
      </c>
      <c r="AA160" t="b">
        <v>0</v>
      </c>
      <c r="AB160" t="s">
        <v>4139</v>
      </c>
      <c r="AC160" t="s">
        <v>8691</v>
      </c>
    </row>
    <row r="161" spans="1:29" x14ac:dyDescent="0.3">
      <c r="A161">
        <v>-73.958265780000005</v>
      </c>
      <c r="B161">
        <v>40.765940399999998</v>
      </c>
      <c r="C161" t="s">
        <v>1287</v>
      </c>
      <c r="D161" t="s">
        <v>33</v>
      </c>
      <c r="E161" s="58">
        <v>43384</v>
      </c>
      <c r="F161">
        <v>13</v>
      </c>
      <c r="G161" t="s">
        <v>48</v>
      </c>
      <c r="H161" t="s">
        <v>42</v>
      </c>
      <c r="I161" t="s">
        <v>53</v>
      </c>
      <c r="J161" t="s">
        <v>177</v>
      </c>
      <c r="K161" t="s">
        <v>809</v>
      </c>
      <c r="L161" t="s">
        <v>65</v>
      </c>
      <c r="M161" t="b">
        <v>0</v>
      </c>
      <c r="N161" t="s">
        <v>958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1</v>
      </c>
      <c r="AA161" t="b">
        <v>1</v>
      </c>
      <c r="AB161" t="s">
        <v>4998</v>
      </c>
      <c r="AC161" t="s">
        <v>8692</v>
      </c>
    </row>
    <row r="162" spans="1:29" x14ac:dyDescent="0.3">
      <c r="A162">
        <v>-73.96959665</v>
      </c>
      <c r="B162">
        <v>40.793985900000003</v>
      </c>
      <c r="C162" t="s">
        <v>260</v>
      </c>
      <c r="D162" t="s">
        <v>33</v>
      </c>
      <c r="E162" s="58">
        <v>43391</v>
      </c>
      <c r="F162">
        <v>7</v>
      </c>
      <c r="G162" t="s">
        <v>48</v>
      </c>
      <c r="H162" t="s">
        <v>42</v>
      </c>
      <c r="I162" t="s">
        <v>42</v>
      </c>
      <c r="J162" t="s">
        <v>54</v>
      </c>
      <c r="K162" t="s">
        <v>6422</v>
      </c>
      <c r="L162" t="s">
        <v>65</v>
      </c>
      <c r="M162" t="b">
        <v>0</v>
      </c>
      <c r="N162" t="s">
        <v>4030</v>
      </c>
      <c r="O162" t="b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1</v>
      </c>
      <c r="AA162" t="b">
        <v>1</v>
      </c>
      <c r="AB162" t="s">
        <v>3158</v>
      </c>
      <c r="AC162" t="s">
        <v>8693</v>
      </c>
    </row>
    <row r="163" spans="1:29" x14ac:dyDescent="0.3">
      <c r="A163">
        <v>-73.961280900000006</v>
      </c>
      <c r="B163">
        <v>40.769447900000003</v>
      </c>
      <c r="C163" t="s">
        <v>863</v>
      </c>
      <c r="D163" t="s">
        <v>33</v>
      </c>
      <c r="E163" s="58">
        <v>43384</v>
      </c>
      <c r="F163">
        <v>27</v>
      </c>
      <c r="G163" t="s">
        <v>48</v>
      </c>
      <c r="H163" t="s">
        <v>42</v>
      </c>
      <c r="I163" t="s">
        <v>176</v>
      </c>
      <c r="J163" t="s">
        <v>79</v>
      </c>
      <c r="K163" t="s">
        <v>6737</v>
      </c>
      <c r="L163" t="s">
        <v>65</v>
      </c>
      <c r="M163" t="b">
        <v>0</v>
      </c>
      <c r="N163" t="s">
        <v>2970</v>
      </c>
      <c r="O163" t="b">
        <v>1</v>
      </c>
      <c r="P163" t="b">
        <v>0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1</v>
      </c>
      <c r="Y163" t="b">
        <v>1</v>
      </c>
      <c r="Z163" t="b">
        <v>1</v>
      </c>
      <c r="AA163" t="b">
        <v>0</v>
      </c>
      <c r="AB163" t="s">
        <v>290</v>
      </c>
      <c r="AC163" t="s">
        <v>8694</v>
      </c>
    </row>
    <row r="164" spans="1:29" x14ac:dyDescent="0.3">
      <c r="A164">
        <v>-73.961242429999999</v>
      </c>
      <c r="B164">
        <v>40.776709480000001</v>
      </c>
      <c r="C164" t="s">
        <v>1906</v>
      </c>
      <c r="D164" t="s">
        <v>33</v>
      </c>
      <c r="E164" s="58">
        <v>43387</v>
      </c>
      <c r="F164">
        <v>10</v>
      </c>
      <c r="G164" t="s">
        <v>48</v>
      </c>
      <c r="H164" t="s">
        <v>42</v>
      </c>
      <c r="I164" t="s">
        <v>42</v>
      </c>
      <c r="J164" t="s">
        <v>54</v>
      </c>
      <c r="K164" t="s">
        <v>5180</v>
      </c>
      <c r="L164" t="s">
        <v>65</v>
      </c>
      <c r="M164" t="b">
        <v>0</v>
      </c>
      <c r="N164" t="s">
        <v>3013</v>
      </c>
      <c r="O164" t="b">
        <v>0</v>
      </c>
      <c r="P164" t="b">
        <v>1</v>
      </c>
      <c r="Q164" t="b">
        <v>0</v>
      </c>
      <c r="R164" t="b">
        <v>0</v>
      </c>
      <c r="S164" t="b">
        <v>1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1</v>
      </c>
      <c r="AB164" t="s">
        <v>6884</v>
      </c>
      <c r="AC164" t="s">
        <v>8695</v>
      </c>
    </row>
    <row r="165" spans="1:29" x14ac:dyDescent="0.3">
      <c r="A165">
        <v>-73.964315529999993</v>
      </c>
      <c r="B165">
        <v>40.791088000000002</v>
      </c>
      <c r="C165" t="s">
        <v>317</v>
      </c>
      <c r="D165" t="s">
        <v>33</v>
      </c>
      <c r="E165" s="58">
        <v>43382</v>
      </c>
      <c r="F165">
        <v>2</v>
      </c>
      <c r="G165" t="s">
        <v>48</v>
      </c>
      <c r="H165" t="s">
        <v>176</v>
      </c>
      <c r="I165" t="s">
        <v>53</v>
      </c>
      <c r="J165" t="s">
        <v>43</v>
      </c>
      <c r="K165" t="s">
        <v>6367</v>
      </c>
      <c r="L165" t="s">
        <v>44</v>
      </c>
      <c r="M165">
        <v>4</v>
      </c>
      <c r="N165" t="s">
        <v>864</v>
      </c>
      <c r="O165" t="b">
        <v>1</v>
      </c>
      <c r="P165" t="b">
        <v>1</v>
      </c>
      <c r="Q165" t="b">
        <v>1</v>
      </c>
      <c r="R165" t="b">
        <v>0</v>
      </c>
      <c r="S165" t="b">
        <v>0</v>
      </c>
      <c r="T165" t="b">
        <v>0</v>
      </c>
      <c r="U165" t="b">
        <v>1</v>
      </c>
      <c r="V165" t="b">
        <v>0</v>
      </c>
      <c r="W165" t="b">
        <v>0</v>
      </c>
      <c r="X165" t="b">
        <v>0</v>
      </c>
      <c r="Y165" t="b">
        <v>0</v>
      </c>
      <c r="Z165" t="b">
        <v>1</v>
      </c>
      <c r="AA165" t="b">
        <v>0</v>
      </c>
      <c r="AB165" t="s">
        <v>5988</v>
      </c>
      <c r="AC165" t="s">
        <v>8696</v>
      </c>
    </row>
    <row r="166" spans="1:29" x14ac:dyDescent="0.3">
      <c r="A166">
        <v>-73.978320159999996</v>
      </c>
      <c r="B166">
        <v>40.770570679999999</v>
      </c>
      <c r="C166" t="s">
        <v>1141</v>
      </c>
      <c r="D166" t="s">
        <v>33</v>
      </c>
      <c r="E166" s="58">
        <v>43380</v>
      </c>
      <c r="F166">
        <v>4</v>
      </c>
      <c r="G166" t="s">
        <v>48</v>
      </c>
      <c r="H166" t="s">
        <v>42</v>
      </c>
      <c r="I166" t="s">
        <v>115</v>
      </c>
      <c r="J166" t="s">
        <v>79</v>
      </c>
      <c r="K166" t="s">
        <v>4237</v>
      </c>
      <c r="L166" t="s">
        <v>65</v>
      </c>
      <c r="M166" t="b">
        <v>0</v>
      </c>
      <c r="N166" t="s">
        <v>456</v>
      </c>
      <c r="O166" t="b">
        <v>0</v>
      </c>
      <c r="P166" t="b">
        <v>0</v>
      </c>
      <c r="Q166" t="b">
        <v>1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1</v>
      </c>
      <c r="AA166" t="b">
        <v>0</v>
      </c>
      <c r="AB166" t="s">
        <v>1264</v>
      </c>
      <c r="AC166" t="s">
        <v>8697</v>
      </c>
    </row>
    <row r="167" spans="1:29" x14ac:dyDescent="0.3">
      <c r="A167">
        <v>-73.954899330000003</v>
      </c>
      <c r="B167">
        <v>40.793709530000001</v>
      </c>
      <c r="C167" t="s">
        <v>5232</v>
      </c>
      <c r="D167" t="s">
        <v>33</v>
      </c>
      <c r="E167" s="58">
        <v>43389</v>
      </c>
      <c r="F167">
        <v>25</v>
      </c>
      <c r="G167" t="s">
        <v>48</v>
      </c>
      <c r="H167" t="s">
        <v>42</v>
      </c>
      <c r="I167" t="s">
        <v>59</v>
      </c>
      <c r="J167" t="s">
        <v>54</v>
      </c>
      <c r="K167" t="s">
        <v>4463</v>
      </c>
      <c r="L167" t="s">
        <v>65</v>
      </c>
      <c r="M167" t="b">
        <v>0</v>
      </c>
      <c r="N167" t="s">
        <v>3931</v>
      </c>
      <c r="O167" t="b">
        <v>0</v>
      </c>
      <c r="P167" t="b">
        <v>0</v>
      </c>
      <c r="Q167" t="b">
        <v>0</v>
      </c>
      <c r="R167" t="b">
        <v>1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1</v>
      </c>
      <c r="Z167" t="b">
        <v>0</v>
      </c>
      <c r="AA167" t="b">
        <v>1</v>
      </c>
      <c r="AB167" t="s">
        <v>2974</v>
      </c>
      <c r="AC167" t="s">
        <v>8698</v>
      </c>
    </row>
    <row r="168" spans="1:29" x14ac:dyDescent="0.3">
      <c r="A168">
        <v>-73.971074279999996</v>
      </c>
      <c r="B168">
        <v>40.794208320000003</v>
      </c>
      <c r="C168" t="s">
        <v>1401</v>
      </c>
      <c r="D168" t="s">
        <v>38</v>
      </c>
      <c r="E168" s="58">
        <v>43389</v>
      </c>
      <c r="F168">
        <v>6</v>
      </c>
      <c r="G168" t="s">
        <v>48</v>
      </c>
      <c r="H168" t="s">
        <v>42</v>
      </c>
      <c r="I168" t="s">
        <v>53</v>
      </c>
      <c r="J168" t="s">
        <v>43</v>
      </c>
      <c r="K168" t="s">
        <v>1696</v>
      </c>
      <c r="L168" t="s">
        <v>65</v>
      </c>
      <c r="M168" t="b">
        <v>0</v>
      </c>
      <c r="N168" t="s">
        <v>5666</v>
      </c>
      <c r="O168" t="b">
        <v>0</v>
      </c>
      <c r="P168" t="b">
        <v>0</v>
      </c>
      <c r="Q168" t="b">
        <v>1</v>
      </c>
      <c r="R168" t="b">
        <v>0</v>
      </c>
      <c r="S168" t="b">
        <v>1</v>
      </c>
      <c r="T168" t="b">
        <v>0</v>
      </c>
      <c r="U168" t="b">
        <v>0</v>
      </c>
      <c r="V168" t="b">
        <v>0</v>
      </c>
      <c r="W168" t="b">
        <v>0</v>
      </c>
      <c r="X168" t="b">
        <v>1</v>
      </c>
      <c r="Y168" t="b">
        <v>0</v>
      </c>
      <c r="Z168" t="b">
        <v>0</v>
      </c>
      <c r="AA168" t="b">
        <v>0</v>
      </c>
      <c r="AB168" t="s">
        <v>121</v>
      </c>
      <c r="AC168" t="s">
        <v>8699</v>
      </c>
    </row>
    <row r="169" spans="1:29" x14ac:dyDescent="0.3">
      <c r="A169">
        <v>-73.975295029999998</v>
      </c>
      <c r="B169">
        <v>40.782777520000003</v>
      </c>
      <c r="C169" t="s">
        <v>908</v>
      </c>
      <c r="D169" t="s">
        <v>33</v>
      </c>
      <c r="E169" s="58">
        <v>43387</v>
      </c>
      <c r="F169">
        <v>24</v>
      </c>
      <c r="G169" t="s">
        <v>48</v>
      </c>
      <c r="H169" t="s">
        <v>53</v>
      </c>
      <c r="I169" t="s">
        <v>59</v>
      </c>
      <c r="J169" t="s">
        <v>54</v>
      </c>
      <c r="K169" t="s">
        <v>3050</v>
      </c>
      <c r="L169" t="s">
        <v>65</v>
      </c>
      <c r="M169" t="b">
        <v>0</v>
      </c>
      <c r="N169" t="s">
        <v>2423</v>
      </c>
      <c r="O169" t="b">
        <v>0</v>
      </c>
      <c r="P169" t="b">
        <v>0</v>
      </c>
      <c r="Q169" t="b">
        <v>0</v>
      </c>
      <c r="R169" t="b">
        <v>1</v>
      </c>
      <c r="S169" t="b">
        <v>1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s">
        <v>3672</v>
      </c>
      <c r="AC169" t="s">
        <v>8700</v>
      </c>
    </row>
    <row r="170" spans="1:29" x14ac:dyDescent="0.3">
      <c r="A170">
        <v>-73.979876739999995</v>
      </c>
      <c r="B170">
        <v>40.7651355</v>
      </c>
      <c r="C170" t="s">
        <v>873</v>
      </c>
      <c r="D170" t="s">
        <v>38</v>
      </c>
      <c r="E170" s="58">
        <v>43380</v>
      </c>
      <c r="F170">
        <v>18</v>
      </c>
      <c r="G170" t="s">
        <v>48</v>
      </c>
      <c r="H170" t="s">
        <v>42</v>
      </c>
      <c r="I170" t="s">
        <v>53</v>
      </c>
      <c r="J170" t="s">
        <v>89</v>
      </c>
      <c r="K170" t="s">
        <v>6737</v>
      </c>
      <c r="L170" t="s">
        <v>44</v>
      </c>
      <c r="M170">
        <v>25</v>
      </c>
      <c r="N170" t="s">
        <v>5022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s">
        <v>3827</v>
      </c>
      <c r="AC170" t="s">
        <v>8701</v>
      </c>
    </row>
    <row r="171" spans="1:29" x14ac:dyDescent="0.3">
      <c r="A171">
        <v>-73.962582789999999</v>
      </c>
      <c r="B171">
        <v>40.775016659999999</v>
      </c>
      <c r="C171" t="s">
        <v>314</v>
      </c>
      <c r="D171" t="s">
        <v>33</v>
      </c>
      <c r="E171" s="58">
        <v>43388</v>
      </c>
      <c r="F171">
        <v>23</v>
      </c>
      <c r="G171" t="s">
        <v>48</v>
      </c>
      <c r="H171" t="s">
        <v>42</v>
      </c>
      <c r="I171" t="s">
        <v>59</v>
      </c>
      <c r="J171" t="s">
        <v>79</v>
      </c>
      <c r="K171" t="s">
        <v>1472</v>
      </c>
      <c r="L171" t="s">
        <v>65</v>
      </c>
      <c r="M171" t="b">
        <v>0</v>
      </c>
      <c r="N171" t="s">
        <v>1582</v>
      </c>
      <c r="O171" t="b">
        <v>1</v>
      </c>
      <c r="P171" t="b">
        <v>0</v>
      </c>
      <c r="Q171" t="b">
        <v>1</v>
      </c>
      <c r="R171" t="b">
        <v>1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1</v>
      </c>
      <c r="AA171" t="b">
        <v>0</v>
      </c>
      <c r="AB171" t="s">
        <v>3888</v>
      </c>
      <c r="AC171" t="s">
        <v>8702</v>
      </c>
    </row>
    <row r="172" spans="1:29" x14ac:dyDescent="0.3">
      <c r="A172">
        <v>-73.959858120000007</v>
      </c>
      <c r="B172">
        <v>40.78663134</v>
      </c>
      <c r="C172" t="s">
        <v>1035</v>
      </c>
      <c r="D172" t="s">
        <v>38</v>
      </c>
      <c r="E172" s="58">
        <v>43387</v>
      </c>
      <c r="F172">
        <v>6</v>
      </c>
      <c r="G172" t="s">
        <v>48</v>
      </c>
      <c r="H172" t="s">
        <v>42</v>
      </c>
      <c r="I172" t="s">
        <v>53</v>
      </c>
      <c r="J172" t="s">
        <v>43</v>
      </c>
      <c r="K172" t="s">
        <v>4381</v>
      </c>
      <c r="L172" t="s">
        <v>44</v>
      </c>
      <c r="M172">
        <v>8</v>
      </c>
      <c r="N172" t="s">
        <v>815</v>
      </c>
      <c r="O172" t="b">
        <v>1</v>
      </c>
      <c r="P172" t="b">
        <v>0</v>
      </c>
      <c r="Q172" t="b">
        <v>1</v>
      </c>
      <c r="R172" t="b">
        <v>0</v>
      </c>
      <c r="S172" t="b">
        <v>1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s">
        <v>3061</v>
      </c>
      <c r="AC172" t="s">
        <v>8703</v>
      </c>
    </row>
    <row r="173" spans="1:29" x14ac:dyDescent="0.3">
      <c r="A173">
        <v>-73.980637110000004</v>
      </c>
      <c r="B173">
        <v>40.799456120000002</v>
      </c>
      <c r="C173" t="s">
        <v>502</v>
      </c>
      <c r="D173" t="s">
        <v>33</v>
      </c>
      <c r="E173" s="58">
        <v>43380</v>
      </c>
      <c r="F173">
        <v>29</v>
      </c>
      <c r="G173" t="s">
        <v>48</v>
      </c>
      <c r="H173" t="s">
        <v>53</v>
      </c>
      <c r="I173" t="s">
        <v>59</v>
      </c>
      <c r="J173" t="s">
        <v>79</v>
      </c>
      <c r="K173" t="s">
        <v>3351</v>
      </c>
      <c r="L173" t="s">
        <v>65</v>
      </c>
      <c r="M173" t="b">
        <v>0</v>
      </c>
      <c r="N173" t="s">
        <v>1494</v>
      </c>
      <c r="O173" t="b">
        <v>1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s">
        <v>6280</v>
      </c>
      <c r="AC173" t="s">
        <v>8704</v>
      </c>
    </row>
    <row r="174" spans="1:29" x14ac:dyDescent="0.3">
      <c r="A174">
        <v>-73.965060010000002</v>
      </c>
      <c r="B174">
        <v>40.787155460000001</v>
      </c>
      <c r="C174" t="s">
        <v>607</v>
      </c>
      <c r="D174" t="s">
        <v>33</v>
      </c>
      <c r="E174" s="58">
        <v>43390</v>
      </c>
      <c r="F174">
        <v>30</v>
      </c>
      <c r="G174" t="s">
        <v>48</v>
      </c>
      <c r="H174" t="s">
        <v>42</v>
      </c>
      <c r="I174" t="s">
        <v>59</v>
      </c>
      <c r="J174" t="s">
        <v>79</v>
      </c>
      <c r="K174" t="s">
        <v>1381</v>
      </c>
      <c r="L174" t="s">
        <v>44</v>
      </c>
      <c r="M174">
        <v>10</v>
      </c>
      <c r="N174" t="s">
        <v>328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1</v>
      </c>
      <c r="AA174" t="b">
        <v>0</v>
      </c>
      <c r="AB174" t="s">
        <v>364</v>
      </c>
      <c r="AC174" t="s">
        <v>8705</v>
      </c>
    </row>
    <row r="175" spans="1:29" x14ac:dyDescent="0.3">
      <c r="A175">
        <v>-73.974038280000002</v>
      </c>
      <c r="B175">
        <v>40.774057790000001</v>
      </c>
      <c r="C175" t="s">
        <v>1028</v>
      </c>
      <c r="D175" t="s">
        <v>33</v>
      </c>
      <c r="E175" s="58">
        <v>43386</v>
      </c>
      <c r="F175">
        <v>25</v>
      </c>
      <c r="G175" t="s">
        <v>48</v>
      </c>
      <c r="H175" t="s">
        <v>42</v>
      </c>
      <c r="I175" t="s">
        <v>42</v>
      </c>
      <c r="J175" t="s">
        <v>97</v>
      </c>
      <c r="K175" t="s">
        <v>1896</v>
      </c>
      <c r="L175" t="s">
        <v>65</v>
      </c>
      <c r="M175" t="b">
        <v>0</v>
      </c>
      <c r="N175" t="s">
        <v>1730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s">
        <v>3158</v>
      </c>
      <c r="AC175" t="s">
        <v>8706</v>
      </c>
    </row>
    <row r="176" spans="1:29" x14ac:dyDescent="0.3">
      <c r="A176">
        <v>-73.960876400000004</v>
      </c>
      <c r="B176">
        <v>40.78723265</v>
      </c>
      <c r="C176" t="s">
        <v>212</v>
      </c>
      <c r="D176" t="s">
        <v>33</v>
      </c>
      <c r="E176" s="58">
        <v>43387</v>
      </c>
      <c r="F176">
        <v>23</v>
      </c>
      <c r="G176" t="s">
        <v>48</v>
      </c>
      <c r="H176" t="s">
        <v>53</v>
      </c>
      <c r="I176" t="s">
        <v>59</v>
      </c>
      <c r="J176" t="s">
        <v>79</v>
      </c>
      <c r="K176" t="s">
        <v>1816</v>
      </c>
      <c r="L176" t="s">
        <v>44</v>
      </c>
      <c r="M176">
        <v>2</v>
      </c>
      <c r="N176" t="s">
        <v>456</v>
      </c>
      <c r="O176" t="b">
        <v>0</v>
      </c>
      <c r="P176" t="b">
        <v>0</v>
      </c>
      <c r="Q176" t="b">
        <v>0</v>
      </c>
      <c r="R176" t="b">
        <v>0</v>
      </c>
      <c r="S176" t="b">
        <v>1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1</v>
      </c>
      <c r="AA176" t="b">
        <v>0</v>
      </c>
      <c r="AB176" t="s">
        <v>340</v>
      </c>
      <c r="AC176" t="s">
        <v>8707</v>
      </c>
    </row>
    <row r="177" spans="1:29" x14ac:dyDescent="0.3">
      <c r="A177">
        <v>-73.975677059999995</v>
      </c>
      <c r="B177">
        <v>40.783922390000001</v>
      </c>
      <c r="C177" t="s">
        <v>275</v>
      </c>
      <c r="D177" t="s">
        <v>33</v>
      </c>
      <c r="E177" s="58">
        <v>43390</v>
      </c>
      <c r="F177">
        <v>17</v>
      </c>
      <c r="G177" t="s">
        <v>48</v>
      </c>
      <c r="H177" t="s">
        <v>53</v>
      </c>
      <c r="I177" t="s">
        <v>59</v>
      </c>
      <c r="J177" t="s">
        <v>43</v>
      </c>
      <c r="K177" t="s">
        <v>4020</v>
      </c>
      <c r="L177" t="s">
        <v>65</v>
      </c>
      <c r="M177" t="b">
        <v>0</v>
      </c>
      <c r="N177" t="s">
        <v>2304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1</v>
      </c>
      <c r="AA177" t="b">
        <v>0</v>
      </c>
      <c r="AB177" t="s">
        <v>251</v>
      </c>
      <c r="AC177" t="s">
        <v>8708</v>
      </c>
    </row>
    <row r="178" spans="1:29" x14ac:dyDescent="0.3">
      <c r="A178">
        <v>-73.959437699999995</v>
      </c>
      <c r="B178">
        <v>40.792367349999999</v>
      </c>
      <c r="C178" t="s">
        <v>855</v>
      </c>
      <c r="D178" t="s">
        <v>38</v>
      </c>
      <c r="E178" s="58">
        <v>43388</v>
      </c>
      <c r="F178">
        <v>14</v>
      </c>
      <c r="G178" t="s">
        <v>105</v>
      </c>
      <c r="H178" t="s">
        <v>53</v>
      </c>
      <c r="I178" t="s">
        <v>96</v>
      </c>
      <c r="J178" t="s">
        <v>97</v>
      </c>
      <c r="K178" t="s">
        <v>3028</v>
      </c>
      <c r="L178" t="s">
        <v>65</v>
      </c>
      <c r="M178" t="b">
        <v>0</v>
      </c>
      <c r="N178" t="s">
        <v>190</v>
      </c>
      <c r="O178" t="b">
        <v>1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s">
        <v>5181</v>
      </c>
      <c r="AC178" t="s">
        <v>8709</v>
      </c>
    </row>
    <row r="179" spans="1:29" x14ac:dyDescent="0.3">
      <c r="A179">
        <v>-73.96900085</v>
      </c>
      <c r="B179">
        <v>40.768677230000002</v>
      </c>
      <c r="C179" t="s">
        <v>2861</v>
      </c>
      <c r="D179" t="s">
        <v>38</v>
      </c>
      <c r="E179" s="58">
        <v>43387</v>
      </c>
      <c r="F179">
        <v>24</v>
      </c>
      <c r="G179" t="s">
        <v>48</v>
      </c>
      <c r="H179" t="s">
        <v>42</v>
      </c>
      <c r="I179" t="s">
        <v>42</v>
      </c>
      <c r="J179" t="s">
        <v>79</v>
      </c>
      <c r="K179" t="s">
        <v>4069</v>
      </c>
      <c r="L179" t="s">
        <v>65</v>
      </c>
      <c r="M179" t="b">
        <v>0</v>
      </c>
      <c r="N179" t="s">
        <v>456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s">
        <v>5392</v>
      </c>
      <c r="AC179" t="s">
        <v>8710</v>
      </c>
    </row>
    <row r="180" spans="1:29" x14ac:dyDescent="0.3">
      <c r="A180">
        <v>-73.951710770000005</v>
      </c>
      <c r="B180">
        <v>40.79170482</v>
      </c>
      <c r="C180" t="s">
        <v>1103</v>
      </c>
      <c r="D180" t="s">
        <v>38</v>
      </c>
      <c r="E180" s="58">
        <v>43388</v>
      </c>
      <c r="F180">
        <v>11</v>
      </c>
      <c r="G180" t="s">
        <v>48</v>
      </c>
      <c r="H180" t="s">
        <v>42</v>
      </c>
      <c r="I180" t="s">
        <v>53</v>
      </c>
      <c r="J180" t="s">
        <v>43</v>
      </c>
      <c r="K180" t="s">
        <v>4110</v>
      </c>
      <c r="L180" t="s">
        <v>65</v>
      </c>
      <c r="M180" t="b">
        <v>0</v>
      </c>
      <c r="N180" t="s">
        <v>1879</v>
      </c>
      <c r="O180" t="b">
        <v>1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1</v>
      </c>
      <c r="Y180" t="b">
        <v>0</v>
      </c>
      <c r="Z180" t="b">
        <v>0</v>
      </c>
      <c r="AA180" t="b">
        <v>0</v>
      </c>
      <c r="AB180" t="s">
        <v>2643</v>
      </c>
      <c r="AC180" t="s">
        <v>8711</v>
      </c>
    </row>
    <row r="181" spans="1:29" x14ac:dyDescent="0.3">
      <c r="A181">
        <v>-73.976835359999995</v>
      </c>
      <c r="B181">
        <v>40.783967500000003</v>
      </c>
      <c r="C181" t="s">
        <v>423</v>
      </c>
      <c r="D181" t="s">
        <v>38</v>
      </c>
      <c r="E181" s="58">
        <v>43387</v>
      </c>
      <c r="F181">
        <v>26</v>
      </c>
      <c r="G181" t="s">
        <v>105</v>
      </c>
      <c r="H181" t="s">
        <v>42</v>
      </c>
      <c r="I181" t="s">
        <v>59</v>
      </c>
      <c r="J181" t="s">
        <v>54</v>
      </c>
      <c r="K181" t="s">
        <v>4123</v>
      </c>
      <c r="L181" t="s">
        <v>65</v>
      </c>
      <c r="M181" t="b">
        <v>0</v>
      </c>
      <c r="N181" t="s">
        <v>2451</v>
      </c>
      <c r="O181" t="b">
        <v>1</v>
      </c>
      <c r="P181" t="b">
        <v>0</v>
      </c>
      <c r="Q181" t="b">
        <v>0</v>
      </c>
      <c r="R181" t="b">
        <v>0</v>
      </c>
      <c r="S181" t="b">
        <v>1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s">
        <v>2552</v>
      </c>
      <c r="AC181" t="s">
        <v>8712</v>
      </c>
    </row>
    <row r="182" spans="1:29" x14ac:dyDescent="0.3">
      <c r="A182">
        <v>-73.970436539999994</v>
      </c>
      <c r="B182">
        <v>40.79881555</v>
      </c>
      <c r="C182" t="s">
        <v>130</v>
      </c>
      <c r="D182" t="s">
        <v>33</v>
      </c>
      <c r="E182" s="58">
        <v>43380</v>
      </c>
      <c r="F182">
        <v>19</v>
      </c>
      <c r="G182" t="s">
        <v>48</v>
      </c>
      <c r="H182" t="s">
        <v>42</v>
      </c>
      <c r="I182" t="s">
        <v>53</v>
      </c>
      <c r="J182" t="s">
        <v>54</v>
      </c>
      <c r="K182" t="s">
        <v>1813</v>
      </c>
      <c r="L182" t="s">
        <v>65</v>
      </c>
      <c r="M182" t="b">
        <v>0</v>
      </c>
      <c r="N182" t="s">
        <v>6476</v>
      </c>
      <c r="O182" t="b">
        <v>1</v>
      </c>
      <c r="P182" t="b">
        <v>1</v>
      </c>
      <c r="Q182" t="b">
        <v>0</v>
      </c>
      <c r="R182" t="b">
        <v>1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1</v>
      </c>
      <c r="Y182" t="b">
        <v>0</v>
      </c>
      <c r="Z182" t="b">
        <v>0</v>
      </c>
      <c r="AA182" t="b">
        <v>0</v>
      </c>
      <c r="AB182" t="s">
        <v>272</v>
      </c>
      <c r="AC182" t="s">
        <v>8713</v>
      </c>
    </row>
    <row r="183" spans="1:29" x14ac:dyDescent="0.3">
      <c r="A183">
        <v>-73.977591329999996</v>
      </c>
      <c r="B183">
        <v>40.776947249999999</v>
      </c>
      <c r="C183" t="s">
        <v>928</v>
      </c>
      <c r="D183" t="s">
        <v>33</v>
      </c>
      <c r="E183" s="58">
        <v>43382</v>
      </c>
      <c r="F183">
        <v>30</v>
      </c>
      <c r="G183" t="s">
        <v>48</v>
      </c>
      <c r="H183" t="s">
        <v>42</v>
      </c>
      <c r="I183" t="s">
        <v>53</v>
      </c>
      <c r="J183" t="s">
        <v>79</v>
      </c>
      <c r="K183" t="s">
        <v>6633</v>
      </c>
      <c r="L183" t="s">
        <v>44</v>
      </c>
      <c r="M183">
        <v>30</v>
      </c>
      <c r="N183" t="s">
        <v>1374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s">
        <v>6518</v>
      </c>
      <c r="AC183" t="s">
        <v>8714</v>
      </c>
    </row>
    <row r="184" spans="1:29" x14ac:dyDescent="0.3">
      <c r="A184">
        <v>-73.95208916</v>
      </c>
      <c r="B184">
        <v>40.787183919999997</v>
      </c>
      <c r="C184" t="s">
        <v>851</v>
      </c>
      <c r="D184" t="s">
        <v>33</v>
      </c>
      <c r="E184" s="58">
        <v>43385</v>
      </c>
      <c r="F184">
        <v>2</v>
      </c>
      <c r="G184" t="s">
        <v>48</v>
      </c>
      <c r="H184" t="s">
        <v>42</v>
      </c>
      <c r="I184" t="s">
        <v>59</v>
      </c>
      <c r="J184" t="s">
        <v>43</v>
      </c>
      <c r="K184" t="s">
        <v>1813</v>
      </c>
      <c r="L184" t="s">
        <v>65</v>
      </c>
      <c r="M184" t="b">
        <v>0</v>
      </c>
      <c r="N184" t="s">
        <v>3957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1</v>
      </c>
      <c r="Y184" t="b">
        <v>0</v>
      </c>
      <c r="Z184" t="b">
        <v>0</v>
      </c>
      <c r="AA184" t="b">
        <v>0</v>
      </c>
      <c r="AB184" t="s">
        <v>2123</v>
      </c>
      <c r="AC184" t="s">
        <v>8715</v>
      </c>
    </row>
    <row r="185" spans="1:29" x14ac:dyDescent="0.3">
      <c r="A185">
        <v>-73.95357783</v>
      </c>
      <c r="B185">
        <v>40.797725370000002</v>
      </c>
      <c r="C185" t="s">
        <v>130</v>
      </c>
      <c r="D185" t="s">
        <v>33</v>
      </c>
      <c r="E185" s="58">
        <v>43390</v>
      </c>
      <c r="F185">
        <v>28</v>
      </c>
      <c r="G185" t="s">
        <v>48</v>
      </c>
      <c r="H185" t="s">
        <v>42</v>
      </c>
      <c r="I185" t="s">
        <v>42</v>
      </c>
      <c r="J185" t="s">
        <v>79</v>
      </c>
      <c r="K185" t="s">
        <v>1417</v>
      </c>
      <c r="L185" t="s">
        <v>44</v>
      </c>
      <c r="M185">
        <v>8</v>
      </c>
      <c r="N185" t="s">
        <v>589</v>
      </c>
      <c r="O185" t="b">
        <v>0</v>
      </c>
      <c r="P185" t="b">
        <v>0</v>
      </c>
      <c r="Q185" t="b">
        <v>1</v>
      </c>
      <c r="R185" t="b">
        <v>0</v>
      </c>
      <c r="S185" t="b">
        <v>1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s">
        <v>6161</v>
      </c>
      <c r="AC185" t="s">
        <v>8716</v>
      </c>
    </row>
    <row r="186" spans="1:29" x14ac:dyDescent="0.3">
      <c r="A186">
        <v>-73.973049720000006</v>
      </c>
      <c r="B186">
        <v>40.768519810000001</v>
      </c>
      <c r="C186" t="s">
        <v>298</v>
      </c>
      <c r="D186" t="s">
        <v>33</v>
      </c>
      <c r="E186" s="58">
        <v>43380</v>
      </c>
      <c r="F186">
        <v>3</v>
      </c>
      <c r="G186" t="s">
        <v>48</v>
      </c>
      <c r="H186" t="s">
        <v>42</v>
      </c>
      <c r="I186" t="s">
        <v>53</v>
      </c>
      <c r="J186" t="s">
        <v>155</v>
      </c>
      <c r="K186" t="s">
        <v>5957</v>
      </c>
      <c r="L186" t="s">
        <v>44</v>
      </c>
      <c r="M186">
        <v>12</v>
      </c>
      <c r="N186" t="s">
        <v>3140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1</v>
      </c>
      <c r="Z186" t="b">
        <v>1</v>
      </c>
      <c r="AA186" t="b">
        <v>0</v>
      </c>
      <c r="AB186" t="s">
        <v>6161</v>
      </c>
      <c r="AC186" t="s">
        <v>8717</v>
      </c>
    </row>
    <row r="187" spans="1:29" x14ac:dyDescent="0.3">
      <c r="A187">
        <v>-73.960410789999997</v>
      </c>
      <c r="B187">
        <v>40.797908470000003</v>
      </c>
      <c r="C187" t="s">
        <v>1521</v>
      </c>
      <c r="D187" t="s">
        <v>33</v>
      </c>
      <c r="E187" s="58">
        <v>43379</v>
      </c>
      <c r="F187">
        <v>11</v>
      </c>
      <c r="G187" t="s">
        <v>48</v>
      </c>
      <c r="H187" t="s">
        <v>42</v>
      </c>
      <c r="I187" t="s">
        <v>96</v>
      </c>
      <c r="J187" t="s">
        <v>89</v>
      </c>
      <c r="K187" t="s">
        <v>1259</v>
      </c>
      <c r="L187" t="s">
        <v>65</v>
      </c>
      <c r="M187" t="b">
        <v>0</v>
      </c>
      <c r="N187" t="s">
        <v>1072</v>
      </c>
      <c r="O187" t="b">
        <v>0</v>
      </c>
      <c r="P187" t="b">
        <v>0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1</v>
      </c>
      <c r="AA187" t="b">
        <v>0</v>
      </c>
      <c r="AB187" t="s">
        <v>6686</v>
      </c>
      <c r="AC187" t="s">
        <v>8718</v>
      </c>
    </row>
    <row r="188" spans="1:29" x14ac:dyDescent="0.3">
      <c r="A188">
        <v>-73.955467720000001</v>
      </c>
      <c r="B188">
        <v>40.78912965</v>
      </c>
      <c r="C188" t="s">
        <v>2053</v>
      </c>
      <c r="D188" t="s">
        <v>33</v>
      </c>
      <c r="E188" s="58">
        <v>43381</v>
      </c>
      <c r="F188">
        <v>6</v>
      </c>
      <c r="G188" t="s">
        <v>48</v>
      </c>
      <c r="H188" t="s">
        <v>42</v>
      </c>
      <c r="I188" t="s">
        <v>42</v>
      </c>
      <c r="J188" t="s">
        <v>155</v>
      </c>
      <c r="K188" t="s">
        <v>1381</v>
      </c>
      <c r="L188" t="s">
        <v>65</v>
      </c>
      <c r="M188" t="b">
        <v>0</v>
      </c>
      <c r="N188" t="s">
        <v>6618</v>
      </c>
      <c r="O188" t="b">
        <v>1</v>
      </c>
      <c r="P188" t="b">
        <v>0</v>
      </c>
      <c r="Q188" t="b">
        <v>0</v>
      </c>
      <c r="R188" t="b">
        <v>1</v>
      </c>
      <c r="S188" t="b">
        <v>1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1</v>
      </c>
      <c r="AA188" t="b">
        <v>0</v>
      </c>
      <c r="AB188" t="s">
        <v>6042</v>
      </c>
      <c r="AC188" t="s">
        <v>8719</v>
      </c>
    </row>
    <row r="189" spans="1:29" x14ac:dyDescent="0.3">
      <c r="A189">
        <v>-73.963704840000005</v>
      </c>
      <c r="B189">
        <v>40.767299059999999</v>
      </c>
      <c r="C189" t="s">
        <v>1626</v>
      </c>
      <c r="D189" t="s">
        <v>33</v>
      </c>
      <c r="E189" s="58">
        <v>43390</v>
      </c>
      <c r="F189">
        <v>29</v>
      </c>
      <c r="G189" t="s">
        <v>105</v>
      </c>
      <c r="H189" t="s">
        <v>42</v>
      </c>
      <c r="I189" t="s">
        <v>42</v>
      </c>
      <c r="J189" t="s">
        <v>339</v>
      </c>
      <c r="K189" t="s">
        <v>3433</v>
      </c>
      <c r="L189" t="s">
        <v>65</v>
      </c>
      <c r="M189" t="b">
        <v>0</v>
      </c>
      <c r="N189" t="s">
        <v>589</v>
      </c>
      <c r="O189" t="b">
        <v>0</v>
      </c>
      <c r="P189" t="b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s">
        <v>340</v>
      </c>
      <c r="AC189" t="s">
        <v>8720</v>
      </c>
    </row>
    <row r="190" spans="1:29" x14ac:dyDescent="0.3">
      <c r="A190">
        <v>-73.964508050000006</v>
      </c>
      <c r="B190">
        <v>40.77550695</v>
      </c>
      <c r="C190" t="s">
        <v>549</v>
      </c>
      <c r="D190" t="s">
        <v>38</v>
      </c>
      <c r="E190" s="58">
        <v>43382</v>
      </c>
      <c r="F190">
        <v>14</v>
      </c>
      <c r="G190" t="s">
        <v>48</v>
      </c>
      <c r="H190" t="s">
        <v>42</v>
      </c>
      <c r="I190" t="s">
        <v>53</v>
      </c>
      <c r="J190" t="s">
        <v>43</v>
      </c>
      <c r="K190" t="s">
        <v>565</v>
      </c>
      <c r="L190" t="s">
        <v>65</v>
      </c>
      <c r="M190" t="b">
        <v>0</v>
      </c>
      <c r="N190" t="s">
        <v>4927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1</v>
      </c>
      <c r="Z190" t="b">
        <v>0</v>
      </c>
      <c r="AA190" t="b">
        <v>0</v>
      </c>
      <c r="AB190" t="s">
        <v>6579</v>
      </c>
      <c r="AC190" t="s">
        <v>8721</v>
      </c>
    </row>
    <row r="191" spans="1:29" x14ac:dyDescent="0.3">
      <c r="A191">
        <v>-73.973555520000005</v>
      </c>
      <c r="B191">
        <v>40.789843879999999</v>
      </c>
      <c r="C191" t="s">
        <v>585</v>
      </c>
      <c r="D191" t="s">
        <v>38</v>
      </c>
      <c r="E191" s="58">
        <v>43386</v>
      </c>
      <c r="F191">
        <v>19</v>
      </c>
      <c r="G191" t="s">
        <v>48</v>
      </c>
      <c r="H191" t="s">
        <v>42</v>
      </c>
      <c r="I191" t="s">
        <v>42</v>
      </c>
      <c r="J191" t="s">
        <v>79</v>
      </c>
      <c r="K191" t="s">
        <v>1259</v>
      </c>
      <c r="L191" t="s">
        <v>65</v>
      </c>
      <c r="M191" t="b">
        <v>0</v>
      </c>
      <c r="N191" t="s">
        <v>848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1</v>
      </c>
      <c r="U191" t="b">
        <v>0</v>
      </c>
      <c r="V191" t="b">
        <v>0</v>
      </c>
      <c r="W191" t="b">
        <v>0</v>
      </c>
      <c r="X191" t="b">
        <v>0</v>
      </c>
      <c r="Y191" t="b">
        <v>1</v>
      </c>
      <c r="Z191" t="b">
        <v>0</v>
      </c>
      <c r="AA191" t="b">
        <v>0</v>
      </c>
      <c r="AB191" t="s">
        <v>511</v>
      </c>
      <c r="AC191" t="s">
        <v>8722</v>
      </c>
    </row>
    <row r="192" spans="1:29" x14ac:dyDescent="0.3">
      <c r="A192">
        <v>-73.978231730000005</v>
      </c>
      <c r="B192">
        <v>40.767281939999997</v>
      </c>
      <c r="C192" t="s">
        <v>245</v>
      </c>
      <c r="D192" t="s">
        <v>33</v>
      </c>
      <c r="E192" s="58">
        <v>43384</v>
      </c>
      <c r="F192">
        <v>26</v>
      </c>
      <c r="G192" t="s">
        <v>48</v>
      </c>
      <c r="H192" t="s">
        <v>42</v>
      </c>
      <c r="I192" t="s">
        <v>53</v>
      </c>
      <c r="J192" t="s">
        <v>54</v>
      </c>
      <c r="K192" t="s">
        <v>4785</v>
      </c>
      <c r="L192" t="s">
        <v>44</v>
      </c>
      <c r="M192">
        <v>25</v>
      </c>
      <c r="N192" t="s">
        <v>456</v>
      </c>
      <c r="O192" t="b">
        <v>0</v>
      </c>
      <c r="P192" t="b">
        <v>0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1</v>
      </c>
      <c r="AA192" t="b">
        <v>1</v>
      </c>
      <c r="AB192" t="s">
        <v>340</v>
      </c>
      <c r="AC192" t="s">
        <v>8723</v>
      </c>
    </row>
    <row r="193" spans="1:29" x14ac:dyDescent="0.3">
      <c r="A193">
        <v>-73.952952980000006</v>
      </c>
      <c r="B193">
        <v>40.785407640000003</v>
      </c>
      <c r="C193" t="s">
        <v>1076</v>
      </c>
      <c r="D193" t="s">
        <v>38</v>
      </c>
      <c r="E193" s="58">
        <v>43389</v>
      </c>
      <c r="F193">
        <v>16</v>
      </c>
      <c r="G193" t="s">
        <v>48</v>
      </c>
      <c r="H193" t="s">
        <v>42</v>
      </c>
      <c r="I193" t="s">
        <v>59</v>
      </c>
      <c r="J193" t="s">
        <v>60</v>
      </c>
      <c r="K193" t="s">
        <v>2382</v>
      </c>
      <c r="L193" t="s">
        <v>65</v>
      </c>
      <c r="M193" t="b">
        <v>0</v>
      </c>
      <c r="N193" t="s">
        <v>2767</v>
      </c>
      <c r="O193" t="b">
        <v>0</v>
      </c>
      <c r="P193" t="b">
        <v>0</v>
      </c>
      <c r="Q193" t="b">
        <v>1</v>
      </c>
      <c r="R193" t="b">
        <v>1</v>
      </c>
      <c r="S193" t="b">
        <v>0</v>
      </c>
      <c r="T193" t="b">
        <v>1</v>
      </c>
      <c r="U193" t="b">
        <v>0</v>
      </c>
      <c r="V193" t="b">
        <v>0</v>
      </c>
      <c r="W193" t="b">
        <v>1</v>
      </c>
      <c r="X193" t="b">
        <v>0</v>
      </c>
      <c r="Y193" t="b">
        <v>0</v>
      </c>
      <c r="Z193" t="b">
        <v>0</v>
      </c>
      <c r="AA193" t="b">
        <v>0</v>
      </c>
      <c r="AB193" t="s">
        <v>121</v>
      </c>
      <c r="AC193" t="s">
        <v>8724</v>
      </c>
    </row>
    <row r="194" spans="1:29" x14ac:dyDescent="0.3">
      <c r="A194">
        <v>-73.952852309999997</v>
      </c>
      <c r="B194">
        <v>40.777088470000002</v>
      </c>
      <c r="C194" t="s">
        <v>741</v>
      </c>
      <c r="D194" t="s">
        <v>38</v>
      </c>
      <c r="E194" s="58">
        <v>43380</v>
      </c>
      <c r="F194">
        <v>21</v>
      </c>
      <c r="G194" t="s">
        <v>48</v>
      </c>
      <c r="H194" t="s">
        <v>42</v>
      </c>
      <c r="I194" t="s">
        <v>53</v>
      </c>
      <c r="J194" t="s">
        <v>43</v>
      </c>
      <c r="K194" t="s">
        <v>565</v>
      </c>
      <c r="L194" t="s">
        <v>65</v>
      </c>
      <c r="M194" t="b">
        <v>0</v>
      </c>
      <c r="N194" t="s">
        <v>190</v>
      </c>
      <c r="O194" t="b">
        <v>0</v>
      </c>
      <c r="P194" t="b">
        <v>0</v>
      </c>
      <c r="Q194" t="b">
        <v>0</v>
      </c>
      <c r="R194" t="b">
        <v>0</v>
      </c>
      <c r="S194" t="b">
        <v>1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1</v>
      </c>
      <c r="AA194" t="b">
        <v>0</v>
      </c>
      <c r="AB194" t="s">
        <v>3820</v>
      </c>
      <c r="AC194" t="s">
        <v>8725</v>
      </c>
    </row>
    <row r="195" spans="1:29" x14ac:dyDescent="0.3">
      <c r="A195">
        <v>-73.961255890000004</v>
      </c>
      <c r="B195">
        <v>40.786771770000001</v>
      </c>
      <c r="C195" t="s">
        <v>1515</v>
      </c>
      <c r="D195" t="s">
        <v>33</v>
      </c>
      <c r="E195" s="58">
        <v>43393</v>
      </c>
      <c r="F195">
        <v>22</v>
      </c>
      <c r="G195" t="s">
        <v>48</v>
      </c>
      <c r="H195" t="s">
        <v>42</v>
      </c>
      <c r="I195" t="s">
        <v>53</v>
      </c>
      <c r="J195" t="s">
        <v>705</v>
      </c>
      <c r="K195" t="s">
        <v>1666</v>
      </c>
      <c r="L195" t="s">
        <v>65</v>
      </c>
      <c r="M195" t="b">
        <v>0</v>
      </c>
      <c r="N195" t="s">
        <v>4895</v>
      </c>
      <c r="O195" t="b">
        <v>0</v>
      </c>
      <c r="P195" t="b">
        <v>0</v>
      </c>
      <c r="Q195" t="b">
        <v>1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1</v>
      </c>
      <c r="X195" t="b">
        <v>0</v>
      </c>
      <c r="Y195" t="b">
        <v>0</v>
      </c>
      <c r="Z195" t="b">
        <v>1</v>
      </c>
      <c r="AA195" t="b">
        <v>1</v>
      </c>
      <c r="AB195" t="s">
        <v>2778</v>
      </c>
      <c r="AC195" t="s">
        <v>8726</v>
      </c>
    </row>
    <row r="196" spans="1:29" x14ac:dyDescent="0.3">
      <c r="A196">
        <v>-73.970500560000005</v>
      </c>
      <c r="B196">
        <v>40.766521150000003</v>
      </c>
      <c r="C196" t="s">
        <v>600</v>
      </c>
      <c r="D196" t="s">
        <v>33</v>
      </c>
      <c r="E196" s="58">
        <v>43387</v>
      </c>
      <c r="F196">
        <v>24</v>
      </c>
      <c r="G196" t="s">
        <v>48</v>
      </c>
      <c r="H196" t="s">
        <v>53</v>
      </c>
      <c r="I196" t="s">
        <v>96</v>
      </c>
      <c r="J196" t="s">
        <v>79</v>
      </c>
      <c r="K196" t="s">
        <v>4814</v>
      </c>
      <c r="L196" t="s">
        <v>44</v>
      </c>
      <c r="M196">
        <v>30</v>
      </c>
      <c r="N196" t="s">
        <v>815</v>
      </c>
      <c r="O196" t="b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s">
        <v>108</v>
      </c>
      <c r="AC196" t="s">
        <v>8727</v>
      </c>
    </row>
    <row r="197" spans="1:29" x14ac:dyDescent="0.3">
      <c r="A197">
        <v>-73.970180540000001</v>
      </c>
      <c r="B197">
        <v>40.795595609999999</v>
      </c>
      <c r="C197" t="s">
        <v>459</v>
      </c>
      <c r="D197" t="s">
        <v>33</v>
      </c>
      <c r="E197" s="58">
        <v>43392</v>
      </c>
      <c r="F197">
        <v>7</v>
      </c>
      <c r="G197" t="s">
        <v>48</v>
      </c>
      <c r="H197" t="s">
        <v>42</v>
      </c>
      <c r="I197" t="s">
        <v>59</v>
      </c>
      <c r="J197" t="s">
        <v>97</v>
      </c>
      <c r="K197" t="s">
        <v>3050</v>
      </c>
      <c r="L197" t="s">
        <v>65</v>
      </c>
      <c r="M197" t="b">
        <v>0</v>
      </c>
      <c r="N197" t="s">
        <v>2074</v>
      </c>
      <c r="O197" t="b">
        <v>1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s">
        <v>340</v>
      </c>
      <c r="AC197" t="s">
        <v>8728</v>
      </c>
    </row>
    <row r="198" spans="1:29" x14ac:dyDescent="0.3">
      <c r="A198">
        <v>-73.958336849999995</v>
      </c>
      <c r="B198">
        <v>40.799185119999997</v>
      </c>
      <c r="C198" t="s">
        <v>782</v>
      </c>
      <c r="D198" t="s">
        <v>38</v>
      </c>
      <c r="E198" s="58">
        <v>43380</v>
      </c>
      <c r="F198">
        <v>30</v>
      </c>
      <c r="G198" t="s">
        <v>48</v>
      </c>
      <c r="H198" t="s">
        <v>42</v>
      </c>
      <c r="I198" t="s">
        <v>53</v>
      </c>
      <c r="J198" t="s">
        <v>43</v>
      </c>
      <c r="K198" t="s">
        <v>1472</v>
      </c>
      <c r="L198" t="s">
        <v>65</v>
      </c>
      <c r="M198" t="b">
        <v>0</v>
      </c>
      <c r="N198" t="s">
        <v>6948</v>
      </c>
      <c r="O198" t="b">
        <v>0</v>
      </c>
      <c r="P198" t="b">
        <v>0</v>
      </c>
      <c r="Q198" t="b">
        <v>1</v>
      </c>
      <c r="R198" t="b">
        <v>0</v>
      </c>
      <c r="S198" t="b">
        <v>0</v>
      </c>
      <c r="T198" t="b">
        <v>0</v>
      </c>
      <c r="U198" t="b">
        <v>1</v>
      </c>
      <c r="V198" t="b">
        <v>0</v>
      </c>
      <c r="W198" t="b">
        <v>0</v>
      </c>
      <c r="X198" t="b">
        <v>0</v>
      </c>
      <c r="Y198" t="b">
        <v>1</v>
      </c>
      <c r="Z198" t="b">
        <v>0</v>
      </c>
      <c r="AA198" t="b">
        <v>1</v>
      </c>
      <c r="AB198" t="s">
        <v>810</v>
      </c>
      <c r="AC198" t="s">
        <v>8729</v>
      </c>
    </row>
    <row r="199" spans="1:29" x14ac:dyDescent="0.3">
      <c r="A199">
        <v>-73.952956290000003</v>
      </c>
      <c r="B199">
        <v>40.799022770000001</v>
      </c>
      <c r="C199" t="s">
        <v>1525</v>
      </c>
      <c r="D199" t="s">
        <v>38</v>
      </c>
      <c r="E199" s="58">
        <v>43391</v>
      </c>
      <c r="F199">
        <v>27</v>
      </c>
      <c r="G199" t="s">
        <v>48</v>
      </c>
      <c r="H199" t="s">
        <v>53</v>
      </c>
      <c r="I199" t="s">
        <v>53</v>
      </c>
      <c r="J199" t="s">
        <v>43</v>
      </c>
      <c r="K199" t="s">
        <v>1934</v>
      </c>
      <c r="L199" t="s">
        <v>65</v>
      </c>
      <c r="M199" t="b">
        <v>0</v>
      </c>
      <c r="N199" t="s">
        <v>4635</v>
      </c>
      <c r="O199" t="b">
        <v>0</v>
      </c>
      <c r="P199" t="b">
        <v>0</v>
      </c>
      <c r="Q199" t="b">
        <v>0</v>
      </c>
      <c r="R199" t="b">
        <v>0</v>
      </c>
      <c r="S199" t="b">
        <v>1</v>
      </c>
      <c r="T199" t="b">
        <v>1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1</v>
      </c>
      <c r="AA199" t="b">
        <v>0</v>
      </c>
      <c r="AB199" t="s">
        <v>425</v>
      </c>
      <c r="AC199" t="s">
        <v>8730</v>
      </c>
    </row>
    <row r="200" spans="1:29" x14ac:dyDescent="0.3">
      <c r="A200">
        <v>-73.953271409999999</v>
      </c>
      <c r="B200">
        <v>40.7913043</v>
      </c>
      <c r="C200" t="s">
        <v>1112</v>
      </c>
      <c r="D200" t="s">
        <v>33</v>
      </c>
      <c r="E200" s="58">
        <v>43393</v>
      </c>
      <c r="F200">
        <v>8</v>
      </c>
      <c r="G200" t="s">
        <v>48</v>
      </c>
      <c r="H200" t="s">
        <v>42</v>
      </c>
      <c r="I200" t="s">
        <v>59</v>
      </c>
      <c r="J200" t="s">
        <v>97</v>
      </c>
      <c r="K200" t="s">
        <v>4020</v>
      </c>
      <c r="L200" t="s">
        <v>65</v>
      </c>
      <c r="M200" t="b">
        <v>0</v>
      </c>
      <c r="N200" t="s">
        <v>4688</v>
      </c>
      <c r="O200" t="b">
        <v>0</v>
      </c>
      <c r="P200" t="b">
        <v>0</v>
      </c>
      <c r="Q200" t="b">
        <v>0</v>
      </c>
      <c r="R200" t="b">
        <v>0</v>
      </c>
      <c r="S200" t="b">
        <v>1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1</v>
      </c>
      <c r="Z200" t="b">
        <v>1</v>
      </c>
      <c r="AA200" t="b">
        <v>0</v>
      </c>
      <c r="AB200" t="s">
        <v>4294</v>
      </c>
      <c r="AC200" t="s">
        <v>8731</v>
      </c>
    </row>
    <row r="201" spans="1:29" x14ac:dyDescent="0.3">
      <c r="A201">
        <v>-73.956641779999998</v>
      </c>
      <c r="B201">
        <v>40.76949072</v>
      </c>
      <c r="C201" t="s">
        <v>428</v>
      </c>
      <c r="D201" t="s">
        <v>33</v>
      </c>
      <c r="E201" s="58">
        <v>43390</v>
      </c>
      <c r="F201">
        <v>19</v>
      </c>
      <c r="G201" t="s">
        <v>48</v>
      </c>
      <c r="H201" t="s">
        <v>176</v>
      </c>
      <c r="I201" t="s">
        <v>53</v>
      </c>
      <c r="J201" t="s">
        <v>43</v>
      </c>
      <c r="K201" t="s">
        <v>3433</v>
      </c>
      <c r="L201" t="s">
        <v>44</v>
      </c>
      <c r="M201">
        <v>40</v>
      </c>
      <c r="N201" t="s">
        <v>332</v>
      </c>
      <c r="O201" t="b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b">
        <v>1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1</v>
      </c>
      <c r="AB201" t="s">
        <v>669</v>
      </c>
      <c r="AC201" t="s">
        <v>8732</v>
      </c>
    </row>
    <row r="202" spans="1:29" x14ac:dyDescent="0.3">
      <c r="A202">
        <v>-73.960975149999996</v>
      </c>
      <c r="B202">
        <v>40.791607489999997</v>
      </c>
      <c r="C202" t="s">
        <v>3642</v>
      </c>
      <c r="D202" t="s">
        <v>33</v>
      </c>
      <c r="E202" s="58">
        <v>43383</v>
      </c>
      <c r="F202">
        <v>20</v>
      </c>
      <c r="G202" t="s">
        <v>105</v>
      </c>
      <c r="H202" t="s">
        <v>53</v>
      </c>
      <c r="I202" t="s">
        <v>96</v>
      </c>
      <c r="J202" t="s">
        <v>89</v>
      </c>
      <c r="K202" t="s">
        <v>5413</v>
      </c>
      <c r="L202" t="s">
        <v>44</v>
      </c>
      <c r="M202">
        <v>40</v>
      </c>
      <c r="N202" t="s">
        <v>236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1</v>
      </c>
      <c r="AA202" t="b">
        <v>0</v>
      </c>
      <c r="AB202" t="s">
        <v>3061</v>
      </c>
      <c r="AC202" t="s">
        <v>8733</v>
      </c>
    </row>
    <row r="203" spans="1:29" x14ac:dyDescent="0.3">
      <c r="A203">
        <v>-73.978513489999997</v>
      </c>
      <c r="B203">
        <v>40.765776320000001</v>
      </c>
      <c r="C203" t="s">
        <v>600</v>
      </c>
      <c r="D203" t="s">
        <v>33</v>
      </c>
      <c r="E203" s="58">
        <v>43390</v>
      </c>
      <c r="F203">
        <v>16</v>
      </c>
      <c r="G203" t="s">
        <v>48</v>
      </c>
      <c r="H203" t="s">
        <v>42</v>
      </c>
      <c r="I203" t="s">
        <v>53</v>
      </c>
      <c r="J203" t="s">
        <v>43</v>
      </c>
      <c r="K203" t="s">
        <v>1381</v>
      </c>
      <c r="L203" t="s">
        <v>65</v>
      </c>
      <c r="M203" t="b">
        <v>0</v>
      </c>
      <c r="N203" t="s">
        <v>6508</v>
      </c>
      <c r="O203" t="b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1</v>
      </c>
      <c r="AA203" t="b">
        <v>0</v>
      </c>
      <c r="AB203" t="s">
        <v>1660</v>
      </c>
      <c r="AC203" t="s">
        <v>8734</v>
      </c>
    </row>
    <row r="204" spans="1:29" x14ac:dyDescent="0.3">
      <c r="A204">
        <v>-73.976077489999994</v>
      </c>
      <c r="B204">
        <v>40.765689590000001</v>
      </c>
      <c r="C204" t="s">
        <v>985</v>
      </c>
      <c r="D204" t="s">
        <v>33</v>
      </c>
      <c r="E204" s="58">
        <v>43382</v>
      </c>
      <c r="F204">
        <v>22</v>
      </c>
      <c r="G204" t="s">
        <v>48</v>
      </c>
      <c r="H204" t="s">
        <v>176</v>
      </c>
      <c r="I204" t="s">
        <v>53</v>
      </c>
      <c r="J204" t="s">
        <v>79</v>
      </c>
      <c r="K204" t="s">
        <v>1181</v>
      </c>
      <c r="L204" t="s">
        <v>65</v>
      </c>
      <c r="M204" t="b">
        <v>0</v>
      </c>
      <c r="N204" t="s">
        <v>5858</v>
      </c>
      <c r="O204" t="b">
        <v>1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1</v>
      </c>
      <c r="AA204" t="b">
        <v>1</v>
      </c>
      <c r="AB204" t="s">
        <v>643</v>
      </c>
      <c r="AC204" t="s">
        <v>8735</v>
      </c>
    </row>
    <row r="205" spans="1:29" x14ac:dyDescent="0.3">
      <c r="A205">
        <v>-73.952910900000006</v>
      </c>
      <c r="B205">
        <v>40.776304289999999</v>
      </c>
      <c r="C205" t="s">
        <v>92</v>
      </c>
      <c r="D205" t="s">
        <v>38</v>
      </c>
      <c r="E205" s="58">
        <v>43391</v>
      </c>
      <c r="F205">
        <v>27</v>
      </c>
      <c r="G205" t="s">
        <v>48</v>
      </c>
      <c r="H205" t="s">
        <v>42</v>
      </c>
      <c r="I205" t="s">
        <v>53</v>
      </c>
      <c r="J205" t="s">
        <v>54</v>
      </c>
      <c r="K205" t="s">
        <v>1005</v>
      </c>
      <c r="L205" t="s">
        <v>65</v>
      </c>
      <c r="M205" t="b">
        <v>0</v>
      </c>
      <c r="N205" t="s">
        <v>4323</v>
      </c>
      <c r="O205" t="b">
        <v>0</v>
      </c>
      <c r="P205" t="b">
        <v>0</v>
      </c>
      <c r="Q205" t="b">
        <v>0</v>
      </c>
      <c r="R205" t="b">
        <v>1</v>
      </c>
      <c r="S205" t="b">
        <v>1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s">
        <v>2518</v>
      </c>
      <c r="AC205" t="s">
        <v>8736</v>
      </c>
    </row>
    <row r="206" spans="1:29" x14ac:dyDescent="0.3">
      <c r="A206">
        <v>-73.962094379999996</v>
      </c>
      <c r="B206">
        <v>40.782114739999997</v>
      </c>
      <c r="C206" t="s">
        <v>844</v>
      </c>
      <c r="D206" t="s">
        <v>38</v>
      </c>
      <c r="E206" s="58">
        <v>43385</v>
      </c>
      <c r="F206">
        <v>7</v>
      </c>
      <c r="G206" t="s">
        <v>48</v>
      </c>
      <c r="H206" t="s">
        <v>42</v>
      </c>
      <c r="I206" t="s">
        <v>59</v>
      </c>
      <c r="J206" t="s">
        <v>79</v>
      </c>
      <c r="K206" t="s">
        <v>49</v>
      </c>
      <c r="L206" t="s">
        <v>65</v>
      </c>
      <c r="M206" t="b">
        <v>0</v>
      </c>
      <c r="N206" t="s">
        <v>2101</v>
      </c>
      <c r="O206" t="b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s">
        <v>799</v>
      </c>
      <c r="AC206" t="s">
        <v>8737</v>
      </c>
    </row>
    <row r="207" spans="1:29" x14ac:dyDescent="0.3">
      <c r="A207">
        <v>-73.98086945</v>
      </c>
      <c r="B207">
        <v>40.792035060000003</v>
      </c>
      <c r="C207" t="s">
        <v>2217</v>
      </c>
      <c r="D207" t="s">
        <v>38</v>
      </c>
      <c r="E207" s="58">
        <v>43386</v>
      </c>
      <c r="F207">
        <v>9</v>
      </c>
      <c r="G207" t="s">
        <v>48</v>
      </c>
      <c r="H207" t="s">
        <v>42</v>
      </c>
      <c r="I207" t="s">
        <v>53</v>
      </c>
      <c r="J207" t="s">
        <v>79</v>
      </c>
      <c r="K207" t="s">
        <v>1181</v>
      </c>
      <c r="L207" t="s">
        <v>65</v>
      </c>
      <c r="M207" t="b">
        <v>0</v>
      </c>
      <c r="N207" t="s">
        <v>864</v>
      </c>
      <c r="O207" t="b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b">
        <v>0</v>
      </c>
      <c r="W207" t="b">
        <v>0</v>
      </c>
      <c r="X207" t="b">
        <v>1</v>
      </c>
      <c r="Y207" t="b">
        <v>0</v>
      </c>
      <c r="Z207" t="b">
        <v>0</v>
      </c>
      <c r="AA207" t="b">
        <v>1</v>
      </c>
      <c r="AB207" t="s">
        <v>3374</v>
      </c>
      <c r="AC207" t="s">
        <v>8738</v>
      </c>
    </row>
    <row r="208" spans="1:29" x14ac:dyDescent="0.3">
      <c r="A208">
        <v>-73.97796864</v>
      </c>
      <c r="B208">
        <v>40.788968029999999</v>
      </c>
      <c r="C208" t="s">
        <v>855</v>
      </c>
      <c r="D208" t="s">
        <v>38</v>
      </c>
      <c r="E208" s="58">
        <v>43383</v>
      </c>
      <c r="F208">
        <v>13</v>
      </c>
      <c r="G208" t="s">
        <v>48</v>
      </c>
      <c r="H208" t="s">
        <v>42</v>
      </c>
      <c r="I208" t="s">
        <v>53</v>
      </c>
      <c r="J208" t="s">
        <v>54</v>
      </c>
      <c r="K208" t="s">
        <v>2319</v>
      </c>
      <c r="L208" t="s">
        <v>65</v>
      </c>
      <c r="M208" t="b">
        <v>0</v>
      </c>
      <c r="N208" t="s">
        <v>222</v>
      </c>
      <c r="O208" t="b">
        <v>0</v>
      </c>
      <c r="P208" t="b">
        <v>0</v>
      </c>
      <c r="Q208" t="b">
        <v>1</v>
      </c>
      <c r="R208" t="b">
        <v>0</v>
      </c>
      <c r="S208" t="b">
        <v>1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1</v>
      </c>
      <c r="AB208" t="s">
        <v>4327</v>
      </c>
      <c r="AC208" t="s">
        <v>8739</v>
      </c>
    </row>
    <row r="209" spans="1:29" x14ac:dyDescent="0.3">
      <c r="A209">
        <v>-73.960300200000006</v>
      </c>
      <c r="B209">
        <v>40.780609939999998</v>
      </c>
      <c r="C209" t="s">
        <v>1170</v>
      </c>
      <c r="D209" t="s">
        <v>38</v>
      </c>
      <c r="E209" s="58">
        <v>43388</v>
      </c>
      <c r="F209">
        <v>1</v>
      </c>
      <c r="G209" t="s">
        <v>48</v>
      </c>
      <c r="H209" t="s">
        <v>53</v>
      </c>
      <c r="I209" t="s">
        <v>176</v>
      </c>
      <c r="J209" t="s">
        <v>43</v>
      </c>
      <c r="K209" t="s">
        <v>2136</v>
      </c>
      <c r="L209" t="s">
        <v>65</v>
      </c>
      <c r="M209" t="b">
        <v>0</v>
      </c>
      <c r="N209" t="s">
        <v>3458</v>
      </c>
      <c r="O209" t="b">
        <v>1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1</v>
      </c>
      <c r="AB209" t="s">
        <v>4201</v>
      </c>
      <c r="AC209" t="s">
        <v>8740</v>
      </c>
    </row>
    <row r="210" spans="1:29" x14ac:dyDescent="0.3">
      <c r="A210">
        <v>-73.980999460000007</v>
      </c>
      <c r="B210">
        <v>40.774544470000002</v>
      </c>
      <c r="C210" t="s">
        <v>1780</v>
      </c>
      <c r="D210" t="s">
        <v>33</v>
      </c>
      <c r="E210" s="58">
        <v>43392</v>
      </c>
      <c r="F210">
        <v>29</v>
      </c>
      <c r="G210" t="s">
        <v>48</v>
      </c>
      <c r="H210" t="s">
        <v>42</v>
      </c>
      <c r="I210" t="s">
        <v>59</v>
      </c>
      <c r="J210" t="s">
        <v>43</v>
      </c>
      <c r="K210" t="s">
        <v>3843</v>
      </c>
      <c r="L210" t="s">
        <v>44</v>
      </c>
      <c r="M210">
        <v>4</v>
      </c>
      <c r="N210" t="s">
        <v>6024</v>
      </c>
      <c r="O210" t="b">
        <v>1</v>
      </c>
      <c r="P210" t="b">
        <v>0</v>
      </c>
      <c r="Q210" t="b">
        <v>0</v>
      </c>
      <c r="R210" t="b">
        <v>0</v>
      </c>
      <c r="S210" t="b">
        <v>1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1</v>
      </c>
      <c r="AB210" t="s">
        <v>7114</v>
      </c>
      <c r="AC210" t="s">
        <v>8741</v>
      </c>
    </row>
    <row r="211" spans="1:29" x14ac:dyDescent="0.3">
      <c r="A211">
        <v>-73.976103289999998</v>
      </c>
      <c r="B211">
        <v>40.800017279999999</v>
      </c>
      <c r="C211" t="s">
        <v>1608</v>
      </c>
      <c r="D211" t="s">
        <v>38</v>
      </c>
      <c r="E211" s="58">
        <v>43392</v>
      </c>
      <c r="F211">
        <v>8</v>
      </c>
      <c r="G211" t="s">
        <v>48</v>
      </c>
      <c r="H211" t="s">
        <v>42</v>
      </c>
      <c r="I211" t="s">
        <v>53</v>
      </c>
      <c r="J211" t="s">
        <v>79</v>
      </c>
      <c r="K211" t="s">
        <v>4237</v>
      </c>
      <c r="L211" t="s">
        <v>65</v>
      </c>
      <c r="M211" t="b">
        <v>0</v>
      </c>
      <c r="N211" t="s">
        <v>4927</v>
      </c>
      <c r="O211" t="b">
        <v>1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s">
        <v>432</v>
      </c>
      <c r="AC211" t="s">
        <v>8742</v>
      </c>
    </row>
    <row r="212" spans="1:29" x14ac:dyDescent="0.3">
      <c r="A212">
        <v>-73.963908140000001</v>
      </c>
      <c r="B212">
        <v>40.779915600000002</v>
      </c>
      <c r="C212" t="s">
        <v>1310</v>
      </c>
      <c r="D212" t="s">
        <v>33</v>
      </c>
      <c r="E212" s="58">
        <v>43383</v>
      </c>
      <c r="F212">
        <v>24</v>
      </c>
      <c r="G212" t="s">
        <v>48</v>
      </c>
      <c r="H212" t="s">
        <v>42</v>
      </c>
      <c r="I212" t="s">
        <v>59</v>
      </c>
      <c r="J212" t="s">
        <v>54</v>
      </c>
      <c r="K212" t="s">
        <v>4180</v>
      </c>
      <c r="L212" t="s">
        <v>44</v>
      </c>
      <c r="M212">
        <v>4</v>
      </c>
      <c r="N212" t="s">
        <v>6098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s">
        <v>5181</v>
      </c>
      <c r="AC212" t="s">
        <v>8743</v>
      </c>
    </row>
    <row r="213" spans="1:29" x14ac:dyDescent="0.3">
      <c r="A213">
        <v>-73.959407600000006</v>
      </c>
      <c r="B213">
        <v>40.780803030000001</v>
      </c>
      <c r="C213" t="s">
        <v>1090</v>
      </c>
      <c r="D213" t="s">
        <v>38</v>
      </c>
      <c r="E213" s="58">
        <v>43380</v>
      </c>
      <c r="F213">
        <v>22</v>
      </c>
      <c r="G213" t="s">
        <v>48</v>
      </c>
      <c r="H213" t="s">
        <v>42</v>
      </c>
      <c r="I213" t="s">
        <v>42</v>
      </c>
      <c r="J213" t="s">
        <v>97</v>
      </c>
      <c r="K213" t="s">
        <v>3028</v>
      </c>
      <c r="L213" t="s">
        <v>65</v>
      </c>
      <c r="M213" t="b">
        <v>0</v>
      </c>
      <c r="N213" t="s">
        <v>1879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1</v>
      </c>
      <c r="Y213" t="b">
        <v>0</v>
      </c>
      <c r="Z213" t="b">
        <v>1</v>
      </c>
      <c r="AA213" t="b">
        <v>1</v>
      </c>
      <c r="AB213" t="s">
        <v>3827</v>
      </c>
      <c r="AC213" t="s">
        <v>8744</v>
      </c>
    </row>
    <row r="214" spans="1:29" x14ac:dyDescent="0.3">
      <c r="A214">
        <v>-73.960662999999997</v>
      </c>
      <c r="B214">
        <v>40.77067151</v>
      </c>
      <c r="C214" t="s">
        <v>47</v>
      </c>
      <c r="D214" t="s">
        <v>33</v>
      </c>
      <c r="E214" s="58">
        <v>43386</v>
      </c>
      <c r="F214">
        <v>4</v>
      </c>
      <c r="G214" t="s">
        <v>48</v>
      </c>
      <c r="H214" t="s">
        <v>42</v>
      </c>
      <c r="I214" t="s">
        <v>53</v>
      </c>
      <c r="J214" t="s">
        <v>54</v>
      </c>
      <c r="K214" t="s">
        <v>1181</v>
      </c>
      <c r="L214" t="s">
        <v>65</v>
      </c>
      <c r="M214" t="b">
        <v>0</v>
      </c>
      <c r="N214" t="s">
        <v>190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1</v>
      </c>
      <c r="AB214" t="s">
        <v>340</v>
      </c>
      <c r="AC214" t="s">
        <v>8745</v>
      </c>
    </row>
    <row r="215" spans="1:29" x14ac:dyDescent="0.3">
      <c r="A215">
        <v>-73.974108270000002</v>
      </c>
      <c r="B215">
        <v>40.792894199999999</v>
      </c>
      <c r="C215" t="s">
        <v>486</v>
      </c>
      <c r="D215" t="s">
        <v>38</v>
      </c>
      <c r="E215" s="58">
        <v>43392</v>
      </c>
      <c r="F215">
        <v>3</v>
      </c>
      <c r="G215" t="s">
        <v>48</v>
      </c>
      <c r="H215" t="s">
        <v>42</v>
      </c>
      <c r="I215" t="s">
        <v>53</v>
      </c>
      <c r="J215" t="s">
        <v>54</v>
      </c>
      <c r="K215" t="s">
        <v>2362</v>
      </c>
      <c r="L215" t="s">
        <v>44</v>
      </c>
      <c r="M215">
        <v>10</v>
      </c>
      <c r="N215" t="s">
        <v>5420</v>
      </c>
      <c r="O215" t="b">
        <v>0</v>
      </c>
      <c r="P215" t="b">
        <v>0</v>
      </c>
      <c r="Q215" t="b">
        <v>0</v>
      </c>
      <c r="R215" t="b">
        <v>0</v>
      </c>
      <c r="S215" t="b">
        <v>1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1</v>
      </c>
      <c r="AA215" t="b">
        <v>0</v>
      </c>
      <c r="AB215" t="s">
        <v>7356</v>
      </c>
      <c r="AC215" t="s">
        <v>8746</v>
      </c>
    </row>
    <row r="216" spans="1:29" x14ac:dyDescent="0.3">
      <c r="A216">
        <v>-73.958769939999996</v>
      </c>
      <c r="B216">
        <v>40.789333730000003</v>
      </c>
      <c r="C216" t="s">
        <v>478</v>
      </c>
      <c r="D216" t="s">
        <v>33</v>
      </c>
      <c r="E216" s="58">
        <v>43380</v>
      </c>
      <c r="F216">
        <v>27</v>
      </c>
      <c r="G216" t="s">
        <v>105</v>
      </c>
      <c r="H216" t="s">
        <v>53</v>
      </c>
      <c r="I216" t="s">
        <v>96</v>
      </c>
      <c r="J216" t="s">
        <v>54</v>
      </c>
      <c r="K216" t="s">
        <v>1381</v>
      </c>
      <c r="L216" t="s">
        <v>65</v>
      </c>
      <c r="M216" t="b">
        <v>0</v>
      </c>
      <c r="N216" t="s">
        <v>748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1</v>
      </c>
      <c r="AA216" t="b">
        <v>0</v>
      </c>
      <c r="AB216" t="s">
        <v>4294</v>
      </c>
      <c r="AC216" t="s">
        <v>8747</v>
      </c>
    </row>
    <row r="217" spans="1:29" x14ac:dyDescent="0.3">
      <c r="A217">
        <v>-73.973700230000006</v>
      </c>
      <c r="B217">
        <v>40.772683489999999</v>
      </c>
      <c r="C217" t="s">
        <v>130</v>
      </c>
      <c r="D217" t="s">
        <v>33</v>
      </c>
      <c r="E217" s="58">
        <v>43388</v>
      </c>
      <c r="F217">
        <v>3</v>
      </c>
      <c r="G217" t="s">
        <v>48</v>
      </c>
      <c r="H217" t="s">
        <v>42</v>
      </c>
      <c r="I217" t="s">
        <v>59</v>
      </c>
      <c r="J217" t="s">
        <v>43</v>
      </c>
      <c r="K217" t="s">
        <v>1012</v>
      </c>
      <c r="L217" t="s">
        <v>65</v>
      </c>
      <c r="M217" t="b">
        <v>0</v>
      </c>
      <c r="N217" t="s">
        <v>2022</v>
      </c>
      <c r="O217" t="b">
        <v>0</v>
      </c>
      <c r="P217" t="b">
        <v>0</v>
      </c>
      <c r="Q217" t="b">
        <v>1</v>
      </c>
      <c r="R217" t="b">
        <v>1</v>
      </c>
      <c r="S217" t="b">
        <v>1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s">
        <v>3519</v>
      </c>
      <c r="AC217" t="s">
        <v>8748</v>
      </c>
    </row>
    <row r="218" spans="1:29" x14ac:dyDescent="0.3">
      <c r="A218">
        <v>-73.970929049999995</v>
      </c>
      <c r="B218">
        <v>40.767811129999998</v>
      </c>
      <c r="C218" t="s">
        <v>3964</v>
      </c>
      <c r="D218" t="s">
        <v>33</v>
      </c>
      <c r="E218" s="58">
        <v>43390</v>
      </c>
      <c r="F218">
        <v>22</v>
      </c>
      <c r="G218" t="s">
        <v>105</v>
      </c>
      <c r="H218" t="s">
        <v>42</v>
      </c>
      <c r="I218" t="s">
        <v>59</v>
      </c>
      <c r="J218" t="s">
        <v>54</v>
      </c>
      <c r="K218" t="s">
        <v>672</v>
      </c>
      <c r="L218" t="s">
        <v>65</v>
      </c>
      <c r="M218" t="b">
        <v>0</v>
      </c>
      <c r="N218" t="s">
        <v>190</v>
      </c>
      <c r="O218" t="b">
        <v>1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  <c r="U218" t="b">
        <v>0</v>
      </c>
      <c r="V218" t="b">
        <v>0</v>
      </c>
      <c r="W218" t="b">
        <v>0</v>
      </c>
      <c r="X218" t="b">
        <v>1</v>
      </c>
      <c r="Y218" t="b">
        <v>0</v>
      </c>
      <c r="Z218" t="b">
        <v>1</v>
      </c>
      <c r="AA218" t="b">
        <v>1</v>
      </c>
      <c r="AB218" t="s">
        <v>167</v>
      </c>
      <c r="AC218" t="s">
        <v>8749</v>
      </c>
    </row>
    <row r="219" spans="1:29" x14ac:dyDescent="0.3">
      <c r="A219">
        <v>-73.957691269999998</v>
      </c>
      <c r="B219">
        <v>40.788869589999997</v>
      </c>
      <c r="C219" t="s">
        <v>855</v>
      </c>
      <c r="D219" t="s">
        <v>33</v>
      </c>
      <c r="E219" s="58">
        <v>43384</v>
      </c>
      <c r="F219">
        <v>13</v>
      </c>
      <c r="G219" t="s">
        <v>48</v>
      </c>
      <c r="H219" t="s">
        <v>42</v>
      </c>
      <c r="I219" t="s">
        <v>53</v>
      </c>
      <c r="J219" t="s">
        <v>339</v>
      </c>
      <c r="K219" t="s">
        <v>6823</v>
      </c>
      <c r="L219" t="s">
        <v>65</v>
      </c>
      <c r="M219" t="b">
        <v>0</v>
      </c>
      <c r="N219" t="s">
        <v>1766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s">
        <v>2004</v>
      </c>
      <c r="AC219" t="s">
        <v>8750</v>
      </c>
    </row>
    <row r="220" spans="1:29" x14ac:dyDescent="0.3">
      <c r="A220">
        <v>-73.960736190000006</v>
      </c>
      <c r="B220">
        <v>40.787954599999999</v>
      </c>
      <c r="C220" t="s">
        <v>2122</v>
      </c>
      <c r="D220" t="s">
        <v>38</v>
      </c>
      <c r="E220" s="58">
        <v>43386</v>
      </c>
      <c r="F220">
        <v>8</v>
      </c>
      <c r="G220" t="s">
        <v>48</v>
      </c>
      <c r="H220" t="s">
        <v>42</v>
      </c>
      <c r="I220" t="s">
        <v>53</v>
      </c>
      <c r="J220" t="s">
        <v>60</v>
      </c>
      <c r="K220" t="s">
        <v>4243</v>
      </c>
      <c r="L220" t="s">
        <v>44</v>
      </c>
      <c r="M220">
        <v>5</v>
      </c>
      <c r="N220" t="s">
        <v>7090</v>
      </c>
      <c r="O220" t="b">
        <v>0</v>
      </c>
      <c r="P220" t="b">
        <v>0</v>
      </c>
      <c r="Q220" t="b">
        <v>0</v>
      </c>
      <c r="R220" t="b">
        <v>1</v>
      </c>
      <c r="S220" t="b">
        <v>1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s">
        <v>1288</v>
      </c>
      <c r="AC220" t="s">
        <v>8751</v>
      </c>
    </row>
    <row r="221" spans="1:29" x14ac:dyDescent="0.3">
      <c r="A221">
        <v>-73.954461699999996</v>
      </c>
      <c r="B221">
        <v>40.774531549999999</v>
      </c>
      <c r="C221" t="s">
        <v>600</v>
      </c>
      <c r="D221" t="s">
        <v>38</v>
      </c>
      <c r="E221" s="58">
        <v>43384</v>
      </c>
      <c r="F221">
        <v>7</v>
      </c>
      <c r="G221" t="s">
        <v>105</v>
      </c>
      <c r="H221" t="s">
        <v>42</v>
      </c>
      <c r="I221" t="s">
        <v>59</v>
      </c>
      <c r="J221" t="s">
        <v>54</v>
      </c>
      <c r="K221" t="s">
        <v>1012</v>
      </c>
      <c r="L221" t="s">
        <v>44</v>
      </c>
      <c r="M221">
        <v>40</v>
      </c>
      <c r="N221" t="s">
        <v>456</v>
      </c>
      <c r="O221" t="b">
        <v>1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1</v>
      </c>
      <c r="Y221" t="b">
        <v>0</v>
      </c>
      <c r="Z221" t="b">
        <v>1</v>
      </c>
      <c r="AA221" t="b">
        <v>1</v>
      </c>
      <c r="AB221" t="s">
        <v>340</v>
      </c>
      <c r="AC221" t="s">
        <v>8752</v>
      </c>
    </row>
    <row r="222" spans="1:29" x14ac:dyDescent="0.3">
      <c r="A222">
        <v>-73.960485329999997</v>
      </c>
      <c r="B222">
        <v>40.798388529999997</v>
      </c>
      <c r="C222" t="s">
        <v>2011</v>
      </c>
      <c r="D222" t="s">
        <v>33</v>
      </c>
      <c r="E222" s="58">
        <v>43382</v>
      </c>
      <c r="F222">
        <v>27</v>
      </c>
      <c r="G222" t="s">
        <v>48</v>
      </c>
      <c r="H222" t="s">
        <v>42</v>
      </c>
      <c r="I222" t="s">
        <v>53</v>
      </c>
      <c r="J222" t="s">
        <v>79</v>
      </c>
      <c r="K222" t="s">
        <v>5933</v>
      </c>
      <c r="L222" t="s">
        <v>65</v>
      </c>
      <c r="M222" t="b">
        <v>0</v>
      </c>
      <c r="N222" t="s">
        <v>2423</v>
      </c>
      <c r="O222" t="b">
        <v>1</v>
      </c>
      <c r="P222" t="b">
        <v>1</v>
      </c>
      <c r="Q222" t="b">
        <v>1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1</v>
      </c>
      <c r="Y222" t="b">
        <v>0</v>
      </c>
      <c r="Z222" t="b">
        <v>0</v>
      </c>
      <c r="AA222" t="b">
        <v>0</v>
      </c>
      <c r="AB222" t="s">
        <v>5410</v>
      </c>
      <c r="AC222" t="s">
        <v>8753</v>
      </c>
    </row>
    <row r="223" spans="1:29" x14ac:dyDescent="0.3">
      <c r="A223">
        <v>-73.963292769999995</v>
      </c>
      <c r="B223">
        <v>40.770229090000001</v>
      </c>
      <c r="C223" t="s">
        <v>1025</v>
      </c>
      <c r="D223" t="s">
        <v>33</v>
      </c>
      <c r="E223" s="58">
        <v>43391</v>
      </c>
      <c r="F223">
        <v>1</v>
      </c>
      <c r="G223" t="s">
        <v>48</v>
      </c>
      <c r="H223" t="s">
        <v>42</v>
      </c>
      <c r="I223" t="s">
        <v>59</v>
      </c>
      <c r="J223" t="s">
        <v>89</v>
      </c>
      <c r="K223" t="s">
        <v>4381</v>
      </c>
      <c r="L223" t="s">
        <v>65</v>
      </c>
      <c r="M223" t="b">
        <v>0</v>
      </c>
      <c r="N223" t="s">
        <v>2877</v>
      </c>
      <c r="O223" t="b">
        <v>0</v>
      </c>
      <c r="P223" t="b">
        <v>0</v>
      </c>
      <c r="Q223" t="b">
        <v>1</v>
      </c>
      <c r="R223" t="b">
        <v>1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s">
        <v>6042</v>
      </c>
      <c r="AC223" t="s">
        <v>8754</v>
      </c>
    </row>
    <row r="224" spans="1:29" x14ac:dyDescent="0.3">
      <c r="A224">
        <v>-73.978213740000001</v>
      </c>
      <c r="B224">
        <v>40.780132250000001</v>
      </c>
      <c r="C224" t="s">
        <v>175</v>
      </c>
      <c r="D224" t="s">
        <v>33</v>
      </c>
      <c r="E224" s="58">
        <v>43382</v>
      </c>
      <c r="F224">
        <v>27</v>
      </c>
      <c r="G224" t="s">
        <v>105</v>
      </c>
      <c r="H224" t="s">
        <v>53</v>
      </c>
      <c r="I224" t="s">
        <v>59</v>
      </c>
      <c r="J224" t="s">
        <v>54</v>
      </c>
      <c r="K224" t="s">
        <v>3318</v>
      </c>
      <c r="L224" t="s">
        <v>65</v>
      </c>
      <c r="M224" t="b">
        <v>0</v>
      </c>
      <c r="N224" t="s">
        <v>6252</v>
      </c>
      <c r="O224" t="b">
        <v>0</v>
      </c>
      <c r="P224" t="b">
        <v>0</v>
      </c>
      <c r="Q224" t="b">
        <v>0</v>
      </c>
      <c r="R224" t="b">
        <v>0</v>
      </c>
      <c r="S224" t="b">
        <v>1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1</v>
      </c>
      <c r="AA224" t="b">
        <v>1</v>
      </c>
      <c r="AB224" t="s">
        <v>1367</v>
      </c>
      <c r="AC224" t="s">
        <v>8755</v>
      </c>
    </row>
    <row r="225" spans="1:29" x14ac:dyDescent="0.3">
      <c r="A225">
        <v>-73.969598770000005</v>
      </c>
      <c r="B225">
        <v>40.798133360000001</v>
      </c>
      <c r="C225" t="s">
        <v>471</v>
      </c>
      <c r="D225" t="s">
        <v>33</v>
      </c>
      <c r="E225" s="58">
        <v>43384</v>
      </c>
      <c r="F225">
        <v>16</v>
      </c>
      <c r="G225" t="s">
        <v>48</v>
      </c>
      <c r="H225" t="s">
        <v>42</v>
      </c>
      <c r="I225" t="s">
        <v>53</v>
      </c>
      <c r="J225" t="s">
        <v>43</v>
      </c>
      <c r="K225" t="s">
        <v>5481</v>
      </c>
      <c r="L225" t="s">
        <v>65</v>
      </c>
      <c r="M225" t="b">
        <v>0</v>
      </c>
      <c r="N225" t="s">
        <v>5512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s">
        <v>4683</v>
      </c>
      <c r="AC225" t="s">
        <v>8756</v>
      </c>
    </row>
    <row r="226" spans="1:29" x14ac:dyDescent="0.3">
      <c r="A226">
        <v>-73.972821460000006</v>
      </c>
      <c r="B226">
        <v>40.779688360000002</v>
      </c>
      <c r="C226" t="s">
        <v>47</v>
      </c>
      <c r="D226" t="s">
        <v>33</v>
      </c>
      <c r="E226" s="58">
        <v>43392</v>
      </c>
      <c r="F226">
        <v>6</v>
      </c>
      <c r="G226" t="s">
        <v>48</v>
      </c>
      <c r="H226" t="s">
        <v>176</v>
      </c>
      <c r="I226" t="s">
        <v>115</v>
      </c>
      <c r="J226" t="s">
        <v>43</v>
      </c>
      <c r="K226" t="s">
        <v>5180</v>
      </c>
      <c r="L226" t="s">
        <v>65</v>
      </c>
      <c r="M226" t="b">
        <v>0</v>
      </c>
      <c r="N226" t="s">
        <v>424</v>
      </c>
      <c r="O226" t="b">
        <v>1</v>
      </c>
      <c r="P226" t="b">
        <v>0</v>
      </c>
      <c r="Q226" t="b">
        <v>0</v>
      </c>
      <c r="R226" t="b">
        <v>1</v>
      </c>
      <c r="S226" t="b">
        <v>1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s">
        <v>4117</v>
      </c>
      <c r="AC226" t="s">
        <v>8757</v>
      </c>
    </row>
    <row r="227" spans="1:29" x14ac:dyDescent="0.3">
      <c r="A227">
        <v>-73.973488320000001</v>
      </c>
      <c r="B227">
        <v>40.787391790000001</v>
      </c>
      <c r="C227" t="s">
        <v>988</v>
      </c>
      <c r="D227" t="s">
        <v>38</v>
      </c>
      <c r="E227" s="58">
        <v>43393</v>
      </c>
      <c r="F227">
        <v>7</v>
      </c>
      <c r="G227" t="s">
        <v>48</v>
      </c>
      <c r="H227" t="s">
        <v>42</v>
      </c>
      <c r="I227" t="s">
        <v>42</v>
      </c>
      <c r="J227" t="s">
        <v>54</v>
      </c>
      <c r="K227" t="s">
        <v>442</v>
      </c>
      <c r="L227" t="s">
        <v>65</v>
      </c>
      <c r="M227" t="b">
        <v>0</v>
      </c>
      <c r="N227" t="s">
        <v>190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1</v>
      </c>
      <c r="AA227" t="b">
        <v>0</v>
      </c>
      <c r="AB227" t="s">
        <v>685</v>
      </c>
      <c r="AC227" t="s">
        <v>8758</v>
      </c>
    </row>
    <row r="228" spans="1:29" x14ac:dyDescent="0.3">
      <c r="A228">
        <v>-73.950570229999997</v>
      </c>
      <c r="B228">
        <v>40.778909110000001</v>
      </c>
      <c r="C228" t="s">
        <v>124</v>
      </c>
      <c r="D228" t="s">
        <v>33</v>
      </c>
      <c r="E228" s="58">
        <v>43391</v>
      </c>
      <c r="F228">
        <v>12</v>
      </c>
      <c r="G228" t="s">
        <v>48</v>
      </c>
      <c r="H228" t="s">
        <v>42</v>
      </c>
      <c r="I228" t="s">
        <v>96</v>
      </c>
      <c r="J228" t="s">
        <v>149</v>
      </c>
      <c r="K228" t="s">
        <v>2037</v>
      </c>
      <c r="L228" t="s">
        <v>65</v>
      </c>
      <c r="M228" t="b">
        <v>0</v>
      </c>
      <c r="N228" t="s">
        <v>2074</v>
      </c>
      <c r="O228" t="b">
        <v>0</v>
      </c>
      <c r="P228" t="b">
        <v>0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1</v>
      </c>
      <c r="AA228" t="b">
        <v>0</v>
      </c>
      <c r="AB228" t="s">
        <v>295</v>
      </c>
      <c r="AC228" t="s">
        <v>8759</v>
      </c>
    </row>
    <row r="229" spans="1:29" x14ac:dyDescent="0.3">
      <c r="A229">
        <v>-73.96880084</v>
      </c>
      <c r="B229">
        <v>40.774565199999998</v>
      </c>
      <c r="C229" t="s">
        <v>663</v>
      </c>
      <c r="D229" t="s">
        <v>33</v>
      </c>
      <c r="E229" s="58">
        <v>43382</v>
      </c>
      <c r="F229">
        <v>23</v>
      </c>
      <c r="G229" t="s">
        <v>48</v>
      </c>
      <c r="H229" t="s">
        <v>42</v>
      </c>
      <c r="I229" t="s">
        <v>53</v>
      </c>
      <c r="J229" t="s">
        <v>79</v>
      </c>
      <c r="K229" t="s">
        <v>2458</v>
      </c>
      <c r="L229" t="s">
        <v>65</v>
      </c>
      <c r="M229" t="b">
        <v>0</v>
      </c>
      <c r="N229" t="s">
        <v>3132</v>
      </c>
      <c r="O229" t="b">
        <v>0</v>
      </c>
      <c r="P229" t="b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1</v>
      </c>
      <c r="AA229" t="b">
        <v>0</v>
      </c>
      <c r="AB229" t="s">
        <v>295</v>
      </c>
      <c r="AC229" t="s">
        <v>8760</v>
      </c>
    </row>
    <row r="230" spans="1:29" x14ac:dyDescent="0.3">
      <c r="A230">
        <v>-73.953115479999994</v>
      </c>
      <c r="B230">
        <v>40.799554409999999</v>
      </c>
      <c r="C230" t="s">
        <v>82</v>
      </c>
      <c r="D230" t="s">
        <v>33</v>
      </c>
      <c r="E230" s="58">
        <v>43386</v>
      </c>
      <c r="F230">
        <v>9</v>
      </c>
      <c r="G230" t="s">
        <v>48</v>
      </c>
      <c r="H230" t="s">
        <v>53</v>
      </c>
      <c r="I230" t="s">
        <v>53</v>
      </c>
      <c r="J230" t="s">
        <v>43</v>
      </c>
      <c r="K230" t="s">
        <v>2311</v>
      </c>
      <c r="L230" t="s">
        <v>65</v>
      </c>
      <c r="M230" t="b">
        <v>0</v>
      </c>
      <c r="N230" t="s">
        <v>2760</v>
      </c>
      <c r="O230" t="b">
        <v>0</v>
      </c>
      <c r="P230" t="b">
        <v>0</v>
      </c>
      <c r="Q230" t="b">
        <v>0</v>
      </c>
      <c r="R230" t="b">
        <v>0</v>
      </c>
      <c r="S230" t="b">
        <v>1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1</v>
      </c>
      <c r="AA230" t="b">
        <v>0</v>
      </c>
      <c r="AB230" t="s">
        <v>4383</v>
      </c>
      <c r="AC230" t="s">
        <v>8761</v>
      </c>
    </row>
    <row r="231" spans="1:29" x14ac:dyDescent="0.3">
      <c r="A231">
        <v>-73.961317589999993</v>
      </c>
      <c r="B231">
        <v>40.779322440000001</v>
      </c>
      <c r="C231" t="s">
        <v>124</v>
      </c>
      <c r="D231" t="s">
        <v>33</v>
      </c>
      <c r="E231" s="58">
        <v>43387</v>
      </c>
      <c r="F231">
        <v>27</v>
      </c>
      <c r="G231" t="s">
        <v>48</v>
      </c>
      <c r="H231" t="s">
        <v>42</v>
      </c>
      <c r="I231" t="s">
        <v>59</v>
      </c>
      <c r="J231" t="s">
        <v>43</v>
      </c>
      <c r="K231" t="s">
        <v>2685</v>
      </c>
      <c r="L231" t="s">
        <v>65</v>
      </c>
      <c r="M231" t="b">
        <v>0</v>
      </c>
      <c r="N231" t="s">
        <v>190</v>
      </c>
      <c r="O231" t="b">
        <v>0</v>
      </c>
      <c r="P231" t="b">
        <v>0</v>
      </c>
      <c r="Q231" t="b">
        <v>0</v>
      </c>
      <c r="R231" t="b">
        <v>0</v>
      </c>
      <c r="S231" t="b">
        <v>1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1</v>
      </c>
      <c r="Z231" t="b">
        <v>1</v>
      </c>
      <c r="AA231" t="b">
        <v>0</v>
      </c>
      <c r="AB231" t="s">
        <v>1203</v>
      </c>
      <c r="AC231" t="s">
        <v>8762</v>
      </c>
    </row>
    <row r="232" spans="1:29" x14ac:dyDescent="0.3">
      <c r="A232">
        <v>-73.956172249999995</v>
      </c>
      <c r="B232">
        <v>40.796389980000001</v>
      </c>
      <c r="C232" t="s">
        <v>1138</v>
      </c>
      <c r="D232" t="s">
        <v>33</v>
      </c>
      <c r="E232" s="58">
        <v>43379</v>
      </c>
      <c r="F232">
        <v>11</v>
      </c>
      <c r="G232" t="s">
        <v>48</v>
      </c>
      <c r="H232" t="s">
        <v>53</v>
      </c>
      <c r="I232" t="s">
        <v>53</v>
      </c>
      <c r="J232" t="s">
        <v>97</v>
      </c>
      <c r="K232" t="s">
        <v>6869</v>
      </c>
      <c r="L232" t="s">
        <v>65</v>
      </c>
      <c r="M232" t="b">
        <v>0</v>
      </c>
      <c r="N232" t="s">
        <v>456</v>
      </c>
      <c r="O232" t="b">
        <v>1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1</v>
      </c>
      <c r="Y232" t="b">
        <v>0</v>
      </c>
      <c r="Z232" t="b">
        <v>0</v>
      </c>
      <c r="AA232" t="b">
        <v>0</v>
      </c>
      <c r="AB232" t="s">
        <v>101</v>
      </c>
      <c r="AC232" t="s">
        <v>8763</v>
      </c>
    </row>
    <row r="233" spans="1:29" x14ac:dyDescent="0.3">
      <c r="A233">
        <v>-73.965357269999998</v>
      </c>
      <c r="B233">
        <v>40.773006879999997</v>
      </c>
      <c r="C233" t="s">
        <v>415</v>
      </c>
      <c r="D233" t="s">
        <v>38</v>
      </c>
      <c r="E233" s="58">
        <v>43391</v>
      </c>
      <c r="F233">
        <v>10</v>
      </c>
      <c r="G233" t="s">
        <v>48</v>
      </c>
      <c r="H233" t="s">
        <v>53</v>
      </c>
      <c r="I233" t="s">
        <v>148</v>
      </c>
      <c r="J233" t="s">
        <v>89</v>
      </c>
      <c r="K233" t="s">
        <v>6582</v>
      </c>
      <c r="L233" t="s">
        <v>44</v>
      </c>
      <c r="M233">
        <v>10</v>
      </c>
      <c r="N233" t="s">
        <v>2951</v>
      </c>
      <c r="O233" t="b">
        <v>1</v>
      </c>
      <c r="P233" t="b">
        <v>0</v>
      </c>
      <c r="Q233" t="b">
        <v>0</v>
      </c>
      <c r="R233" t="b">
        <v>0</v>
      </c>
      <c r="S233" t="b">
        <v>1</v>
      </c>
      <c r="T233" t="b">
        <v>1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1</v>
      </c>
      <c r="AA233" t="b">
        <v>1</v>
      </c>
      <c r="AB233" t="s">
        <v>2102</v>
      </c>
      <c r="AC233" t="s">
        <v>8764</v>
      </c>
    </row>
    <row r="234" spans="1:29" x14ac:dyDescent="0.3">
      <c r="A234">
        <v>-73.963022559999999</v>
      </c>
      <c r="B234">
        <v>40.772413630000003</v>
      </c>
      <c r="C234" t="s">
        <v>1000</v>
      </c>
      <c r="D234" t="s">
        <v>33</v>
      </c>
      <c r="E234" s="58">
        <v>43382</v>
      </c>
      <c r="F234">
        <v>21</v>
      </c>
      <c r="G234" t="s">
        <v>48</v>
      </c>
      <c r="H234" t="s">
        <v>42</v>
      </c>
      <c r="I234" t="s">
        <v>53</v>
      </c>
      <c r="J234" t="s">
        <v>79</v>
      </c>
      <c r="K234" t="s">
        <v>6214</v>
      </c>
      <c r="L234" t="s">
        <v>44</v>
      </c>
      <c r="M234">
        <v>6</v>
      </c>
      <c r="N234" t="s">
        <v>140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s">
        <v>4383</v>
      </c>
      <c r="AC234" t="s">
        <v>8765</v>
      </c>
    </row>
    <row r="235" spans="1:29" x14ac:dyDescent="0.3">
      <c r="A235">
        <v>-73.965675390000001</v>
      </c>
      <c r="B235">
        <v>40.766006830000002</v>
      </c>
      <c r="C235" t="s">
        <v>1015</v>
      </c>
      <c r="D235" t="s">
        <v>33</v>
      </c>
      <c r="E235" s="58">
        <v>43382</v>
      </c>
      <c r="F235">
        <v>1</v>
      </c>
      <c r="G235" t="s">
        <v>48</v>
      </c>
      <c r="H235" t="s">
        <v>42</v>
      </c>
      <c r="I235" t="s">
        <v>59</v>
      </c>
      <c r="J235" t="s">
        <v>79</v>
      </c>
      <c r="K235" t="s">
        <v>5206</v>
      </c>
      <c r="L235" t="s">
        <v>65</v>
      </c>
      <c r="M235" t="b">
        <v>0</v>
      </c>
      <c r="N235" t="s">
        <v>5312</v>
      </c>
      <c r="O235" t="b">
        <v>0</v>
      </c>
      <c r="P235" t="b">
        <v>0</v>
      </c>
      <c r="Q235" t="b">
        <v>1</v>
      </c>
      <c r="R235" t="b">
        <v>0</v>
      </c>
      <c r="S235" t="b">
        <v>1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1</v>
      </c>
      <c r="AA235" t="b">
        <v>0</v>
      </c>
      <c r="AB235" t="s">
        <v>4683</v>
      </c>
      <c r="AC235" t="s">
        <v>8766</v>
      </c>
    </row>
    <row r="236" spans="1:29" x14ac:dyDescent="0.3">
      <c r="A236">
        <v>-73.975020760000007</v>
      </c>
      <c r="B236">
        <v>40.787854459999998</v>
      </c>
      <c r="C236" t="s">
        <v>604</v>
      </c>
      <c r="D236" t="s">
        <v>33</v>
      </c>
      <c r="E236" s="58">
        <v>43380</v>
      </c>
      <c r="F236">
        <v>18</v>
      </c>
      <c r="G236" t="s">
        <v>48</v>
      </c>
      <c r="H236" t="s">
        <v>42</v>
      </c>
      <c r="I236" t="s">
        <v>53</v>
      </c>
      <c r="J236" t="s">
        <v>43</v>
      </c>
      <c r="K236" t="s">
        <v>6823</v>
      </c>
      <c r="L236" t="s">
        <v>65</v>
      </c>
      <c r="M236" t="b">
        <v>0</v>
      </c>
      <c r="N236" t="s">
        <v>190</v>
      </c>
      <c r="O236" t="b">
        <v>0</v>
      </c>
      <c r="P236" t="b">
        <v>0</v>
      </c>
      <c r="Q236" t="b">
        <v>0</v>
      </c>
      <c r="R236" t="b">
        <v>1</v>
      </c>
      <c r="S236" t="b">
        <v>1</v>
      </c>
      <c r="T236" t="b">
        <v>0</v>
      </c>
      <c r="U236" t="b">
        <v>0</v>
      </c>
      <c r="V236" t="b">
        <v>0</v>
      </c>
      <c r="W236" t="b">
        <v>0</v>
      </c>
      <c r="X236" t="b">
        <v>1</v>
      </c>
      <c r="Y236" t="b">
        <v>0</v>
      </c>
      <c r="Z236" t="b">
        <v>1</v>
      </c>
      <c r="AA236" t="b">
        <v>0</v>
      </c>
      <c r="AB236" t="s">
        <v>1367</v>
      </c>
      <c r="AC236" t="s">
        <v>8767</v>
      </c>
    </row>
    <row r="237" spans="1:29" x14ac:dyDescent="0.3">
      <c r="A237">
        <v>-73.958446989999999</v>
      </c>
      <c r="B237">
        <v>40.777885689999998</v>
      </c>
      <c r="C237" t="s">
        <v>571</v>
      </c>
      <c r="D237" t="s">
        <v>33</v>
      </c>
      <c r="E237" s="58">
        <v>43384</v>
      </c>
      <c r="F237">
        <v>4</v>
      </c>
      <c r="G237" t="s">
        <v>48</v>
      </c>
      <c r="H237" t="s">
        <v>42</v>
      </c>
      <c r="I237" t="s">
        <v>59</v>
      </c>
      <c r="J237" t="s">
        <v>89</v>
      </c>
      <c r="K237" t="s">
        <v>1012</v>
      </c>
      <c r="L237" t="s">
        <v>44</v>
      </c>
      <c r="M237">
        <v>40</v>
      </c>
      <c r="N237" t="s">
        <v>140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1</v>
      </c>
      <c r="Y237" t="b">
        <v>0</v>
      </c>
      <c r="Z237" t="b">
        <v>0</v>
      </c>
      <c r="AA237" t="b">
        <v>0</v>
      </c>
      <c r="AB237" t="s">
        <v>1390</v>
      </c>
      <c r="AC237" t="s">
        <v>8768</v>
      </c>
    </row>
    <row r="238" spans="1:29" x14ac:dyDescent="0.3">
      <c r="A238">
        <v>-73.972331990000001</v>
      </c>
      <c r="B238">
        <v>40.795342859999998</v>
      </c>
      <c r="C238" t="s">
        <v>493</v>
      </c>
      <c r="D238" t="s">
        <v>33</v>
      </c>
      <c r="E238" s="58">
        <v>43381</v>
      </c>
      <c r="F238">
        <v>5</v>
      </c>
      <c r="G238" t="s">
        <v>48</v>
      </c>
      <c r="H238" t="s">
        <v>42</v>
      </c>
      <c r="I238" t="s">
        <v>53</v>
      </c>
      <c r="J238" t="s">
        <v>97</v>
      </c>
      <c r="K238" t="s">
        <v>809</v>
      </c>
      <c r="L238" t="s">
        <v>44</v>
      </c>
      <c r="M238">
        <v>4</v>
      </c>
      <c r="N238" t="s">
        <v>7271</v>
      </c>
      <c r="O238" t="b">
        <v>0</v>
      </c>
      <c r="P238" t="b">
        <v>0</v>
      </c>
      <c r="Q238" t="b">
        <v>1</v>
      </c>
      <c r="R238" t="b">
        <v>0</v>
      </c>
      <c r="S238" t="b">
        <v>1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s">
        <v>5733</v>
      </c>
      <c r="AC238" t="s">
        <v>8769</v>
      </c>
    </row>
    <row r="239" spans="1:29" x14ac:dyDescent="0.3">
      <c r="A239">
        <v>-73.980394160000003</v>
      </c>
      <c r="B239">
        <v>40.781571370000002</v>
      </c>
      <c r="C239" t="s">
        <v>709</v>
      </c>
      <c r="D239" t="s">
        <v>38</v>
      </c>
      <c r="E239" s="58">
        <v>43385</v>
      </c>
      <c r="F239">
        <v>9</v>
      </c>
      <c r="G239" t="s">
        <v>48</v>
      </c>
      <c r="H239" t="s">
        <v>42</v>
      </c>
      <c r="I239" t="s">
        <v>59</v>
      </c>
      <c r="J239" t="s">
        <v>43</v>
      </c>
      <c r="K239" t="s">
        <v>1816</v>
      </c>
      <c r="L239" t="s">
        <v>44</v>
      </c>
      <c r="M239">
        <v>5</v>
      </c>
      <c r="N239" t="s">
        <v>3185</v>
      </c>
      <c r="O239" t="b">
        <v>0</v>
      </c>
      <c r="P239" t="b">
        <v>0</v>
      </c>
      <c r="Q239" t="b">
        <v>0</v>
      </c>
      <c r="R239" t="b">
        <v>1</v>
      </c>
      <c r="S239" t="b">
        <v>1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1</v>
      </c>
      <c r="AB239" t="s">
        <v>1539</v>
      </c>
      <c r="AC239" t="s">
        <v>8770</v>
      </c>
    </row>
    <row r="240" spans="1:29" x14ac:dyDescent="0.3">
      <c r="A240">
        <v>-73.96086699</v>
      </c>
      <c r="B240">
        <v>40.798998679999997</v>
      </c>
      <c r="C240" t="s">
        <v>1581</v>
      </c>
      <c r="D240" t="s">
        <v>38</v>
      </c>
      <c r="E240" s="58">
        <v>43391</v>
      </c>
      <c r="F240">
        <v>27</v>
      </c>
      <c r="G240" t="s">
        <v>48</v>
      </c>
      <c r="H240" t="s">
        <v>42</v>
      </c>
      <c r="I240" t="s">
        <v>53</v>
      </c>
      <c r="J240" t="s">
        <v>97</v>
      </c>
      <c r="K240" t="s">
        <v>5933</v>
      </c>
      <c r="L240" t="s">
        <v>65</v>
      </c>
      <c r="M240" t="b">
        <v>0</v>
      </c>
      <c r="N240" t="s">
        <v>3101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1</v>
      </c>
      <c r="AA240" t="b">
        <v>0</v>
      </c>
      <c r="AB240" t="s">
        <v>360</v>
      </c>
      <c r="AC240" t="s">
        <v>8771</v>
      </c>
    </row>
    <row r="241" spans="1:29" x14ac:dyDescent="0.3">
      <c r="A241">
        <v>-73.975590789999998</v>
      </c>
      <c r="B241">
        <v>40.771442620000002</v>
      </c>
      <c r="C241" t="s">
        <v>471</v>
      </c>
      <c r="D241" t="s">
        <v>38</v>
      </c>
      <c r="E241" s="58">
        <v>43389</v>
      </c>
      <c r="F241">
        <v>17</v>
      </c>
      <c r="G241" t="s">
        <v>105</v>
      </c>
      <c r="H241" t="s">
        <v>42</v>
      </c>
      <c r="I241" t="s">
        <v>42</v>
      </c>
      <c r="J241" t="s">
        <v>43</v>
      </c>
      <c r="K241" t="s">
        <v>1843</v>
      </c>
      <c r="L241" t="s">
        <v>44</v>
      </c>
      <c r="M241">
        <v>40</v>
      </c>
      <c r="N241" t="s">
        <v>2865</v>
      </c>
      <c r="O241" t="b">
        <v>0</v>
      </c>
      <c r="P241" t="b">
        <v>1</v>
      </c>
      <c r="Q241" t="b">
        <v>0</v>
      </c>
      <c r="R241" t="b">
        <v>1</v>
      </c>
      <c r="S241" t="b">
        <v>1</v>
      </c>
      <c r="T241" t="b">
        <v>1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s">
        <v>4979</v>
      </c>
      <c r="AC241" t="s">
        <v>8772</v>
      </c>
    </row>
    <row r="242" spans="1:29" x14ac:dyDescent="0.3">
      <c r="A242">
        <v>-73.951593560000006</v>
      </c>
      <c r="B242">
        <v>40.795493020000002</v>
      </c>
      <c r="C242" t="s">
        <v>677</v>
      </c>
      <c r="D242" t="s">
        <v>33</v>
      </c>
      <c r="E242" s="58">
        <v>43389</v>
      </c>
      <c r="F242">
        <v>3</v>
      </c>
      <c r="G242" t="s">
        <v>48</v>
      </c>
      <c r="H242" t="s">
        <v>42</v>
      </c>
      <c r="I242" t="s">
        <v>53</v>
      </c>
      <c r="J242" t="s">
        <v>43</v>
      </c>
      <c r="K242" t="s">
        <v>4572</v>
      </c>
      <c r="L242" t="s">
        <v>65</v>
      </c>
      <c r="M242" t="b">
        <v>0</v>
      </c>
      <c r="N242" t="s">
        <v>1915</v>
      </c>
      <c r="O242" t="b">
        <v>1</v>
      </c>
      <c r="P242" t="b">
        <v>1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1</v>
      </c>
      <c r="AA242" t="b">
        <v>0</v>
      </c>
      <c r="AB242" t="s">
        <v>101</v>
      </c>
      <c r="AC242" t="s">
        <v>8773</v>
      </c>
    </row>
    <row r="243" spans="1:29" x14ac:dyDescent="0.3">
      <c r="A243">
        <v>-73.951170110000007</v>
      </c>
      <c r="B243">
        <v>40.79225297</v>
      </c>
      <c r="C243" t="s">
        <v>851</v>
      </c>
      <c r="D243" t="s">
        <v>33</v>
      </c>
      <c r="E243" s="58">
        <v>43383</v>
      </c>
      <c r="F243">
        <v>16</v>
      </c>
      <c r="G243" t="s">
        <v>48</v>
      </c>
      <c r="H243" t="s">
        <v>42</v>
      </c>
      <c r="I243" t="s">
        <v>42</v>
      </c>
      <c r="J243" t="s">
        <v>43</v>
      </c>
      <c r="K243" t="s">
        <v>3050</v>
      </c>
      <c r="L243" t="s">
        <v>44</v>
      </c>
      <c r="M243">
        <v>5</v>
      </c>
      <c r="N243" t="s">
        <v>3389</v>
      </c>
      <c r="O243" t="b">
        <v>0</v>
      </c>
      <c r="P243" t="b">
        <v>0</v>
      </c>
      <c r="Q243" t="b">
        <v>0</v>
      </c>
      <c r="R243" t="b">
        <v>0</v>
      </c>
      <c r="S243" t="b">
        <v>1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1</v>
      </c>
      <c r="AA243" t="b">
        <v>0</v>
      </c>
      <c r="AB243" t="s">
        <v>5750</v>
      </c>
      <c r="AC243" t="s">
        <v>8774</v>
      </c>
    </row>
    <row r="244" spans="1:29" x14ac:dyDescent="0.3">
      <c r="A244">
        <v>-73.952398160000001</v>
      </c>
      <c r="B244">
        <v>40.792053170000003</v>
      </c>
      <c r="C244" t="s">
        <v>335</v>
      </c>
      <c r="D244" t="s">
        <v>33</v>
      </c>
      <c r="E244" s="58">
        <v>43382</v>
      </c>
      <c r="F244">
        <v>5</v>
      </c>
      <c r="G244" t="s">
        <v>48</v>
      </c>
      <c r="H244" t="s">
        <v>42</v>
      </c>
      <c r="I244" t="s">
        <v>96</v>
      </c>
      <c r="J244" t="s">
        <v>43</v>
      </c>
      <c r="K244" t="s">
        <v>565</v>
      </c>
      <c r="L244" t="s">
        <v>44</v>
      </c>
      <c r="M244">
        <v>10</v>
      </c>
      <c r="N244" t="s">
        <v>2996</v>
      </c>
      <c r="O244" t="b">
        <v>0</v>
      </c>
      <c r="P244" t="b">
        <v>0</v>
      </c>
      <c r="Q244" t="b">
        <v>0</v>
      </c>
      <c r="R244" t="b">
        <v>0</v>
      </c>
      <c r="S244" t="b">
        <v>1</v>
      </c>
      <c r="T244" t="b">
        <v>0</v>
      </c>
      <c r="U244" t="b">
        <v>0</v>
      </c>
      <c r="V244" t="b">
        <v>0</v>
      </c>
      <c r="W244" t="b">
        <v>0</v>
      </c>
      <c r="X244" t="b">
        <v>1</v>
      </c>
      <c r="Y244" t="b">
        <v>0</v>
      </c>
      <c r="Z244" t="b">
        <v>1</v>
      </c>
      <c r="AA244" t="b">
        <v>0</v>
      </c>
      <c r="AB244" t="s">
        <v>1216</v>
      </c>
      <c r="AC244" t="s">
        <v>8775</v>
      </c>
    </row>
    <row r="245" spans="1:29" x14ac:dyDescent="0.3">
      <c r="A245">
        <v>-73.969521970000002</v>
      </c>
      <c r="B245">
        <v>40.794653670000002</v>
      </c>
      <c r="C245" t="s">
        <v>119</v>
      </c>
      <c r="D245" t="s">
        <v>38</v>
      </c>
      <c r="E245" s="58">
        <v>43383</v>
      </c>
      <c r="F245">
        <v>16</v>
      </c>
      <c r="G245" t="s">
        <v>48</v>
      </c>
      <c r="H245" t="s">
        <v>42</v>
      </c>
      <c r="I245" t="s">
        <v>53</v>
      </c>
      <c r="J245" t="s">
        <v>54</v>
      </c>
      <c r="K245" t="s">
        <v>4381</v>
      </c>
      <c r="L245" t="s">
        <v>65</v>
      </c>
      <c r="M245" t="b">
        <v>0</v>
      </c>
      <c r="N245" t="s">
        <v>4860</v>
      </c>
      <c r="O245" t="b">
        <v>1</v>
      </c>
      <c r="P245" t="b">
        <v>0</v>
      </c>
      <c r="Q245" t="b">
        <v>1</v>
      </c>
      <c r="R245" t="b">
        <v>1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s">
        <v>340</v>
      </c>
      <c r="AC245" t="s">
        <v>8776</v>
      </c>
    </row>
    <row r="246" spans="1:29" x14ac:dyDescent="0.3">
      <c r="A246">
        <v>-73.980672670000004</v>
      </c>
      <c r="B246">
        <v>40.791704690000003</v>
      </c>
      <c r="C246" t="s">
        <v>1028</v>
      </c>
      <c r="D246" t="s">
        <v>38</v>
      </c>
      <c r="E246" s="58">
        <v>43386</v>
      </c>
      <c r="F246">
        <v>3</v>
      </c>
      <c r="G246" t="s">
        <v>105</v>
      </c>
      <c r="H246" t="s">
        <v>42</v>
      </c>
      <c r="I246" t="s">
        <v>96</v>
      </c>
      <c r="J246" t="s">
        <v>54</v>
      </c>
      <c r="K246" t="s">
        <v>1666</v>
      </c>
      <c r="L246" t="s">
        <v>44</v>
      </c>
      <c r="M246">
        <v>7</v>
      </c>
      <c r="N246" t="s">
        <v>1871</v>
      </c>
      <c r="O246" t="b">
        <v>0</v>
      </c>
      <c r="P246" t="b">
        <v>0</v>
      </c>
      <c r="Q246" t="b">
        <v>1</v>
      </c>
      <c r="R246" t="b">
        <v>0</v>
      </c>
      <c r="S246" t="b">
        <v>1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1</v>
      </c>
      <c r="AA246" t="b">
        <v>0</v>
      </c>
      <c r="AB246" t="s">
        <v>1029</v>
      </c>
      <c r="AC246" t="s">
        <v>8777</v>
      </c>
    </row>
    <row r="247" spans="1:29" x14ac:dyDescent="0.3">
      <c r="A247">
        <v>-73.951975200000007</v>
      </c>
      <c r="B247">
        <v>40.786958540000001</v>
      </c>
      <c r="C247" t="s">
        <v>505</v>
      </c>
      <c r="D247" t="s">
        <v>33</v>
      </c>
      <c r="E247" s="58">
        <v>43381</v>
      </c>
      <c r="F247">
        <v>20</v>
      </c>
      <c r="G247" t="s">
        <v>105</v>
      </c>
      <c r="H247" t="s">
        <v>42</v>
      </c>
      <c r="I247" t="s">
        <v>53</v>
      </c>
      <c r="J247" t="s">
        <v>54</v>
      </c>
      <c r="K247" t="s">
        <v>3152</v>
      </c>
      <c r="L247" t="s">
        <v>65</v>
      </c>
      <c r="M247" t="b">
        <v>0</v>
      </c>
      <c r="N247" t="s">
        <v>1642</v>
      </c>
      <c r="O247" t="b">
        <v>0</v>
      </c>
      <c r="P247" t="b">
        <v>1</v>
      </c>
      <c r="Q247" t="b">
        <v>0</v>
      </c>
      <c r="R247" t="b">
        <v>1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s">
        <v>101</v>
      </c>
      <c r="AC247" t="s">
        <v>8778</v>
      </c>
    </row>
    <row r="248" spans="1:29" x14ac:dyDescent="0.3">
      <c r="A248">
        <v>-73.96769784</v>
      </c>
      <c r="B248">
        <v>40.769531520000001</v>
      </c>
      <c r="C248" t="s">
        <v>502</v>
      </c>
      <c r="D248" t="s">
        <v>33</v>
      </c>
      <c r="E248" s="58">
        <v>43392</v>
      </c>
      <c r="F248">
        <v>15</v>
      </c>
      <c r="G248" t="s">
        <v>48</v>
      </c>
      <c r="H248" t="s">
        <v>42</v>
      </c>
      <c r="I248" t="s">
        <v>176</v>
      </c>
      <c r="J248" t="s">
        <v>54</v>
      </c>
      <c r="K248" t="s">
        <v>809</v>
      </c>
      <c r="L248" t="s">
        <v>44</v>
      </c>
      <c r="M248">
        <v>8</v>
      </c>
      <c r="N248" t="s">
        <v>1068</v>
      </c>
      <c r="O248" t="b">
        <v>1</v>
      </c>
      <c r="P248" t="b">
        <v>0</v>
      </c>
      <c r="Q248" t="b">
        <v>1</v>
      </c>
      <c r="R248" t="b">
        <v>0</v>
      </c>
      <c r="S248" t="b">
        <v>1</v>
      </c>
      <c r="T248" t="b">
        <v>0</v>
      </c>
      <c r="U248" t="b">
        <v>0</v>
      </c>
      <c r="V248" t="b">
        <v>0</v>
      </c>
      <c r="W248" t="b">
        <v>0</v>
      </c>
      <c r="X248" t="b">
        <v>1</v>
      </c>
      <c r="Y248" t="b">
        <v>0</v>
      </c>
      <c r="Z248" t="b">
        <v>0</v>
      </c>
      <c r="AA248" t="b">
        <v>0</v>
      </c>
      <c r="AB248" t="s">
        <v>101</v>
      </c>
      <c r="AC248" t="s">
        <v>8779</v>
      </c>
    </row>
    <row r="249" spans="1:29" x14ac:dyDescent="0.3">
      <c r="A249">
        <v>-73.950770030000001</v>
      </c>
      <c r="B249">
        <v>40.76605584</v>
      </c>
      <c r="C249" t="s">
        <v>71</v>
      </c>
      <c r="D249" t="s">
        <v>33</v>
      </c>
      <c r="E249" s="58">
        <v>43385</v>
      </c>
      <c r="F249">
        <v>30</v>
      </c>
      <c r="G249" t="s">
        <v>48</v>
      </c>
      <c r="H249" t="s">
        <v>42</v>
      </c>
      <c r="I249" t="s">
        <v>59</v>
      </c>
      <c r="J249" t="s">
        <v>43</v>
      </c>
      <c r="K249" t="s">
        <v>3152</v>
      </c>
      <c r="L249" t="s">
        <v>65</v>
      </c>
      <c r="M249" t="b">
        <v>0</v>
      </c>
      <c r="N249" t="s">
        <v>1363</v>
      </c>
      <c r="O249" t="b">
        <v>1</v>
      </c>
      <c r="P249" t="b">
        <v>0</v>
      </c>
      <c r="Q249" t="b">
        <v>0</v>
      </c>
      <c r="R249" t="b">
        <v>0</v>
      </c>
      <c r="S249" t="b">
        <v>1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1</v>
      </c>
      <c r="Z249" t="b">
        <v>0</v>
      </c>
      <c r="AA249" t="b">
        <v>0</v>
      </c>
      <c r="AB249" t="s">
        <v>3595</v>
      </c>
      <c r="AC249" t="s">
        <v>8780</v>
      </c>
    </row>
    <row r="250" spans="1:29" x14ac:dyDescent="0.3">
      <c r="A250">
        <v>-73.950865440000001</v>
      </c>
      <c r="B250">
        <v>40.797331739999997</v>
      </c>
      <c r="C250" t="s">
        <v>663</v>
      </c>
      <c r="D250" t="s">
        <v>38</v>
      </c>
      <c r="E250" s="58">
        <v>43393</v>
      </c>
      <c r="F250">
        <v>3</v>
      </c>
      <c r="G250" t="s">
        <v>105</v>
      </c>
      <c r="H250" t="s">
        <v>42</v>
      </c>
      <c r="I250" t="s">
        <v>53</v>
      </c>
      <c r="J250" t="s">
        <v>43</v>
      </c>
      <c r="K250" t="s">
        <v>4123</v>
      </c>
      <c r="L250" t="s">
        <v>44</v>
      </c>
      <c r="M250">
        <v>12</v>
      </c>
      <c r="N250" t="s">
        <v>748</v>
      </c>
      <c r="O250" t="b">
        <v>0</v>
      </c>
      <c r="P250" t="b">
        <v>0</v>
      </c>
      <c r="Q250" t="b">
        <v>1</v>
      </c>
      <c r="R250" t="b">
        <v>0</v>
      </c>
      <c r="S250" t="b">
        <v>1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1</v>
      </c>
      <c r="AA250" t="b">
        <v>0</v>
      </c>
      <c r="AB250" t="s">
        <v>2552</v>
      </c>
      <c r="AC250" t="s">
        <v>8781</v>
      </c>
    </row>
    <row r="251" spans="1:29" x14ac:dyDescent="0.3">
      <c r="A251">
        <v>-73.954342679999996</v>
      </c>
      <c r="B251">
        <v>40.786621599999997</v>
      </c>
      <c r="C251" t="s">
        <v>646</v>
      </c>
      <c r="D251" t="s">
        <v>38</v>
      </c>
      <c r="E251" s="58">
        <v>43392</v>
      </c>
      <c r="F251">
        <v>20</v>
      </c>
      <c r="G251" t="s">
        <v>105</v>
      </c>
      <c r="H251" t="s">
        <v>42</v>
      </c>
      <c r="I251" t="s">
        <v>53</v>
      </c>
      <c r="J251" t="s">
        <v>79</v>
      </c>
      <c r="K251" t="s">
        <v>3351</v>
      </c>
      <c r="L251" t="s">
        <v>65</v>
      </c>
      <c r="M251" t="b">
        <v>0</v>
      </c>
      <c r="N251" t="s">
        <v>1766</v>
      </c>
      <c r="O251" t="b">
        <v>1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1</v>
      </c>
      <c r="AA251" t="b">
        <v>0</v>
      </c>
      <c r="AB251" t="s">
        <v>6579</v>
      </c>
      <c r="AC251" t="s">
        <v>8782</v>
      </c>
    </row>
    <row r="252" spans="1:29" x14ac:dyDescent="0.3">
      <c r="A252">
        <v>-73.971902049999997</v>
      </c>
      <c r="B252">
        <v>40.792955030000002</v>
      </c>
      <c r="C252" t="s">
        <v>175</v>
      </c>
      <c r="D252" t="s">
        <v>33</v>
      </c>
      <c r="E252" s="58">
        <v>43384</v>
      </c>
      <c r="F252">
        <v>14</v>
      </c>
      <c r="G252" t="s">
        <v>48</v>
      </c>
      <c r="H252" t="s">
        <v>42</v>
      </c>
      <c r="I252" t="s">
        <v>53</v>
      </c>
      <c r="J252" t="s">
        <v>54</v>
      </c>
      <c r="K252" t="s">
        <v>2517</v>
      </c>
      <c r="L252" t="s">
        <v>65</v>
      </c>
      <c r="M252" t="b">
        <v>0</v>
      </c>
      <c r="N252" t="s">
        <v>3424</v>
      </c>
      <c r="O252" t="b">
        <v>0</v>
      </c>
      <c r="P252" t="b">
        <v>0</v>
      </c>
      <c r="Q252" t="b">
        <v>1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1</v>
      </c>
      <c r="AA252" t="b">
        <v>1</v>
      </c>
      <c r="AB252" t="s">
        <v>1281</v>
      </c>
      <c r="AC252" t="s">
        <v>8783</v>
      </c>
    </row>
    <row r="253" spans="1:29" x14ac:dyDescent="0.3">
      <c r="A253">
        <v>-73.969052340000005</v>
      </c>
      <c r="B253">
        <v>40.781864030000001</v>
      </c>
      <c r="C253" t="s">
        <v>1145</v>
      </c>
      <c r="D253" t="s">
        <v>33</v>
      </c>
      <c r="E253" s="58">
        <v>43390</v>
      </c>
      <c r="F253">
        <v>16</v>
      </c>
      <c r="G253" t="s">
        <v>48</v>
      </c>
      <c r="H253" t="s">
        <v>53</v>
      </c>
      <c r="I253" t="s">
        <v>737</v>
      </c>
      <c r="J253" t="s">
        <v>54</v>
      </c>
      <c r="K253" t="s">
        <v>1896</v>
      </c>
      <c r="L253" t="s">
        <v>65</v>
      </c>
      <c r="M253" t="b">
        <v>0</v>
      </c>
      <c r="N253" t="s">
        <v>1766</v>
      </c>
      <c r="O253" t="b">
        <v>1</v>
      </c>
      <c r="P253" t="b">
        <v>0</v>
      </c>
      <c r="Q253" t="b">
        <v>0</v>
      </c>
      <c r="R253" t="b">
        <v>1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1</v>
      </c>
      <c r="Y253" t="b">
        <v>0</v>
      </c>
      <c r="Z253" t="b">
        <v>1</v>
      </c>
      <c r="AA253" t="b">
        <v>0</v>
      </c>
      <c r="AB253" t="s">
        <v>650</v>
      </c>
      <c r="AC253" t="s">
        <v>8784</v>
      </c>
    </row>
    <row r="254" spans="1:29" x14ac:dyDescent="0.3">
      <c r="A254">
        <v>-73.954401559999994</v>
      </c>
      <c r="B254">
        <v>40.769040840000002</v>
      </c>
      <c r="C254" t="s">
        <v>604</v>
      </c>
      <c r="D254" t="s">
        <v>38</v>
      </c>
      <c r="E254" s="58">
        <v>43379</v>
      </c>
      <c r="F254">
        <v>29</v>
      </c>
      <c r="G254" t="s">
        <v>48</v>
      </c>
      <c r="H254" t="s">
        <v>42</v>
      </c>
      <c r="I254" t="s">
        <v>53</v>
      </c>
      <c r="J254" t="s">
        <v>60</v>
      </c>
      <c r="K254" t="s">
        <v>5323</v>
      </c>
      <c r="L254" t="s">
        <v>65</v>
      </c>
      <c r="M254" t="b">
        <v>0</v>
      </c>
      <c r="N254" t="s">
        <v>4012</v>
      </c>
      <c r="O254" t="b">
        <v>1</v>
      </c>
      <c r="P254" t="b">
        <v>0</v>
      </c>
      <c r="Q254" t="b">
        <v>1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s">
        <v>391</v>
      </c>
      <c r="AC254" t="s">
        <v>8785</v>
      </c>
    </row>
    <row r="255" spans="1:29" x14ac:dyDescent="0.3">
      <c r="A255">
        <v>-73.971195559999998</v>
      </c>
      <c r="B255">
        <v>40.76931819</v>
      </c>
      <c r="C255" t="s">
        <v>3964</v>
      </c>
      <c r="D255" t="s">
        <v>33</v>
      </c>
      <c r="E255" s="58">
        <v>43391</v>
      </c>
      <c r="F255">
        <v>29</v>
      </c>
      <c r="G255" t="s">
        <v>105</v>
      </c>
      <c r="H255" t="s">
        <v>42</v>
      </c>
      <c r="I255" t="s">
        <v>59</v>
      </c>
      <c r="J255" t="s">
        <v>97</v>
      </c>
      <c r="K255" t="s">
        <v>3351</v>
      </c>
      <c r="L255" t="s">
        <v>65</v>
      </c>
      <c r="M255" t="b">
        <v>0</v>
      </c>
      <c r="N255" t="s">
        <v>5488</v>
      </c>
      <c r="O255" t="b">
        <v>0</v>
      </c>
      <c r="P255" t="b">
        <v>0</v>
      </c>
      <c r="Q255" t="b">
        <v>0</v>
      </c>
      <c r="R255" t="b">
        <v>0</v>
      </c>
      <c r="S255" t="b">
        <v>1</v>
      </c>
      <c r="T255" t="b">
        <v>0</v>
      </c>
      <c r="U255" t="b">
        <v>0</v>
      </c>
      <c r="V255" t="b">
        <v>0</v>
      </c>
      <c r="W255" t="b">
        <v>0</v>
      </c>
      <c r="X255" t="b">
        <v>1</v>
      </c>
      <c r="Y255" t="b">
        <v>0</v>
      </c>
      <c r="Z255" t="b">
        <v>0</v>
      </c>
      <c r="AA255" t="b">
        <v>0</v>
      </c>
      <c r="AB255" t="s">
        <v>3595</v>
      </c>
      <c r="AC255" t="s">
        <v>8786</v>
      </c>
    </row>
    <row r="256" spans="1:29" x14ac:dyDescent="0.3">
      <c r="A256">
        <v>-73.975830270000003</v>
      </c>
      <c r="B256">
        <v>40.789047949999997</v>
      </c>
      <c r="C256" t="s">
        <v>2418</v>
      </c>
      <c r="D256" t="s">
        <v>33</v>
      </c>
      <c r="E256" s="58">
        <v>43385</v>
      </c>
      <c r="F256">
        <v>17</v>
      </c>
      <c r="G256" t="s">
        <v>48</v>
      </c>
      <c r="H256" t="s">
        <v>42</v>
      </c>
      <c r="I256" t="s">
        <v>59</v>
      </c>
      <c r="J256" t="s">
        <v>60</v>
      </c>
      <c r="K256" t="s">
        <v>3471</v>
      </c>
      <c r="L256" t="s">
        <v>65</v>
      </c>
      <c r="M256" t="b">
        <v>0</v>
      </c>
      <c r="N256" t="s">
        <v>6570</v>
      </c>
      <c r="O256" t="b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s">
        <v>527</v>
      </c>
      <c r="AC256" t="s">
        <v>8787</v>
      </c>
    </row>
    <row r="257" spans="1:29" x14ac:dyDescent="0.3">
      <c r="A257">
        <v>-73.963654520000006</v>
      </c>
      <c r="B257">
        <v>40.780060810000002</v>
      </c>
      <c r="C257" t="s">
        <v>2573</v>
      </c>
      <c r="D257" t="s">
        <v>33</v>
      </c>
      <c r="E257" s="58">
        <v>43392</v>
      </c>
      <c r="F257">
        <v>28</v>
      </c>
      <c r="G257" t="s">
        <v>48</v>
      </c>
      <c r="H257" t="s">
        <v>42</v>
      </c>
      <c r="I257" t="s">
        <v>115</v>
      </c>
      <c r="J257" t="s">
        <v>54</v>
      </c>
      <c r="K257" t="s">
        <v>4317</v>
      </c>
      <c r="L257" t="s">
        <v>65</v>
      </c>
      <c r="M257" t="b">
        <v>0</v>
      </c>
      <c r="N257" t="s">
        <v>2032</v>
      </c>
      <c r="O257" t="b">
        <v>1</v>
      </c>
      <c r="P257" t="b">
        <v>0</v>
      </c>
      <c r="Q257" t="b">
        <v>0</v>
      </c>
      <c r="R257" t="b">
        <v>1</v>
      </c>
      <c r="S257" t="b">
        <v>1</v>
      </c>
      <c r="T257" t="b">
        <v>1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1</v>
      </c>
      <c r="AB257" t="s">
        <v>511</v>
      </c>
      <c r="AC257" t="s">
        <v>8788</v>
      </c>
    </row>
    <row r="258" spans="1:29" x14ac:dyDescent="0.3">
      <c r="A258">
        <v>-73.951728860000003</v>
      </c>
      <c r="B258">
        <v>40.771970709999998</v>
      </c>
      <c r="C258" t="s">
        <v>483</v>
      </c>
      <c r="D258" t="s">
        <v>38</v>
      </c>
      <c r="E258" s="58">
        <v>43391</v>
      </c>
      <c r="F258">
        <v>24</v>
      </c>
      <c r="G258" t="s">
        <v>48</v>
      </c>
      <c r="H258" t="s">
        <v>42</v>
      </c>
      <c r="I258" t="s">
        <v>53</v>
      </c>
      <c r="J258" t="s">
        <v>43</v>
      </c>
      <c r="K258" t="s">
        <v>242</v>
      </c>
      <c r="L258" t="s">
        <v>65</v>
      </c>
      <c r="M258" t="b">
        <v>0</v>
      </c>
      <c r="N258" t="s">
        <v>1879</v>
      </c>
      <c r="O258" t="b">
        <v>0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1</v>
      </c>
      <c r="AB258" t="s">
        <v>5913</v>
      </c>
      <c r="AC258" t="s">
        <v>8789</v>
      </c>
    </row>
    <row r="259" spans="1:29" x14ac:dyDescent="0.3">
      <c r="A259">
        <v>-73.959277619999995</v>
      </c>
      <c r="B259">
        <v>40.782218659999998</v>
      </c>
      <c r="C259" t="s">
        <v>37</v>
      </c>
      <c r="D259" t="s">
        <v>33</v>
      </c>
      <c r="E259" s="58">
        <v>43385</v>
      </c>
      <c r="F259">
        <v>20</v>
      </c>
      <c r="G259" t="s">
        <v>48</v>
      </c>
      <c r="H259" t="s">
        <v>42</v>
      </c>
      <c r="I259" t="s">
        <v>59</v>
      </c>
      <c r="J259" t="s">
        <v>79</v>
      </c>
      <c r="K259" t="s">
        <v>6299</v>
      </c>
      <c r="L259" t="s">
        <v>65</v>
      </c>
      <c r="M259" t="b">
        <v>0</v>
      </c>
      <c r="N259" t="s">
        <v>4323</v>
      </c>
      <c r="O259" t="b">
        <v>1</v>
      </c>
      <c r="P259" t="b">
        <v>0</v>
      </c>
      <c r="Q259" t="b">
        <v>1</v>
      </c>
      <c r="R259" t="b">
        <v>0</v>
      </c>
      <c r="S259" t="b">
        <v>1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1</v>
      </c>
      <c r="AA259" t="b">
        <v>1</v>
      </c>
      <c r="AB259" t="s">
        <v>380</v>
      </c>
      <c r="AC259" t="s">
        <v>8790</v>
      </c>
    </row>
    <row r="260" spans="1:29" x14ac:dyDescent="0.3">
      <c r="A260">
        <v>-73.963237669999998</v>
      </c>
      <c r="B260">
        <v>40.767171329999996</v>
      </c>
      <c r="C260" t="s">
        <v>225</v>
      </c>
      <c r="D260" t="s">
        <v>33</v>
      </c>
      <c r="E260" s="58">
        <v>43392</v>
      </c>
      <c r="F260">
        <v>23</v>
      </c>
      <c r="G260" t="s">
        <v>48</v>
      </c>
      <c r="H260" t="s">
        <v>42</v>
      </c>
      <c r="I260" t="s">
        <v>59</v>
      </c>
      <c r="J260" t="s">
        <v>43</v>
      </c>
      <c r="K260" t="s">
        <v>3341</v>
      </c>
      <c r="L260" t="s">
        <v>44</v>
      </c>
      <c r="M260">
        <v>7</v>
      </c>
      <c r="N260" t="s">
        <v>864</v>
      </c>
      <c r="O260" t="b">
        <v>1</v>
      </c>
      <c r="P260" t="b">
        <v>0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1</v>
      </c>
      <c r="AB260" t="s">
        <v>121</v>
      </c>
      <c r="AC260" t="s">
        <v>8791</v>
      </c>
    </row>
    <row r="261" spans="1:29" x14ac:dyDescent="0.3">
      <c r="A261">
        <v>-73.978103660000002</v>
      </c>
      <c r="B261">
        <v>40.785400629999998</v>
      </c>
      <c r="C261" t="s">
        <v>250</v>
      </c>
      <c r="D261" t="s">
        <v>38</v>
      </c>
      <c r="E261" s="58">
        <v>43393</v>
      </c>
      <c r="F261">
        <v>18</v>
      </c>
      <c r="G261" t="s">
        <v>3842</v>
      </c>
      <c r="H261" t="s">
        <v>42</v>
      </c>
      <c r="I261" t="s">
        <v>96</v>
      </c>
      <c r="J261" t="s">
        <v>54</v>
      </c>
      <c r="K261" t="s">
        <v>894</v>
      </c>
      <c r="L261" t="s">
        <v>65</v>
      </c>
      <c r="M261" t="b">
        <v>0</v>
      </c>
      <c r="N261" t="s">
        <v>922</v>
      </c>
      <c r="O261" t="b">
        <v>0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1</v>
      </c>
      <c r="AA261" t="b">
        <v>0</v>
      </c>
      <c r="AB261" t="s">
        <v>1473</v>
      </c>
      <c r="AC261" t="s">
        <v>8792</v>
      </c>
    </row>
    <row r="262" spans="1:29" x14ac:dyDescent="0.3">
      <c r="A262">
        <v>-73.961824710000002</v>
      </c>
      <c r="B262">
        <v>40.774381349999999</v>
      </c>
      <c r="C262" t="s">
        <v>2662</v>
      </c>
      <c r="D262" t="s">
        <v>33</v>
      </c>
      <c r="E262" s="58">
        <v>43390</v>
      </c>
      <c r="F262">
        <v>18</v>
      </c>
      <c r="G262" t="s">
        <v>48</v>
      </c>
      <c r="H262" t="s">
        <v>42</v>
      </c>
      <c r="I262" t="s">
        <v>53</v>
      </c>
      <c r="J262" t="s">
        <v>43</v>
      </c>
      <c r="K262" t="s">
        <v>4308</v>
      </c>
      <c r="L262" t="s">
        <v>65</v>
      </c>
      <c r="M262" t="b">
        <v>0</v>
      </c>
      <c r="N262" t="s">
        <v>190</v>
      </c>
      <c r="O262" t="b">
        <v>0</v>
      </c>
      <c r="P262" t="b">
        <v>0</v>
      </c>
      <c r="Q262" t="b">
        <v>0</v>
      </c>
      <c r="R262" t="b">
        <v>0</v>
      </c>
      <c r="S262" t="b">
        <v>1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1</v>
      </c>
      <c r="AB262" t="s">
        <v>3051</v>
      </c>
      <c r="AC262" t="s">
        <v>8793</v>
      </c>
    </row>
    <row r="263" spans="1:29" x14ac:dyDescent="0.3">
      <c r="A263">
        <v>-73.950034439999996</v>
      </c>
      <c r="B263">
        <v>40.792991010000001</v>
      </c>
      <c r="C263" t="s">
        <v>680</v>
      </c>
      <c r="D263" t="s">
        <v>33</v>
      </c>
      <c r="E263" s="58">
        <v>43379</v>
      </c>
      <c r="F263">
        <v>22</v>
      </c>
      <c r="G263" t="s">
        <v>48</v>
      </c>
      <c r="H263" t="s">
        <v>42</v>
      </c>
      <c r="I263" t="s">
        <v>53</v>
      </c>
      <c r="J263" t="s">
        <v>89</v>
      </c>
      <c r="K263" t="s">
        <v>6823</v>
      </c>
      <c r="L263" t="s">
        <v>65</v>
      </c>
      <c r="M263" t="b">
        <v>0</v>
      </c>
      <c r="N263" t="s">
        <v>1730</v>
      </c>
      <c r="O263" t="b">
        <v>0</v>
      </c>
      <c r="P263" t="b">
        <v>0</v>
      </c>
      <c r="Q263" t="b">
        <v>0</v>
      </c>
      <c r="R263" t="b">
        <v>1</v>
      </c>
      <c r="S263" t="b">
        <v>1</v>
      </c>
      <c r="T263" t="b">
        <v>0</v>
      </c>
      <c r="U263" t="b">
        <v>0</v>
      </c>
      <c r="V263" t="b">
        <v>0</v>
      </c>
      <c r="W263" t="b">
        <v>1</v>
      </c>
      <c r="X263" t="b">
        <v>0</v>
      </c>
      <c r="Y263" t="b">
        <v>0</v>
      </c>
      <c r="Z263" t="b">
        <v>0</v>
      </c>
      <c r="AA263" t="b">
        <v>0</v>
      </c>
      <c r="AB263" t="s">
        <v>669</v>
      </c>
      <c r="AC263" t="s">
        <v>8794</v>
      </c>
    </row>
    <row r="264" spans="1:29" x14ac:dyDescent="0.3">
      <c r="A264">
        <v>-73.976754790000001</v>
      </c>
      <c r="B264">
        <v>40.775837850000002</v>
      </c>
      <c r="C264" t="s">
        <v>493</v>
      </c>
      <c r="D264" t="s">
        <v>33</v>
      </c>
      <c r="E264" s="58">
        <v>43387</v>
      </c>
      <c r="F264">
        <v>14</v>
      </c>
      <c r="G264" t="s">
        <v>48</v>
      </c>
      <c r="H264" t="s">
        <v>53</v>
      </c>
      <c r="I264" t="s">
        <v>53</v>
      </c>
      <c r="J264" t="s">
        <v>43</v>
      </c>
      <c r="K264" t="s">
        <v>4594</v>
      </c>
      <c r="L264" t="s">
        <v>65</v>
      </c>
      <c r="M264" t="b">
        <v>0</v>
      </c>
      <c r="N264" t="s">
        <v>1359</v>
      </c>
      <c r="O264" t="b">
        <v>0</v>
      </c>
      <c r="P264" t="b">
        <v>0</v>
      </c>
      <c r="Q264" t="b">
        <v>0</v>
      </c>
      <c r="R264" t="b">
        <v>1</v>
      </c>
      <c r="S264" t="b">
        <v>1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s">
        <v>4924</v>
      </c>
      <c r="AC264" t="s">
        <v>8795</v>
      </c>
    </row>
    <row r="265" spans="1:29" x14ac:dyDescent="0.3">
      <c r="A265">
        <v>-73.964863949999994</v>
      </c>
      <c r="B265">
        <v>40.780937989999998</v>
      </c>
      <c r="C265" t="s">
        <v>363</v>
      </c>
      <c r="D265" t="s">
        <v>33</v>
      </c>
      <c r="E265" s="58">
        <v>43384</v>
      </c>
      <c r="F265">
        <v>18</v>
      </c>
      <c r="G265" t="s">
        <v>48</v>
      </c>
      <c r="H265" t="s">
        <v>42</v>
      </c>
      <c r="I265" t="s">
        <v>96</v>
      </c>
      <c r="J265" t="s">
        <v>177</v>
      </c>
      <c r="K265" t="s">
        <v>5957</v>
      </c>
      <c r="L265" t="s">
        <v>65</v>
      </c>
      <c r="M265" t="b">
        <v>0</v>
      </c>
      <c r="N265" t="s">
        <v>7271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1</v>
      </c>
      <c r="AA265" t="b">
        <v>0</v>
      </c>
      <c r="AB265" t="s">
        <v>3348</v>
      </c>
      <c r="AC265" t="s">
        <v>8796</v>
      </c>
    </row>
    <row r="266" spans="1:29" x14ac:dyDescent="0.3">
      <c r="A266">
        <v>-73.953576769999998</v>
      </c>
      <c r="B266">
        <v>40.7653198</v>
      </c>
      <c r="C266" t="s">
        <v>773</v>
      </c>
      <c r="D266" t="s">
        <v>38</v>
      </c>
      <c r="E266" s="58">
        <v>43393</v>
      </c>
      <c r="F266">
        <v>15</v>
      </c>
      <c r="G266" t="s">
        <v>48</v>
      </c>
      <c r="H266" t="s">
        <v>42</v>
      </c>
      <c r="I266" t="s">
        <v>53</v>
      </c>
      <c r="J266" t="s">
        <v>60</v>
      </c>
      <c r="K266" t="s">
        <v>3028</v>
      </c>
      <c r="L266" t="s">
        <v>65</v>
      </c>
      <c r="M266" t="b">
        <v>0</v>
      </c>
      <c r="N266" t="s">
        <v>2877</v>
      </c>
      <c r="O266" t="b">
        <v>0</v>
      </c>
      <c r="P266" t="b">
        <v>0</v>
      </c>
      <c r="Q266" t="b">
        <v>0</v>
      </c>
      <c r="R266" t="b">
        <v>0</v>
      </c>
      <c r="S266" t="b">
        <v>1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1</v>
      </c>
      <c r="AB266" t="s">
        <v>3121</v>
      </c>
      <c r="AC266" t="s">
        <v>8797</v>
      </c>
    </row>
    <row r="267" spans="1:29" x14ac:dyDescent="0.3">
      <c r="A267">
        <v>-73.957871179999998</v>
      </c>
      <c r="B267">
        <v>40.767461369999999</v>
      </c>
      <c r="C267" t="s">
        <v>1262</v>
      </c>
      <c r="D267" t="s">
        <v>33</v>
      </c>
      <c r="E267" s="58">
        <v>43390</v>
      </c>
      <c r="F267">
        <v>15</v>
      </c>
      <c r="G267" t="s">
        <v>48</v>
      </c>
      <c r="H267" t="s">
        <v>42</v>
      </c>
      <c r="I267" t="s">
        <v>59</v>
      </c>
      <c r="J267" t="s">
        <v>54</v>
      </c>
      <c r="K267" t="s">
        <v>5413</v>
      </c>
      <c r="L267" t="s">
        <v>44</v>
      </c>
      <c r="M267">
        <v>4</v>
      </c>
      <c r="N267" t="s">
        <v>5687</v>
      </c>
      <c r="O267" t="b">
        <v>1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1</v>
      </c>
      <c r="Y267" t="b">
        <v>0</v>
      </c>
      <c r="Z267" t="b">
        <v>0</v>
      </c>
      <c r="AA267" t="b">
        <v>0</v>
      </c>
      <c r="AB267" t="s">
        <v>290</v>
      </c>
      <c r="AC267" t="s">
        <v>8798</v>
      </c>
    </row>
    <row r="268" spans="1:29" x14ac:dyDescent="0.3">
      <c r="A268">
        <v>-73.959246629999996</v>
      </c>
      <c r="B268">
        <v>40.778729519999999</v>
      </c>
      <c r="C268" t="s">
        <v>448</v>
      </c>
      <c r="D268" t="s">
        <v>33</v>
      </c>
      <c r="E268" s="58">
        <v>43380</v>
      </c>
      <c r="F268">
        <v>6</v>
      </c>
      <c r="G268" t="s">
        <v>48</v>
      </c>
      <c r="H268" t="s">
        <v>42</v>
      </c>
      <c r="I268" t="s">
        <v>53</v>
      </c>
      <c r="J268" t="s">
        <v>97</v>
      </c>
      <c r="K268" t="s">
        <v>4069</v>
      </c>
      <c r="L268" t="s">
        <v>65</v>
      </c>
      <c r="M268" t="b">
        <v>0</v>
      </c>
      <c r="N268" t="s">
        <v>2777</v>
      </c>
      <c r="O268" t="b">
        <v>1</v>
      </c>
      <c r="P268" t="b">
        <v>0</v>
      </c>
      <c r="Q268" t="b">
        <v>1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s">
        <v>7069</v>
      </c>
      <c r="AC268" t="s">
        <v>8799</v>
      </c>
    </row>
    <row r="269" spans="1:29" x14ac:dyDescent="0.3">
      <c r="A269">
        <v>-73.959074720000004</v>
      </c>
      <c r="B269">
        <v>40.78180828</v>
      </c>
      <c r="C269" t="s">
        <v>2011</v>
      </c>
      <c r="D269" t="s">
        <v>38</v>
      </c>
      <c r="E269" s="58">
        <v>43383</v>
      </c>
      <c r="F269">
        <v>27</v>
      </c>
      <c r="G269" t="s">
        <v>48</v>
      </c>
      <c r="H269" t="s">
        <v>42</v>
      </c>
      <c r="I269" t="s">
        <v>42</v>
      </c>
      <c r="J269" t="s">
        <v>79</v>
      </c>
      <c r="K269" t="s">
        <v>4742</v>
      </c>
      <c r="L269" t="s">
        <v>65</v>
      </c>
      <c r="M269" t="b">
        <v>0</v>
      </c>
      <c r="N269" t="s">
        <v>3424</v>
      </c>
      <c r="O269" t="b">
        <v>0</v>
      </c>
      <c r="P269" t="b">
        <v>1</v>
      </c>
      <c r="Q269" t="b">
        <v>0</v>
      </c>
      <c r="R269" t="b">
        <v>0</v>
      </c>
      <c r="S269" t="b">
        <v>1</v>
      </c>
      <c r="T269" t="b">
        <v>0</v>
      </c>
      <c r="U269" t="b">
        <v>0</v>
      </c>
      <c r="V269" t="b">
        <v>0</v>
      </c>
      <c r="W269" t="b">
        <v>0</v>
      </c>
      <c r="X269" t="b">
        <v>1</v>
      </c>
      <c r="Y269" t="b">
        <v>0</v>
      </c>
      <c r="Z269" t="b">
        <v>0</v>
      </c>
      <c r="AA269" t="b">
        <v>0</v>
      </c>
      <c r="AB269" t="s">
        <v>3474</v>
      </c>
      <c r="AC269" t="s">
        <v>8800</v>
      </c>
    </row>
    <row r="270" spans="1:29" x14ac:dyDescent="0.3">
      <c r="A270">
        <v>-73.969857320000003</v>
      </c>
      <c r="B270">
        <v>40.786036099999997</v>
      </c>
      <c r="C270" t="s">
        <v>232</v>
      </c>
      <c r="D270" t="s">
        <v>38</v>
      </c>
      <c r="E270" s="58">
        <v>43391</v>
      </c>
      <c r="F270">
        <v>15</v>
      </c>
      <c r="G270" t="s">
        <v>48</v>
      </c>
      <c r="H270" t="s">
        <v>42</v>
      </c>
      <c r="I270" t="s">
        <v>115</v>
      </c>
      <c r="J270" t="s">
        <v>89</v>
      </c>
      <c r="K270" t="s">
        <v>981</v>
      </c>
      <c r="L270" t="s">
        <v>65</v>
      </c>
      <c r="M270" t="b">
        <v>0</v>
      </c>
      <c r="N270" t="s">
        <v>858</v>
      </c>
      <c r="O270" t="b">
        <v>0</v>
      </c>
      <c r="P270" t="b">
        <v>0</v>
      </c>
      <c r="Q270" t="b">
        <v>1</v>
      </c>
      <c r="R270" t="b">
        <v>0</v>
      </c>
      <c r="S270" t="b">
        <v>1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1</v>
      </c>
      <c r="AA270" t="b">
        <v>0</v>
      </c>
      <c r="AB270" t="s">
        <v>2277</v>
      </c>
      <c r="AC270" t="s">
        <v>8801</v>
      </c>
    </row>
    <row r="271" spans="1:29" x14ac:dyDescent="0.3">
      <c r="A271">
        <v>-73.971928989999995</v>
      </c>
      <c r="B271">
        <v>40.775179479999998</v>
      </c>
      <c r="C271" t="s">
        <v>423</v>
      </c>
      <c r="D271" t="s">
        <v>38</v>
      </c>
      <c r="E271" s="58">
        <v>43389</v>
      </c>
      <c r="F271">
        <v>18</v>
      </c>
      <c r="G271" t="s">
        <v>48</v>
      </c>
      <c r="H271" t="s">
        <v>42</v>
      </c>
      <c r="I271" t="s">
        <v>59</v>
      </c>
      <c r="J271" t="s">
        <v>54</v>
      </c>
      <c r="K271" t="s">
        <v>4180</v>
      </c>
      <c r="L271" t="s">
        <v>65</v>
      </c>
      <c r="M271" t="b">
        <v>0</v>
      </c>
      <c r="N271" t="s">
        <v>5039</v>
      </c>
      <c r="O271" t="b">
        <v>0</v>
      </c>
      <c r="P271" t="b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1</v>
      </c>
      <c r="AA271" t="b">
        <v>1</v>
      </c>
      <c r="AB271" t="s">
        <v>1216</v>
      </c>
      <c r="AC271" t="s">
        <v>8802</v>
      </c>
    </row>
    <row r="272" spans="1:29" x14ac:dyDescent="0.3">
      <c r="A272">
        <v>-73.955714850000007</v>
      </c>
      <c r="B272">
        <v>40.789379490000002</v>
      </c>
      <c r="C272" t="s">
        <v>455</v>
      </c>
      <c r="D272" t="s">
        <v>33</v>
      </c>
      <c r="E272" s="58">
        <v>43382</v>
      </c>
      <c r="F272">
        <v>4</v>
      </c>
      <c r="G272" t="s">
        <v>105</v>
      </c>
      <c r="H272" t="s">
        <v>42</v>
      </c>
      <c r="I272" t="s">
        <v>53</v>
      </c>
      <c r="J272" t="s">
        <v>97</v>
      </c>
      <c r="K272" t="s">
        <v>4791</v>
      </c>
      <c r="L272" t="s">
        <v>65</v>
      </c>
      <c r="M272" t="b">
        <v>0</v>
      </c>
      <c r="N272" t="s">
        <v>5673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1</v>
      </c>
      <c r="AB272" t="s">
        <v>4165</v>
      </c>
      <c r="AC272" t="s">
        <v>8803</v>
      </c>
    </row>
    <row r="273" spans="1:29" x14ac:dyDescent="0.3">
      <c r="A273">
        <v>-73.955691200000004</v>
      </c>
      <c r="B273">
        <v>40.795193730000001</v>
      </c>
      <c r="C273" t="s">
        <v>544</v>
      </c>
      <c r="D273" t="s">
        <v>33</v>
      </c>
      <c r="E273" s="58">
        <v>43385</v>
      </c>
      <c r="F273">
        <v>23</v>
      </c>
      <c r="G273" t="s">
        <v>105</v>
      </c>
      <c r="H273" t="s">
        <v>42</v>
      </c>
      <c r="I273" t="s">
        <v>53</v>
      </c>
      <c r="J273" t="s">
        <v>54</v>
      </c>
      <c r="K273" t="s">
        <v>242</v>
      </c>
      <c r="L273" t="s">
        <v>44</v>
      </c>
      <c r="M273">
        <v>30</v>
      </c>
      <c r="N273" t="s">
        <v>748</v>
      </c>
      <c r="O273" t="b">
        <v>0</v>
      </c>
      <c r="P273" t="b">
        <v>0</v>
      </c>
      <c r="Q273" t="b">
        <v>0</v>
      </c>
      <c r="R273" t="b">
        <v>0</v>
      </c>
      <c r="S273" t="b">
        <v>1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s">
        <v>121</v>
      </c>
      <c r="AC273" t="s">
        <v>8804</v>
      </c>
    </row>
    <row r="274" spans="1:29" x14ac:dyDescent="0.3">
      <c r="A274">
        <v>-73.953900590000003</v>
      </c>
      <c r="B274">
        <v>40.792367540000001</v>
      </c>
      <c r="C274" t="s">
        <v>2085</v>
      </c>
      <c r="D274" t="s">
        <v>38</v>
      </c>
      <c r="E274" s="58">
        <v>43386</v>
      </c>
      <c r="F274">
        <v>8</v>
      </c>
      <c r="G274" t="s">
        <v>48</v>
      </c>
      <c r="H274" t="s">
        <v>42</v>
      </c>
      <c r="I274" t="s">
        <v>53</v>
      </c>
      <c r="J274" t="s">
        <v>116</v>
      </c>
      <c r="K274" t="s">
        <v>3433</v>
      </c>
      <c r="L274" t="s">
        <v>65</v>
      </c>
      <c r="M274" t="b">
        <v>0</v>
      </c>
      <c r="N274" t="s">
        <v>3424</v>
      </c>
      <c r="O274" t="b">
        <v>1</v>
      </c>
      <c r="P274" t="b">
        <v>0</v>
      </c>
      <c r="Q274" t="b">
        <v>0</v>
      </c>
      <c r="R274" t="b">
        <v>0</v>
      </c>
      <c r="S274" t="b">
        <v>1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s">
        <v>121</v>
      </c>
      <c r="AC274" t="s">
        <v>8805</v>
      </c>
    </row>
    <row r="275" spans="1:29" x14ac:dyDescent="0.3">
      <c r="A275">
        <v>-73.952449209999997</v>
      </c>
      <c r="B275">
        <v>40.766305559999999</v>
      </c>
      <c r="C275" t="s">
        <v>298</v>
      </c>
      <c r="D275" t="s">
        <v>33</v>
      </c>
      <c r="E275" s="58">
        <v>43389</v>
      </c>
      <c r="F275">
        <v>15</v>
      </c>
      <c r="G275" t="s">
        <v>48</v>
      </c>
      <c r="H275" t="s">
        <v>42</v>
      </c>
      <c r="I275" t="s">
        <v>53</v>
      </c>
      <c r="J275" t="s">
        <v>54</v>
      </c>
      <c r="K275" t="s">
        <v>7178</v>
      </c>
      <c r="L275" t="s">
        <v>65</v>
      </c>
      <c r="M275" t="b">
        <v>0</v>
      </c>
      <c r="N275" t="s">
        <v>3132</v>
      </c>
      <c r="O275" t="b">
        <v>0</v>
      </c>
      <c r="P275" t="b">
        <v>0</v>
      </c>
      <c r="Q275" t="b">
        <v>0</v>
      </c>
      <c r="R275" t="b">
        <v>1</v>
      </c>
      <c r="S275" t="b">
        <v>1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1</v>
      </c>
      <c r="AA275" t="b">
        <v>0</v>
      </c>
      <c r="AB275" t="s">
        <v>5124</v>
      </c>
      <c r="AC275" t="s">
        <v>8806</v>
      </c>
    </row>
    <row r="276" spans="1:29" x14ac:dyDescent="0.3">
      <c r="A276">
        <v>-73.965083609999994</v>
      </c>
      <c r="B276">
        <v>40.781828279999999</v>
      </c>
      <c r="C276" t="s">
        <v>2654</v>
      </c>
      <c r="D276" t="s">
        <v>38</v>
      </c>
      <c r="E276" s="58">
        <v>43392</v>
      </c>
      <c r="F276">
        <v>3</v>
      </c>
      <c r="G276" t="s">
        <v>105</v>
      </c>
      <c r="H276" t="s">
        <v>42</v>
      </c>
      <c r="I276" t="s">
        <v>59</v>
      </c>
      <c r="J276" t="s">
        <v>54</v>
      </c>
      <c r="K276" t="s">
        <v>2319</v>
      </c>
      <c r="L276" t="s">
        <v>65</v>
      </c>
      <c r="M276" t="b">
        <v>0</v>
      </c>
      <c r="N276" t="s">
        <v>190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1</v>
      </c>
      <c r="Y276" t="b">
        <v>0</v>
      </c>
      <c r="Z276" t="b">
        <v>1</v>
      </c>
      <c r="AA276" t="b">
        <v>0</v>
      </c>
      <c r="AB276" t="s">
        <v>391</v>
      </c>
      <c r="AC276" t="s">
        <v>8807</v>
      </c>
    </row>
    <row r="277" spans="1:29" x14ac:dyDescent="0.3">
      <c r="A277">
        <v>-73.965392510000001</v>
      </c>
      <c r="B277">
        <v>40.768605030000003</v>
      </c>
      <c r="C277" t="s">
        <v>680</v>
      </c>
      <c r="D277" t="s">
        <v>38</v>
      </c>
      <c r="E277" s="58">
        <v>43393</v>
      </c>
      <c r="F277">
        <v>30</v>
      </c>
      <c r="G277" t="s">
        <v>48</v>
      </c>
      <c r="H277" t="s">
        <v>42</v>
      </c>
      <c r="I277" t="s">
        <v>59</v>
      </c>
      <c r="J277" t="s">
        <v>97</v>
      </c>
      <c r="K277" t="s">
        <v>1558</v>
      </c>
      <c r="L277" t="s">
        <v>44</v>
      </c>
      <c r="M277">
        <v>4</v>
      </c>
      <c r="N277" t="s">
        <v>1203</v>
      </c>
      <c r="O277" t="b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1</v>
      </c>
      <c r="AA277" t="b">
        <v>0</v>
      </c>
      <c r="AB277" t="s">
        <v>3564</v>
      </c>
      <c r="AC277" t="s">
        <v>8808</v>
      </c>
    </row>
    <row r="278" spans="1:29" x14ac:dyDescent="0.3">
      <c r="A278">
        <v>-73.956062720000006</v>
      </c>
      <c r="B278">
        <v>40.773432550000003</v>
      </c>
      <c r="C278" t="s">
        <v>1138</v>
      </c>
      <c r="D278" t="s">
        <v>38</v>
      </c>
      <c r="E278" s="58">
        <v>43389</v>
      </c>
      <c r="F278">
        <v>15</v>
      </c>
      <c r="G278" t="s">
        <v>48</v>
      </c>
      <c r="H278" t="s">
        <v>42</v>
      </c>
      <c r="I278" t="s">
        <v>115</v>
      </c>
      <c r="J278" t="s">
        <v>89</v>
      </c>
      <c r="K278" t="s">
        <v>3883</v>
      </c>
      <c r="L278" t="s">
        <v>65</v>
      </c>
      <c r="M278" t="b">
        <v>0</v>
      </c>
      <c r="N278" t="s">
        <v>5283</v>
      </c>
      <c r="O278" t="b">
        <v>1</v>
      </c>
      <c r="P278" t="b">
        <v>0</v>
      </c>
      <c r="Q278" t="b">
        <v>1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s">
        <v>2671</v>
      </c>
      <c r="AC278" t="s">
        <v>8809</v>
      </c>
    </row>
    <row r="279" spans="1:29" x14ac:dyDescent="0.3">
      <c r="A279">
        <v>-73.960725789999998</v>
      </c>
      <c r="B279">
        <v>40.799648939999997</v>
      </c>
      <c r="C279" t="s">
        <v>343</v>
      </c>
      <c r="D279" t="s">
        <v>33</v>
      </c>
      <c r="E279" s="58">
        <v>43379</v>
      </c>
      <c r="F279">
        <v>13</v>
      </c>
      <c r="G279" t="s">
        <v>105</v>
      </c>
      <c r="H279" t="s">
        <v>42</v>
      </c>
      <c r="I279" t="s">
        <v>59</v>
      </c>
      <c r="J279" t="s">
        <v>79</v>
      </c>
      <c r="K279" t="s">
        <v>2362</v>
      </c>
      <c r="L279" t="s">
        <v>65</v>
      </c>
      <c r="M279" t="b">
        <v>0</v>
      </c>
      <c r="N279" t="s">
        <v>1432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1</v>
      </c>
      <c r="AA279" t="b">
        <v>0</v>
      </c>
      <c r="AB279" t="s">
        <v>3698</v>
      </c>
      <c r="AC279" t="s">
        <v>8810</v>
      </c>
    </row>
    <row r="280" spans="1:29" x14ac:dyDescent="0.3">
      <c r="A280">
        <v>-73.959090979999999</v>
      </c>
      <c r="B280">
        <v>40.769927629999998</v>
      </c>
      <c r="C280" t="s">
        <v>1401</v>
      </c>
      <c r="D280" t="s">
        <v>33</v>
      </c>
      <c r="E280" s="58">
        <v>43383</v>
      </c>
      <c r="F280">
        <v>9</v>
      </c>
      <c r="G280" t="s">
        <v>48</v>
      </c>
      <c r="H280" t="s">
        <v>42</v>
      </c>
      <c r="I280" t="s">
        <v>59</v>
      </c>
      <c r="J280" t="s">
        <v>43</v>
      </c>
      <c r="K280" t="s">
        <v>5787</v>
      </c>
      <c r="L280" t="s">
        <v>65</v>
      </c>
      <c r="M280" t="b">
        <v>0</v>
      </c>
      <c r="N280" t="s">
        <v>3687</v>
      </c>
      <c r="O280" t="b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1</v>
      </c>
      <c r="AA280" t="b">
        <v>0</v>
      </c>
      <c r="AB280" t="s">
        <v>2131</v>
      </c>
      <c r="AC280" t="s">
        <v>8811</v>
      </c>
    </row>
    <row r="281" spans="1:29" x14ac:dyDescent="0.3">
      <c r="A281">
        <v>-73.956141400000007</v>
      </c>
      <c r="B281">
        <v>40.78247545</v>
      </c>
      <c r="C281" t="s">
        <v>1211</v>
      </c>
      <c r="D281" t="s">
        <v>38</v>
      </c>
      <c r="E281" s="58">
        <v>43393</v>
      </c>
      <c r="F281">
        <v>2</v>
      </c>
      <c r="G281" t="s">
        <v>48</v>
      </c>
      <c r="H281" t="s">
        <v>42</v>
      </c>
      <c r="I281" t="s">
        <v>59</v>
      </c>
      <c r="J281" t="s">
        <v>54</v>
      </c>
      <c r="K281" t="s">
        <v>4660</v>
      </c>
      <c r="L281" t="s">
        <v>65</v>
      </c>
      <c r="M281" t="b">
        <v>0</v>
      </c>
      <c r="N281" t="s">
        <v>2074</v>
      </c>
      <c r="O281" t="b">
        <v>0</v>
      </c>
      <c r="P281" t="b">
        <v>0</v>
      </c>
      <c r="Q281" t="b">
        <v>1</v>
      </c>
      <c r="R281" t="b">
        <v>1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1</v>
      </c>
      <c r="AB281" t="s">
        <v>75</v>
      </c>
      <c r="AC281" t="s">
        <v>8812</v>
      </c>
    </row>
    <row r="282" spans="1:29" x14ac:dyDescent="0.3">
      <c r="A282">
        <v>-73.953179649999996</v>
      </c>
      <c r="B282">
        <v>40.786674599999998</v>
      </c>
      <c r="C282" t="s">
        <v>564</v>
      </c>
      <c r="D282" t="s">
        <v>33</v>
      </c>
      <c r="E282" s="58">
        <v>43381</v>
      </c>
      <c r="F282">
        <v>24</v>
      </c>
      <c r="G282" t="s">
        <v>105</v>
      </c>
      <c r="H282" t="s">
        <v>42</v>
      </c>
      <c r="I282" t="s">
        <v>59</v>
      </c>
      <c r="J282" t="s">
        <v>149</v>
      </c>
      <c r="K282" t="s">
        <v>2637</v>
      </c>
      <c r="L282" t="s">
        <v>44</v>
      </c>
      <c r="M282">
        <v>20</v>
      </c>
      <c r="N282" t="s">
        <v>1374</v>
      </c>
      <c r="O282" t="b">
        <v>0</v>
      </c>
      <c r="P282" t="b">
        <v>0</v>
      </c>
      <c r="Q282" t="b">
        <v>0</v>
      </c>
      <c r="R282" t="b">
        <v>1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s">
        <v>6963</v>
      </c>
      <c r="AC282" t="s">
        <v>8813</v>
      </c>
    </row>
    <row r="283" spans="1:29" x14ac:dyDescent="0.3">
      <c r="A283">
        <v>-73.970533090000004</v>
      </c>
      <c r="B283">
        <v>40.789642950000001</v>
      </c>
      <c r="C283" t="s">
        <v>104</v>
      </c>
      <c r="D283" t="s">
        <v>33</v>
      </c>
      <c r="E283" s="58">
        <v>43379</v>
      </c>
      <c r="F283">
        <v>8</v>
      </c>
      <c r="G283" t="s">
        <v>48</v>
      </c>
      <c r="H283" t="s">
        <v>42</v>
      </c>
      <c r="I283" t="s">
        <v>53</v>
      </c>
      <c r="J283" t="s">
        <v>97</v>
      </c>
      <c r="K283" t="s">
        <v>7370</v>
      </c>
      <c r="L283" t="s">
        <v>65</v>
      </c>
      <c r="M283" t="b">
        <v>0</v>
      </c>
      <c r="N283" t="s">
        <v>456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1</v>
      </c>
      <c r="Y283" t="b">
        <v>0</v>
      </c>
      <c r="Z283" t="b">
        <v>1</v>
      </c>
      <c r="AA283" t="b">
        <v>0</v>
      </c>
      <c r="AB283" t="s">
        <v>2402</v>
      </c>
      <c r="AC283" t="s">
        <v>8814</v>
      </c>
    </row>
    <row r="284" spans="1:29" x14ac:dyDescent="0.3">
      <c r="A284">
        <v>-73.969351450000005</v>
      </c>
      <c r="B284">
        <v>40.784614699999999</v>
      </c>
      <c r="C284" t="s">
        <v>1141</v>
      </c>
      <c r="D284" t="s">
        <v>38</v>
      </c>
      <c r="E284" s="58">
        <v>43390</v>
      </c>
      <c r="F284">
        <v>29</v>
      </c>
      <c r="G284" t="s">
        <v>48</v>
      </c>
      <c r="H284" t="s">
        <v>42</v>
      </c>
      <c r="I284" t="s">
        <v>59</v>
      </c>
      <c r="J284" t="s">
        <v>89</v>
      </c>
      <c r="K284" t="s">
        <v>4572</v>
      </c>
      <c r="L284" t="s">
        <v>65</v>
      </c>
      <c r="M284" t="b">
        <v>0</v>
      </c>
      <c r="N284" t="s">
        <v>3176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1</v>
      </c>
      <c r="Y284" t="b">
        <v>0</v>
      </c>
      <c r="Z284" t="b">
        <v>0</v>
      </c>
      <c r="AA284" t="b">
        <v>0</v>
      </c>
      <c r="AB284" t="s">
        <v>5392</v>
      </c>
      <c r="AC284" t="s">
        <v>8815</v>
      </c>
    </row>
    <row r="285" spans="1:29" x14ac:dyDescent="0.3">
      <c r="A285">
        <v>-73.978204090000006</v>
      </c>
      <c r="B285">
        <v>40.765254679999998</v>
      </c>
      <c r="C285" t="s">
        <v>92</v>
      </c>
      <c r="D285" t="s">
        <v>38</v>
      </c>
      <c r="E285" s="58">
        <v>43381</v>
      </c>
      <c r="F285">
        <v>30</v>
      </c>
      <c r="G285" t="s">
        <v>48</v>
      </c>
      <c r="H285" t="s">
        <v>176</v>
      </c>
      <c r="I285" t="s">
        <v>59</v>
      </c>
      <c r="J285" t="s">
        <v>43</v>
      </c>
      <c r="K285" t="s">
        <v>6109</v>
      </c>
      <c r="L285" t="s">
        <v>44</v>
      </c>
      <c r="M285">
        <v>4</v>
      </c>
      <c r="N285" t="s">
        <v>5283</v>
      </c>
      <c r="O285" t="b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s">
        <v>4974</v>
      </c>
      <c r="AC285" t="s">
        <v>8816</v>
      </c>
    </row>
    <row r="286" spans="1:29" x14ac:dyDescent="0.3">
      <c r="A286">
        <v>-73.962979300000001</v>
      </c>
      <c r="B286">
        <v>40.776404669999998</v>
      </c>
      <c r="C286" t="s">
        <v>1326</v>
      </c>
      <c r="D286" t="s">
        <v>33</v>
      </c>
      <c r="E286" s="58">
        <v>43392</v>
      </c>
      <c r="F286">
        <v>20</v>
      </c>
      <c r="G286" t="s">
        <v>48</v>
      </c>
      <c r="H286" t="s">
        <v>42</v>
      </c>
      <c r="I286" t="s">
        <v>96</v>
      </c>
      <c r="J286" t="s">
        <v>54</v>
      </c>
      <c r="K286" t="s">
        <v>3471</v>
      </c>
      <c r="L286" t="s">
        <v>65</v>
      </c>
      <c r="M286" t="b">
        <v>0</v>
      </c>
      <c r="N286" t="s">
        <v>2951</v>
      </c>
      <c r="O286" t="b">
        <v>1</v>
      </c>
      <c r="P286" t="b">
        <v>0</v>
      </c>
      <c r="Q286" t="b">
        <v>0</v>
      </c>
      <c r="R286" t="b">
        <v>1</v>
      </c>
      <c r="S286" t="b">
        <v>1</v>
      </c>
      <c r="T286" t="b">
        <v>0</v>
      </c>
      <c r="U286" t="b">
        <v>0</v>
      </c>
      <c r="V286" t="b">
        <v>0</v>
      </c>
      <c r="W286" t="b">
        <v>0</v>
      </c>
      <c r="X286" t="b">
        <v>1</v>
      </c>
      <c r="Y286" t="b">
        <v>0</v>
      </c>
      <c r="Z286" t="b">
        <v>1</v>
      </c>
      <c r="AA286" t="b">
        <v>0</v>
      </c>
      <c r="AB286" t="s">
        <v>1390</v>
      </c>
      <c r="AC286" t="s">
        <v>8817</v>
      </c>
    </row>
    <row r="287" spans="1:29" x14ac:dyDescent="0.3">
      <c r="A287">
        <v>-73.980028669999996</v>
      </c>
      <c r="B287">
        <v>40.783138180000002</v>
      </c>
      <c r="C287" t="s">
        <v>689</v>
      </c>
      <c r="D287" t="s">
        <v>33</v>
      </c>
      <c r="E287" s="58">
        <v>43384</v>
      </c>
      <c r="F287">
        <v>17</v>
      </c>
      <c r="G287" t="s">
        <v>48</v>
      </c>
      <c r="H287" t="s">
        <v>42</v>
      </c>
      <c r="I287" t="s">
        <v>115</v>
      </c>
      <c r="J287" t="s">
        <v>79</v>
      </c>
      <c r="K287" t="s">
        <v>5971</v>
      </c>
      <c r="L287" t="s">
        <v>65</v>
      </c>
      <c r="M287" t="b">
        <v>0</v>
      </c>
      <c r="N287" t="s">
        <v>190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s">
        <v>1222</v>
      </c>
      <c r="AC287" t="s">
        <v>8818</v>
      </c>
    </row>
    <row r="288" spans="1:29" x14ac:dyDescent="0.3">
      <c r="A288">
        <v>-73.966521659999998</v>
      </c>
      <c r="B288">
        <v>40.768004259999998</v>
      </c>
      <c r="C288" t="s">
        <v>1652</v>
      </c>
      <c r="D288" t="s">
        <v>33</v>
      </c>
      <c r="E288" s="58">
        <v>43392</v>
      </c>
      <c r="F288">
        <v>13</v>
      </c>
      <c r="G288" t="s">
        <v>48</v>
      </c>
      <c r="H288" t="s">
        <v>42</v>
      </c>
      <c r="I288" t="s">
        <v>53</v>
      </c>
      <c r="J288" t="s">
        <v>89</v>
      </c>
      <c r="K288" t="s">
        <v>1896</v>
      </c>
      <c r="L288" t="s">
        <v>65</v>
      </c>
      <c r="M288" t="b">
        <v>0</v>
      </c>
      <c r="N288" t="s">
        <v>140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s">
        <v>2131</v>
      </c>
      <c r="AC288" t="s">
        <v>8819</v>
      </c>
    </row>
    <row r="289" spans="1:29" x14ac:dyDescent="0.3">
      <c r="A289">
        <v>-73.964099559999994</v>
      </c>
      <c r="B289">
        <v>40.777255490000002</v>
      </c>
      <c r="C289" t="s">
        <v>439</v>
      </c>
      <c r="D289" t="s">
        <v>38</v>
      </c>
      <c r="E289" s="58">
        <v>43385</v>
      </c>
      <c r="F289">
        <v>1</v>
      </c>
      <c r="G289" t="s">
        <v>105</v>
      </c>
      <c r="H289" t="s">
        <v>42</v>
      </c>
      <c r="I289" t="s">
        <v>53</v>
      </c>
      <c r="J289" t="s">
        <v>43</v>
      </c>
      <c r="K289" t="s">
        <v>3152</v>
      </c>
      <c r="L289" t="s">
        <v>65</v>
      </c>
      <c r="M289" t="b">
        <v>0</v>
      </c>
      <c r="N289" t="s">
        <v>190</v>
      </c>
      <c r="O289" t="b">
        <v>0</v>
      </c>
      <c r="P289" t="b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1</v>
      </c>
      <c r="Y289" t="b">
        <v>0</v>
      </c>
      <c r="Z289" t="b">
        <v>1</v>
      </c>
      <c r="AA289" t="b">
        <v>0</v>
      </c>
      <c r="AB289" t="s">
        <v>6346</v>
      </c>
      <c r="AC289" t="s">
        <v>8820</v>
      </c>
    </row>
    <row r="290" spans="1:29" x14ac:dyDescent="0.3">
      <c r="A290">
        <v>-73.972150639999995</v>
      </c>
      <c r="B290">
        <v>40.766079679999997</v>
      </c>
      <c r="C290" t="s">
        <v>1320</v>
      </c>
      <c r="D290" t="s">
        <v>38</v>
      </c>
      <c r="E290" s="58">
        <v>43386</v>
      </c>
      <c r="F290">
        <v>2</v>
      </c>
      <c r="G290" t="s">
        <v>48</v>
      </c>
      <c r="H290" t="s">
        <v>42</v>
      </c>
      <c r="I290" t="s">
        <v>59</v>
      </c>
      <c r="J290" t="s">
        <v>60</v>
      </c>
      <c r="K290" t="s">
        <v>6214</v>
      </c>
      <c r="L290" t="s">
        <v>65</v>
      </c>
      <c r="M290" t="b">
        <v>0</v>
      </c>
      <c r="N290" t="s">
        <v>1263</v>
      </c>
      <c r="O290" t="b">
        <v>1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1</v>
      </c>
      <c r="AA290" t="b">
        <v>0</v>
      </c>
      <c r="AB290" t="s">
        <v>5750</v>
      </c>
      <c r="AC290" t="s">
        <v>8821</v>
      </c>
    </row>
    <row r="291" spans="1:29" x14ac:dyDescent="0.3">
      <c r="A291">
        <v>-73.962584669999998</v>
      </c>
      <c r="B291">
        <v>40.767677249999998</v>
      </c>
      <c r="C291" t="s">
        <v>235</v>
      </c>
      <c r="D291" t="s">
        <v>33</v>
      </c>
      <c r="E291" s="58">
        <v>43391</v>
      </c>
      <c r="F291">
        <v>30</v>
      </c>
      <c r="G291" t="s">
        <v>48</v>
      </c>
      <c r="H291" t="s">
        <v>42</v>
      </c>
      <c r="I291" t="s">
        <v>59</v>
      </c>
      <c r="J291" t="s">
        <v>79</v>
      </c>
      <c r="K291" t="s">
        <v>5957</v>
      </c>
      <c r="L291" t="s">
        <v>44</v>
      </c>
      <c r="M291">
        <v>25</v>
      </c>
      <c r="N291" t="s">
        <v>3957</v>
      </c>
      <c r="O291" t="b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1</v>
      </c>
      <c r="Y291" t="b">
        <v>0</v>
      </c>
      <c r="Z291" t="b">
        <v>1</v>
      </c>
      <c r="AA291" t="b">
        <v>0</v>
      </c>
      <c r="AB291" t="s">
        <v>121</v>
      </c>
      <c r="AC291" t="s">
        <v>8822</v>
      </c>
    </row>
    <row r="292" spans="1:29" x14ac:dyDescent="0.3">
      <c r="A292">
        <v>-73.980199749999997</v>
      </c>
      <c r="B292">
        <v>40.77888548</v>
      </c>
      <c r="C292" t="s">
        <v>785</v>
      </c>
      <c r="D292" t="s">
        <v>33</v>
      </c>
      <c r="E292" s="58">
        <v>43389</v>
      </c>
      <c r="F292">
        <v>15</v>
      </c>
      <c r="G292" t="s">
        <v>48</v>
      </c>
      <c r="H292" t="s">
        <v>53</v>
      </c>
      <c r="I292" t="s">
        <v>53</v>
      </c>
      <c r="J292" t="s">
        <v>43</v>
      </c>
      <c r="K292" t="s">
        <v>1012</v>
      </c>
      <c r="L292" t="s">
        <v>65</v>
      </c>
      <c r="M292" t="b">
        <v>0</v>
      </c>
      <c r="N292" t="s">
        <v>456</v>
      </c>
      <c r="O292" t="b">
        <v>1</v>
      </c>
      <c r="P292" t="b">
        <v>0</v>
      </c>
      <c r="Q292" t="b">
        <v>0</v>
      </c>
      <c r="R292" t="b">
        <v>0</v>
      </c>
      <c r="S292" t="b">
        <v>1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1</v>
      </c>
      <c r="AB292" t="s">
        <v>3061</v>
      </c>
      <c r="AC292" t="s">
        <v>8823</v>
      </c>
    </row>
    <row r="293" spans="1:29" x14ac:dyDescent="0.3">
      <c r="A293">
        <v>-73.979984470000005</v>
      </c>
      <c r="B293">
        <v>40.769583300000001</v>
      </c>
      <c r="C293" t="s">
        <v>855</v>
      </c>
      <c r="D293" t="s">
        <v>38</v>
      </c>
      <c r="E293" s="58">
        <v>43382</v>
      </c>
      <c r="F293">
        <v>12</v>
      </c>
      <c r="G293" t="s">
        <v>48</v>
      </c>
      <c r="H293" t="s">
        <v>176</v>
      </c>
      <c r="I293" t="s">
        <v>96</v>
      </c>
      <c r="J293" t="s">
        <v>54</v>
      </c>
      <c r="K293" t="s">
        <v>5038</v>
      </c>
      <c r="L293" t="s">
        <v>65</v>
      </c>
      <c r="M293" t="b">
        <v>0</v>
      </c>
      <c r="N293" t="s">
        <v>5022</v>
      </c>
      <c r="O293" t="b">
        <v>1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1</v>
      </c>
      <c r="AA293" t="b">
        <v>1</v>
      </c>
      <c r="AB293" t="s">
        <v>5988</v>
      </c>
      <c r="AC293" t="s">
        <v>8824</v>
      </c>
    </row>
    <row r="294" spans="1:29" x14ac:dyDescent="0.3">
      <c r="A294">
        <v>-73.955298639999995</v>
      </c>
      <c r="B294">
        <v>40.784892560000003</v>
      </c>
      <c r="C294" t="s">
        <v>534</v>
      </c>
      <c r="D294" t="s">
        <v>33</v>
      </c>
      <c r="E294" s="58">
        <v>43381</v>
      </c>
      <c r="F294">
        <v>14</v>
      </c>
      <c r="G294" t="s">
        <v>48</v>
      </c>
      <c r="H294" t="s">
        <v>42</v>
      </c>
      <c r="I294" t="s">
        <v>148</v>
      </c>
      <c r="J294" t="s">
        <v>43</v>
      </c>
      <c r="K294" t="s">
        <v>5682</v>
      </c>
      <c r="L294" t="s">
        <v>44</v>
      </c>
      <c r="M294">
        <v>15</v>
      </c>
      <c r="N294" t="s">
        <v>1064</v>
      </c>
      <c r="O294" t="b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b">
        <v>0</v>
      </c>
      <c r="W294" t="b">
        <v>0</v>
      </c>
      <c r="X294" t="b">
        <v>1</v>
      </c>
      <c r="Y294" t="b">
        <v>0</v>
      </c>
      <c r="Z294" t="b">
        <v>1</v>
      </c>
      <c r="AA294" t="b">
        <v>1</v>
      </c>
      <c r="AB294" t="s">
        <v>511</v>
      </c>
      <c r="AC294" t="s">
        <v>8825</v>
      </c>
    </row>
    <row r="295" spans="1:29" x14ac:dyDescent="0.3">
      <c r="A295">
        <v>-73.969835329999995</v>
      </c>
      <c r="B295">
        <v>40.789185250000003</v>
      </c>
      <c r="C295" t="s">
        <v>483</v>
      </c>
      <c r="D295" t="s">
        <v>33</v>
      </c>
      <c r="E295" s="58">
        <v>43383</v>
      </c>
      <c r="F295">
        <v>25</v>
      </c>
      <c r="G295" t="s">
        <v>105</v>
      </c>
      <c r="H295" t="s">
        <v>42</v>
      </c>
      <c r="I295" t="s">
        <v>115</v>
      </c>
      <c r="J295" t="s">
        <v>54</v>
      </c>
      <c r="K295" t="s">
        <v>1666</v>
      </c>
      <c r="L295" t="s">
        <v>65</v>
      </c>
      <c r="M295" t="b">
        <v>0</v>
      </c>
      <c r="N295" t="s">
        <v>2988</v>
      </c>
      <c r="O295" t="b">
        <v>1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s">
        <v>2870</v>
      </c>
      <c r="AC295" t="s">
        <v>8826</v>
      </c>
    </row>
    <row r="296" spans="1:29" x14ac:dyDescent="0.3">
      <c r="A296">
        <v>-73.977164200000004</v>
      </c>
      <c r="B296">
        <v>40.793097600000003</v>
      </c>
      <c r="C296" t="s">
        <v>729</v>
      </c>
      <c r="D296" t="s">
        <v>38</v>
      </c>
      <c r="E296" s="58">
        <v>43387</v>
      </c>
      <c r="F296">
        <v>29</v>
      </c>
      <c r="G296" t="s">
        <v>48</v>
      </c>
      <c r="H296" t="s">
        <v>53</v>
      </c>
      <c r="I296" t="s">
        <v>53</v>
      </c>
      <c r="J296" t="s">
        <v>43</v>
      </c>
      <c r="K296" t="s">
        <v>5971</v>
      </c>
      <c r="L296" t="s">
        <v>65</v>
      </c>
      <c r="M296" t="b">
        <v>0</v>
      </c>
      <c r="N296" t="s">
        <v>6838</v>
      </c>
      <c r="O296" t="b">
        <v>1</v>
      </c>
      <c r="P296" t="b">
        <v>0</v>
      </c>
      <c r="Q296" t="b">
        <v>0</v>
      </c>
      <c r="R296" t="b">
        <v>1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1</v>
      </c>
      <c r="AA296" t="b">
        <v>0</v>
      </c>
      <c r="AB296" t="s">
        <v>2552</v>
      </c>
      <c r="AC296" t="s">
        <v>8827</v>
      </c>
    </row>
    <row r="297" spans="1:29" x14ac:dyDescent="0.3">
      <c r="A297">
        <v>-73.964740919999997</v>
      </c>
      <c r="B297">
        <v>40.771957530000002</v>
      </c>
      <c r="C297" t="s">
        <v>729</v>
      </c>
      <c r="D297" t="s">
        <v>33</v>
      </c>
      <c r="E297" s="58">
        <v>43391</v>
      </c>
      <c r="F297">
        <v>2</v>
      </c>
      <c r="G297" t="s">
        <v>48</v>
      </c>
      <c r="H297" t="s">
        <v>42</v>
      </c>
      <c r="I297" t="s">
        <v>42</v>
      </c>
      <c r="J297" t="s">
        <v>43</v>
      </c>
      <c r="K297" t="s">
        <v>3942</v>
      </c>
      <c r="L297" t="s">
        <v>65</v>
      </c>
      <c r="M297" t="b">
        <v>0</v>
      </c>
      <c r="N297" t="s">
        <v>190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s">
        <v>2668</v>
      </c>
      <c r="AC297" t="s">
        <v>8828</v>
      </c>
    </row>
    <row r="298" spans="1:29" x14ac:dyDescent="0.3">
      <c r="A298">
        <v>-73.956952439999995</v>
      </c>
      <c r="B298">
        <v>40.77080737</v>
      </c>
      <c r="C298" t="s">
        <v>204</v>
      </c>
      <c r="D298" t="s">
        <v>38</v>
      </c>
      <c r="E298" s="58">
        <v>43384</v>
      </c>
      <c r="F298">
        <v>18</v>
      </c>
      <c r="G298" t="s">
        <v>48</v>
      </c>
      <c r="H298" t="s">
        <v>42</v>
      </c>
      <c r="I298" t="s">
        <v>96</v>
      </c>
      <c r="J298" t="s">
        <v>89</v>
      </c>
      <c r="K298" t="s">
        <v>2136</v>
      </c>
      <c r="L298" t="s">
        <v>44</v>
      </c>
      <c r="M298">
        <v>3</v>
      </c>
      <c r="N298" t="s">
        <v>6196</v>
      </c>
      <c r="O298" t="b">
        <v>1</v>
      </c>
      <c r="P298" t="b">
        <v>0</v>
      </c>
      <c r="Q298" t="b">
        <v>1</v>
      </c>
      <c r="R298" t="b">
        <v>0</v>
      </c>
      <c r="S298" t="b">
        <v>1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1</v>
      </c>
      <c r="AA298" t="b">
        <v>0</v>
      </c>
      <c r="AB298" t="s">
        <v>5110</v>
      </c>
      <c r="AC298" t="s">
        <v>8829</v>
      </c>
    </row>
    <row r="299" spans="1:29" x14ac:dyDescent="0.3">
      <c r="A299">
        <v>-73.97437386</v>
      </c>
      <c r="B299">
        <v>40.76859228</v>
      </c>
      <c r="C299" t="s">
        <v>851</v>
      </c>
      <c r="D299" t="s">
        <v>33</v>
      </c>
      <c r="E299" s="58">
        <v>43393</v>
      </c>
      <c r="F299">
        <v>22</v>
      </c>
      <c r="G299" t="s">
        <v>48</v>
      </c>
      <c r="H299" t="s">
        <v>42</v>
      </c>
      <c r="I299" t="s">
        <v>59</v>
      </c>
      <c r="J299" t="s">
        <v>43</v>
      </c>
      <c r="K299" t="s">
        <v>5649</v>
      </c>
      <c r="L299" t="s">
        <v>44</v>
      </c>
      <c r="M299">
        <v>2</v>
      </c>
      <c r="N299" t="s">
        <v>456</v>
      </c>
      <c r="O299" t="b">
        <v>0</v>
      </c>
      <c r="P299" t="b">
        <v>0</v>
      </c>
      <c r="Q299" t="b">
        <v>0</v>
      </c>
      <c r="R299" t="b">
        <v>1</v>
      </c>
      <c r="S299" t="b">
        <v>1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s">
        <v>101</v>
      </c>
      <c r="AC299" t="s">
        <v>8830</v>
      </c>
    </row>
    <row r="300" spans="1:29" x14ac:dyDescent="0.3">
      <c r="A300">
        <v>-73.961576890000003</v>
      </c>
      <c r="B300">
        <v>40.78731801</v>
      </c>
      <c r="C300" t="s">
        <v>600</v>
      </c>
      <c r="D300" t="s">
        <v>33</v>
      </c>
      <c r="E300" s="58">
        <v>43387</v>
      </c>
      <c r="F300">
        <v>7</v>
      </c>
      <c r="G300" t="s">
        <v>48</v>
      </c>
      <c r="H300" t="s">
        <v>42</v>
      </c>
      <c r="I300" t="s">
        <v>59</v>
      </c>
      <c r="J300" t="s">
        <v>43</v>
      </c>
      <c r="K300" t="s">
        <v>672</v>
      </c>
      <c r="L300" t="s">
        <v>44</v>
      </c>
      <c r="M300">
        <v>20</v>
      </c>
      <c r="N300" t="s">
        <v>1689</v>
      </c>
      <c r="O300" t="b">
        <v>1</v>
      </c>
      <c r="P300" t="b">
        <v>0</v>
      </c>
      <c r="Q300" t="b">
        <v>0</v>
      </c>
      <c r="R300" t="b">
        <v>0</v>
      </c>
      <c r="S300" t="b">
        <v>1</v>
      </c>
      <c r="T300" t="b">
        <v>0</v>
      </c>
      <c r="U300" t="b">
        <v>0</v>
      </c>
      <c r="V300" t="b">
        <v>0</v>
      </c>
      <c r="W300" t="b">
        <v>0</v>
      </c>
      <c r="X300" t="b">
        <v>1</v>
      </c>
      <c r="Y300" t="b">
        <v>0</v>
      </c>
      <c r="Z300" t="b">
        <v>1</v>
      </c>
      <c r="AA300" t="b">
        <v>1</v>
      </c>
      <c r="AB300" t="s">
        <v>2338</v>
      </c>
      <c r="AC300" t="s">
        <v>8831</v>
      </c>
    </row>
    <row r="301" spans="1:29" x14ac:dyDescent="0.3">
      <c r="A301">
        <v>-73.978475529999997</v>
      </c>
      <c r="B301">
        <v>40.789784160000004</v>
      </c>
      <c r="C301" t="s">
        <v>936</v>
      </c>
      <c r="D301" t="s">
        <v>38</v>
      </c>
      <c r="E301" s="58">
        <v>43393</v>
      </c>
      <c r="F301">
        <v>29</v>
      </c>
      <c r="G301" t="s">
        <v>48</v>
      </c>
      <c r="H301" t="s">
        <v>42</v>
      </c>
      <c r="I301" t="s">
        <v>42</v>
      </c>
      <c r="J301" t="s">
        <v>54</v>
      </c>
      <c r="K301" t="s">
        <v>5957</v>
      </c>
      <c r="L301" t="s">
        <v>44</v>
      </c>
      <c r="M301">
        <v>15</v>
      </c>
      <c r="N301" t="s">
        <v>5262</v>
      </c>
      <c r="O301" t="b">
        <v>0</v>
      </c>
      <c r="P301" t="b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1</v>
      </c>
      <c r="AA301" t="b">
        <v>0</v>
      </c>
      <c r="AB301" t="s">
        <v>3519</v>
      </c>
      <c r="AC301" t="s">
        <v>8832</v>
      </c>
    </row>
    <row r="302" spans="1:29" x14ac:dyDescent="0.3">
      <c r="A302">
        <v>-73.979533869999997</v>
      </c>
      <c r="B302">
        <v>40.766022749999998</v>
      </c>
      <c r="C302" t="s">
        <v>963</v>
      </c>
      <c r="D302" t="s">
        <v>33</v>
      </c>
      <c r="E302" s="58">
        <v>43384</v>
      </c>
      <c r="F302">
        <v>23</v>
      </c>
      <c r="G302" t="s">
        <v>48</v>
      </c>
      <c r="H302" t="s">
        <v>42</v>
      </c>
      <c r="I302" t="s">
        <v>59</v>
      </c>
      <c r="J302" t="s">
        <v>54</v>
      </c>
      <c r="K302" t="s">
        <v>1005</v>
      </c>
      <c r="L302" t="s">
        <v>65</v>
      </c>
      <c r="M302" t="b">
        <v>0</v>
      </c>
      <c r="N302" t="s">
        <v>6256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1</v>
      </c>
      <c r="AA302" t="b">
        <v>0</v>
      </c>
      <c r="AB302" t="s">
        <v>3483</v>
      </c>
      <c r="AC302" t="s">
        <v>8833</v>
      </c>
    </row>
    <row r="303" spans="1:29" x14ac:dyDescent="0.3">
      <c r="A303">
        <v>-73.964454480000001</v>
      </c>
      <c r="B303">
        <v>40.797872689999998</v>
      </c>
      <c r="C303" t="s">
        <v>2573</v>
      </c>
      <c r="D303" t="s">
        <v>38</v>
      </c>
      <c r="E303" s="58">
        <v>43380</v>
      </c>
      <c r="F303">
        <v>29</v>
      </c>
      <c r="G303" t="s">
        <v>105</v>
      </c>
      <c r="H303" t="s">
        <v>42</v>
      </c>
      <c r="I303" t="s">
        <v>53</v>
      </c>
      <c r="J303" t="s">
        <v>97</v>
      </c>
      <c r="K303" t="s">
        <v>1843</v>
      </c>
      <c r="L303" t="s">
        <v>65</v>
      </c>
      <c r="M303" t="b">
        <v>0</v>
      </c>
      <c r="N303" t="s">
        <v>332</v>
      </c>
      <c r="O303" t="b">
        <v>0</v>
      </c>
      <c r="P303" t="b">
        <v>0</v>
      </c>
      <c r="Q303" t="b">
        <v>0</v>
      </c>
      <c r="R303" t="b">
        <v>0</v>
      </c>
      <c r="S303" t="b">
        <v>1</v>
      </c>
      <c r="T303" t="b">
        <v>0</v>
      </c>
      <c r="U303" t="b">
        <v>0</v>
      </c>
      <c r="V303" t="b">
        <v>0</v>
      </c>
      <c r="W303" t="b">
        <v>0</v>
      </c>
      <c r="X303" t="b">
        <v>1</v>
      </c>
      <c r="Y303" t="b">
        <v>0</v>
      </c>
      <c r="Z303" t="b">
        <v>0</v>
      </c>
      <c r="AA303" t="b">
        <v>0</v>
      </c>
      <c r="AB303" t="s">
        <v>2920</v>
      </c>
      <c r="AC303" t="s">
        <v>8834</v>
      </c>
    </row>
    <row r="304" spans="1:29" x14ac:dyDescent="0.3">
      <c r="A304">
        <v>-73.964162740000006</v>
      </c>
      <c r="B304">
        <v>40.766740460000001</v>
      </c>
      <c r="C304" t="s">
        <v>423</v>
      </c>
      <c r="D304" t="s">
        <v>38</v>
      </c>
      <c r="E304" s="58">
        <v>43391</v>
      </c>
      <c r="F304">
        <v>25</v>
      </c>
      <c r="G304" t="s">
        <v>48</v>
      </c>
      <c r="H304" t="s">
        <v>42</v>
      </c>
      <c r="I304" t="s">
        <v>59</v>
      </c>
      <c r="J304" t="s">
        <v>54</v>
      </c>
      <c r="K304" t="s">
        <v>2282</v>
      </c>
      <c r="L304" t="s">
        <v>44</v>
      </c>
      <c r="M304">
        <v>2</v>
      </c>
      <c r="N304" t="s">
        <v>1702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1</v>
      </c>
      <c r="X304" t="b">
        <v>0</v>
      </c>
      <c r="Y304" t="b">
        <v>0</v>
      </c>
      <c r="Z304" t="b">
        <v>1</v>
      </c>
      <c r="AA304" t="b">
        <v>1</v>
      </c>
      <c r="AB304" t="s">
        <v>1046</v>
      </c>
      <c r="AC304" t="s">
        <v>8835</v>
      </c>
    </row>
    <row r="305" spans="1:29" x14ac:dyDescent="0.3">
      <c r="A305">
        <v>-73.961119819999993</v>
      </c>
      <c r="B305">
        <v>40.783968549999997</v>
      </c>
      <c r="C305" t="s">
        <v>82</v>
      </c>
      <c r="D305" t="s">
        <v>33</v>
      </c>
      <c r="E305" s="58">
        <v>43383</v>
      </c>
      <c r="F305">
        <v>6</v>
      </c>
      <c r="G305" t="s">
        <v>48</v>
      </c>
      <c r="H305" t="s">
        <v>42</v>
      </c>
      <c r="I305" t="s">
        <v>59</v>
      </c>
      <c r="J305" t="s">
        <v>97</v>
      </c>
      <c r="K305" t="s">
        <v>5323</v>
      </c>
      <c r="L305" t="s">
        <v>65</v>
      </c>
      <c r="M305" t="b">
        <v>0</v>
      </c>
      <c r="N305" t="s">
        <v>3176</v>
      </c>
      <c r="O305" t="b">
        <v>1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1</v>
      </c>
      <c r="Z305" t="b">
        <v>0</v>
      </c>
      <c r="AA305" t="b">
        <v>0</v>
      </c>
      <c r="AB305" t="s">
        <v>1293</v>
      </c>
      <c r="AC305" t="s">
        <v>8836</v>
      </c>
    </row>
    <row r="306" spans="1:29" x14ac:dyDescent="0.3">
      <c r="A306">
        <v>-73.958332580000004</v>
      </c>
      <c r="B306">
        <v>40.789875160000001</v>
      </c>
      <c r="C306" t="s">
        <v>761</v>
      </c>
      <c r="D306" t="s">
        <v>33</v>
      </c>
      <c r="E306" s="58">
        <v>43390</v>
      </c>
      <c r="F306">
        <v>14</v>
      </c>
      <c r="G306" t="s">
        <v>48</v>
      </c>
      <c r="H306" t="s">
        <v>42</v>
      </c>
      <c r="I306" t="s">
        <v>53</v>
      </c>
      <c r="J306" t="s">
        <v>79</v>
      </c>
      <c r="K306" t="s">
        <v>5168</v>
      </c>
      <c r="L306" t="s">
        <v>65</v>
      </c>
      <c r="M306" t="b">
        <v>0</v>
      </c>
      <c r="N306" t="s">
        <v>4948</v>
      </c>
      <c r="O306" t="b">
        <v>1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s">
        <v>2916</v>
      </c>
      <c r="AC306" t="s">
        <v>8837</v>
      </c>
    </row>
    <row r="307" spans="1:29" x14ac:dyDescent="0.3">
      <c r="A307">
        <v>-73.950480900000002</v>
      </c>
      <c r="B307">
        <v>40.795575620000001</v>
      </c>
      <c r="C307" t="s">
        <v>41</v>
      </c>
      <c r="D307" t="s">
        <v>33</v>
      </c>
      <c r="E307" s="58">
        <v>43389</v>
      </c>
      <c r="F307">
        <v>8</v>
      </c>
      <c r="G307" t="s">
        <v>48</v>
      </c>
      <c r="H307" t="s">
        <v>42</v>
      </c>
      <c r="I307" t="s">
        <v>42</v>
      </c>
      <c r="J307" t="s">
        <v>43</v>
      </c>
      <c r="K307" t="s">
        <v>2943</v>
      </c>
      <c r="L307" t="s">
        <v>65</v>
      </c>
      <c r="M307" t="b">
        <v>0</v>
      </c>
      <c r="N307" t="s">
        <v>456</v>
      </c>
      <c r="O307" t="b">
        <v>0</v>
      </c>
      <c r="P307" t="b">
        <v>0</v>
      </c>
      <c r="Q307" t="b">
        <v>0</v>
      </c>
      <c r="R307" t="b">
        <v>0</v>
      </c>
      <c r="S307" t="b">
        <v>1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s">
        <v>3573</v>
      </c>
      <c r="AC307" t="s">
        <v>8838</v>
      </c>
    </row>
    <row r="308" spans="1:29" x14ac:dyDescent="0.3">
      <c r="A308">
        <v>-73.964927739999993</v>
      </c>
      <c r="B308">
        <v>40.790052129999999</v>
      </c>
      <c r="C308" t="s">
        <v>85</v>
      </c>
      <c r="D308" t="s">
        <v>33</v>
      </c>
      <c r="E308" s="58">
        <v>43387</v>
      </c>
      <c r="F308">
        <v>27</v>
      </c>
      <c r="G308" t="s">
        <v>48</v>
      </c>
      <c r="H308" t="s">
        <v>42</v>
      </c>
      <c r="I308" t="s">
        <v>59</v>
      </c>
      <c r="J308" t="s">
        <v>43</v>
      </c>
      <c r="K308" t="s">
        <v>4939</v>
      </c>
      <c r="L308" t="s">
        <v>65</v>
      </c>
      <c r="M308" t="b">
        <v>0</v>
      </c>
      <c r="N308" t="s">
        <v>4541</v>
      </c>
      <c r="O308" t="b">
        <v>0</v>
      </c>
      <c r="P308" t="b">
        <v>1</v>
      </c>
      <c r="Q308" t="b">
        <v>1</v>
      </c>
      <c r="R308" t="b">
        <v>1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1</v>
      </c>
      <c r="AA308" t="b">
        <v>1</v>
      </c>
      <c r="AB308" t="s">
        <v>3173</v>
      </c>
      <c r="AC308" t="s">
        <v>8839</v>
      </c>
    </row>
    <row r="309" spans="1:29" x14ac:dyDescent="0.3">
      <c r="A309">
        <v>-73.971005860000005</v>
      </c>
      <c r="B309">
        <v>40.793137790000003</v>
      </c>
      <c r="C309" t="s">
        <v>835</v>
      </c>
      <c r="D309" t="s">
        <v>33</v>
      </c>
      <c r="E309" s="58">
        <v>43386</v>
      </c>
      <c r="F309">
        <v>22</v>
      </c>
      <c r="G309" t="s">
        <v>48</v>
      </c>
      <c r="H309" t="s">
        <v>42</v>
      </c>
      <c r="I309" t="s">
        <v>59</v>
      </c>
      <c r="J309" t="s">
        <v>54</v>
      </c>
      <c r="K309" t="s">
        <v>4308</v>
      </c>
      <c r="L309" t="s">
        <v>44</v>
      </c>
      <c r="M309">
        <v>5</v>
      </c>
      <c r="N309" t="s">
        <v>5488</v>
      </c>
      <c r="O309" t="b">
        <v>1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1</v>
      </c>
      <c r="X309" t="b">
        <v>1</v>
      </c>
      <c r="Y309" t="b">
        <v>0</v>
      </c>
      <c r="Z309" t="b">
        <v>0</v>
      </c>
      <c r="AA309" t="b">
        <v>0</v>
      </c>
      <c r="AB309" t="s">
        <v>2392</v>
      </c>
      <c r="AC309" t="s">
        <v>8840</v>
      </c>
    </row>
    <row r="310" spans="1:29" x14ac:dyDescent="0.3">
      <c r="A310">
        <v>-73.956160460000007</v>
      </c>
      <c r="B310">
        <v>40.77686198</v>
      </c>
      <c r="C310" t="s">
        <v>646</v>
      </c>
      <c r="D310" t="s">
        <v>33</v>
      </c>
      <c r="E310" s="58">
        <v>43385</v>
      </c>
      <c r="F310">
        <v>2</v>
      </c>
      <c r="G310" t="s">
        <v>48</v>
      </c>
      <c r="H310" t="s">
        <v>53</v>
      </c>
      <c r="I310" t="s">
        <v>53</v>
      </c>
      <c r="J310" t="s">
        <v>54</v>
      </c>
      <c r="K310" t="s">
        <v>2637</v>
      </c>
      <c r="L310" t="s">
        <v>65</v>
      </c>
      <c r="M310" t="b">
        <v>0</v>
      </c>
      <c r="N310" t="s">
        <v>3931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s">
        <v>1367</v>
      </c>
      <c r="AC310" t="s">
        <v>8841</v>
      </c>
    </row>
    <row r="311" spans="1:29" x14ac:dyDescent="0.3">
      <c r="A311">
        <v>-73.97264448</v>
      </c>
      <c r="B311">
        <v>40.79359891</v>
      </c>
      <c r="C311" t="s">
        <v>1245</v>
      </c>
      <c r="D311" t="s">
        <v>33</v>
      </c>
      <c r="E311" s="58">
        <v>43379</v>
      </c>
      <c r="F311">
        <v>17</v>
      </c>
      <c r="G311" t="s">
        <v>48</v>
      </c>
      <c r="H311" t="s">
        <v>53</v>
      </c>
      <c r="I311" t="s">
        <v>59</v>
      </c>
      <c r="J311" t="s">
        <v>97</v>
      </c>
      <c r="K311" t="s">
        <v>6214</v>
      </c>
      <c r="L311" t="s">
        <v>65</v>
      </c>
      <c r="M311" t="b">
        <v>0</v>
      </c>
      <c r="N311" t="s">
        <v>2423</v>
      </c>
      <c r="O311" t="b">
        <v>1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1</v>
      </c>
      <c r="AA311" t="b">
        <v>0</v>
      </c>
      <c r="AB311" t="s">
        <v>2552</v>
      </c>
      <c r="AC311" t="s">
        <v>8842</v>
      </c>
    </row>
    <row r="312" spans="1:29" x14ac:dyDescent="0.3">
      <c r="A312">
        <v>-73.967358719999993</v>
      </c>
      <c r="B312">
        <v>40.767731339999997</v>
      </c>
      <c r="C312" t="s">
        <v>343</v>
      </c>
      <c r="D312" t="s">
        <v>38</v>
      </c>
      <c r="E312" s="58">
        <v>43382</v>
      </c>
      <c r="F312">
        <v>5</v>
      </c>
      <c r="G312" t="s">
        <v>48</v>
      </c>
      <c r="H312" t="s">
        <v>42</v>
      </c>
      <c r="I312" t="s">
        <v>53</v>
      </c>
      <c r="J312" t="s">
        <v>79</v>
      </c>
      <c r="K312" t="s">
        <v>2637</v>
      </c>
      <c r="L312" t="s">
        <v>44</v>
      </c>
      <c r="M312">
        <v>4</v>
      </c>
      <c r="N312" t="s">
        <v>348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s">
        <v>1660</v>
      </c>
      <c r="AC312" t="s">
        <v>8843</v>
      </c>
    </row>
    <row r="313" spans="1:29" x14ac:dyDescent="0.3">
      <c r="A313">
        <v>-73.978692159999994</v>
      </c>
      <c r="B313">
        <v>40.796415240000002</v>
      </c>
      <c r="C313" t="s">
        <v>2203</v>
      </c>
      <c r="D313" t="s">
        <v>38</v>
      </c>
      <c r="E313" s="58">
        <v>43390</v>
      </c>
      <c r="F313">
        <v>14</v>
      </c>
      <c r="G313" t="s">
        <v>48</v>
      </c>
      <c r="H313" t="s">
        <v>42</v>
      </c>
      <c r="I313" t="s">
        <v>53</v>
      </c>
      <c r="J313" t="s">
        <v>54</v>
      </c>
      <c r="K313" t="s">
        <v>565</v>
      </c>
      <c r="L313" t="s">
        <v>65</v>
      </c>
      <c r="M313" t="b">
        <v>0</v>
      </c>
      <c r="N313" t="s">
        <v>6636</v>
      </c>
      <c r="O313" t="b">
        <v>0</v>
      </c>
      <c r="P313" t="b">
        <v>0</v>
      </c>
      <c r="Q313" t="b">
        <v>0</v>
      </c>
      <c r="R313" t="b">
        <v>1</v>
      </c>
      <c r="S313" t="b">
        <v>1</v>
      </c>
      <c r="T313" t="b">
        <v>0</v>
      </c>
      <c r="U313" t="b">
        <v>0</v>
      </c>
      <c r="V313" t="b">
        <v>0</v>
      </c>
      <c r="W313" t="b">
        <v>1</v>
      </c>
      <c r="X313" t="b">
        <v>0</v>
      </c>
      <c r="Y313" t="b">
        <v>0</v>
      </c>
      <c r="Z313" t="b">
        <v>0</v>
      </c>
      <c r="AA313" t="b">
        <v>0</v>
      </c>
      <c r="AB313" t="s">
        <v>6392</v>
      </c>
      <c r="AC313" t="s">
        <v>8844</v>
      </c>
    </row>
    <row r="314" spans="1:29" x14ac:dyDescent="0.3">
      <c r="A314">
        <v>-73.980361630000004</v>
      </c>
      <c r="B314">
        <v>40.784190219999999</v>
      </c>
      <c r="C314" t="s">
        <v>139</v>
      </c>
      <c r="D314" t="s">
        <v>38</v>
      </c>
      <c r="E314" s="58">
        <v>43385</v>
      </c>
      <c r="F314">
        <v>25</v>
      </c>
      <c r="G314" t="s">
        <v>48</v>
      </c>
      <c r="H314" t="s">
        <v>42</v>
      </c>
      <c r="I314" t="s">
        <v>59</v>
      </c>
      <c r="J314" t="s">
        <v>43</v>
      </c>
      <c r="K314" t="s">
        <v>4069</v>
      </c>
      <c r="L314" t="s">
        <v>65</v>
      </c>
      <c r="M314" t="b">
        <v>0</v>
      </c>
      <c r="N314" t="s">
        <v>922</v>
      </c>
      <c r="O314" t="b">
        <v>0</v>
      </c>
      <c r="P314" t="b">
        <v>0</v>
      </c>
      <c r="Q314" t="b">
        <v>0</v>
      </c>
      <c r="R314" t="b">
        <v>1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s">
        <v>4305</v>
      </c>
      <c r="AC314" t="s">
        <v>8845</v>
      </c>
    </row>
    <row r="315" spans="1:29" x14ac:dyDescent="0.3">
      <c r="A315">
        <v>-73.950895979999999</v>
      </c>
      <c r="B315">
        <v>40.793685969999999</v>
      </c>
      <c r="C315" t="s">
        <v>1404</v>
      </c>
      <c r="D315" t="s">
        <v>33</v>
      </c>
      <c r="E315" s="58">
        <v>43389</v>
      </c>
      <c r="F315">
        <v>24</v>
      </c>
      <c r="G315" t="s">
        <v>48</v>
      </c>
      <c r="H315" t="s">
        <v>42</v>
      </c>
      <c r="I315" t="s">
        <v>59</v>
      </c>
      <c r="J315" t="s">
        <v>43</v>
      </c>
      <c r="K315" t="s">
        <v>64</v>
      </c>
      <c r="L315" t="s">
        <v>65</v>
      </c>
      <c r="M315" t="b">
        <v>0</v>
      </c>
      <c r="N315" t="s">
        <v>6675</v>
      </c>
      <c r="O315" t="b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1</v>
      </c>
      <c r="AA315" t="b">
        <v>1</v>
      </c>
      <c r="AB315" t="s">
        <v>1963</v>
      </c>
      <c r="AC315" t="s">
        <v>8846</v>
      </c>
    </row>
    <row r="316" spans="1:29" x14ac:dyDescent="0.3">
      <c r="A316">
        <v>-73.954878030000003</v>
      </c>
      <c r="B316">
        <v>40.78083582</v>
      </c>
      <c r="C316" t="s">
        <v>4588</v>
      </c>
      <c r="D316" t="s">
        <v>33</v>
      </c>
      <c r="E316" s="58">
        <v>43385</v>
      </c>
      <c r="F316">
        <v>30</v>
      </c>
      <c r="G316" t="s">
        <v>48</v>
      </c>
      <c r="H316" t="s">
        <v>176</v>
      </c>
      <c r="I316" t="s">
        <v>59</v>
      </c>
      <c r="J316" t="s">
        <v>79</v>
      </c>
      <c r="K316" t="s">
        <v>6214</v>
      </c>
      <c r="L316" t="s">
        <v>44</v>
      </c>
      <c r="M316">
        <v>6</v>
      </c>
      <c r="N316" t="s">
        <v>2865</v>
      </c>
      <c r="O316" t="b">
        <v>0</v>
      </c>
      <c r="P316" t="b">
        <v>0</v>
      </c>
      <c r="Q316" t="b">
        <v>0</v>
      </c>
      <c r="R316" t="b">
        <v>0</v>
      </c>
      <c r="S316" t="b">
        <v>1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1</v>
      </c>
      <c r="AB316" t="s">
        <v>1288</v>
      </c>
      <c r="AC316" t="s">
        <v>8847</v>
      </c>
    </row>
    <row r="317" spans="1:29" x14ac:dyDescent="0.3">
      <c r="A317">
        <v>-73.959279370000004</v>
      </c>
      <c r="B317">
        <v>40.787569660000003</v>
      </c>
      <c r="C317" t="s">
        <v>1232</v>
      </c>
      <c r="D317" t="s">
        <v>38</v>
      </c>
      <c r="E317" s="58">
        <v>43393</v>
      </c>
      <c r="F317">
        <v>29</v>
      </c>
      <c r="G317" t="s">
        <v>48</v>
      </c>
      <c r="H317" t="s">
        <v>53</v>
      </c>
      <c r="I317" t="s">
        <v>53</v>
      </c>
      <c r="J317" t="s">
        <v>54</v>
      </c>
      <c r="K317" t="s">
        <v>1259</v>
      </c>
      <c r="L317" t="s">
        <v>44</v>
      </c>
      <c r="M317">
        <v>25</v>
      </c>
      <c r="N317" t="s">
        <v>3342</v>
      </c>
      <c r="O317" t="b">
        <v>1</v>
      </c>
      <c r="P317" t="b">
        <v>0</v>
      </c>
      <c r="Q317" t="b">
        <v>1</v>
      </c>
      <c r="R317" t="b">
        <v>0</v>
      </c>
      <c r="S317" t="b">
        <v>1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1</v>
      </c>
      <c r="AA317" t="b">
        <v>0</v>
      </c>
      <c r="AB317" t="s">
        <v>101</v>
      </c>
      <c r="AC317" t="s">
        <v>8848</v>
      </c>
    </row>
    <row r="318" spans="1:29" x14ac:dyDescent="0.3">
      <c r="A318">
        <v>-73.968302399999999</v>
      </c>
      <c r="B318">
        <v>40.783444170000003</v>
      </c>
      <c r="C318" t="s">
        <v>689</v>
      </c>
      <c r="D318" t="s">
        <v>33</v>
      </c>
      <c r="E318" s="58">
        <v>43384</v>
      </c>
      <c r="F318">
        <v>20</v>
      </c>
      <c r="G318" t="s">
        <v>48</v>
      </c>
      <c r="H318" t="s">
        <v>42</v>
      </c>
      <c r="I318" t="s">
        <v>59</v>
      </c>
      <c r="J318" t="s">
        <v>54</v>
      </c>
      <c r="K318" t="s">
        <v>1381</v>
      </c>
      <c r="L318" t="s">
        <v>44</v>
      </c>
      <c r="M318">
        <v>12</v>
      </c>
      <c r="N318" t="s">
        <v>4566</v>
      </c>
      <c r="O318" t="b">
        <v>0</v>
      </c>
      <c r="P318" t="b">
        <v>0</v>
      </c>
      <c r="Q318" t="b">
        <v>0</v>
      </c>
      <c r="R318" t="b">
        <v>1</v>
      </c>
      <c r="S318" t="b">
        <v>1</v>
      </c>
      <c r="T318" t="b">
        <v>0</v>
      </c>
      <c r="U318" t="b">
        <v>0</v>
      </c>
      <c r="V318" t="b">
        <v>0</v>
      </c>
      <c r="W318" t="b">
        <v>1</v>
      </c>
      <c r="X318" t="b">
        <v>0</v>
      </c>
      <c r="Y318" t="b">
        <v>0</v>
      </c>
      <c r="Z318" t="b">
        <v>1</v>
      </c>
      <c r="AA318" t="b">
        <v>0</v>
      </c>
      <c r="AB318" t="s">
        <v>6045</v>
      </c>
      <c r="AC318" t="s">
        <v>8849</v>
      </c>
    </row>
    <row r="319" spans="1:29" x14ac:dyDescent="0.3">
      <c r="A319">
        <v>-73.975710759999998</v>
      </c>
      <c r="B319">
        <v>40.790668359999998</v>
      </c>
      <c r="C319" t="s">
        <v>921</v>
      </c>
      <c r="D319" t="s">
        <v>33</v>
      </c>
      <c r="E319" s="58">
        <v>43386</v>
      </c>
      <c r="F319">
        <v>21</v>
      </c>
      <c r="G319" t="s">
        <v>48</v>
      </c>
      <c r="H319" t="s">
        <v>42</v>
      </c>
      <c r="I319" t="s">
        <v>53</v>
      </c>
      <c r="J319" t="s">
        <v>43</v>
      </c>
      <c r="K319" t="s">
        <v>1259</v>
      </c>
      <c r="L319" t="s">
        <v>65</v>
      </c>
      <c r="M319" t="b">
        <v>0</v>
      </c>
      <c r="N319" t="s">
        <v>2833</v>
      </c>
      <c r="O319" t="b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1</v>
      </c>
      <c r="AA319" t="b">
        <v>0</v>
      </c>
      <c r="AB319" t="s">
        <v>5988</v>
      </c>
      <c r="AC319" t="s">
        <v>8850</v>
      </c>
    </row>
    <row r="320" spans="1:29" x14ac:dyDescent="0.3">
      <c r="A320">
        <v>-73.976240700000005</v>
      </c>
      <c r="B320">
        <v>40.767784679999998</v>
      </c>
      <c r="C320" t="s">
        <v>985</v>
      </c>
      <c r="D320" t="s">
        <v>38</v>
      </c>
      <c r="E320" s="58">
        <v>43389</v>
      </c>
      <c r="F320">
        <v>29</v>
      </c>
      <c r="G320" t="s">
        <v>48</v>
      </c>
      <c r="H320" t="s">
        <v>42</v>
      </c>
      <c r="I320" t="s">
        <v>148</v>
      </c>
      <c r="J320" t="s">
        <v>79</v>
      </c>
      <c r="K320" t="s">
        <v>2943</v>
      </c>
      <c r="L320" t="s">
        <v>65</v>
      </c>
      <c r="M320" t="b">
        <v>0</v>
      </c>
      <c r="N320" t="s">
        <v>1883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1</v>
      </c>
      <c r="AA320" t="b">
        <v>0</v>
      </c>
      <c r="AB320" t="s">
        <v>101</v>
      </c>
      <c r="AC320" t="s">
        <v>8851</v>
      </c>
    </row>
    <row r="321" spans="1:29" x14ac:dyDescent="0.3">
      <c r="A321">
        <v>-73.973291739999993</v>
      </c>
      <c r="B321">
        <v>40.767035530000001</v>
      </c>
      <c r="C321" t="s">
        <v>78</v>
      </c>
      <c r="D321" t="s">
        <v>38</v>
      </c>
      <c r="E321" s="58">
        <v>43391</v>
      </c>
      <c r="F321">
        <v>21</v>
      </c>
      <c r="G321" t="s">
        <v>48</v>
      </c>
      <c r="H321" t="s">
        <v>42</v>
      </c>
      <c r="I321" t="s">
        <v>59</v>
      </c>
      <c r="J321" t="s">
        <v>60</v>
      </c>
      <c r="K321" t="s">
        <v>4237</v>
      </c>
      <c r="L321" t="s">
        <v>44</v>
      </c>
      <c r="M321">
        <v>25</v>
      </c>
      <c r="N321" t="s">
        <v>1207</v>
      </c>
      <c r="O321" t="b">
        <v>0</v>
      </c>
      <c r="P321" t="b">
        <v>0</v>
      </c>
      <c r="Q321" t="b">
        <v>0</v>
      </c>
      <c r="R321" t="b">
        <v>0</v>
      </c>
      <c r="S321" t="b">
        <v>1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1</v>
      </c>
      <c r="AB321" t="s">
        <v>4800</v>
      </c>
      <c r="AC321" t="s">
        <v>8852</v>
      </c>
    </row>
    <row r="322" spans="1:29" x14ac:dyDescent="0.3">
      <c r="A322">
        <v>-73.963892639999997</v>
      </c>
      <c r="B322">
        <v>40.773610640000001</v>
      </c>
      <c r="C322" t="s">
        <v>1076</v>
      </c>
      <c r="D322" t="s">
        <v>33</v>
      </c>
      <c r="E322" s="58">
        <v>43384</v>
      </c>
      <c r="F322">
        <v>22</v>
      </c>
      <c r="G322" t="s">
        <v>48</v>
      </c>
      <c r="H322" t="s">
        <v>42</v>
      </c>
      <c r="I322" t="s">
        <v>59</v>
      </c>
      <c r="J322" t="s">
        <v>43</v>
      </c>
      <c r="K322" t="s">
        <v>2311</v>
      </c>
      <c r="L322" t="s">
        <v>44</v>
      </c>
      <c r="M322">
        <v>30</v>
      </c>
      <c r="N322" t="s">
        <v>5371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1</v>
      </c>
      <c r="Y322" t="b">
        <v>1</v>
      </c>
      <c r="Z322" t="b">
        <v>0</v>
      </c>
      <c r="AA322" t="b">
        <v>1</v>
      </c>
      <c r="AB322" t="s">
        <v>445</v>
      </c>
      <c r="AC322" t="s">
        <v>8853</v>
      </c>
    </row>
    <row r="323" spans="1:29" x14ac:dyDescent="0.3">
      <c r="A323">
        <v>-73.958693960000005</v>
      </c>
      <c r="B323">
        <v>40.770527889999997</v>
      </c>
      <c r="C323" t="s">
        <v>172</v>
      </c>
      <c r="D323" t="s">
        <v>33</v>
      </c>
      <c r="E323" s="58">
        <v>43388</v>
      </c>
      <c r="F323">
        <v>3</v>
      </c>
      <c r="G323" t="s">
        <v>48</v>
      </c>
      <c r="H323" t="s">
        <v>42</v>
      </c>
      <c r="I323" t="s">
        <v>53</v>
      </c>
      <c r="J323" t="s">
        <v>54</v>
      </c>
      <c r="K323" t="s">
        <v>6214</v>
      </c>
      <c r="L323" t="s">
        <v>65</v>
      </c>
      <c r="M323" t="b">
        <v>0</v>
      </c>
      <c r="N323" t="s">
        <v>4786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1</v>
      </c>
      <c r="AA323" t="b">
        <v>0</v>
      </c>
      <c r="AB323" t="s">
        <v>488</v>
      </c>
      <c r="AC323" t="s">
        <v>8854</v>
      </c>
    </row>
    <row r="324" spans="1:29" x14ac:dyDescent="0.3">
      <c r="A324">
        <v>-73.960404080000004</v>
      </c>
      <c r="B324">
        <v>40.79560429</v>
      </c>
      <c r="C324" t="s">
        <v>773</v>
      </c>
      <c r="D324" t="s">
        <v>38</v>
      </c>
      <c r="E324" s="58">
        <v>43381</v>
      </c>
      <c r="F324">
        <v>5</v>
      </c>
      <c r="G324" t="s">
        <v>48</v>
      </c>
      <c r="H324" t="s">
        <v>42</v>
      </c>
      <c r="I324" t="s">
        <v>53</v>
      </c>
      <c r="J324" t="s">
        <v>339</v>
      </c>
      <c r="K324" t="s">
        <v>6633</v>
      </c>
      <c r="L324" t="s">
        <v>65</v>
      </c>
      <c r="M324" t="b">
        <v>0</v>
      </c>
      <c r="N324" t="s">
        <v>456</v>
      </c>
      <c r="O324" t="b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1</v>
      </c>
      <c r="AA324" t="b">
        <v>0</v>
      </c>
      <c r="AB324" t="s">
        <v>4104</v>
      </c>
      <c r="AC324" t="s">
        <v>8855</v>
      </c>
    </row>
    <row r="325" spans="1:29" x14ac:dyDescent="0.3">
      <c r="A325">
        <v>-73.972358349999993</v>
      </c>
      <c r="B325">
        <v>40.77262872</v>
      </c>
      <c r="C325" t="s">
        <v>183</v>
      </c>
      <c r="D325" t="s">
        <v>38</v>
      </c>
      <c r="E325" s="58">
        <v>43382</v>
      </c>
      <c r="F325">
        <v>16</v>
      </c>
      <c r="G325" t="s">
        <v>105</v>
      </c>
      <c r="H325" t="s">
        <v>42</v>
      </c>
      <c r="I325" t="s">
        <v>148</v>
      </c>
      <c r="J325" t="s">
        <v>54</v>
      </c>
      <c r="K325" t="s">
        <v>809</v>
      </c>
      <c r="L325" t="s">
        <v>44</v>
      </c>
      <c r="M325">
        <v>10</v>
      </c>
      <c r="N325" t="s">
        <v>5149</v>
      </c>
      <c r="O325" t="b">
        <v>0</v>
      </c>
      <c r="P325" t="b">
        <v>0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1</v>
      </c>
      <c r="AA325" t="b">
        <v>0</v>
      </c>
      <c r="AB325" t="s">
        <v>2748</v>
      </c>
      <c r="AC325" t="s">
        <v>8856</v>
      </c>
    </row>
    <row r="326" spans="1:29" x14ac:dyDescent="0.3">
      <c r="A326">
        <v>-73.951140659999993</v>
      </c>
      <c r="B326">
        <v>40.799268789999999</v>
      </c>
      <c r="C326" t="s">
        <v>2511</v>
      </c>
      <c r="D326" t="s">
        <v>38</v>
      </c>
      <c r="E326" s="58">
        <v>43392</v>
      </c>
      <c r="F326">
        <v>18</v>
      </c>
      <c r="G326" t="s">
        <v>48</v>
      </c>
      <c r="H326" t="s">
        <v>42</v>
      </c>
      <c r="I326" t="s">
        <v>53</v>
      </c>
      <c r="J326" t="s">
        <v>79</v>
      </c>
      <c r="K326" t="s">
        <v>1636</v>
      </c>
      <c r="L326" t="s">
        <v>44</v>
      </c>
      <c r="M326">
        <v>25</v>
      </c>
      <c r="N326" t="s">
        <v>1879</v>
      </c>
      <c r="O326" t="b">
        <v>0</v>
      </c>
      <c r="P326" t="b">
        <v>1</v>
      </c>
      <c r="Q326" t="b">
        <v>0</v>
      </c>
      <c r="R326" t="b">
        <v>0</v>
      </c>
      <c r="S326" t="b">
        <v>1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s">
        <v>4589</v>
      </c>
      <c r="AC326" t="s">
        <v>8857</v>
      </c>
    </row>
    <row r="327" spans="1:29" x14ac:dyDescent="0.3">
      <c r="A327">
        <v>-73.957961449999999</v>
      </c>
      <c r="B327">
        <v>40.776772039999997</v>
      </c>
      <c r="C327" t="s">
        <v>3392</v>
      </c>
      <c r="D327" t="s">
        <v>38</v>
      </c>
      <c r="E327" s="58">
        <v>43381</v>
      </c>
      <c r="F327">
        <v>26</v>
      </c>
      <c r="G327" t="s">
        <v>48</v>
      </c>
      <c r="H327" t="s">
        <v>42</v>
      </c>
      <c r="I327" t="s">
        <v>59</v>
      </c>
      <c r="J327" t="s">
        <v>43</v>
      </c>
      <c r="K327" t="s">
        <v>2458</v>
      </c>
      <c r="L327" t="s">
        <v>44</v>
      </c>
      <c r="M327">
        <v>12</v>
      </c>
      <c r="N327" t="s">
        <v>958</v>
      </c>
      <c r="O327" t="b">
        <v>0</v>
      </c>
      <c r="P327" t="b">
        <v>0</v>
      </c>
      <c r="Q327" t="b">
        <v>1</v>
      </c>
      <c r="R327" t="b">
        <v>1</v>
      </c>
      <c r="S327" t="b">
        <v>0</v>
      </c>
      <c r="T327" t="b">
        <v>0</v>
      </c>
      <c r="U327" t="b">
        <v>0</v>
      </c>
      <c r="V327" t="b">
        <v>0</v>
      </c>
      <c r="W327" t="b">
        <v>1</v>
      </c>
      <c r="X327" t="b">
        <v>0</v>
      </c>
      <c r="Y327" t="b">
        <v>0</v>
      </c>
      <c r="Z327" t="b">
        <v>0</v>
      </c>
      <c r="AA327" t="b">
        <v>0</v>
      </c>
      <c r="AB327" t="s">
        <v>121</v>
      </c>
      <c r="AC327" t="s">
        <v>8858</v>
      </c>
    </row>
    <row r="328" spans="1:29" x14ac:dyDescent="0.3">
      <c r="A328">
        <v>-73.963731460000005</v>
      </c>
      <c r="B328">
        <v>40.771322650000002</v>
      </c>
      <c r="C328" t="s">
        <v>2181</v>
      </c>
      <c r="D328" t="s">
        <v>38</v>
      </c>
      <c r="E328" s="58">
        <v>43379</v>
      </c>
      <c r="F328">
        <v>17</v>
      </c>
      <c r="G328" t="s">
        <v>48</v>
      </c>
      <c r="H328" t="s">
        <v>42</v>
      </c>
      <c r="I328" t="s">
        <v>59</v>
      </c>
      <c r="J328" t="s">
        <v>79</v>
      </c>
      <c r="K328" t="s">
        <v>6869</v>
      </c>
      <c r="L328" t="s">
        <v>44</v>
      </c>
      <c r="M328">
        <v>30</v>
      </c>
      <c r="N328" t="s">
        <v>5529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1</v>
      </c>
      <c r="AA328" t="b">
        <v>0</v>
      </c>
      <c r="AB328" t="s">
        <v>1539</v>
      </c>
      <c r="AC328" t="s">
        <v>8859</v>
      </c>
    </row>
    <row r="329" spans="1:29" x14ac:dyDescent="0.3">
      <c r="A329">
        <v>-73.961928029999996</v>
      </c>
      <c r="B329">
        <v>40.792714250000003</v>
      </c>
      <c r="C329" t="s">
        <v>729</v>
      </c>
      <c r="D329" t="s">
        <v>33</v>
      </c>
      <c r="E329" s="58">
        <v>43393</v>
      </c>
      <c r="F329">
        <v>11</v>
      </c>
      <c r="G329" t="s">
        <v>48</v>
      </c>
      <c r="H329" t="s">
        <v>42</v>
      </c>
      <c r="I329" t="s">
        <v>53</v>
      </c>
      <c r="J329" t="s">
        <v>43</v>
      </c>
      <c r="K329" t="s">
        <v>7370</v>
      </c>
      <c r="L329" t="s">
        <v>65</v>
      </c>
      <c r="M329" t="b">
        <v>0</v>
      </c>
      <c r="N329" t="s">
        <v>2737</v>
      </c>
      <c r="O329" t="b">
        <v>0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1</v>
      </c>
      <c r="Y329" t="b">
        <v>0</v>
      </c>
      <c r="Z329" t="b">
        <v>0</v>
      </c>
      <c r="AA329" t="b">
        <v>0</v>
      </c>
      <c r="AB329" t="s">
        <v>1539</v>
      </c>
      <c r="AC329" t="s">
        <v>8860</v>
      </c>
    </row>
    <row r="330" spans="1:29" x14ac:dyDescent="0.3">
      <c r="A330">
        <v>-73.967967689999995</v>
      </c>
      <c r="B330">
        <v>40.788102350000003</v>
      </c>
      <c r="C330" t="s">
        <v>1407</v>
      </c>
      <c r="D330" t="s">
        <v>33</v>
      </c>
      <c r="E330" s="58">
        <v>43388</v>
      </c>
      <c r="F330">
        <v>17</v>
      </c>
      <c r="G330" t="s">
        <v>48</v>
      </c>
      <c r="H330" t="s">
        <v>42</v>
      </c>
      <c r="I330" t="s">
        <v>96</v>
      </c>
      <c r="J330" t="s">
        <v>34</v>
      </c>
      <c r="K330" t="s">
        <v>531</v>
      </c>
      <c r="L330" t="s">
        <v>65</v>
      </c>
      <c r="M330" t="b">
        <v>0</v>
      </c>
      <c r="N330" t="s">
        <v>4510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1</v>
      </c>
      <c r="Y330" t="b">
        <v>0</v>
      </c>
      <c r="Z330" t="b">
        <v>1</v>
      </c>
      <c r="AA330" t="b">
        <v>0</v>
      </c>
      <c r="AB330" t="s">
        <v>2182</v>
      </c>
      <c r="AC330" t="s">
        <v>8861</v>
      </c>
    </row>
    <row r="331" spans="1:29" x14ac:dyDescent="0.3">
      <c r="A331">
        <v>-73.973370709999998</v>
      </c>
      <c r="B331">
        <v>40.78245107</v>
      </c>
      <c r="C331" t="s">
        <v>415</v>
      </c>
      <c r="D331" t="s">
        <v>38</v>
      </c>
      <c r="E331" s="58">
        <v>43383</v>
      </c>
      <c r="F331">
        <v>16</v>
      </c>
      <c r="G331" t="s">
        <v>48</v>
      </c>
      <c r="H331" t="s">
        <v>42</v>
      </c>
      <c r="I331" t="s">
        <v>59</v>
      </c>
      <c r="J331" t="s">
        <v>97</v>
      </c>
      <c r="K331" t="s">
        <v>4317</v>
      </c>
      <c r="L331" t="s">
        <v>65</v>
      </c>
      <c r="M331" t="b">
        <v>0</v>
      </c>
      <c r="N331" t="s">
        <v>1084</v>
      </c>
      <c r="O331" t="b">
        <v>0</v>
      </c>
      <c r="P331" t="b">
        <v>0</v>
      </c>
      <c r="Q331" t="b">
        <v>1</v>
      </c>
      <c r="R331" t="b">
        <v>1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1</v>
      </c>
      <c r="AB331" t="s">
        <v>1073</v>
      </c>
      <c r="AC331" t="s">
        <v>8862</v>
      </c>
    </row>
    <row r="332" spans="1:29" x14ac:dyDescent="0.3">
      <c r="A332">
        <v>-73.969967929999996</v>
      </c>
      <c r="B332">
        <v>40.784463819999999</v>
      </c>
      <c r="C332" t="s">
        <v>245</v>
      </c>
      <c r="D332" t="s">
        <v>38</v>
      </c>
      <c r="E332" s="58">
        <v>43393</v>
      </c>
      <c r="F332">
        <v>26</v>
      </c>
      <c r="G332" t="s">
        <v>48</v>
      </c>
      <c r="H332" t="s">
        <v>176</v>
      </c>
      <c r="I332" t="s">
        <v>53</v>
      </c>
      <c r="J332" t="s">
        <v>97</v>
      </c>
      <c r="K332" t="s">
        <v>4237</v>
      </c>
      <c r="L332" t="s">
        <v>65</v>
      </c>
      <c r="M332" t="b">
        <v>0</v>
      </c>
      <c r="N332" t="s">
        <v>190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1</v>
      </c>
      <c r="Z332" t="b">
        <v>0</v>
      </c>
      <c r="AA332" t="b">
        <v>0</v>
      </c>
      <c r="AB332" t="s">
        <v>369</v>
      </c>
      <c r="AC332" t="s">
        <v>8863</v>
      </c>
    </row>
    <row r="333" spans="1:29" x14ac:dyDescent="0.3">
      <c r="A333">
        <v>-73.957334309999993</v>
      </c>
      <c r="B333">
        <v>40.79023222</v>
      </c>
      <c r="C333" t="s">
        <v>52</v>
      </c>
      <c r="D333" t="s">
        <v>38</v>
      </c>
      <c r="E333" s="58">
        <v>43379</v>
      </c>
      <c r="F333">
        <v>23</v>
      </c>
      <c r="G333" t="s">
        <v>48</v>
      </c>
      <c r="H333" t="s">
        <v>42</v>
      </c>
      <c r="I333" t="s">
        <v>53</v>
      </c>
      <c r="J333" t="s">
        <v>79</v>
      </c>
      <c r="K333" t="s">
        <v>1381</v>
      </c>
      <c r="L333" t="s">
        <v>44</v>
      </c>
      <c r="M333">
        <v>6</v>
      </c>
      <c r="N333" t="s">
        <v>201</v>
      </c>
      <c r="O333" t="b">
        <v>1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1</v>
      </c>
      <c r="Z333" t="b">
        <v>1</v>
      </c>
      <c r="AA333" t="b">
        <v>0</v>
      </c>
      <c r="AB333" t="s">
        <v>436</v>
      </c>
      <c r="AC333" t="s">
        <v>8864</v>
      </c>
    </row>
    <row r="334" spans="1:29" x14ac:dyDescent="0.3">
      <c r="A334">
        <v>-73.980706100000006</v>
      </c>
      <c r="B334">
        <v>40.772954069999997</v>
      </c>
      <c r="C334" t="s">
        <v>722</v>
      </c>
      <c r="D334" t="s">
        <v>33</v>
      </c>
      <c r="E334" s="58">
        <v>43379</v>
      </c>
      <c r="F334">
        <v>2</v>
      </c>
      <c r="G334" t="s">
        <v>48</v>
      </c>
      <c r="H334" t="s">
        <v>42</v>
      </c>
      <c r="I334" t="s">
        <v>53</v>
      </c>
      <c r="J334" t="s">
        <v>79</v>
      </c>
      <c r="K334" t="s">
        <v>1381</v>
      </c>
      <c r="L334" t="s">
        <v>65</v>
      </c>
      <c r="M334" t="b">
        <v>0</v>
      </c>
      <c r="N334" t="s">
        <v>456</v>
      </c>
      <c r="O334" t="b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s">
        <v>4139</v>
      </c>
      <c r="AC334" t="s">
        <v>8865</v>
      </c>
    </row>
    <row r="335" spans="1:29" x14ac:dyDescent="0.3">
      <c r="A335">
        <v>-73.97750963</v>
      </c>
      <c r="B335">
        <v>40.799989439999997</v>
      </c>
      <c r="C335" t="s">
        <v>1035</v>
      </c>
      <c r="D335" t="s">
        <v>33</v>
      </c>
      <c r="E335" s="58">
        <v>43380</v>
      </c>
      <c r="F335">
        <v>4</v>
      </c>
      <c r="G335" t="s">
        <v>48</v>
      </c>
      <c r="H335" t="s">
        <v>42</v>
      </c>
      <c r="I335" t="s">
        <v>42</v>
      </c>
      <c r="J335" t="s">
        <v>54</v>
      </c>
      <c r="K335" t="s">
        <v>1558</v>
      </c>
      <c r="L335" t="s">
        <v>65</v>
      </c>
      <c r="M335" t="b">
        <v>0</v>
      </c>
      <c r="N335" t="s">
        <v>3898</v>
      </c>
      <c r="O335" t="b">
        <v>1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1</v>
      </c>
      <c r="AA335" t="b">
        <v>1</v>
      </c>
      <c r="AB335" t="s">
        <v>1432</v>
      </c>
      <c r="AC335" t="s">
        <v>8866</v>
      </c>
    </row>
    <row r="336" spans="1:29" x14ac:dyDescent="0.3">
      <c r="A336">
        <v>-73.979712399999997</v>
      </c>
      <c r="B336">
        <v>40.799231040000002</v>
      </c>
      <c r="C336" t="s">
        <v>646</v>
      </c>
      <c r="D336" t="s">
        <v>38</v>
      </c>
      <c r="E336" s="58">
        <v>43391</v>
      </c>
      <c r="F336">
        <v>21</v>
      </c>
      <c r="G336" t="s">
        <v>48</v>
      </c>
      <c r="H336" t="s">
        <v>42</v>
      </c>
      <c r="I336" t="s">
        <v>59</v>
      </c>
      <c r="J336" t="s">
        <v>60</v>
      </c>
      <c r="K336" t="s">
        <v>1785</v>
      </c>
      <c r="L336" t="s">
        <v>65</v>
      </c>
      <c r="M336" t="b">
        <v>0</v>
      </c>
      <c r="N336" t="s">
        <v>1408</v>
      </c>
      <c r="O336" t="b">
        <v>0</v>
      </c>
      <c r="P336" t="b">
        <v>0</v>
      </c>
      <c r="Q336" t="b">
        <v>1</v>
      </c>
      <c r="R336" t="b">
        <v>0</v>
      </c>
      <c r="S336" t="b">
        <v>1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1</v>
      </c>
      <c r="AA336" t="b">
        <v>1</v>
      </c>
      <c r="AB336" t="s">
        <v>2643</v>
      </c>
      <c r="AC336" t="s">
        <v>8867</v>
      </c>
    </row>
    <row r="337" spans="1:29" x14ac:dyDescent="0.3">
      <c r="A337">
        <v>-73.979878200000002</v>
      </c>
      <c r="B337">
        <v>40.787807239999999</v>
      </c>
      <c r="C337" t="s">
        <v>544</v>
      </c>
      <c r="D337" t="s">
        <v>38</v>
      </c>
      <c r="E337" s="58">
        <v>43382</v>
      </c>
      <c r="F337">
        <v>7</v>
      </c>
      <c r="G337" t="s">
        <v>48</v>
      </c>
      <c r="H337" t="s">
        <v>53</v>
      </c>
      <c r="I337" t="s">
        <v>53</v>
      </c>
      <c r="J337" t="s">
        <v>34</v>
      </c>
      <c r="K337" t="s">
        <v>1381</v>
      </c>
      <c r="L337" t="s">
        <v>65</v>
      </c>
      <c r="M337" t="b">
        <v>0</v>
      </c>
      <c r="N337" t="s">
        <v>3458</v>
      </c>
      <c r="O337" t="b">
        <v>0</v>
      </c>
      <c r="P337" t="b">
        <v>1</v>
      </c>
      <c r="Q337" t="b">
        <v>0</v>
      </c>
      <c r="R337" t="b">
        <v>0</v>
      </c>
      <c r="S337" t="b">
        <v>1</v>
      </c>
      <c r="T337" t="b">
        <v>0</v>
      </c>
      <c r="U337" t="b">
        <v>0</v>
      </c>
      <c r="V337" t="b">
        <v>0</v>
      </c>
      <c r="W337" t="b">
        <v>0</v>
      </c>
      <c r="X337" t="b">
        <v>1</v>
      </c>
      <c r="Y337" t="b">
        <v>0</v>
      </c>
      <c r="Z337" t="b">
        <v>0</v>
      </c>
      <c r="AA337" t="b">
        <v>0</v>
      </c>
      <c r="AB337" t="s">
        <v>3158</v>
      </c>
      <c r="AC337" t="s">
        <v>8868</v>
      </c>
    </row>
    <row r="338" spans="1:29" x14ac:dyDescent="0.3">
      <c r="A338">
        <v>-73.954265629999995</v>
      </c>
      <c r="B338">
        <v>40.77193613</v>
      </c>
      <c r="C338" t="s">
        <v>693</v>
      </c>
      <c r="D338" t="s">
        <v>38</v>
      </c>
      <c r="E338" s="58">
        <v>43384</v>
      </c>
      <c r="F338">
        <v>2</v>
      </c>
      <c r="G338" t="s">
        <v>48</v>
      </c>
      <c r="H338" t="s">
        <v>42</v>
      </c>
      <c r="I338" t="s">
        <v>53</v>
      </c>
      <c r="J338" t="s">
        <v>54</v>
      </c>
      <c r="K338" t="s">
        <v>4020</v>
      </c>
      <c r="L338" t="s">
        <v>65</v>
      </c>
      <c r="M338" t="b">
        <v>0</v>
      </c>
      <c r="N338" t="s">
        <v>190</v>
      </c>
      <c r="O338" t="b">
        <v>1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1</v>
      </c>
      <c r="X338" t="b">
        <v>0</v>
      </c>
      <c r="Y338" t="b">
        <v>0</v>
      </c>
      <c r="Z338" t="b">
        <v>0</v>
      </c>
      <c r="AA338" t="b">
        <v>0</v>
      </c>
      <c r="AB338" t="s">
        <v>2552</v>
      </c>
      <c r="AC338" t="s">
        <v>8869</v>
      </c>
    </row>
    <row r="339" spans="1:29" x14ac:dyDescent="0.3">
      <c r="A339">
        <v>-73.959037820000006</v>
      </c>
      <c r="B339">
        <v>40.788860040000003</v>
      </c>
      <c r="C339" t="s">
        <v>200</v>
      </c>
      <c r="D339" t="s">
        <v>38</v>
      </c>
      <c r="E339" s="58">
        <v>43386</v>
      </c>
      <c r="F339">
        <v>30</v>
      </c>
      <c r="G339" t="s">
        <v>105</v>
      </c>
      <c r="H339" t="s">
        <v>53</v>
      </c>
      <c r="I339" t="s">
        <v>59</v>
      </c>
      <c r="J339" t="s">
        <v>116</v>
      </c>
      <c r="K339" t="s">
        <v>1181</v>
      </c>
      <c r="L339" t="s">
        <v>65</v>
      </c>
      <c r="M339" t="b">
        <v>0</v>
      </c>
      <c r="N339" t="s">
        <v>1819</v>
      </c>
      <c r="O339" t="b">
        <v>1</v>
      </c>
      <c r="P339" t="b">
        <v>0</v>
      </c>
      <c r="Q339" t="b">
        <v>0</v>
      </c>
      <c r="R339" t="b">
        <v>1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1</v>
      </c>
      <c r="Y339" t="b">
        <v>0</v>
      </c>
      <c r="Z339" t="b">
        <v>1</v>
      </c>
      <c r="AA339" t="b">
        <v>0</v>
      </c>
      <c r="AB339" t="s">
        <v>488</v>
      </c>
      <c r="AC339" t="s">
        <v>8870</v>
      </c>
    </row>
    <row r="340" spans="1:29" x14ac:dyDescent="0.3">
      <c r="A340">
        <v>-73.966252069999996</v>
      </c>
      <c r="B340">
        <v>40.76745262</v>
      </c>
      <c r="C340" t="s">
        <v>908</v>
      </c>
      <c r="D340" t="s">
        <v>38</v>
      </c>
      <c r="E340" s="58">
        <v>43391</v>
      </c>
      <c r="F340">
        <v>6</v>
      </c>
      <c r="G340" t="s">
        <v>105</v>
      </c>
      <c r="H340" t="s">
        <v>42</v>
      </c>
      <c r="I340" t="s">
        <v>59</v>
      </c>
      <c r="J340" t="s">
        <v>79</v>
      </c>
      <c r="K340" t="s">
        <v>2517</v>
      </c>
      <c r="L340" t="s">
        <v>65</v>
      </c>
      <c r="M340" t="b">
        <v>0</v>
      </c>
      <c r="N340" t="s">
        <v>4282</v>
      </c>
      <c r="O340" t="b">
        <v>0</v>
      </c>
      <c r="P340" t="b">
        <v>0</v>
      </c>
      <c r="Q340" t="b">
        <v>0</v>
      </c>
      <c r="R340" t="b">
        <v>1</v>
      </c>
      <c r="S340" t="b">
        <v>1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s">
        <v>340</v>
      </c>
      <c r="AC340" t="s">
        <v>8871</v>
      </c>
    </row>
    <row r="341" spans="1:29" x14ac:dyDescent="0.3">
      <c r="A341">
        <v>-73.978082990000004</v>
      </c>
      <c r="B341">
        <v>40.765989879999999</v>
      </c>
      <c r="C341" t="s">
        <v>408</v>
      </c>
      <c r="D341" t="s">
        <v>38</v>
      </c>
      <c r="E341" s="58">
        <v>43381</v>
      </c>
      <c r="F341">
        <v>17</v>
      </c>
      <c r="G341" t="s">
        <v>48</v>
      </c>
      <c r="H341" t="s">
        <v>53</v>
      </c>
      <c r="I341" t="s">
        <v>59</v>
      </c>
      <c r="J341" t="s">
        <v>54</v>
      </c>
      <c r="K341" t="s">
        <v>1259</v>
      </c>
      <c r="L341" t="s">
        <v>65</v>
      </c>
      <c r="M341" t="b">
        <v>0</v>
      </c>
      <c r="N341" t="s">
        <v>456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s">
        <v>101</v>
      </c>
      <c r="AC341" t="s">
        <v>8872</v>
      </c>
    </row>
    <row r="342" spans="1:29" x14ac:dyDescent="0.3">
      <c r="A342">
        <v>-73.965703739999995</v>
      </c>
      <c r="B342">
        <v>40.773983129999998</v>
      </c>
      <c r="C342" t="s">
        <v>1292</v>
      </c>
      <c r="D342" t="s">
        <v>38</v>
      </c>
      <c r="E342" s="58">
        <v>43379</v>
      </c>
      <c r="F342">
        <v>7</v>
      </c>
      <c r="G342" t="s">
        <v>48</v>
      </c>
      <c r="H342" t="s">
        <v>42</v>
      </c>
      <c r="I342" t="s">
        <v>53</v>
      </c>
      <c r="J342" t="s">
        <v>54</v>
      </c>
      <c r="K342" t="s">
        <v>1666</v>
      </c>
      <c r="L342" t="s">
        <v>44</v>
      </c>
      <c r="M342">
        <v>10</v>
      </c>
      <c r="N342" t="s">
        <v>2357</v>
      </c>
      <c r="O342" t="b">
        <v>1</v>
      </c>
      <c r="P342" t="b">
        <v>0</v>
      </c>
      <c r="Q342" t="b">
        <v>0</v>
      </c>
      <c r="R342" t="b">
        <v>0</v>
      </c>
      <c r="S342" t="b">
        <v>0</v>
      </c>
      <c r="T342" t="b">
        <v>1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1</v>
      </c>
      <c r="AA342" t="b">
        <v>0</v>
      </c>
      <c r="AB342" t="s">
        <v>1893</v>
      </c>
      <c r="AC342" t="s">
        <v>8873</v>
      </c>
    </row>
    <row r="343" spans="1:29" x14ac:dyDescent="0.3">
      <c r="A343">
        <v>-73.966274139999996</v>
      </c>
      <c r="B343">
        <v>40.781198629999999</v>
      </c>
      <c r="C343" t="s">
        <v>1211</v>
      </c>
      <c r="D343" t="s">
        <v>38</v>
      </c>
      <c r="E343" s="58">
        <v>43381</v>
      </c>
      <c r="F343">
        <v>25</v>
      </c>
      <c r="G343" t="s">
        <v>105</v>
      </c>
      <c r="H343" t="s">
        <v>53</v>
      </c>
      <c r="I343" t="s">
        <v>53</v>
      </c>
      <c r="J343" t="s">
        <v>43</v>
      </c>
      <c r="K343" t="s">
        <v>64</v>
      </c>
      <c r="L343" t="s">
        <v>65</v>
      </c>
      <c r="M343" t="b">
        <v>0</v>
      </c>
      <c r="N343" t="s">
        <v>6373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1</v>
      </c>
      <c r="AA343" t="b">
        <v>0</v>
      </c>
      <c r="AB343" t="s">
        <v>121</v>
      </c>
      <c r="AC343" t="s">
        <v>8874</v>
      </c>
    </row>
    <row r="344" spans="1:29" x14ac:dyDescent="0.3">
      <c r="A344">
        <v>-73.975713670000005</v>
      </c>
      <c r="B344">
        <v>40.795480679999997</v>
      </c>
      <c r="C344" t="s">
        <v>1581</v>
      </c>
      <c r="D344" t="s">
        <v>38</v>
      </c>
      <c r="E344" s="58">
        <v>43390</v>
      </c>
      <c r="F344">
        <v>5</v>
      </c>
      <c r="G344" t="s">
        <v>105</v>
      </c>
      <c r="H344" t="s">
        <v>42</v>
      </c>
      <c r="I344" t="s">
        <v>59</v>
      </c>
      <c r="J344" t="s">
        <v>43</v>
      </c>
      <c r="K344" t="s">
        <v>531</v>
      </c>
      <c r="L344" t="s">
        <v>65</v>
      </c>
      <c r="M344" t="b">
        <v>0</v>
      </c>
      <c r="N344" t="s">
        <v>2833</v>
      </c>
      <c r="O344" t="b">
        <v>0</v>
      </c>
      <c r="P344" t="b">
        <v>0</v>
      </c>
      <c r="Q344" t="b">
        <v>1</v>
      </c>
      <c r="R344" t="b">
        <v>0</v>
      </c>
      <c r="S344" t="b">
        <v>1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1</v>
      </c>
      <c r="AB344" t="s">
        <v>2643</v>
      </c>
      <c r="AC344" t="s">
        <v>8875</v>
      </c>
    </row>
    <row r="345" spans="1:29" x14ac:dyDescent="0.3">
      <c r="A345">
        <v>-73.967519670000001</v>
      </c>
      <c r="B345">
        <v>40.790512730000003</v>
      </c>
      <c r="C345" t="s">
        <v>2056</v>
      </c>
      <c r="D345" t="s">
        <v>33</v>
      </c>
      <c r="E345" s="58">
        <v>43381</v>
      </c>
      <c r="F345">
        <v>5</v>
      </c>
      <c r="G345" t="s">
        <v>48</v>
      </c>
      <c r="H345" t="s">
        <v>42</v>
      </c>
      <c r="I345" t="s">
        <v>176</v>
      </c>
      <c r="J345" t="s">
        <v>43</v>
      </c>
      <c r="K345" t="s">
        <v>2311</v>
      </c>
      <c r="L345" t="s">
        <v>65</v>
      </c>
      <c r="M345" t="b">
        <v>0</v>
      </c>
      <c r="N345" t="s">
        <v>4566</v>
      </c>
      <c r="O345" t="b">
        <v>1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1</v>
      </c>
      <c r="Y345" t="b">
        <v>0</v>
      </c>
      <c r="Z345" t="b">
        <v>0</v>
      </c>
      <c r="AA345" t="b">
        <v>1</v>
      </c>
      <c r="AB345" t="s">
        <v>7371</v>
      </c>
      <c r="AC345" t="s">
        <v>8876</v>
      </c>
    </row>
    <row r="346" spans="1:29" x14ac:dyDescent="0.3">
      <c r="A346">
        <v>-73.968630860000005</v>
      </c>
      <c r="B346">
        <v>40.791059769999997</v>
      </c>
      <c r="C346" t="s">
        <v>1632</v>
      </c>
      <c r="D346" t="s">
        <v>33</v>
      </c>
      <c r="E346" s="58">
        <v>43383</v>
      </c>
      <c r="F346">
        <v>20</v>
      </c>
      <c r="G346" t="s">
        <v>48</v>
      </c>
      <c r="H346" t="s">
        <v>42</v>
      </c>
      <c r="I346" t="s">
        <v>53</v>
      </c>
      <c r="J346" t="s">
        <v>54</v>
      </c>
      <c r="K346" t="s">
        <v>5957</v>
      </c>
      <c r="L346" t="s">
        <v>65</v>
      </c>
      <c r="M346" t="b">
        <v>0</v>
      </c>
      <c r="N346" t="s">
        <v>456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1</v>
      </c>
      <c r="AA346" t="b">
        <v>0</v>
      </c>
      <c r="AB346" t="s">
        <v>101</v>
      </c>
      <c r="AC346" t="s">
        <v>8877</v>
      </c>
    </row>
    <row r="347" spans="1:29" x14ac:dyDescent="0.3">
      <c r="A347">
        <v>-73.961798220000006</v>
      </c>
      <c r="B347">
        <v>40.779891370000001</v>
      </c>
      <c r="C347" t="s">
        <v>604</v>
      </c>
      <c r="D347" t="s">
        <v>38</v>
      </c>
      <c r="E347" s="58">
        <v>43389</v>
      </c>
      <c r="F347">
        <v>16</v>
      </c>
      <c r="G347" t="s">
        <v>48</v>
      </c>
      <c r="H347" t="s">
        <v>53</v>
      </c>
      <c r="I347" t="s">
        <v>59</v>
      </c>
      <c r="J347" t="s">
        <v>54</v>
      </c>
      <c r="K347" t="s">
        <v>1934</v>
      </c>
      <c r="L347" t="s">
        <v>65</v>
      </c>
      <c r="M347" t="b">
        <v>0</v>
      </c>
      <c r="N347" t="s">
        <v>958</v>
      </c>
      <c r="O347" t="b">
        <v>0</v>
      </c>
      <c r="P347" t="b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1</v>
      </c>
      <c r="AB347" t="s">
        <v>5188</v>
      </c>
      <c r="AC347" t="s">
        <v>8878</v>
      </c>
    </row>
    <row r="348" spans="1:29" x14ac:dyDescent="0.3">
      <c r="A348">
        <v>-73.961193260000002</v>
      </c>
      <c r="B348">
        <v>40.777090299999998</v>
      </c>
      <c r="C348" t="s">
        <v>925</v>
      </c>
      <c r="D348" t="s">
        <v>33</v>
      </c>
      <c r="E348" s="58">
        <v>43390</v>
      </c>
      <c r="F348">
        <v>19</v>
      </c>
      <c r="G348" t="s">
        <v>48</v>
      </c>
      <c r="H348" t="s">
        <v>42</v>
      </c>
      <c r="I348" t="s">
        <v>59</v>
      </c>
      <c r="J348" t="s">
        <v>54</v>
      </c>
      <c r="K348" t="s">
        <v>49</v>
      </c>
      <c r="L348" t="s">
        <v>44</v>
      </c>
      <c r="M348">
        <v>5</v>
      </c>
      <c r="N348" t="s">
        <v>6050</v>
      </c>
      <c r="O348" t="b">
        <v>0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s">
        <v>511</v>
      </c>
      <c r="AC348" t="s">
        <v>8879</v>
      </c>
    </row>
    <row r="349" spans="1:29" x14ac:dyDescent="0.3">
      <c r="A349">
        <v>-73.979734370000003</v>
      </c>
      <c r="B349">
        <v>40.777974149999999</v>
      </c>
      <c r="C349" t="s">
        <v>104</v>
      </c>
      <c r="D349" t="s">
        <v>33</v>
      </c>
      <c r="E349" s="58">
        <v>43390</v>
      </c>
      <c r="F349">
        <v>9</v>
      </c>
      <c r="G349" t="s">
        <v>48</v>
      </c>
      <c r="H349" t="s">
        <v>42</v>
      </c>
      <c r="I349" t="s">
        <v>59</v>
      </c>
      <c r="J349" t="s">
        <v>705</v>
      </c>
      <c r="K349" t="s">
        <v>3883</v>
      </c>
      <c r="L349" t="s">
        <v>44</v>
      </c>
      <c r="M349">
        <v>6</v>
      </c>
      <c r="N349" t="s">
        <v>3239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1</v>
      </c>
      <c r="AA349" t="b">
        <v>0</v>
      </c>
      <c r="AB349" t="s">
        <v>3348</v>
      </c>
      <c r="AC349" t="s">
        <v>8880</v>
      </c>
    </row>
    <row r="350" spans="1:29" x14ac:dyDescent="0.3">
      <c r="A350">
        <v>-73.969381949999999</v>
      </c>
      <c r="B350">
        <v>40.799683690000002</v>
      </c>
      <c r="C350" t="s">
        <v>571</v>
      </c>
      <c r="D350" t="s">
        <v>33</v>
      </c>
      <c r="E350" s="58">
        <v>43382</v>
      </c>
      <c r="F350">
        <v>5</v>
      </c>
      <c r="G350" t="s">
        <v>48</v>
      </c>
      <c r="H350" t="s">
        <v>53</v>
      </c>
      <c r="I350" t="s">
        <v>53</v>
      </c>
      <c r="J350" t="s">
        <v>54</v>
      </c>
      <c r="K350" t="s">
        <v>4594</v>
      </c>
      <c r="L350" t="s">
        <v>65</v>
      </c>
      <c r="M350" t="b">
        <v>0</v>
      </c>
      <c r="N350" t="s">
        <v>2220</v>
      </c>
      <c r="O350" t="b">
        <v>1</v>
      </c>
      <c r="P350" t="b">
        <v>0</v>
      </c>
      <c r="Q350" t="b">
        <v>0</v>
      </c>
      <c r="R350" t="b">
        <v>1</v>
      </c>
      <c r="S350" t="b">
        <v>1</v>
      </c>
      <c r="T350" t="b">
        <v>0</v>
      </c>
      <c r="U350" t="b">
        <v>0</v>
      </c>
      <c r="V350" t="b">
        <v>0</v>
      </c>
      <c r="W350" t="b">
        <v>0</v>
      </c>
      <c r="X350" t="b">
        <v>1</v>
      </c>
      <c r="Y350" t="b">
        <v>0</v>
      </c>
      <c r="Z350" t="b">
        <v>0</v>
      </c>
      <c r="AA350" t="b">
        <v>0</v>
      </c>
      <c r="AB350" t="s">
        <v>2974</v>
      </c>
      <c r="AC350" t="s">
        <v>8881</v>
      </c>
    </row>
    <row r="351" spans="1:29" x14ac:dyDescent="0.3">
      <c r="A351">
        <v>-73.961483540000003</v>
      </c>
      <c r="B351">
        <v>40.76632283</v>
      </c>
      <c r="C351" t="s">
        <v>729</v>
      </c>
      <c r="D351" t="s">
        <v>33</v>
      </c>
      <c r="E351" s="58">
        <v>43391</v>
      </c>
      <c r="F351">
        <v>8</v>
      </c>
      <c r="G351" t="s">
        <v>48</v>
      </c>
      <c r="H351" t="s">
        <v>42</v>
      </c>
      <c r="I351" t="s">
        <v>96</v>
      </c>
      <c r="J351" t="s">
        <v>54</v>
      </c>
      <c r="K351" t="s">
        <v>1896</v>
      </c>
      <c r="L351" t="s">
        <v>65</v>
      </c>
      <c r="M351" t="b">
        <v>0</v>
      </c>
      <c r="N351" t="s">
        <v>2619</v>
      </c>
      <c r="O351" t="b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1</v>
      </c>
      <c r="Y351" t="b">
        <v>0</v>
      </c>
      <c r="Z351" t="b">
        <v>1</v>
      </c>
      <c r="AA351" t="b">
        <v>0</v>
      </c>
      <c r="AB351" t="s">
        <v>6161</v>
      </c>
      <c r="AC351" t="s">
        <v>8882</v>
      </c>
    </row>
    <row r="352" spans="1:29" x14ac:dyDescent="0.3">
      <c r="A352">
        <v>-73.96534158</v>
      </c>
      <c r="B352">
        <v>40.795436979999998</v>
      </c>
      <c r="C352" t="s">
        <v>1407</v>
      </c>
      <c r="D352" t="s">
        <v>33</v>
      </c>
      <c r="E352" s="58">
        <v>43382</v>
      </c>
      <c r="F352">
        <v>9</v>
      </c>
      <c r="G352" t="s">
        <v>48</v>
      </c>
      <c r="H352" t="s">
        <v>42</v>
      </c>
      <c r="I352" t="s">
        <v>59</v>
      </c>
      <c r="J352" t="s">
        <v>43</v>
      </c>
      <c r="K352" t="s">
        <v>1688</v>
      </c>
      <c r="L352" t="s">
        <v>44</v>
      </c>
      <c r="M352">
        <v>25</v>
      </c>
      <c r="N352" t="s">
        <v>1879</v>
      </c>
      <c r="O352" t="b">
        <v>1</v>
      </c>
      <c r="P352" t="b">
        <v>0</v>
      </c>
      <c r="Q352" t="b">
        <v>0</v>
      </c>
      <c r="R352" t="b">
        <v>1</v>
      </c>
      <c r="S352" t="b">
        <v>1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s">
        <v>511</v>
      </c>
      <c r="AC352" t="s">
        <v>8883</v>
      </c>
    </row>
    <row r="353" spans="1:29" x14ac:dyDescent="0.3">
      <c r="A353">
        <v>-73.954233270000003</v>
      </c>
      <c r="B353">
        <v>40.785284590000003</v>
      </c>
      <c r="C353" t="s">
        <v>1635</v>
      </c>
      <c r="D353" t="s">
        <v>33</v>
      </c>
      <c r="E353" s="58">
        <v>43387</v>
      </c>
      <c r="F353">
        <v>5</v>
      </c>
      <c r="G353" t="s">
        <v>48</v>
      </c>
      <c r="H353" t="s">
        <v>42</v>
      </c>
      <c r="I353" t="s">
        <v>59</v>
      </c>
      <c r="J353" t="s">
        <v>43</v>
      </c>
      <c r="K353" t="s">
        <v>2637</v>
      </c>
      <c r="L353" t="s">
        <v>44</v>
      </c>
      <c r="M353">
        <v>4</v>
      </c>
      <c r="N353" t="s">
        <v>190</v>
      </c>
      <c r="O353" t="b">
        <v>0</v>
      </c>
      <c r="P353" t="b">
        <v>0</v>
      </c>
      <c r="Q353" t="b">
        <v>1</v>
      </c>
      <c r="R353" t="b">
        <v>0</v>
      </c>
      <c r="S353" t="b">
        <v>1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1</v>
      </c>
      <c r="AB353" t="s">
        <v>1497</v>
      </c>
      <c r="AC353" t="s">
        <v>8884</v>
      </c>
    </row>
    <row r="354" spans="1:29" x14ac:dyDescent="0.3">
      <c r="A354">
        <v>-73.96045135</v>
      </c>
      <c r="B354">
        <v>40.78035337</v>
      </c>
      <c r="C354" t="s">
        <v>785</v>
      </c>
      <c r="D354" t="s">
        <v>38</v>
      </c>
      <c r="E354" s="58">
        <v>43385</v>
      </c>
      <c r="F354">
        <v>10</v>
      </c>
      <c r="G354" t="s">
        <v>48</v>
      </c>
      <c r="H354" t="s">
        <v>42</v>
      </c>
      <c r="I354" t="s">
        <v>53</v>
      </c>
      <c r="J354" t="s">
        <v>97</v>
      </c>
      <c r="K354" t="s">
        <v>3208</v>
      </c>
      <c r="L354" t="s">
        <v>65</v>
      </c>
      <c r="M354" t="b">
        <v>0</v>
      </c>
      <c r="N354" t="s">
        <v>4320</v>
      </c>
      <c r="O354" t="b">
        <v>0</v>
      </c>
      <c r="P354" t="b">
        <v>1</v>
      </c>
      <c r="Q354" t="b">
        <v>0</v>
      </c>
      <c r="R354" t="b">
        <v>1</v>
      </c>
      <c r="S354" t="b">
        <v>1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s">
        <v>101</v>
      </c>
      <c r="AC354" t="s">
        <v>8885</v>
      </c>
    </row>
    <row r="355" spans="1:29" x14ac:dyDescent="0.3">
      <c r="A355">
        <v>-73.976036440000001</v>
      </c>
      <c r="B355">
        <v>40.790445429999998</v>
      </c>
      <c r="C355" t="s">
        <v>2203</v>
      </c>
      <c r="D355" t="s">
        <v>33</v>
      </c>
      <c r="E355" s="58">
        <v>43382</v>
      </c>
      <c r="F355">
        <v>25</v>
      </c>
      <c r="G355" t="s">
        <v>48</v>
      </c>
      <c r="H355" t="s">
        <v>53</v>
      </c>
      <c r="I355" t="s">
        <v>53</v>
      </c>
      <c r="J355" t="s">
        <v>79</v>
      </c>
      <c r="K355" t="s">
        <v>809</v>
      </c>
      <c r="L355" t="s">
        <v>65</v>
      </c>
      <c r="M355" t="b">
        <v>0</v>
      </c>
      <c r="N355" t="s">
        <v>2833</v>
      </c>
      <c r="O355" t="b">
        <v>0</v>
      </c>
      <c r="P355" t="b">
        <v>0</v>
      </c>
      <c r="Q355" t="b">
        <v>1</v>
      </c>
      <c r="R355" t="b">
        <v>1</v>
      </c>
      <c r="S355" t="b">
        <v>1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1</v>
      </c>
      <c r="AA355" t="b">
        <v>0</v>
      </c>
      <c r="AB355" t="s">
        <v>205</v>
      </c>
      <c r="AC355" t="s">
        <v>8886</v>
      </c>
    </row>
    <row r="356" spans="1:29" x14ac:dyDescent="0.3">
      <c r="A356">
        <v>-73.978940120000004</v>
      </c>
      <c r="B356">
        <v>40.782045240000002</v>
      </c>
      <c r="C356" t="s">
        <v>304</v>
      </c>
      <c r="D356" t="s">
        <v>33</v>
      </c>
      <c r="E356" s="58">
        <v>43381</v>
      </c>
      <c r="F356">
        <v>2</v>
      </c>
      <c r="G356" t="s">
        <v>48</v>
      </c>
      <c r="H356" t="s">
        <v>42</v>
      </c>
      <c r="I356" t="s">
        <v>53</v>
      </c>
      <c r="J356" t="s">
        <v>97</v>
      </c>
      <c r="K356" t="s">
        <v>2282</v>
      </c>
      <c r="L356" t="s">
        <v>65</v>
      </c>
      <c r="M356" t="b">
        <v>0</v>
      </c>
      <c r="N356" t="s">
        <v>4876</v>
      </c>
      <c r="O356" t="b">
        <v>0</v>
      </c>
      <c r="P356" t="b">
        <v>0</v>
      </c>
      <c r="Q356" t="b">
        <v>0</v>
      </c>
      <c r="R356" t="b">
        <v>0</v>
      </c>
      <c r="S356" t="b">
        <v>1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s">
        <v>6268</v>
      </c>
      <c r="AC356" t="s">
        <v>8887</v>
      </c>
    </row>
    <row r="357" spans="1:29" x14ac:dyDescent="0.3">
      <c r="A357">
        <v>-73.960962969999997</v>
      </c>
      <c r="B357">
        <v>40.795662020000002</v>
      </c>
      <c r="C357" t="s">
        <v>908</v>
      </c>
      <c r="D357" t="s">
        <v>33</v>
      </c>
      <c r="E357" s="58">
        <v>43384</v>
      </c>
      <c r="F357">
        <v>9</v>
      </c>
      <c r="G357" t="s">
        <v>48</v>
      </c>
      <c r="H357" t="s">
        <v>42</v>
      </c>
      <c r="I357" t="s">
        <v>96</v>
      </c>
      <c r="J357" t="s">
        <v>43</v>
      </c>
      <c r="K357" t="s">
        <v>2136</v>
      </c>
      <c r="L357" t="s">
        <v>65</v>
      </c>
      <c r="M357" t="b">
        <v>0</v>
      </c>
      <c r="N357" t="s">
        <v>6196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1</v>
      </c>
      <c r="Y357" t="b">
        <v>0</v>
      </c>
      <c r="Z357" t="b">
        <v>0</v>
      </c>
      <c r="AA357" t="b">
        <v>0</v>
      </c>
      <c r="AB357" t="s">
        <v>4636</v>
      </c>
      <c r="AC357" t="s">
        <v>8888</v>
      </c>
    </row>
    <row r="358" spans="1:29" x14ac:dyDescent="0.3">
      <c r="A358">
        <v>-73.980325149999999</v>
      </c>
      <c r="B358">
        <v>40.79662244</v>
      </c>
      <c r="C358" t="s">
        <v>1000</v>
      </c>
      <c r="D358" t="s">
        <v>38</v>
      </c>
      <c r="E358" s="58">
        <v>43381</v>
      </c>
      <c r="F358">
        <v>11</v>
      </c>
      <c r="G358" t="s">
        <v>48</v>
      </c>
      <c r="H358" t="s">
        <v>176</v>
      </c>
      <c r="I358" t="s">
        <v>53</v>
      </c>
      <c r="J358" t="s">
        <v>79</v>
      </c>
      <c r="K358" t="s">
        <v>6737</v>
      </c>
      <c r="L358" t="s">
        <v>65</v>
      </c>
      <c r="M358" t="b">
        <v>0</v>
      </c>
      <c r="N358" t="s">
        <v>3132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1</v>
      </c>
      <c r="AA358" t="b">
        <v>0</v>
      </c>
      <c r="AB358" t="s">
        <v>3975</v>
      </c>
      <c r="AC358" t="s">
        <v>8889</v>
      </c>
    </row>
    <row r="359" spans="1:29" x14ac:dyDescent="0.3">
      <c r="A359">
        <v>-73.962743660000001</v>
      </c>
      <c r="B359">
        <v>40.779758559999998</v>
      </c>
      <c r="C359" t="s">
        <v>502</v>
      </c>
      <c r="D359" t="s">
        <v>33</v>
      </c>
      <c r="E359" s="58">
        <v>43384</v>
      </c>
      <c r="F359">
        <v>4</v>
      </c>
      <c r="G359" t="s">
        <v>48</v>
      </c>
      <c r="H359" t="s">
        <v>42</v>
      </c>
      <c r="I359" t="s">
        <v>59</v>
      </c>
      <c r="J359" t="s">
        <v>43</v>
      </c>
      <c r="K359" t="s">
        <v>2458</v>
      </c>
      <c r="L359" t="s">
        <v>65</v>
      </c>
      <c r="M359" t="b">
        <v>0</v>
      </c>
      <c r="N359" t="s">
        <v>2101</v>
      </c>
      <c r="O359" t="b">
        <v>0</v>
      </c>
      <c r="P359" t="b">
        <v>0</v>
      </c>
      <c r="Q359" t="b">
        <v>0</v>
      </c>
      <c r="R359" t="b">
        <v>0</v>
      </c>
      <c r="S359" t="b">
        <v>1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1</v>
      </c>
      <c r="AA359" t="b">
        <v>0</v>
      </c>
      <c r="AB359" t="s">
        <v>1637</v>
      </c>
      <c r="AC359" t="s">
        <v>8890</v>
      </c>
    </row>
    <row r="360" spans="1:29" x14ac:dyDescent="0.3">
      <c r="A360">
        <v>-73.951600740000003</v>
      </c>
      <c r="B360">
        <v>40.774657179999998</v>
      </c>
      <c r="C360" t="s">
        <v>886</v>
      </c>
      <c r="D360" t="s">
        <v>38</v>
      </c>
      <c r="E360" s="58">
        <v>43389</v>
      </c>
      <c r="F360">
        <v>22</v>
      </c>
      <c r="G360" t="s">
        <v>105</v>
      </c>
      <c r="H360" t="s">
        <v>42</v>
      </c>
      <c r="I360" t="s">
        <v>53</v>
      </c>
      <c r="J360" t="s">
        <v>43</v>
      </c>
      <c r="K360" t="s">
        <v>2973</v>
      </c>
      <c r="L360" t="s">
        <v>65</v>
      </c>
      <c r="M360" t="b">
        <v>0</v>
      </c>
      <c r="N360" t="s">
        <v>5548</v>
      </c>
      <c r="O360" t="b">
        <v>1</v>
      </c>
      <c r="P360" t="b">
        <v>0</v>
      </c>
      <c r="Q360" t="b">
        <v>0</v>
      </c>
      <c r="R360" t="b">
        <v>1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1</v>
      </c>
      <c r="AB360" t="s">
        <v>5921</v>
      </c>
      <c r="AC360" t="s">
        <v>8891</v>
      </c>
    </row>
    <row r="361" spans="1:29" x14ac:dyDescent="0.3">
      <c r="A361">
        <v>-73.963067510000002</v>
      </c>
      <c r="B361">
        <v>40.785766049999999</v>
      </c>
      <c r="C361" t="s">
        <v>1701</v>
      </c>
      <c r="D361" t="s">
        <v>38</v>
      </c>
      <c r="E361" s="58">
        <v>43391</v>
      </c>
      <c r="F361">
        <v>22</v>
      </c>
      <c r="G361" t="s">
        <v>48</v>
      </c>
      <c r="H361" t="s">
        <v>42</v>
      </c>
      <c r="I361" t="s">
        <v>59</v>
      </c>
      <c r="J361" t="s">
        <v>43</v>
      </c>
      <c r="K361" t="s">
        <v>5180</v>
      </c>
      <c r="L361" t="s">
        <v>65</v>
      </c>
      <c r="M361" t="b">
        <v>0</v>
      </c>
      <c r="N361" t="s">
        <v>4445</v>
      </c>
      <c r="O361" t="b">
        <v>1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1</v>
      </c>
      <c r="Z361" t="b">
        <v>0</v>
      </c>
      <c r="AA361" t="b">
        <v>0</v>
      </c>
      <c r="AB361" t="s">
        <v>475</v>
      </c>
      <c r="AC361" t="s">
        <v>8892</v>
      </c>
    </row>
    <row r="362" spans="1:29" x14ac:dyDescent="0.3">
      <c r="A362">
        <v>-73.96895576</v>
      </c>
      <c r="B362">
        <v>40.797033020000001</v>
      </c>
      <c r="C362" t="s">
        <v>47</v>
      </c>
      <c r="D362" t="s">
        <v>38</v>
      </c>
      <c r="E362" s="58">
        <v>43389</v>
      </c>
      <c r="F362">
        <v>22</v>
      </c>
      <c r="G362" t="s">
        <v>48</v>
      </c>
      <c r="H362" t="s">
        <v>42</v>
      </c>
      <c r="I362" t="s">
        <v>59</v>
      </c>
      <c r="J362" t="s">
        <v>43</v>
      </c>
      <c r="K362" t="s">
        <v>6869</v>
      </c>
      <c r="L362" t="s">
        <v>44</v>
      </c>
      <c r="M362">
        <v>6</v>
      </c>
      <c r="N362" t="s">
        <v>368</v>
      </c>
      <c r="O362" t="b">
        <v>0</v>
      </c>
      <c r="P362" t="b">
        <v>0</v>
      </c>
      <c r="Q362" t="b">
        <v>0</v>
      </c>
      <c r="R362" t="b">
        <v>1</v>
      </c>
      <c r="S362" t="b">
        <v>1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1</v>
      </c>
      <c r="AA362" t="b">
        <v>0</v>
      </c>
      <c r="AB362" t="s">
        <v>1367</v>
      </c>
      <c r="AC362" t="s">
        <v>8893</v>
      </c>
    </row>
    <row r="363" spans="1:29" x14ac:dyDescent="0.3">
      <c r="A363">
        <v>-73.960935649999996</v>
      </c>
      <c r="B363">
        <v>40.772327629999999</v>
      </c>
      <c r="C363" t="s">
        <v>985</v>
      </c>
      <c r="D363" t="s">
        <v>33</v>
      </c>
      <c r="E363" s="58">
        <v>43391</v>
      </c>
      <c r="F363">
        <v>2</v>
      </c>
      <c r="G363" t="s">
        <v>48</v>
      </c>
      <c r="H363" t="s">
        <v>42</v>
      </c>
      <c r="I363" t="s">
        <v>53</v>
      </c>
      <c r="J363" t="s">
        <v>54</v>
      </c>
      <c r="K363" t="s">
        <v>4814</v>
      </c>
      <c r="L363" t="s">
        <v>44</v>
      </c>
      <c r="M363">
        <v>25</v>
      </c>
      <c r="N363" t="s">
        <v>456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1</v>
      </c>
      <c r="V363" t="b">
        <v>0</v>
      </c>
      <c r="W363" t="b">
        <v>0</v>
      </c>
      <c r="X363" t="b">
        <v>0</v>
      </c>
      <c r="Y363" t="b">
        <v>0</v>
      </c>
      <c r="Z363" t="b">
        <v>1</v>
      </c>
      <c r="AA363" t="b">
        <v>0</v>
      </c>
      <c r="AB363" t="s">
        <v>1203</v>
      </c>
      <c r="AC363" t="s">
        <v>8894</v>
      </c>
    </row>
    <row r="364" spans="1:29" x14ac:dyDescent="0.3">
      <c r="A364">
        <v>-73.966752569999997</v>
      </c>
      <c r="B364">
        <v>40.78684398</v>
      </c>
      <c r="C364" t="s">
        <v>82</v>
      </c>
      <c r="D364" t="s">
        <v>38</v>
      </c>
      <c r="E364" s="58">
        <v>43391</v>
      </c>
      <c r="F364">
        <v>23</v>
      </c>
      <c r="G364" t="s">
        <v>105</v>
      </c>
      <c r="H364" t="s">
        <v>53</v>
      </c>
      <c r="I364" t="s">
        <v>53</v>
      </c>
      <c r="J364" t="s">
        <v>43</v>
      </c>
      <c r="K364" t="s">
        <v>1005</v>
      </c>
      <c r="L364" t="s">
        <v>65</v>
      </c>
      <c r="M364" t="b">
        <v>0</v>
      </c>
      <c r="N364" t="s">
        <v>140</v>
      </c>
      <c r="O364" t="b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1</v>
      </c>
      <c r="AA364" t="b">
        <v>0</v>
      </c>
      <c r="AB364" t="s">
        <v>669</v>
      </c>
      <c r="AC364" t="s">
        <v>8895</v>
      </c>
    </row>
    <row r="365" spans="1:29" x14ac:dyDescent="0.3">
      <c r="A365">
        <v>-73.964006130000001</v>
      </c>
      <c r="B365">
        <v>40.787146550000003</v>
      </c>
      <c r="C365" t="s">
        <v>2085</v>
      </c>
      <c r="D365" t="s">
        <v>33</v>
      </c>
      <c r="E365" s="58">
        <v>43390</v>
      </c>
      <c r="F365">
        <v>29</v>
      </c>
      <c r="G365" t="s">
        <v>48</v>
      </c>
      <c r="H365" t="s">
        <v>42</v>
      </c>
      <c r="I365" t="s">
        <v>53</v>
      </c>
      <c r="J365" t="s">
        <v>1142</v>
      </c>
      <c r="K365" t="s">
        <v>5787</v>
      </c>
      <c r="L365" t="s">
        <v>44</v>
      </c>
      <c r="M365">
        <v>4</v>
      </c>
      <c r="N365" t="s">
        <v>2574</v>
      </c>
      <c r="O365" t="b">
        <v>0</v>
      </c>
      <c r="P365" t="b">
        <v>0</v>
      </c>
      <c r="Q365" t="b">
        <v>0</v>
      </c>
      <c r="R365" t="b">
        <v>1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1</v>
      </c>
      <c r="AA365" t="b">
        <v>1</v>
      </c>
      <c r="AB365" t="s">
        <v>121</v>
      </c>
      <c r="AC365" t="s">
        <v>8896</v>
      </c>
    </row>
    <row r="366" spans="1:29" x14ac:dyDescent="0.3">
      <c r="A366">
        <v>-73.951561929999997</v>
      </c>
      <c r="B366">
        <v>40.790722000000002</v>
      </c>
      <c r="C366" t="s">
        <v>221</v>
      </c>
      <c r="D366" t="s">
        <v>38</v>
      </c>
      <c r="E366" s="58">
        <v>43387</v>
      </c>
      <c r="F366">
        <v>6</v>
      </c>
      <c r="G366" t="s">
        <v>48</v>
      </c>
      <c r="H366" t="s">
        <v>42</v>
      </c>
      <c r="I366" t="s">
        <v>59</v>
      </c>
      <c r="J366" t="s">
        <v>54</v>
      </c>
      <c r="K366" t="s">
        <v>894</v>
      </c>
      <c r="L366" t="s">
        <v>65</v>
      </c>
      <c r="M366" t="b">
        <v>0</v>
      </c>
      <c r="N366" t="s">
        <v>1575</v>
      </c>
      <c r="O366" t="b">
        <v>0</v>
      </c>
      <c r="P366" t="b">
        <v>0</v>
      </c>
      <c r="Q366" t="b">
        <v>1</v>
      </c>
      <c r="R366" t="b">
        <v>0</v>
      </c>
      <c r="S366" t="b">
        <v>1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s">
        <v>511</v>
      </c>
      <c r="AC366" t="s">
        <v>8897</v>
      </c>
    </row>
    <row r="367" spans="1:29" x14ac:dyDescent="0.3">
      <c r="A367">
        <v>-73.969020740000005</v>
      </c>
      <c r="B367">
        <v>40.769542880000003</v>
      </c>
      <c r="C367" t="s">
        <v>92</v>
      </c>
      <c r="D367" t="s">
        <v>38</v>
      </c>
      <c r="E367" s="58">
        <v>43384</v>
      </c>
      <c r="F367">
        <v>27</v>
      </c>
      <c r="G367" t="s">
        <v>48</v>
      </c>
      <c r="H367" t="s">
        <v>42</v>
      </c>
      <c r="I367" t="s">
        <v>59</v>
      </c>
      <c r="J367" t="s">
        <v>43</v>
      </c>
      <c r="K367" t="s">
        <v>5558</v>
      </c>
      <c r="L367" t="s">
        <v>44</v>
      </c>
      <c r="M367">
        <v>6</v>
      </c>
      <c r="N367" t="s">
        <v>4958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1</v>
      </c>
      <c r="AA367" t="b">
        <v>0</v>
      </c>
      <c r="AB367" t="s">
        <v>2713</v>
      </c>
      <c r="AC367" t="s">
        <v>8898</v>
      </c>
    </row>
    <row r="368" spans="1:29" x14ac:dyDescent="0.3">
      <c r="A368">
        <v>-73.950941810000003</v>
      </c>
      <c r="B368">
        <v>40.790113329999997</v>
      </c>
      <c r="C368" t="s">
        <v>908</v>
      </c>
      <c r="D368" t="s">
        <v>33</v>
      </c>
      <c r="E368" s="58">
        <v>43390</v>
      </c>
      <c r="F368">
        <v>14</v>
      </c>
      <c r="G368" t="s">
        <v>48</v>
      </c>
      <c r="H368" t="s">
        <v>42</v>
      </c>
      <c r="I368" t="s">
        <v>53</v>
      </c>
      <c r="J368" t="s">
        <v>43</v>
      </c>
      <c r="K368" t="s">
        <v>5481</v>
      </c>
      <c r="L368" t="s">
        <v>65</v>
      </c>
      <c r="M368" t="b">
        <v>0</v>
      </c>
      <c r="N368" t="s">
        <v>6664</v>
      </c>
      <c r="O368" t="b">
        <v>0</v>
      </c>
      <c r="P368" t="b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1</v>
      </c>
      <c r="AA368" t="b">
        <v>0</v>
      </c>
      <c r="AB368" t="s">
        <v>2671</v>
      </c>
      <c r="AC368" t="s">
        <v>8899</v>
      </c>
    </row>
    <row r="369" spans="1:29" x14ac:dyDescent="0.3">
      <c r="A369">
        <v>-73.952697240000006</v>
      </c>
      <c r="B369">
        <v>40.796915749999997</v>
      </c>
      <c r="C369" t="s">
        <v>1515</v>
      </c>
      <c r="D369" t="s">
        <v>33</v>
      </c>
      <c r="E369" s="58">
        <v>43382</v>
      </c>
      <c r="F369">
        <v>1</v>
      </c>
      <c r="G369" t="s">
        <v>48</v>
      </c>
      <c r="H369" t="s">
        <v>53</v>
      </c>
      <c r="I369" t="s">
        <v>59</v>
      </c>
      <c r="J369" t="s">
        <v>79</v>
      </c>
      <c r="K369" t="s">
        <v>4308</v>
      </c>
      <c r="L369" t="s">
        <v>65</v>
      </c>
      <c r="M369" t="b">
        <v>0</v>
      </c>
      <c r="N369" t="s">
        <v>4504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1</v>
      </c>
      <c r="Y369" t="b">
        <v>0</v>
      </c>
      <c r="Z369" t="b">
        <v>0</v>
      </c>
      <c r="AA369" t="b">
        <v>0</v>
      </c>
      <c r="AB369" t="s">
        <v>1660</v>
      </c>
      <c r="AC369" t="s">
        <v>8900</v>
      </c>
    </row>
    <row r="370" spans="1:29" x14ac:dyDescent="0.3">
      <c r="A370">
        <v>-73.975003529999995</v>
      </c>
      <c r="B370">
        <v>40.77123692</v>
      </c>
      <c r="C370" t="s">
        <v>1245</v>
      </c>
      <c r="D370" t="s">
        <v>33</v>
      </c>
      <c r="E370" s="58">
        <v>43393</v>
      </c>
      <c r="F370">
        <v>18</v>
      </c>
      <c r="G370" t="s">
        <v>48</v>
      </c>
      <c r="H370" t="s">
        <v>53</v>
      </c>
      <c r="I370" t="s">
        <v>53</v>
      </c>
      <c r="J370" t="s">
        <v>43</v>
      </c>
      <c r="K370" t="s">
        <v>4110</v>
      </c>
      <c r="L370" t="s">
        <v>65</v>
      </c>
      <c r="M370" t="b">
        <v>0</v>
      </c>
      <c r="N370" t="s">
        <v>1374</v>
      </c>
      <c r="O370" t="b">
        <v>0</v>
      </c>
      <c r="P370" t="b">
        <v>1</v>
      </c>
      <c r="Q370" t="b">
        <v>0</v>
      </c>
      <c r="R370" t="b">
        <v>0</v>
      </c>
      <c r="S370" t="b">
        <v>1</v>
      </c>
      <c r="T370" t="b">
        <v>1</v>
      </c>
      <c r="U370" t="b">
        <v>0</v>
      </c>
      <c r="V370" t="b">
        <v>0</v>
      </c>
      <c r="W370" t="b">
        <v>0</v>
      </c>
      <c r="X370" t="b">
        <v>1</v>
      </c>
      <c r="Y370" t="b">
        <v>0</v>
      </c>
      <c r="Z370" t="b">
        <v>1</v>
      </c>
      <c r="AA370" t="b">
        <v>0</v>
      </c>
      <c r="AB370" t="s">
        <v>4013</v>
      </c>
      <c r="AC370" t="s">
        <v>8901</v>
      </c>
    </row>
    <row r="371" spans="1:29" x14ac:dyDescent="0.3">
      <c r="A371">
        <v>-73.978978080000005</v>
      </c>
      <c r="B371">
        <v>40.773274059999999</v>
      </c>
      <c r="C371" t="s">
        <v>704</v>
      </c>
      <c r="D371" t="s">
        <v>38</v>
      </c>
      <c r="E371" s="58">
        <v>43383</v>
      </c>
      <c r="F371">
        <v>7</v>
      </c>
      <c r="G371" t="s">
        <v>48</v>
      </c>
      <c r="H371" t="s">
        <v>42</v>
      </c>
      <c r="I371" t="s">
        <v>53</v>
      </c>
      <c r="J371" t="s">
        <v>60</v>
      </c>
      <c r="K371" t="s">
        <v>1181</v>
      </c>
      <c r="L371" t="s">
        <v>65</v>
      </c>
      <c r="M371" t="b">
        <v>0</v>
      </c>
      <c r="N371" t="s">
        <v>4326</v>
      </c>
      <c r="O371" t="b">
        <v>0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s">
        <v>4501</v>
      </c>
      <c r="AC371" t="s">
        <v>8902</v>
      </c>
    </row>
    <row r="372" spans="1:29" x14ac:dyDescent="0.3">
      <c r="A372">
        <v>-73.977990439999999</v>
      </c>
      <c r="B372">
        <v>40.799111400000001</v>
      </c>
      <c r="C372" t="s">
        <v>298</v>
      </c>
      <c r="D372" t="s">
        <v>33</v>
      </c>
      <c r="E372" s="58">
        <v>43391</v>
      </c>
      <c r="F372">
        <v>1</v>
      </c>
      <c r="G372" t="s">
        <v>48</v>
      </c>
      <c r="H372" t="s">
        <v>42</v>
      </c>
      <c r="I372" t="s">
        <v>53</v>
      </c>
      <c r="J372" t="s">
        <v>149</v>
      </c>
      <c r="K372" t="s">
        <v>1259</v>
      </c>
      <c r="L372" t="s">
        <v>44</v>
      </c>
      <c r="M372">
        <v>20</v>
      </c>
      <c r="N372" t="s">
        <v>449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1</v>
      </c>
      <c r="X372" t="b">
        <v>0</v>
      </c>
      <c r="Y372" t="b">
        <v>0</v>
      </c>
      <c r="Z372" t="b">
        <v>0</v>
      </c>
      <c r="AA372" t="b">
        <v>0</v>
      </c>
      <c r="AB372" t="s">
        <v>6487</v>
      </c>
      <c r="AC372" t="s">
        <v>8903</v>
      </c>
    </row>
    <row r="373" spans="1:29" x14ac:dyDescent="0.3">
      <c r="A373">
        <v>-73.980585739999995</v>
      </c>
      <c r="B373">
        <v>40.771282480000004</v>
      </c>
      <c r="C373" t="s">
        <v>642</v>
      </c>
      <c r="D373" t="s">
        <v>38</v>
      </c>
      <c r="E373" s="58">
        <v>43384</v>
      </c>
      <c r="F373">
        <v>1</v>
      </c>
      <c r="G373" t="s">
        <v>48</v>
      </c>
      <c r="H373" t="s">
        <v>42</v>
      </c>
      <c r="I373" t="s">
        <v>42</v>
      </c>
      <c r="J373" t="s">
        <v>43</v>
      </c>
      <c r="K373" t="s">
        <v>1181</v>
      </c>
      <c r="L373" t="s">
        <v>65</v>
      </c>
      <c r="M373" t="b">
        <v>0</v>
      </c>
      <c r="N373" t="s">
        <v>748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s">
        <v>2350</v>
      </c>
      <c r="AC373" t="s">
        <v>8904</v>
      </c>
    </row>
    <row r="374" spans="1:29" x14ac:dyDescent="0.3">
      <c r="A374">
        <v>-73.978189599999993</v>
      </c>
      <c r="B374">
        <v>40.79499173</v>
      </c>
      <c r="C374" t="s">
        <v>1083</v>
      </c>
      <c r="D374" t="s">
        <v>33</v>
      </c>
      <c r="E374" s="58">
        <v>43389</v>
      </c>
      <c r="F374">
        <v>1</v>
      </c>
      <c r="G374" t="s">
        <v>48</v>
      </c>
      <c r="H374" t="s">
        <v>42</v>
      </c>
      <c r="I374" t="s">
        <v>53</v>
      </c>
      <c r="J374" t="s">
        <v>54</v>
      </c>
      <c r="K374" t="s">
        <v>4317</v>
      </c>
      <c r="L374" t="s">
        <v>65</v>
      </c>
      <c r="M374" t="b">
        <v>0</v>
      </c>
      <c r="N374" t="s">
        <v>190</v>
      </c>
      <c r="O374" t="b">
        <v>0</v>
      </c>
      <c r="P374" t="b">
        <v>0</v>
      </c>
      <c r="Q374" t="b">
        <v>0</v>
      </c>
      <c r="R374" t="b">
        <v>0</v>
      </c>
      <c r="S374" t="b">
        <v>1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s">
        <v>4589</v>
      </c>
      <c r="AC374" t="s">
        <v>8905</v>
      </c>
    </row>
    <row r="375" spans="1:29" x14ac:dyDescent="0.3">
      <c r="A375">
        <v>-73.959687020000004</v>
      </c>
      <c r="B375">
        <v>40.782242709999998</v>
      </c>
      <c r="C375" t="s">
        <v>37</v>
      </c>
      <c r="D375" t="s">
        <v>38</v>
      </c>
      <c r="E375" s="58">
        <v>43381</v>
      </c>
      <c r="F375">
        <v>24</v>
      </c>
      <c r="G375" t="s">
        <v>48</v>
      </c>
      <c r="H375" t="s">
        <v>42</v>
      </c>
      <c r="I375" t="s">
        <v>53</v>
      </c>
      <c r="J375" t="s">
        <v>43</v>
      </c>
      <c r="K375" t="s">
        <v>442</v>
      </c>
      <c r="L375" t="s">
        <v>65</v>
      </c>
      <c r="M375" t="b">
        <v>0</v>
      </c>
      <c r="N375" t="s">
        <v>1575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1</v>
      </c>
      <c r="AA375" t="b">
        <v>0</v>
      </c>
      <c r="AB375" t="s">
        <v>4197</v>
      </c>
      <c r="AC375" t="s">
        <v>8906</v>
      </c>
    </row>
    <row r="376" spans="1:29" x14ac:dyDescent="0.3">
      <c r="A376">
        <v>-73.978920639999998</v>
      </c>
      <c r="B376">
        <v>40.773615139999997</v>
      </c>
      <c r="C376" t="s">
        <v>796</v>
      </c>
      <c r="D376" t="s">
        <v>38</v>
      </c>
      <c r="E376" s="58">
        <v>43386</v>
      </c>
      <c r="F376">
        <v>4</v>
      </c>
      <c r="G376" t="s">
        <v>48</v>
      </c>
      <c r="H376" t="s">
        <v>42</v>
      </c>
      <c r="I376" t="s">
        <v>53</v>
      </c>
      <c r="J376" t="s">
        <v>79</v>
      </c>
      <c r="K376" t="s">
        <v>1381</v>
      </c>
      <c r="L376" t="s">
        <v>65</v>
      </c>
      <c r="M376" t="b">
        <v>0</v>
      </c>
      <c r="N376" t="s">
        <v>6252</v>
      </c>
      <c r="O376" t="b">
        <v>0</v>
      </c>
      <c r="P376" t="b">
        <v>0</v>
      </c>
      <c r="Q376" t="b">
        <v>0</v>
      </c>
      <c r="R376" t="b">
        <v>0</v>
      </c>
      <c r="S376" t="b">
        <v>1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1</v>
      </c>
      <c r="AA376" t="b">
        <v>0</v>
      </c>
      <c r="AB376" t="s">
        <v>1660</v>
      </c>
      <c r="AC376" t="s">
        <v>8907</v>
      </c>
    </row>
    <row r="377" spans="1:29" x14ac:dyDescent="0.3">
      <c r="A377">
        <v>-73.971131</v>
      </c>
      <c r="B377">
        <v>40.795567900000002</v>
      </c>
      <c r="C377" t="s">
        <v>689</v>
      </c>
      <c r="D377" t="s">
        <v>38</v>
      </c>
      <c r="E377" s="58">
        <v>43382</v>
      </c>
      <c r="F377">
        <v>4</v>
      </c>
      <c r="G377" t="s">
        <v>48</v>
      </c>
      <c r="H377" t="s">
        <v>42</v>
      </c>
      <c r="I377" t="s">
        <v>53</v>
      </c>
      <c r="J377" t="s">
        <v>54</v>
      </c>
      <c r="K377" t="s">
        <v>4180</v>
      </c>
      <c r="L377" t="s">
        <v>65</v>
      </c>
      <c r="M377" t="b">
        <v>0</v>
      </c>
      <c r="N377" t="s">
        <v>424</v>
      </c>
      <c r="O377" t="b">
        <v>1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s">
        <v>1216</v>
      </c>
      <c r="AC377" t="s">
        <v>8908</v>
      </c>
    </row>
    <row r="378" spans="1:29" x14ac:dyDescent="0.3">
      <c r="A378">
        <v>-73.954598390000001</v>
      </c>
      <c r="B378">
        <v>40.780588909999999</v>
      </c>
      <c r="C378" t="s">
        <v>130</v>
      </c>
      <c r="D378" t="s">
        <v>38</v>
      </c>
      <c r="E378" s="58">
        <v>43386</v>
      </c>
      <c r="F378">
        <v>29</v>
      </c>
      <c r="G378" t="s">
        <v>48</v>
      </c>
      <c r="H378" t="s">
        <v>42</v>
      </c>
      <c r="I378" t="s">
        <v>59</v>
      </c>
      <c r="J378" t="s">
        <v>43</v>
      </c>
      <c r="K378" t="s">
        <v>1666</v>
      </c>
      <c r="L378" t="s">
        <v>65</v>
      </c>
      <c r="M378" t="b">
        <v>0</v>
      </c>
      <c r="N378" t="s">
        <v>742</v>
      </c>
      <c r="O378" t="b">
        <v>0</v>
      </c>
      <c r="P378" t="b">
        <v>0</v>
      </c>
      <c r="Q378" t="b">
        <v>0</v>
      </c>
      <c r="R378" t="b">
        <v>0</v>
      </c>
      <c r="S378" t="b">
        <v>1</v>
      </c>
      <c r="T378" t="b">
        <v>0</v>
      </c>
      <c r="U378" t="b">
        <v>0</v>
      </c>
      <c r="V378" t="b">
        <v>0</v>
      </c>
      <c r="W378" t="b">
        <v>0</v>
      </c>
      <c r="X378" t="b">
        <v>1</v>
      </c>
      <c r="Y378" t="b">
        <v>0</v>
      </c>
      <c r="Z378" t="b">
        <v>0</v>
      </c>
      <c r="AA378" t="b">
        <v>0</v>
      </c>
      <c r="AB378" t="s">
        <v>836</v>
      </c>
      <c r="AC378" t="s">
        <v>8909</v>
      </c>
    </row>
    <row r="379" spans="1:29" x14ac:dyDescent="0.3">
      <c r="A379">
        <v>-73.980426989999998</v>
      </c>
      <c r="B379">
        <v>40.783036279999997</v>
      </c>
      <c r="C379" t="s">
        <v>549</v>
      </c>
      <c r="D379" t="s">
        <v>33</v>
      </c>
      <c r="E379" s="58">
        <v>43388</v>
      </c>
      <c r="F379">
        <v>18</v>
      </c>
      <c r="G379" t="s">
        <v>48</v>
      </c>
      <c r="H379" t="s">
        <v>42</v>
      </c>
      <c r="I379" t="s">
        <v>53</v>
      </c>
      <c r="J379" t="s">
        <v>43</v>
      </c>
      <c r="K379" t="s">
        <v>1896</v>
      </c>
      <c r="L379" t="s">
        <v>44</v>
      </c>
      <c r="M379">
        <v>40</v>
      </c>
      <c r="N379" t="s">
        <v>6814</v>
      </c>
      <c r="O379" t="b">
        <v>0</v>
      </c>
      <c r="P379" t="b">
        <v>0</v>
      </c>
      <c r="Q379" t="b">
        <v>0</v>
      </c>
      <c r="R379" t="b">
        <v>0</v>
      </c>
      <c r="S379" t="b">
        <v>1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1</v>
      </c>
      <c r="Z379" t="b">
        <v>1</v>
      </c>
      <c r="AA379" t="b">
        <v>0</v>
      </c>
      <c r="AB379" t="s">
        <v>340</v>
      </c>
      <c r="AC379" t="s">
        <v>8910</v>
      </c>
    </row>
    <row r="380" spans="1:29" x14ac:dyDescent="0.3">
      <c r="A380">
        <v>-73.955554289999995</v>
      </c>
      <c r="B380">
        <v>40.777558499999998</v>
      </c>
      <c r="C380" t="s">
        <v>459</v>
      </c>
      <c r="D380" t="s">
        <v>33</v>
      </c>
      <c r="E380" s="58">
        <v>43388</v>
      </c>
      <c r="F380">
        <v>27</v>
      </c>
      <c r="G380" t="s">
        <v>48</v>
      </c>
      <c r="H380" t="s">
        <v>42</v>
      </c>
      <c r="I380" t="s">
        <v>53</v>
      </c>
      <c r="J380" t="s">
        <v>79</v>
      </c>
      <c r="K380" t="s">
        <v>531</v>
      </c>
      <c r="L380" t="s">
        <v>44</v>
      </c>
      <c r="M380">
        <v>6</v>
      </c>
      <c r="N380" t="s">
        <v>190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1</v>
      </c>
      <c r="AA380" t="b">
        <v>0</v>
      </c>
      <c r="AB380" t="s">
        <v>630</v>
      </c>
      <c r="AC380" t="s">
        <v>8911</v>
      </c>
    </row>
    <row r="381" spans="1:29" x14ac:dyDescent="0.3">
      <c r="A381">
        <v>-73.972297960000006</v>
      </c>
      <c r="B381">
        <v>40.785787190000001</v>
      </c>
      <c r="C381" t="s">
        <v>802</v>
      </c>
      <c r="D381" t="s">
        <v>38</v>
      </c>
      <c r="E381" s="58">
        <v>43381</v>
      </c>
      <c r="F381">
        <v>11</v>
      </c>
      <c r="G381" t="s">
        <v>105</v>
      </c>
      <c r="H381" t="s">
        <v>42</v>
      </c>
      <c r="I381" t="s">
        <v>59</v>
      </c>
      <c r="J381" t="s">
        <v>54</v>
      </c>
      <c r="K381" t="s">
        <v>4237</v>
      </c>
      <c r="L381" t="s">
        <v>44</v>
      </c>
      <c r="M381">
        <v>7</v>
      </c>
      <c r="N381" t="s">
        <v>4323</v>
      </c>
      <c r="O381" t="b">
        <v>0</v>
      </c>
      <c r="P381" t="b">
        <v>0</v>
      </c>
      <c r="Q381" t="b">
        <v>0</v>
      </c>
      <c r="R381" t="b">
        <v>0</v>
      </c>
      <c r="S381" t="b">
        <v>1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s">
        <v>803</v>
      </c>
      <c r="AC381" t="s">
        <v>8912</v>
      </c>
    </row>
    <row r="382" spans="1:29" x14ac:dyDescent="0.3">
      <c r="A382">
        <v>-73.977443859999994</v>
      </c>
      <c r="B382">
        <v>40.77066799</v>
      </c>
      <c r="C382" t="s">
        <v>2181</v>
      </c>
      <c r="D382" t="s">
        <v>33</v>
      </c>
      <c r="E382" s="58">
        <v>43388</v>
      </c>
      <c r="F382">
        <v>27</v>
      </c>
      <c r="G382" t="s">
        <v>48</v>
      </c>
      <c r="H382" t="s">
        <v>42</v>
      </c>
      <c r="I382" t="s">
        <v>53</v>
      </c>
      <c r="J382" t="s">
        <v>43</v>
      </c>
      <c r="K382" t="s">
        <v>1696</v>
      </c>
      <c r="L382" t="s">
        <v>65</v>
      </c>
      <c r="M382" t="b">
        <v>0</v>
      </c>
      <c r="N382" t="s">
        <v>3013</v>
      </c>
      <c r="O382" t="b">
        <v>1</v>
      </c>
      <c r="P382" t="b">
        <v>0</v>
      </c>
      <c r="Q382" t="b">
        <v>0</v>
      </c>
      <c r="R382" t="b">
        <v>0</v>
      </c>
      <c r="S382" t="b">
        <v>1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1</v>
      </c>
      <c r="AA382" t="b">
        <v>1</v>
      </c>
      <c r="AB382" t="s">
        <v>101</v>
      </c>
      <c r="AC382" t="s">
        <v>8913</v>
      </c>
    </row>
    <row r="383" spans="1:29" x14ac:dyDescent="0.3">
      <c r="A383">
        <v>-73.959255380000002</v>
      </c>
      <c r="B383">
        <v>40.77867981</v>
      </c>
      <c r="C383" t="s">
        <v>1165</v>
      </c>
      <c r="D383" t="s">
        <v>33</v>
      </c>
      <c r="E383" s="58">
        <v>43385</v>
      </c>
      <c r="F383">
        <v>1</v>
      </c>
      <c r="G383" t="s">
        <v>48</v>
      </c>
      <c r="H383" t="s">
        <v>42</v>
      </c>
      <c r="I383" t="s">
        <v>96</v>
      </c>
      <c r="J383" t="s">
        <v>79</v>
      </c>
      <c r="K383" t="s">
        <v>1381</v>
      </c>
      <c r="L383" t="s">
        <v>44</v>
      </c>
      <c r="M383">
        <v>12</v>
      </c>
      <c r="N383" t="s">
        <v>190</v>
      </c>
      <c r="O383" t="b">
        <v>1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  <c r="U383" t="b">
        <v>0</v>
      </c>
      <c r="V383" t="b">
        <v>0</v>
      </c>
      <c r="W383" t="b">
        <v>0</v>
      </c>
      <c r="X383" t="b">
        <v>1</v>
      </c>
      <c r="Y383" t="b">
        <v>0</v>
      </c>
      <c r="Z383" t="b">
        <v>1</v>
      </c>
      <c r="AA383" t="b">
        <v>1</v>
      </c>
      <c r="AB383" t="s">
        <v>511</v>
      </c>
      <c r="AC383" t="s">
        <v>8914</v>
      </c>
    </row>
    <row r="384" spans="1:29" x14ac:dyDescent="0.3">
      <c r="A384">
        <v>-73.961386619999999</v>
      </c>
      <c r="B384">
        <v>40.799041590000002</v>
      </c>
      <c r="C384" t="s">
        <v>2080</v>
      </c>
      <c r="D384" t="s">
        <v>33</v>
      </c>
      <c r="E384" s="58">
        <v>43389</v>
      </c>
      <c r="F384">
        <v>28</v>
      </c>
      <c r="G384" t="s">
        <v>48</v>
      </c>
      <c r="H384" t="s">
        <v>176</v>
      </c>
      <c r="I384" t="s">
        <v>59</v>
      </c>
      <c r="J384" t="s">
        <v>79</v>
      </c>
      <c r="K384" t="s">
        <v>7072</v>
      </c>
      <c r="L384" t="s">
        <v>65</v>
      </c>
      <c r="M384" t="b">
        <v>0</v>
      </c>
      <c r="N384" t="s">
        <v>6373</v>
      </c>
      <c r="O384" t="b">
        <v>1</v>
      </c>
      <c r="P384" t="b">
        <v>1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b">
        <v>0</v>
      </c>
      <c r="W384" t="b">
        <v>0</v>
      </c>
      <c r="X384" t="b">
        <v>1</v>
      </c>
      <c r="Y384" t="b">
        <v>0</v>
      </c>
      <c r="Z384" t="b">
        <v>1</v>
      </c>
      <c r="AA384" t="b">
        <v>0</v>
      </c>
      <c r="AB384" t="s">
        <v>665</v>
      </c>
      <c r="AC384" t="s">
        <v>8915</v>
      </c>
    </row>
    <row r="385" spans="1:29" x14ac:dyDescent="0.3">
      <c r="A385">
        <v>-73.953573660000004</v>
      </c>
      <c r="B385">
        <v>40.773998990000003</v>
      </c>
      <c r="C385" t="s">
        <v>37</v>
      </c>
      <c r="D385" t="s">
        <v>33</v>
      </c>
      <c r="E385" s="58">
        <v>43391</v>
      </c>
      <c r="F385">
        <v>10</v>
      </c>
      <c r="G385" t="s">
        <v>48</v>
      </c>
      <c r="H385" t="s">
        <v>42</v>
      </c>
      <c r="I385" t="s">
        <v>53</v>
      </c>
      <c r="J385" t="s">
        <v>60</v>
      </c>
      <c r="K385" t="s">
        <v>4180</v>
      </c>
      <c r="L385" t="s">
        <v>65</v>
      </c>
      <c r="M385" t="b">
        <v>0</v>
      </c>
      <c r="N385" t="s">
        <v>456</v>
      </c>
      <c r="O385" t="b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s">
        <v>4031</v>
      </c>
      <c r="AC385" t="s">
        <v>8916</v>
      </c>
    </row>
    <row r="386" spans="1:29" x14ac:dyDescent="0.3">
      <c r="A386">
        <v>-73.958050290000003</v>
      </c>
      <c r="B386">
        <v>40.788032950000002</v>
      </c>
      <c r="C386" t="s">
        <v>294</v>
      </c>
      <c r="D386" t="s">
        <v>33</v>
      </c>
      <c r="E386" s="58">
        <v>43390</v>
      </c>
      <c r="F386">
        <v>9</v>
      </c>
      <c r="G386" t="s">
        <v>48</v>
      </c>
      <c r="H386" t="s">
        <v>42</v>
      </c>
      <c r="I386" t="s">
        <v>59</v>
      </c>
      <c r="J386" t="s">
        <v>43</v>
      </c>
      <c r="K386" t="s">
        <v>2382</v>
      </c>
      <c r="L386" t="s">
        <v>65</v>
      </c>
      <c r="M386" t="b">
        <v>0</v>
      </c>
      <c r="N386" t="s">
        <v>982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1</v>
      </c>
      <c r="U386" t="b">
        <v>0</v>
      </c>
      <c r="V386" t="b">
        <v>0</v>
      </c>
      <c r="W386" t="b">
        <v>0</v>
      </c>
      <c r="X386" t="b">
        <v>1</v>
      </c>
      <c r="Y386" t="b">
        <v>0</v>
      </c>
      <c r="Z386" t="b">
        <v>0</v>
      </c>
      <c r="AA386" t="b">
        <v>1</v>
      </c>
      <c r="AB386" t="s">
        <v>5399</v>
      </c>
      <c r="AC386" t="s">
        <v>8917</v>
      </c>
    </row>
    <row r="387" spans="1:29" x14ac:dyDescent="0.3">
      <c r="A387">
        <v>-73.955899700000003</v>
      </c>
      <c r="B387">
        <v>40.776359909999996</v>
      </c>
      <c r="C387" t="s">
        <v>335</v>
      </c>
      <c r="D387" t="s">
        <v>38</v>
      </c>
      <c r="E387" s="58">
        <v>43387</v>
      </c>
      <c r="F387">
        <v>23</v>
      </c>
      <c r="G387" t="s">
        <v>48</v>
      </c>
      <c r="H387" t="s">
        <v>42</v>
      </c>
      <c r="I387" t="s">
        <v>53</v>
      </c>
      <c r="J387" t="s">
        <v>97</v>
      </c>
      <c r="K387" t="s">
        <v>2382</v>
      </c>
      <c r="L387" t="s">
        <v>44</v>
      </c>
      <c r="M387">
        <v>2</v>
      </c>
      <c r="N387" t="s">
        <v>1359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s">
        <v>1844</v>
      </c>
      <c r="AC387" t="s">
        <v>8918</v>
      </c>
    </row>
    <row r="388" spans="1:29" x14ac:dyDescent="0.3">
      <c r="A388">
        <v>-73.97229231</v>
      </c>
      <c r="B388">
        <v>40.792142990000002</v>
      </c>
      <c r="C388" t="s">
        <v>200</v>
      </c>
      <c r="D388" t="s">
        <v>33</v>
      </c>
      <c r="E388" s="58">
        <v>43382</v>
      </c>
      <c r="F388">
        <v>4</v>
      </c>
      <c r="G388" t="s">
        <v>48</v>
      </c>
      <c r="H388" t="s">
        <v>53</v>
      </c>
      <c r="I388" t="s">
        <v>59</v>
      </c>
      <c r="J388" t="s">
        <v>79</v>
      </c>
      <c r="K388" t="s">
        <v>1417</v>
      </c>
      <c r="L388" t="s">
        <v>44</v>
      </c>
      <c r="M388">
        <v>25</v>
      </c>
      <c r="N388" t="s">
        <v>190</v>
      </c>
      <c r="O388" t="b">
        <v>0</v>
      </c>
      <c r="P388" t="b">
        <v>0</v>
      </c>
      <c r="Q388" t="b">
        <v>0</v>
      </c>
      <c r="R388" t="b">
        <v>0</v>
      </c>
      <c r="S388" t="b">
        <v>1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1</v>
      </c>
      <c r="AA388" t="b">
        <v>0</v>
      </c>
      <c r="AB388" t="s">
        <v>803</v>
      </c>
      <c r="AC388" t="s">
        <v>8919</v>
      </c>
    </row>
    <row r="389" spans="1:29" x14ac:dyDescent="0.3">
      <c r="A389">
        <v>-73.975580449999995</v>
      </c>
      <c r="B389">
        <v>40.76951845</v>
      </c>
      <c r="C389" t="s">
        <v>680</v>
      </c>
      <c r="D389" t="s">
        <v>38</v>
      </c>
      <c r="E389" s="58">
        <v>43386</v>
      </c>
      <c r="F389">
        <v>28</v>
      </c>
      <c r="G389" t="s">
        <v>48</v>
      </c>
      <c r="H389" t="s">
        <v>176</v>
      </c>
      <c r="I389" t="s">
        <v>59</v>
      </c>
      <c r="J389" t="s">
        <v>43</v>
      </c>
      <c r="K389" t="s">
        <v>3347</v>
      </c>
      <c r="L389" t="s">
        <v>44</v>
      </c>
      <c r="M389">
        <v>15</v>
      </c>
      <c r="N389" t="s">
        <v>190</v>
      </c>
      <c r="O389" t="b">
        <v>1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1</v>
      </c>
      <c r="AA389" t="b">
        <v>0</v>
      </c>
      <c r="AB389" t="s">
        <v>5110</v>
      </c>
      <c r="AC389" t="s">
        <v>8920</v>
      </c>
    </row>
    <row r="390" spans="1:29" x14ac:dyDescent="0.3">
      <c r="A390">
        <v>-73.957561639999994</v>
      </c>
      <c r="B390">
        <v>40.799055979999999</v>
      </c>
      <c r="C390" t="s">
        <v>2803</v>
      </c>
      <c r="D390" t="s">
        <v>33</v>
      </c>
      <c r="E390" s="58">
        <v>43381</v>
      </c>
      <c r="F390">
        <v>6</v>
      </c>
      <c r="G390" t="s">
        <v>48</v>
      </c>
      <c r="H390" t="s">
        <v>42</v>
      </c>
      <c r="I390" t="s">
        <v>53</v>
      </c>
      <c r="J390" t="s">
        <v>79</v>
      </c>
      <c r="K390" t="s">
        <v>49</v>
      </c>
      <c r="L390" t="s">
        <v>44</v>
      </c>
      <c r="M390">
        <v>40</v>
      </c>
      <c r="N390" t="s">
        <v>456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1</v>
      </c>
      <c r="AA390" t="b">
        <v>1</v>
      </c>
      <c r="AB390" t="s">
        <v>1428</v>
      </c>
      <c r="AC390" t="s">
        <v>8921</v>
      </c>
    </row>
    <row r="391" spans="1:29" x14ac:dyDescent="0.3">
      <c r="A391">
        <v>-73.955794269999998</v>
      </c>
      <c r="B391">
        <v>40.780887620000001</v>
      </c>
      <c r="C391" t="s">
        <v>1063</v>
      </c>
      <c r="D391" t="s">
        <v>38</v>
      </c>
      <c r="E391" s="58">
        <v>43385</v>
      </c>
      <c r="F391">
        <v>30</v>
      </c>
      <c r="G391" t="s">
        <v>48</v>
      </c>
      <c r="H391" t="s">
        <v>42</v>
      </c>
      <c r="I391" t="s">
        <v>59</v>
      </c>
      <c r="J391" t="s">
        <v>54</v>
      </c>
      <c r="K391" t="s">
        <v>4308</v>
      </c>
      <c r="L391" t="s">
        <v>44</v>
      </c>
      <c r="M391">
        <v>7</v>
      </c>
      <c r="N391" t="s">
        <v>190</v>
      </c>
      <c r="O391" t="b">
        <v>1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1</v>
      </c>
      <c r="X391" t="b">
        <v>0</v>
      </c>
      <c r="Y391" t="b">
        <v>0</v>
      </c>
      <c r="Z391" t="b">
        <v>0</v>
      </c>
      <c r="AA391" t="b">
        <v>1</v>
      </c>
      <c r="AB391" t="s">
        <v>1367</v>
      </c>
      <c r="AC391" t="s">
        <v>8922</v>
      </c>
    </row>
    <row r="392" spans="1:29" x14ac:dyDescent="0.3">
      <c r="A392">
        <v>-73.950020260000002</v>
      </c>
      <c r="B392">
        <v>40.773221499999998</v>
      </c>
      <c r="C392" t="s">
        <v>394</v>
      </c>
      <c r="D392" t="s">
        <v>33</v>
      </c>
      <c r="E392" s="58">
        <v>43381</v>
      </c>
      <c r="F392">
        <v>16</v>
      </c>
      <c r="G392" t="s">
        <v>48</v>
      </c>
      <c r="H392" t="s">
        <v>53</v>
      </c>
      <c r="I392" t="s">
        <v>42</v>
      </c>
      <c r="J392" t="s">
        <v>34</v>
      </c>
      <c r="K392" t="s">
        <v>5976</v>
      </c>
      <c r="L392" t="s">
        <v>44</v>
      </c>
      <c r="M392">
        <v>2</v>
      </c>
      <c r="N392" t="s">
        <v>4012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s">
        <v>4778</v>
      </c>
      <c r="AC392" t="s">
        <v>8923</v>
      </c>
    </row>
    <row r="393" spans="1:29" x14ac:dyDescent="0.3">
      <c r="A393">
        <v>-73.968187200000003</v>
      </c>
      <c r="B393">
        <v>40.767498330000002</v>
      </c>
      <c r="C393" t="s">
        <v>286</v>
      </c>
      <c r="D393" t="s">
        <v>38</v>
      </c>
      <c r="E393" s="58">
        <v>43390</v>
      </c>
      <c r="F393">
        <v>2</v>
      </c>
      <c r="G393" t="s">
        <v>48</v>
      </c>
      <c r="H393" t="s">
        <v>42</v>
      </c>
      <c r="I393" t="s">
        <v>5105</v>
      </c>
      <c r="J393" t="s">
        <v>43</v>
      </c>
      <c r="K393" t="s">
        <v>700</v>
      </c>
      <c r="L393" t="s">
        <v>65</v>
      </c>
      <c r="M393" t="b">
        <v>0</v>
      </c>
      <c r="N393" t="s">
        <v>6024</v>
      </c>
      <c r="O393" t="b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1</v>
      </c>
      <c r="AB393" t="s">
        <v>690</v>
      </c>
      <c r="AC393" t="s">
        <v>8924</v>
      </c>
    </row>
    <row r="394" spans="1:29" x14ac:dyDescent="0.3">
      <c r="A394">
        <v>-73.969463520000005</v>
      </c>
      <c r="B394">
        <v>40.770887479999999</v>
      </c>
      <c r="C394" t="s">
        <v>37</v>
      </c>
      <c r="D394" t="s">
        <v>38</v>
      </c>
      <c r="E394" s="58">
        <v>43393</v>
      </c>
      <c r="F394">
        <v>23</v>
      </c>
      <c r="G394" t="s">
        <v>48</v>
      </c>
      <c r="H394" t="s">
        <v>42</v>
      </c>
      <c r="I394" t="s">
        <v>59</v>
      </c>
      <c r="J394" t="s">
        <v>79</v>
      </c>
      <c r="K394" t="s">
        <v>4237</v>
      </c>
      <c r="L394" t="s">
        <v>65</v>
      </c>
      <c r="M394" t="b">
        <v>0</v>
      </c>
      <c r="N394" t="s">
        <v>3424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1</v>
      </c>
      <c r="AA394" t="b">
        <v>0</v>
      </c>
      <c r="AB394" t="s">
        <v>4727</v>
      </c>
      <c r="AC394" t="s">
        <v>8925</v>
      </c>
    </row>
    <row r="395" spans="1:29" x14ac:dyDescent="0.3">
      <c r="A395">
        <v>-73.956750630000002</v>
      </c>
      <c r="B395">
        <v>40.783210789999998</v>
      </c>
      <c r="C395" t="s">
        <v>1701</v>
      </c>
      <c r="D395" t="s">
        <v>33</v>
      </c>
      <c r="E395" s="58">
        <v>43393</v>
      </c>
      <c r="F395">
        <v>18</v>
      </c>
      <c r="G395" t="s">
        <v>48</v>
      </c>
      <c r="H395" t="s">
        <v>42</v>
      </c>
      <c r="I395" t="s">
        <v>59</v>
      </c>
      <c r="J395" t="s">
        <v>54</v>
      </c>
      <c r="K395" t="s">
        <v>6166</v>
      </c>
      <c r="L395" t="s">
        <v>65</v>
      </c>
      <c r="M395" t="b">
        <v>0</v>
      </c>
      <c r="N395" t="s">
        <v>2304</v>
      </c>
      <c r="O395" t="b">
        <v>0</v>
      </c>
      <c r="P395" t="b">
        <v>0</v>
      </c>
      <c r="Q395" t="b">
        <v>1</v>
      </c>
      <c r="R395" t="b">
        <v>1</v>
      </c>
      <c r="S395" t="b">
        <v>1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1</v>
      </c>
      <c r="AB395" t="s">
        <v>3799</v>
      </c>
      <c r="AC395" t="s">
        <v>8926</v>
      </c>
    </row>
    <row r="396" spans="1:29" x14ac:dyDescent="0.3">
      <c r="A396">
        <v>-73.970444799999996</v>
      </c>
      <c r="B396">
        <v>40.776775829999998</v>
      </c>
      <c r="C396" t="s">
        <v>208</v>
      </c>
      <c r="D396" t="s">
        <v>38</v>
      </c>
      <c r="E396" s="58">
        <v>43385</v>
      </c>
      <c r="F396">
        <v>10</v>
      </c>
      <c r="G396" t="s">
        <v>105</v>
      </c>
      <c r="H396" t="s">
        <v>42</v>
      </c>
      <c r="I396" t="s">
        <v>53</v>
      </c>
      <c r="J396" t="s">
        <v>34</v>
      </c>
      <c r="K396" t="s">
        <v>3843</v>
      </c>
      <c r="L396" t="s">
        <v>65</v>
      </c>
      <c r="M396" t="b">
        <v>0</v>
      </c>
      <c r="N396" t="s">
        <v>6508</v>
      </c>
      <c r="O396" t="b">
        <v>0</v>
      </c>
      <c r="P396" t="b">
        <v>0</v>
      </c>
      <c r="Q396" t="b">
        <v>0</v>
      </c>
      <c r="R396" t="b">
        <v>0</v>
      </c>
      <c r="S396" t="b">
        <v>1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s">
        <v>1428</v>
      </c>
      <c r="AC396" t="s">
        <v>8927</v>
      </c>
    </row>
    <row r="397" spans="1:29" x14ac:dyDescent="0.3">
      <c r="A397">
        <v>-73.951898540000002</v>
      </c>
      <c r="B397">
        <v>40.794093869999998</v>
      </c>
      <c r="C397" t="s">
        <v>1245</v>
      </c>
      <c r="D397" t="s">
        <v>38</v>
      </c>
      <c r="E397" s="58">
        <v>43392</v>
      </c>
      <c r="F397">
        <v>24</v>
      </c>
      <c r="G397" t="s">
        <v>105</v>
      </c>
      <c r="H397" t="s">
        <v>42</v>
      </c>
      <c r="I397" t="s">
        <v>53</v>
      </c>
      <c r="J397" t="s">
        <v>54</v>
      </c>
      <c r="K397" t="s">
        <v>3152</v>
      </c>
      <c r="L397" t="s">
        <v>65</v>
      </c>
      <c r="M397" t="b">
        <v>0</v>
      </c>
      <c r="N397" t="s">
        <v>6273</v>
      </c>
      <c r="O397" t="b">
        <v>1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1</v>
      </c>
      <c r="AA397" t="b">
        <v>0</v>
      </c>
      <c r="AB397" t="s">
        <v>1242</v>
      </c>
      <c r="AC397" t="s">
        <v>8928</v>
      </c>
    </row>
    <row r="398" spans="1:29" x14ac:dyDescent="0.3">
      <c r="A398">
        <v>-73.954172819999997</v>
      </c>
      <c r="B398">
        <v>40.780081289999998</v>
      </c>
      <c r="C398" t="s">
        <v>88</v>
      </c>
      <c r="D398" t="s">
        <v>38</v>
      </c>
      <c r="E398" s="58">
        <v>43389</v>
      </c>
      <c r="F398">
        <v>24</v>
      </c>
      <c r="G398" t="s">
        <v>48</v>
      </c>
      <c r="H398" t="s">
        <v>42</v>
      </c>
      <c r="I398" t="s">
        <v>59</v>
      </c>
      <c r="J398" t="s">
        <v>149</v>
      </c>
      <c r="K398" t="s">
        <v>3942</v>
      </c>
      <c r="L398" t="s">
        <v>65</v>
      </c>
      <c r="M398" t="b">
        <v>0</v>
      </c>
      <c r="N398" t="s">
        <v>3239</v>
      </c>
      <c r="O398" t="b">
        <v>1</v>
      </c>
      <c r="P398" t="b">
        <v>0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1</v>
      </c>
      <c r="AA398" t="b">
        <v>0</v>
      </c>
      <c r="AB398" t="s">
        <v>436</v>
      </c>
      <c r="AC398" t="s">
        <v>8929</v>
      </c>
    </row>
    <row r="399" spans="1:29" x14ac:dyDescent="0.3">
      <c r="A399">
        <v>-73.967672379999996</v>
      </c>
      <c r="B399">
        <v>40.773667359999997</v>
      </c>
      <c r="C399" t="s">
        <v>100</v>
      </c>
      <c r="D399" t="s">
        <v>38</v>
      </c>
      <c r="E399" s="58">
        <v>43388</v>
      </c>
      <c r="F399">
        <v>17</v>
      </c>
      <c r="G399" t="s">
        <v>48</v>
      </c>
      <c r="H399" t="s">
        <v>42</v>
      </c>
      <c r="I399" t="s">
        <v>53</v>
      </c>
      <c r="J399" t="s">
        <v>177</v>
      </c>
      <c r="K399" t="s">
        <v>1381</v>
      </c>
      <c r="L399" t="s">
        <v>65</v>
      </c>
      <c r="M399" t="b">
        <v>0</v>
      </c>
      <c r="N399" t="s">
        <v>5687</v>
      </c>
      <c r="O399" t="b">
        <v>0</v>
      </c>
      <c r="P399" t="b">
        <v>0</v>
      </c>
      <c r="Q399" t="b">
        <v>0</v>
      </c>
      <c r="R399" t="b">
        <v>0</v>
      </c>
      <c r="S399" t="b">
        <v>1</v>
      </c>
      <c r="T399" t="b">
        <v>0</v>
      </c>
      <c r="U399" t="b">
        <v>0</v>
      </c>
      <c r="V399" t="b">
        <v>0</v>
      </c>
      <c r="W399" t="b">
        <v>0</v>
      </c>
      <c r="X399" t="b">
        <v>1</v>
      </c>
      <c r="Y399" t="b">
        <v>0</v>
      </c>
      <c r="Z399" t="b">
        <v>0</v>
      </c>
      <c r="AA399" t="b">
        <v>1</v>
      </c>
      <c r="AB399" t="s">
        <v>360</v>
      </c>
      <c r="AC399" t="s">
        <v>8930</v>
      </c>
    </row>
    <row r="400" spans="1:29" x14ac:dyDescent="0.3">
      <c r="A400">
        <v>-73.957553590000003</v>
      </c>
      <c r="B400">
        <v>40.786639020000003</v>
      </c>
      <c r="C400" t="s">
        <v>133</v>
      </c>
      <c r="D400" t="s">
        <v>33</v>
      </c>
      <c r="E400" s="58">
        <v>43388</v>
      </c>
      <c r="F400">
        <v>13</v>
      </c>
      <c r="G400" t="s">
        <v>48</v>
      </c>
      <c r="H400" t="s">
        <v>53</v>
      </c>
      <c r="I400" t="s">
        <v>42</v>
      </c>
      <c r="J400" t="s">
        <v>43</v>
      </c>
      <c r="K400" t="s">
        <v>4381</v>
      </c>
      <c r="L400" t="s">
        <v>44</v>
      </c>
      <c r="M400">
        <v>7</v>
      </c>
      <c r="N400" t="s">
        <v>3013</v>
      </c>
      <c r="O400" t="b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s">
        <v>1801</v>
      </c>
      <c r="AC400" t="s">
        <v>8931</v>
      </c>
    </row>
    <row r="401" spans="1:29" x14ac:dyDescent="0.3">
      <c r="A401">
        <v>-73.957438159999995</v>
      </c>
      <c r="B401">
        <v>40.78979477</v>
      </c>
      <c r="C401" t="s">
        <v>1407</v>
      </c>
      <c r="D401" t="s">
        <v>38</v>
      </c>
      <c r="E401" s="58">
        <v>43389</v>
      </c>
      <c r="F401">
        <v>24</v>
      </c>
      <c r="G401" t="s">
        <v>48</v>
      </c>
      <c r="H401" t="s">
        <v>42</v>
      </c>
      <c r="I401" t="s">
        <v>53</v>
      </c>
      <c r="J401" t="s">
        <v>89</v>
      </c>
      <c r="K401" t="s">
        <v>1785</v>
      </c>
      <c r="L401" t="s">
        <v>44</v>
      </c>
      <c r="M401">
        <v>3</v>
      </c>
      <c r="N401" t="s">
        <v>1432</v>
      </c>
      <c r="O401" t="b">
        <v>1</v>
      </c>
      <c r="P401" t="b">
        <v>0</v>
      </c>
      <c r="Q401" t="b">
        <v>1</v>
      </c>
      <c r="R401" t="b">
        <v>1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1</v>
      </c>
      <c r="Y401" t="b">
        <v>0</v>
      </c>
      <c r="Z401" t="b">
        <v>1</v>
      </c>
      <c r="AA401" t="b">
        <v>0</v>
      </c>
      <c r="AB401" t="s">
        <v>7261</v>
      </c>
      <c r="AC401" t="s">
        <v>8932</v>
      </c>
    </row>
    <row r="402" spans="1:29" x14ac:dyDescent="0.3">
      <c r="A402">
        <v>-73.977916690000001</v>
      </c>
      <c r="B402">
        <v>40.770791850000002</v>
      </c>
      <c r="C402" t="s">
        <v>936</v>
      </c>
      <c r="D402" t="s">
        <v>33</v>
      </c>
      <c r="E402" s="58">
        <v>43389</v>
      </c>
      <c r="F402">
        <v>18</v>
      </c>
      <c r="G402" t="s">
        <v>48</v>
      </c>
      <c r="H402" t="s">
        <v>42</v>
      </c>
      <c r="I402" t="s">
        <v>53</v>
      </c>
      <c r="J402" t="s">
        <v>738</v>
      </c>
      <c r="K402" t="s">
        <v>5413</v>
      </c>
      <c r="L402" t="s">
        <v>65</v>
      </c>
      <c r="M402" t="b">
        <v>0</v>
      </c>
      <c r="N402" t="s">
        <v>1985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1</v>
      </c>
      <c r="U402" t="b">
        <v>0</v>
      </c>
      <c r="V402" t="b">
        <v>0</v>
      </c>
      <c r="W402" t="b">
        <v>0</v>
      </c>
      <c r="X402" t="b">
        <v>1</v>
      </c>
      <c r="Y402" t="b">
        <v>0</v>
      </c>
      <c r="Z402" t="b">
        <v>0</v>
      </c>
      <c r="AA402" t="b">
        <v>1</v>
      </c>
      <c r="AB402" t="s">
        <v>5146</v>
      </c>
      <c r="AC402" t="s">
        <v>8933</v>
      </c>
    </row>
    <row r="403" spans="1:29" x14ac:dyDescent="0.3">
      <c r="A403">
        <v>-73.95278519</v>
      </c>
      <c r="B403">
        <v>40.77081218</v>
      </c>
      <c r="C403" t="s">
        <v>1211</v>
      </c>
      <c r="D403" t="s">
        <v>33</v>
      </c>
      <c r="E403" s="58">
        <v>43384</v>
      </c>
      <c r="F403">
        <v>22</v>
      </c>
      <c r="G403" t="s">
        <v>48</v>
      </c>
      <c r="H403" t="s">
        <v>42</v>
      </c>
      <c r="I403" t="s">
        <v>53</v>
      </c>
      <c r="J403" t="s">
        <v>43</v>
      </c>
      <c r="K403" t="s">
        <v>7003</v>
      </c>
      <c r="L403" t="s">
        <v>65</v>
      </c>
      <c r="M403" t="b">
        <v>0</v>
      </c>
      <c r="N403" t="s">
        <v>2022</v>
      </c>
      <c r="O403" t="b">
        <v>0</v>
      </c>
      <c r="P403" t="b">
        <v>0</v>
      </c>
      <c r="Q403" t="b">
        <v>0</v>
      </c>
      <c r="R403" t="b">
        <v>1</v>
      </c>
      <c r="S403" t="b">
        <v>1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s">
        <v>6161</v>
      </c>
      <c r="AC403" t="s">
        <v>8934</v>
      </c>
    </row>
    <row r="404" spans="1:29" x14ac:dyDescent="0.3">
      <c r="A404">
        <v>-73.965275059999996</v>
      </c>
      <c r="B404">
        <v>40.766201789999997</v>
      </c>
      <c r="C404" t="s">
        <v>78</v>
      </c>
      <c r="D404" t="s">
        <v>38</v>
      </c>
      <c r="E404" s="58">
        <v>43380</v>
      </c>
      <c r="F404">
        <v>13</v>
      </c>
      <c r="G404" t="s">
        <v>48</v>
      </c>
      <c r="H404" t="s">
        <v>42</v>
      </c>
      <c r="I404" t="s">
        <v>42</v>
      </c>
      <c r="J404" t="s">
        <v>54</v>
      </c>
      <c r="K404" t="s">
        <v>6737</v>
      </c>
      <c r="L404" t="s">
        <v>65</v>
      </c>
      <c r="M404" t="b">
        <v>0</v>
      </c>
      <c r="N404" t="s">
        <v>5488</v>
      </c>
      <c r="O404" t="b">
        <v>0</v>
      </c>
      <c r="P404" t="b">
        <v>0</v>
      </c>
      <c r="Q404" t="b">
        <v>0</v>
      </c>
      <c r="R404" t="b">
        <v>0</v>
      </c>
      <c r="S404" t="b">
        <v>1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1</v>
      </c>
      <c r="AA404" t="b">
        <v>0</v>
      </c>
      <c r="AB404" t="s">
        <v>340</v>
      </c>
      <c r="AC404" t="s">
        <v>8935</v>
      </c>
    </row>
    <row r="405" spans="1:29" x14ac:dyDescent="0.3">
      <c r="A405">
        <v>-73.955177390000003</v>
      </c>
      <c r="B405">
        <v>40.790837799999998</v>
      </c>
      <c r="C405" t="s">
        <v>183</v>
      </c>
      <c r="D405" t="s">
        <v>33</v>
      </c>
      <c r="E405" s="58">
        <v>43389</v>
      </c>
      <c r="F405">
        <v>17</v>
      </c>
      <c r="G405" t="s">
        <v>48</v>
      </c>
      <c r="H405" t="s">
        <v>42</v>
      </c>
      <c r="I405" t="s">
        <v>59</v>
      </c>
      <c r="J405" t="s">
        <v>54</v>
      </c>
      <c r="K405" t="s">
        <v>6623</v>
      </c>
      <c r="L405" t="s">
        <v>65</v>
      </c>
      <c r="M405" t="b">
        <v>0</v>
      </c>
      <c r="N405" t="s">
        <v>1766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1</v>
      </c>
      <c r="AA405" t="b">
        <v>0</v>
      </c>
      <c r="AB405" t="s">
        <v>1367</v>
      </c>
      <c r="AC405" t="s">
        <v>8936</v>
      </c>
    </row>
    <row r="406" spans="1:29" x14ac:dyDescent="0.3">
      <c r="A406">
        <v>-73.971097240000006</v>
      </c>
      <c r="B406">
        <v>40.7882818</v>
      </c>
      <c r="C406" t="s">
        <v>873</v>
      </c>
      <c r="D406" t="s">
        <v>38</v>
      </c>
      <c r="E406" s="58">
        <v>43381</v>
      </c>
      <c r="F406">
        <v>5</v>
      </c>
      <c r="G406" t="s">
        <v>48</v>
      </c>
      <c r="H406" t="s">
        <v>53</v>
      </c>
      <c r="I406" t="s">
        <v>59</v>
      </c>
      <c r="J406" t="s">
        <v>43</v>
      </c>
      <c r="K406" t="s">
        <v>2037</v>
      </c>
      <c r="L406" t="s">
        <v>44</v>
      </c>
      <c r="M406">
        <v>10</v>
      </c>
      <c r="N406" t="s">
        <v>7090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1</v>
      </c>
      <c r="AA406" t="b">
        <v>1</v>
      </c>
      <c r="AB406" t="s">
        <v>101</v>
      </c>
      <c r="AC406" t="s">
        <v>8937</v>
      </c>
    </row>
    <row r="407" spans="1:29" x14ac:dyDescent="0.3">
      <c r="A407">
        <v>-73.953006180000003</v>
      </c>
      <c r="B407">
        <v>40.781621399999999</v>
      </c>
      <c r="C407" t="s">
        <v>722</v>
      </c>
      <c r="D407" t="s">
        <v>38</v>
      </c>
      <c r="E407" s="58">
        <v>43384</v>
      </c>
      <c r="F407">
        <v>11</v>
      </c>
      <c r="G407" t="s">
        <v>48</v>
      </c>
      <c r="H407" t="s">
        <v>42</v>
      </c>
      <c r="I407" t="s">
        <v>53</v>
      </c>
      <c r="J407" t="s">
        <v>43</v>
      </c>
      <c r="K407" t="s">
        <v>3182</v>
      </c>
      <c r="L407" t="s">
        <v>65</v>
      </c>
      <c r="M407" t="b">
        <v>0</v>
      </c>
      <c r="N407" t="s">
        <v>4757</v>
      </c>
      <c r="O407" t="b">
        <v>0</v>
      </c>
      <c r="P407" t="b">
        <v>0</v>
      </c>
      <c r="Q407" t="b">
        <v>0</v>
      </c>
      <c r="R407" t="b">
        <v>0</v>
      </c>
      <c r="S407" t="b">
        <v>1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1</v>
      </c>
      <c r="AA407" t="b">
        <v>1</v>
      </c>
      <c r="AB407" t="s">
        <v>1893</v>
      </c>
      <c r="AC407" t="s">
        <v>8938</v>
      </c>
    </row>
    <row r="408" spans="1:29" x14ac:dyDescent="0.3">
      <c r="A408">
        <v>-73.968923320000002</v>
      </c>
      <c r="B408">
        <v>40.79463209</v>
      </c>
      <c r="C408" t="s">
        <v>195</v>
      </c>
      <c r="D408" t="s">
        <v>38</v>
      </c>
      <c r="E408" s="58">
        <v>43392</v>
      </c>
      <c r="F408">
        <v>7</v>
      </c>
      <c r="G408" t="s">
        <v>48</v>
      </c>
      <c r="H408" t="s">
        <v>42</v>
      </c>
      <c r="I408" t="s">
        <v>96</v>
      </c>
      <c r="J408" t="s">
        <v>43</v>
      </c>
      <c r="K408" t="s">
        <v>1636</v>
      </c>
      <c r="L408" t="s">
        <v>65</v>
      </c>
      <c r="M408" t="b">
        <v>0</v>
      </c>
      <c r="N408" t="s">
        <v>3185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1</v>
      </c>
      <c r="AA408" t="b">
        <v>0</v>
      </c>
      <c r="AB408" t="s">
        <v>425</v>
      </c>
      <c r="AC408" t="s">
        <v>8939</v>
      </c>
    </row>
    <row r="409" spans="1:29" x14ac:dyDescent="0.3">
      <c r="A409">
        <v>-73.980817880000004</v>
      </c>
      <c r="B409">
        <v>40.793276579999997</v>
      </c>
      <c r="C409" t="s">
        <v>204</v>
      </c>
      <c r="D409" t="s">
        <v>38</v>
      </c>
      <c r="E409" s="58">
        <v>43382</v>
      </c>
      <c r="F409">
        <v>29</v>
      </c>
      <c r="G409" t="s">
        <v>48</v>
      </c>
      <c r="H409" t="s">
        <v>42</v>
      </c>
      <c r="I409" t="s">
        <v>53</v>
      </c>
      <c r="J409" t="s">
        <v>43</v>
      </c>
      <c r="K409" t="s">
        <v>4020</v>
      </c>
      <c r="L409" t="s">
        <v>44</v>
      </c>
      <c r="M409">
        <v>20</v>
      </c>
      <c r="N409" t="s">
        <v>3479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1</v>
      </c>
      <c r="Z409" t="b">
        <v>1</v>
      </c>
      <c r="AA409" t="b">
        <v>0</v>
      </c>
      <c r="AB409" t="s">
        <v>2962</v>
      </c>
      <c r="AC409" t="s">
        <v>8940</v>
      </c>
    </row>
    <row r="410" spans="1:29" x14ac:dyDescent="0.3">
      <c r="A410">
        <v>-73.952696259999996</v>
      </c>
      <c r="B410">
        <v>40.785519739999998</v>
      </c>
      <c r="C410" t="s">
        <v>1962</v>
      </c>
      <c r="D410" t="s">
        <v>33</v>
      </c>
      <c r="E410" s="58">
        <v>43384</v>
      </c>
      <c r="F410">
        <v>10</v>
      </c>
      <c r="G410" t="s">
        <v>48</v>
      </c>
      <c r="H410" t="s">
        <v>42</v>
      </c>
      <c r="I410" t="s">
        <v>42</v>
      </c>
      <c r="J410" t="s">
        <v>54</v>
      </c>
      <c r="K410" t="s">
        <v>6245</v>
      </c>
      <c r="L410" t="s">
        <v>44</v>
      </c>
      <c r="M410">
        <v>4</v>
      </c>
      <c r="N410" t="s">
        <v>1359</v>
      </c>
      <c r="O410" t="b">
        <v>0</v>
      </c>
      <c r="P410" t="b">
        <v>0</v>
      </c>
      <c r="Q410" t="b">
        <v>0</v>
      </c>
      <c r="R410" t="b">
        <v>1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s">
        <v>1046</v>
      </c>
      <c r="AC410" t="s">
        <v>8941</v>
      </c>
    </row>
    <row r="411" spans="1:29" x14ac:dyDescent="0.3">
      <c r="A411">
        <v>-73.978288820000003</v>
      </c>
      <c r="B411">
        <v>40.79548063</v>
      </c>
      <c r="C411" t="s">
        <v>693</v>
      </c>
      <c r="D411" t="s">
        <v>33</v>
      </c>
      <c r="E411" s="58">
        <v>43379</v>
      </c>
      <c r="F411">
        <v>17</v>
      </c>
      <c r="G411" t="s">
        <v>48</v>
      </c>
      <c r="H411" t="s">
        <v>176</v>
      </c>
      <c r="I411" t="s">
        <v>59</v>
      </c>
      <c r="J411" t="s">
        <v>43</v>
      </c>
      <c r="K411" t="s">
        <v>5957</v>
      </c>
      <c r="L411" t="s">
        <v>65</v>
      </c>
      <c r="M411" t="b">
        <v>0</v>
      </c>
      <c r="N411" t="s">
        <v>456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1</v>
      </c>
      <c r="Z411" t="b">
        <v>0</v>
      </c>
      <c r="AA411" t="b">
        <v>0</v>
      </c>
      <c r="AB411" t="s">
        <v>6161</v>
      </c>
      <c r="AC411" t="s">
        <v>8942</v>
      </c>
    </row>
    <row r="412" spans="1:29" x14ac:dyDescent="0.3">
      <c r="A412">
        <v>-73.971120380000002</v>
      </c>
      <c r="B412">
        <v>40.772157890000003</v>
      </c>
      <c r="C412" t="s">
        <v>1063</v>
      </c>
      <c r="D412" t="s">
        <v>33</v>
      </c>
      <c r="E412" s="58">
        <v>43388</v>
      </c>
      <c r="F412">
        <v>15</v>
      </c>
      <c r="G412" t="s">
        <v>48</v>
      </c>
      <c r="H412" t="s">
        <v>42</v>
      </c>
      <c r="I412" t="s">
        <v>59</v>
      </c>
      <c r="J412" t="s">
        <v>60</v>
      </c>
      <c r="K412" t="s">
        <v>6725</v>
      </c>
      <c r="L412" t="s">
        <v>65</v>
      </c>
      <c r="M412" t="b">
        <v>0</v>
      </c>
      <c r="N412" t="s">
        <v>449</v>
      </c>
      <c r="O412" t="b">
        <v>1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s">
        <v>6624</v>
      </c>
      <c r="AC412" t="s">
        <v>8943</v>
      </c>
    </row>
    <row r="413" spans="1:29" x14ac:dyDescent="0.3">
      <c r="A413">
        <v>-73.951291659999995</v>
      </c>
      <c r="B413">
        <v>40.768851120000001</v>
      </c>
      <c r="C413" t="s">
        <v>1326</v>
      </c>
      <c r="D413" t="s">
        <v>33</v>
      </c>
      <c r="E413" s="58">
        <v>43390</v>
      </c>
      <c r="F413">
        <v>18</v>
      </c>
      <c r="G413" t="s">
        <v>48</v>
      </c>
      <c r="H413" t="s">
        <v>53</v>
      </c>
      <c r="I413" t="s">
        <v>59</v>
      </c>
      <c r="J413" t="s">
        <v>79</v>
      </c>
      <c r="K413" t="s">
        <v>5429</v>
      </c>
      <c r="L413" t="s">
        <v>65</v>
      </c>
      <c r="M413" t="b">
        <v>0</v>
      </c>
      <c r="N413" t="s">
        <v>1766</v>
      </c>
      <c r="O413" t="b">
        <v>1</v>
      </c>
      <c r="P413" t="b">
        <v>0</v>
      </c>
      <c r="Q413" t="b">
        <v>0</v>
      </c>
      <c r="R413" t="b">
        <v>0</v>
      </c>
      <c r="S413" t="b">
        <v>1</v>
      </c>
      <c r="T413" t="b">
        <v>0</v>
      </c>
      <c r="U413" t="b">
        <v>0</v>
      </c>
      <c r="V413" t="b">
        <v>0</v>
      </c>
      <c r="W413" t="b">
        <v>0</v>
      </c>
      <c r="X413" t="b">
        <v>1</v>
      </c>
      <c r="Y413" t="b">
        <v>0</v>
      </c>
      <c r="Z413" t="b">
        <v>1</v>
      </c>
      <c r="AA413" t="b">
        <v>1</v>
      </c>
      <c r="AB413" t="s">
        <v>1367</v>
      </c>
      <c r="AC413" t="s">
        <v>8944</v>
      </c>
    </row>
    <row r="414" spans="1:29" x14ac:dyDescent="0.3">
      <c r="A414">
        <v>-73.951274519999998</v>
      </c>
      <c r="B414">
        <v>40.774407969999999</v>
      </c>
      <c r="C414" t="s">
        <v>2085</v>
      </c>
      <c r="D414" t="s">
        <v>33</v>
      </c>
      <c r="E414" s="58">
        <v>43379</v>
      </c>
      <c r="F414">
        <v>23</v>
      </c>
      <c r="G414" t="s">
        <v>48</v>
      </c>
      <c r="H414" t="s">
        <v>42</v>
      </c>
      <c r="I414" t="s">
        <v>59</v>
      </c>
      <c r="J414" t="s">
        <v>43</v>
      </c>
      <c r="K414" t="s">
        <v>7307</v>
      </c>
      <c r="L414" t="s">
        <v>65</v>
      </c>
      <c r="M414" t="b">
        <v>0</v>
      </c>
      <c r="N414" t="s">
        <v>190</v>
      </c>
      <c r="O414" t="b">
        <v>0</v>
      </c>
      <c r="P414" t="b">
        <v>0</v>
      </c>
      <c r="Q414" t="b">
        <v>0</v>
      </c>
      <c r="R414" t="b">
        <v>1</v>
      </c>
      <c r="S414" t="b">
        <v>1</v>
      </c>
      <c r="T414" t="b">
        <v>0</v>
      </c>
      <c r="U414" t="b">
        <v>0</v>
      </c>
      <c r="V414" t="b">
        <v>0</v>
      </c>
      <c r="W414" t="b">
        <v>1</v>
      </c>
      <c r="X414" t="b">
        <v>0</v>
      </c>
      <c r="Y414" t="b">
        <v>0</v>
      </c>
      <c r="Z414" t="b">
        <v>1</v>
      </c>
      <c r="AA414" t="b">
        <v>0</v>
      </c>
      <c r="AB414" t="s">
        <v>5702</v>
      </c>
      <c r="AC414" t="s">
        <v>8945</v>
      </c>
    </row>
    <row r="415" spans="1:29" x14ac:dyDescent="0.3">
      <c r="A415">
        <v>-73.963131520000005</v>
      </c>
      <c r="B415">
        <v>40.766920570000003</v>
      </c>
      <c r="C415" t="s">
        <v>100</v>
      </c>
      <c r="D415" t="s">
        <v>33</v>
      </c>
      <c r="E415" s="58">
        <v>43381</v>
      </c>
      <c r="F415">
        <v>22</v>
      </c>
      <c r="G415" t="s">
        <v>48</v>
      </c>
      <c r="H415" t="s">
        <v>42</v>
      </c>
      <c r="I415" t="s">
        <v>53</v>
      </c>
      <c r="J415" t="s">
        <v>79</v>
      </c>
      <c r="K415" t="s">
        <v>6245</v>
      </c>
      <c r="L415" t="s">
        <v>65</v>
      </c>
      <c r="M415" t="b">
        <v>0</v>
      </c>
      <c r="N415" t="s">
        <v>4576</v>
      </c>
      <c r="O415" t="b">
        <v>0</v>
      </c>
      <c r="P415" t="b">
        <v>0</v>
      </c>
      <c r="Q415" t="b">
        <v>0</v>
      </c>
      <c r="R415" t="b">
        <v>1</v>
      </c>
      <c r="S415" t="b">
        <v>1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1</v>
      </c>
      <c r="AA415" t="b">
        <v>1</v>
      </c>
      <c r="AB415" t="s">
        <v>845</v>
      </c>
      <c r="AC415" t="s">
        <v>8946</v>
      </c>
    </row>
    <row r="416" spans="1:29" x14ac:dyDescent="0.3">
      <c r="A416">
        <v>-73.961295629999995</v>
      </c>
      <c r="B416">
        <v>40.783612009999999</v>
      </c>
      <c r="C416" t="s">
        <v>343</v>
      </c>
      <c r="D416" t="s">
        <v>38</v>
      </c>
      <c r="E416" s="58">
        <v>43386</v>
      </c>
      <c r="F416">
        <v>19</v>
      </c>
      <c r="G416" t="s">
        <v>48</v>
      </c>
      <c r="H416" t="s">
        <v>42</v>
      </c>
      <c r="I416" t="s">
        <v>42</v>
      </c>
      <c r="J416" t="s">
        <v>79</v>
      </c>
      <c r="K416" t="s">
        <v>1005</v>
      </c>
      <c r="L416" t="s">
        <v>65</v>
      </c>
      <c r="M416" t="b">
        <v>0</v>
      </c>
      <c r="N416" t="s">
        <v>752</v>
      </c>
      <c r="O416" t="b">
        <v>0</v>
      </c>
      <c r="P416" t="b">
        <v>0</v>
      </c>
      <c r="Q416" t="b">
        <v>0</v>
      </c>
      <c r="R416" t="b">
        <v>1</v>
      </c>
      <c r="S416" t="b">
        <v>1</v>
      </c>
      <c r="T416" t="b">
        <v>0</v>
      </c>
      <c r="U416" t="b">
        <v>0</v>
      </c>
      <c r="V416" t="b">
        <v>0</v>
      </c>
      <c r="W416" t="b">
        <v>0</v>
      </c>
      <c r="X416" t="b">
        <v>1</v>
      </c>
      <c r="Y416" t="b">
        <v>0</v>
      </c>
      <c r="Z416" t="b">
        <v>0</v>
      </c>
      <c r="AA416" t="b">
        <v>0</v>
      </c>
      <c r="AB416" t="s">
        <v>536</v>
      </c>
      <c r="AC416" t="s">
        <v>8947</v>
      </c>
    </row>
    <row r="417" spans="1:29" x14ac:dyDescent="0.3">
      <c r="A417">
        <v>-73.967060880000005</v>
      </c>
      <c r="B417">
        <v>40.79788654</v>
      </c>
      <c r="C417" t="s">
        <v>943</v>
      </c>
      <c r="D417" t="s">
        <v>38</v>
      </c>
      <c r="E417" s="58">
        <v>43386</v>
      </c>
      <c r="F417">
        <v>30</v>
      </c>
      <c r="G417" t="s">
        <v>48</v>
      </c>
      <c r="H417" t="s">
        <v>42</v>
      </c>
      <c r="I417" t="s">
        <v>59</v>
      </c>
      <c r="J417" t="s">
        <v>34</v>
      </c>
      <c r="K417" t="s">
        <v>1896</v>
      </c>
      <c r="L417" t="s">
        <v>65</v>
      </c>
      <c r="M417" t="b">
        <v>0</v>
      </c>
      <c r="N417" t="s">
        <v>1494</v>
      </c>
      <c r="O417" t="b">
        <v>1</v>
      </c>
      <c r="P417" t="b">
        <v>0</v>
      </c>
      <c r="Q417" t="b">
        <v>0</v>
      </c>
      <c r="R417" t="b">
        <v>1</v>
      </c>
      <c r="S417" t="b">
        <v>1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1</v>
      </c>
      <c r="AA417" t="b">
        <v>1</v>
      </c>
      <c r="AB417" t="s">
        <v>4683</v>
      </c>
      <c r="AC417" t="s">
        <v>8948</v>
      </c>
    </row>
    <row r="418" spans="1:29" x14ac:dyDescent="0.3">
      <c r="A418">
        <v>-73.971940970000006</v>
      </c>
      <c r="B418">
        <v>40.76629587</v>
      </c>
      <c r="C418" t="s">
        <v>544</v>
      </c>
      <c r="D418" t="s">
        <v>33</v>
      </c>
      <c r="E418" s="58">
        <v>43389</v>
      </c>
      <c r="F418">
        <v>26</v>
      </c>
      <c r="G418" t="s">
        <v>48</v>
      </c>
      <c r="H418" t="s">
        <v>42</v>
      </c>
      <c r="I418" t="s">
        <v>53</v>
      </c>
      <c r="J418" t="s">
        <v>43</v>
      </c>
      <c r="K418" t="s">
        <v>1896</v>
      </c>
      <c r="L418" t="s">
        <v>65</v>
      </c>
      <c r="M418" t="b">
        <v>0</v>
      </c>
      <c r="N418" t="s">
        <v>190</v>
      </c>
      <c r="O418" t="b">
        <v>0</v>
      </c>
      <c r="P418" t="b">
        <v>1</v>
      </c>
      <c r="Q418" t="b">
        <v>0</v>
      </c>
      <c r="R418" t="b">
        <v>0</v>
      </c>
      <c r="S418" t="b">
        <v>1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1</v>
      </c>
      <c r="AA418" t="b">
        <v>1</v>
      </c>
      <c r="AB418" t="s">
        <v>101</v>
      </c>
      <c r="AC418" t="s">
        <v>8949</v>
      </c>
    </row>
    <row r="419" spans="1:29" x14ac:dyDescent="0.3">
      <c r="A419">
        <v>-73.970826410000001</v>
      </c>
      <c r="B419">
        <v>40.7692099</v>
      </c>
      <c r="C419" t="s">
        <v>92</v>
      </c>
      <c r="D419" t="s">
        <v>38</v>
      </c>
      <c r="E419" s="58">
        <v>43382</v>
      </c>
      <c r="F419">
        <v>2</v>
      </c>
      <c r="G419" t="s">
        <v>48</v>
      </c>
      <c r="H419" t="s">
        <v>42</v>
      </c>
      <c r="I419" t="s">
        <v>53</v>
      </c>
      <c r="J419" t="s">
        <v>43</v>
      </c>
      <c r="K419" t="s">
        <v>1181</v>
      </c>
      <c r="L419" t="s">
        <v>65</v>
      </c>
      <c r="M419" t="b">
        <v>0</v>
      </c>
      <c r="N419" t="s">
        <v>2865</v>
      </c>
      <c r="O419" t="b">
        <v>0</v>
      </c>
      <c r="P419" t="b">
        <v>0</v>
      </c>
      <c r="Q419" t="b">
        <v>0</v>
      </c>
      <c r="R419" t="b">
        <v>1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s">
        <v>5918</v>
      </c>
      <c r="AC419" t="s">
        <v>8950</v>
      </c>
    </row>
    <row r="420" spans="1:29" x14ac:dyDescent="0.3">
      <c r="A420">
        <v>-73.96001674</v>
      </c>
      <c r="B420">
        <v>40.780831620000001</v>
      </c>
      <c r="C420" t="s">
        <v>851</v>
      </c>
      <c r="D420" t="s">
        <v>33</v>
      </c>
      <c r="E420" s="58">
        <v>43384</v>
      </c>
      <c r="F420">
        <v>26</v>
      </c>
      <c r="G420" t="s">
        <v>48</v>
      </c>
      <c r="H420" t="s">
        <v>42</v>
      </c>
      <c r="I420" t="s">
        <v>59</v>
      </c>
      <c r="J420" t="s">
        <v>116</v>
      </c>
      <c r="K420" t="s">
        <v>3318</v>
      </c>
      <c r="L420" t="s">
        <v>44</v>
      </c>
      <c r="M420">
        <v>15</v>
      </c>
      <c r="N420" t="s">
        <v>5858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s">
        <v>3434</v>
      </c>
      <c r="AC420" t="s">
        <v>8951</v>
      </c>
    </row>
    <row r="421" spans="1:29" x14ac:dyDescent="0.3">
      <c r="A421">
        <v>-73.957506319999993</v>
      </c>
      <c r="B421">
        <v>40.797790399999997</v>
      </c>
      <c r="C421" t="s">
        <v>726</v>
      </c>
      <c r="D421" t="s">
        <v>33</v>
      </c>
      <c r="E421" s="58">
        <v>43393</v>
      </c>
      <c r="F421">
        <v>4</v>
      </c>
      <c r="G421" t="s">
        <v>48</v>
      </c>
      <c r="H421" t="s">
        <v>42</v>
      </c>
      <c r="I421" t="s">
        <v>59</v>
      </c>
      <c r="J421" t="s">
        <v>116</v>
      </c>
      <c r="K421" t="s">
        <v>5323</v>
      </c>
      <c r="L421" t="s">
        <v>65</v>
      </c>
      <c r="M421" t="b">
        <v>0</v>
      </c>
      <c r="N421" t="s">
        <v>1907</v>
      </c>
      <c r="O421" t="b">
        <v>1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1</v>
      </c>
      <c r="Y421" t="b">
        <v>0</v>
      </c>
      <c r="Z421" t="b">
        <v>0</v>
      </c>
      <c r="AA421" t="b">
        <v>1</v>
      </c>
      <c r="AB421" t="s">
        <v>5887</v>
      </c>
      <c r="AC421" t="s">
        <v>8952</v>
      </c>
    </row>
    <row r="422" spans="1:29" x14ac:dyDescent="0.3">
      <c r="A422">
        <v>-73.956273859999996</v>
      </c>
      <c r="B422">
        <v>40.776041839999998</v>
      </c>
      <c r="C422" t="s">
        <v>256</v>
      </c>
      <c r="D422" t="s">
        <v>38</v>
      </c>
      <c r="E422" s="58">
        <v>43386</v>
      </c>
      <c r="F422">
        <v>3</v>
      </c>
      <c r="G422" t="s">
        <v>48</v>
      </c>
      <c r="H422" t="s">
        <v>42</v>
      </c>
      <c r="I422" t="s">
        <v>59</v>
      </c>
      <c r="J422" t="s">
        <v>97</v>
      </c>
      <c r="K422" t="s">
        <v>6422</v>
      </c>
      <c r="L422" t="s">
        <v>65</v>
      </c>
      <c r="M422" t="b">
        <v>0</v>
      </c>
      <c r="N422" t="s">
        <v>6664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1</v>
      </c>
      <c r="AA422" t="b">
        <v>0</v>
      </c>
      <c r="AB422" t="s">
        <v>7356</v>
      </c>
      <c r="AC422" t="s">
        <v>8953</v>
      </c>
    </row>
    <row r="423" spans="1:29" x14ac:dyDescent="0.3">
      <c r="A423">
        <v>-73.956335499999994</v>
      </c>
      <c r="B423">
        <v>40.78276932</v>
      </c>
      <c r="C423" t="s">
        <v>100</v>
      </c>
      <c r="D423" t="s">
        <v>38</v>
      </c>
      <c r="E423" s="58">
        <v>43385</v>
      </c>
      <c r="F423">
        <v>7</v>
      </c>
      <c r="G423" t="s">
        <v>105</v>
      </c>
      <c r="H423" t="s">
        <v>42</v>
      </c>
      <c r="I423" t="s">
        <v>59</v>
      </c>
      <c r="J423" t="s">
        <v>97</v>
      </c>
      <c r="K423" t="s">
        <v>3347</v>
      </c>
      <c r="L423" t="s">
        <v>44</v>
      </c>
      <c r="M423">
        <v>40</v>
      </c>
      <c r="N423" t="s">
        <v>7271</v>
      </c>
      <c r="O423" t="b">
        <v>1</v>
      </c>
      <c r="P423" t="b">
        <v>0</v>
      </c>
      <c r="Q423" t="b">
        <v>0</v>
      </c>
      <c r="R423" t="b">
        <v>0</v>
      </c>
      <c r="S423" t="b">
        <v>1</v>
      </c>
      <c r="T423" t="b">
        <v>0</v>
      </c>
      <c r="U423" t="b">
        <v>0</v>
      </c>
      <c r="V423" t="b">
        <v>0</v>
      </c>
      <c r="W423" t="b">
        <v>0</v>
      </c>
      <c r="X423" t="b">
        <v>1</v>
      </c>
      <c r="Y423" t="b">
        <v>0</v>
      </c>
      <c r="Z423" t="b">
        <v>1</v>
      </c>
      <c r="AA423" t="b">
        <v>0</v>
      </c>
      <c r="AB423" t="s">
        <v>1284</v>
      </c>
      <c r="AC423" t="s">
        <v>8954</v>
      </c>
    </row>
    <row r="424" spans="1:29" x14ac:dyDescent="0.3">
      <c r="A424">
        <v>-73.978291350000006</v>
      </c>
      <c r="B424">
        <v>40.76637436</v>
      </c>
      <c r="C424" t="s">
        <v>1352</v>
      </c>
      <c r="D424" t="s">
        <v>38</v>
      </c>
      <c r="E424" s="58">
        <v>43389</v>
      </c>
      <c r="F424">
        <v>24</v>
      </c>
      <c r="G424" t="s">
        <v>48</v>
      </c>
      <c r="H424" t="s">
        <v>53</v>
      </c>
      <c r="I424" t="s">
        <v>59</v>
      </c>
      <c r="J424" t="s">
        <v>43</v>
      </c>
      <c r="K424" t="s">
        <v>1381</v>
      </c>
      <c r="L424" t="s">
        <v>65</v>
      </c>
      <c r="M424" t="b">
        <v>0</v>
      </c>
      <c r="N424" t="s">
        <v>874</v>
      </c>
      <c r="O424" t="b">
        <v>0</v>
      </c>
      <c r="P424" t="b">
        <v>0</v>
      </c>
      <c r="Q424" t="b">
        <v>1</v>
      </c>
      <c r="R424" t="b">
        <v>1</v>
      </c>
      <c r="S424" t="b">
        <v>1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1</v>
      </c>
      <c r="AB424" t="s">
        <v>101</v>
      </c>
      <c r="AC424" t="s">
        <v>8955</v>
      </c>
    </row>
    <row r="425" spans="1:29" x14ac:dyDescent="0.3">
      <c r="A425">
        <v>-73.965615580000005</v>
      </c>
      <c r="B425">
        <v>40.770133510000001</v>
      </c>
      <c r="C425" t="s">
        <v>782</v>
      </c>
      <c r="D425" t="s">
        <v>33</v>
      </c>
      <c r="E425" s="58">
        <v>43385</v>
      </c>
      <c r="F425">
        <v>18</v>
      </c>
      <c r="G425" t="s">
        <v>48</v>
      </c>
      <c r="H425" t="s">
        <v>42</v>
      </c>
      <c r="I425" t="s">
        <v>176</v>
      </c>
      <c r="J425" t="s">
        <v>54</v>
      </c>
      <c r="K425" t="s">
        <v>4308</v>
      </c>
      <c r="L425" t="s">
        <v>44</v>
      </c>
      <c r="M425">
        <v>7</v>
      </c>
      <c r="N425" t="s">
        <v>2101</v>
      </c>
      <c r="O425" t="b">
        <v>0</v>
      </c>
      <c r="P425" t="b">
        <v>1</v>
      </c>
      <c r="Q425" t="b">
        <v>0</v>
      </c>
      <c r="R425" t="b">
        <v>0</v>
      </c>
      <c r="S425" t="b">
        <v>1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1</v>
      </c>
      <c r="AB425" t="s">
        <v>685</v>
      </c>
      <c r="AC425" t="s">
        <v>8956</v>
      </c>
    </row>
    <row r="426" spans="1:29" x14ac:dyDescent="0.3">
      <c r="A426">
        <v>-73.979349119999995</v>
      </c>
      <c r="B426">
        <v>40.799647790000002</v>
      </c>
      <c r="C426" t="s">
        <v>1780</v>
      </c>
      <c r="D426" t="s">
        <v>38</v>
      </c>
      <c r="E426" s="58">
        <v>43391</v>
      </c>
      <c r="F426">
        <v>10</v>
      </c>
      <c r="G426" t="s">
        <v>48</v>
      </c>
      <c r="H426" t="s">
        <v>42</v>
      </c>
      <c r="I426" t="s">
        <v>59</v>
      </c>
      <c r="J426" t="s">
        <v>43</v>
      </c>
      <c r="K426" t="s">
        <v>1896</v>
      </c>
      <c r="L426" t="s">
        <v>65</v>
      </c>
      <c r="M426" t="b">
        <v>0</v>
      </c>
      <c r="N426" t="s">
        <v>5312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1</v>
      </c>
      <c r="AA426" t="b">
        <v>0</v>
      </c>
      <c r="AB426" t="s">
        <v>488</v>
      </c>
      <c r="AC426" t="s">
        <v>8957</v>
      </c>
    </row>
    <row r="427" spans="1:29" x14ac:dyDescent="0.3">
      <c r="A427">
        <v>-73.963883139999993</v>
      </c>
      <c r="B427">
        <v>40.798890419999999</v>
      </c>
      <c r="C427" t="s">
        <v>579</v>
      </c>
      <c r="D427" t="s">
        <v>38</v>
      </c>
      <c r="E427" s="58">
        <v>43382</v>
      </c>
      <c r="F427">
        <v>7</v>
      </c>
      <c r="G427" t="s">
        <v>105</v>
      </c>
      <c r="H427" t="s">
        <v>42</v>
      </c>
      <c r="I427" t="s">
        <v>96</v>
      </c>
      <c r="J427" t="s">
        <v>43</v>
      </c>
      <c r="K427" t="s">
        <v>3351</v>
      </c>
      <c r="L427" t="s">
        <v>65</v>
      </c>
      <c r="M427" t="b">
        <v>0</v>
      </c>
      <c r="N427" t="s">
        <v>7271</v>
      </c>
      <c r="O427" t="b">
        <v>0</v>
      </c>
      <c r="P427" t="b">
        <v>0</v>
      </c>
      <c r="Q427" t="b">
        <v>0</v>
      </c>
      <c r="R427" t="b">
        <v>1</v>
      </c>
      <c r="S427" t="b">
        <v>1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1</v>
      </c>
      <c r="AA427" t="b">
        <v>0</v>
      </c>
      <c r="AB427" t="s">
        <v>101</v>
      </c>
      <c r="AC427" t="s">
        <v>8958</v>
      </c>
    </row>
    <row r="428" spans="1:29" x14ac:dyDescent="0.3">
      <c r="A428">
        <v>-73.967278269999994</v>
      </c>
      <c r="B428">
        <v>40.765084590000001</v>
      </c>
      <c r="C428" t="s">
        <v>646</v>
      </c>
      <c r="D428" t="s">
        <v>38</v>
      </c>
      <c r="E428" s="58">
        <v>43387</v>
      </c>
      <c r="F428">
        <v>8</v>
      </c>
      <c r="G428" t="s">
        <v>48</v>
      </c>
      <c r="H428" t="s">
        <v>42</v>
      </c>
      <c r="I428" t="s">
        <v>53</v>
      </c>
      <c r="J428" t="s">
        <v>89</v>
      </c>
      <c r="K428" t="s">
        <v>1843</v>
      </c>
      <c r="L428" t="s">
        <v>65</v>
      </c>
      <c r="M428" t="b">
        <v>0</v>
      </c>
      <c r="N428" t="s">
        <v>2119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s">
        <v>5150</v>
      </c>
      <c r="AC428" t="s">
        <v>8959</v>
      </c>
    </row>
    <row r="429" spans="1:29" x14ac:dyDescent="0.3">
      <c r="A429">
        <v>-73.953251989999998</v>
      </c>
      <c r="B429">
        <v>40.798421920000003</v>
      </c>
      <c r="C429" t="s">
        <v>3395</v>
      </c>
      <c r="D429" t="s">
        <v>38</v>
      </c>
      <c r="E429" s="58">
        <v>43390</v>
      </c>
      <c r="F429">
        <v>6</v>
      </c>
      <c r="G429" t="s">
        <v>48</v>
      </c>
      <c r="H429" t="s">
        <v>42</v>
      </c>
      <c r="I429" t="s">
        <v>59</v>
      </c>
      <c r="J429" t="s">
        <v>43</v>
      </c>
      <c r="K429" t="s">
        <v>1381</v>
      </c>
      <c r="L429" t="s">
        <v>65</v>
      </c>
      <c r="M429" t="b">
        <v>0</v>
      </c>
      <c r="N429" t="s">
        <v>4416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s">
        <v>630</v>
      </c>
      <c r="AC429" t="s">
        <v>8960</v>
      </c>
    </row>
    <row r="430" spans="1:29" x14ac:dyDescent="0.3">
      <c r="A430">
        <v>-73.970126930000006</v>
      </c>
      <c r="B430">
        <v>40.787412709999998</v>
      </c>
      <c r="C430" t="s">
        <v>225</v>
      </c>
      <c r="D430" t="s">
        <v>38</v>
      </c>
      <c r="E430" s="58">
        <v>43388</v>
      </c>
      <c r="F430">
        <v>22</v>
      </c>
      <c r="G430" t="s">
        <v>48</v>
      </c>
      <c r="H430" t="s">
        <v>42</v>
      </c>
      <c r="I430" t="s">
        <v>53</v>
      </c>
      <c r="J430" t="s">
        <v>54</v>
      </c>
      <c r="K430" t="s">
        <v>3152</v>
      </c>
      <c r="L430" t="s">
        <v>65</v>
      </c>
      <c r="M430" t="b">
        <v>0</v>
      </c>
      <c r="N430" t="s">
        <v>4293</v>
      </c>
      <c r="O430" t="b">
        <v>0</v>
      </c>
      <c r="P430" t="b">
        <v>0</v>
      </c>
      <c r="Q430" t="b">
        <v>1</v>
      </c>
      <c r="R430" t="b">
        <v>0</v>
      </c>
      <c r="S430" t="b">
        <v>1</v>
      </c>
      <c r="T430" t="b">
        <v>0</v>
      </c>
      <c r="U430" t="b">
        <v>0</v>
      </c>
      <c r="V430" t="b">
        <v>0</v>
      </c>
      <c r="W430" t="b">
        <v>0</v>
      </c>
      <c r="X430" t="b">
        <v>1</v>
      </c>
      <c r="Y430" t="b">
        <v>0</v>
      </c>
      <c r="Z430" t="b">
        <v>0</v>
      </c>
      <c r="AA430" t="b">
        <v>0</v>
      </c>
      <c r="AB430" t="s">
        <v>7171</v>
      </c>
      <c r="AC430" t="s">
        <v>8961</v>
      </c>
    </row>
    <row r="431" spans="1:29" x14ac:dyDescent="0.3">
      <c r="A431">
        <v>-73.97747837</v>
      </c>
      <c r="B431">
        <v>40.795468210000003</v>
      </c>
      <c r="C431" t="s">
        <v>180</v>
      </c>
      <c r="D431" t="s">
        <v>38</v>
      </c>
      <c r="E431" s="58">
        <v>43384</v>
      </c>
      <c r="F431">
        <v>26</v>
      </c>
      <c r="G431" t="s">
        <v>48</v>
      </c>
      <c r="H431" t="s">
        <v>42</v>
      </c>
      <c r="I431" t="s">
        <v>59</v>
      </c>
      <c r="J431" t="s">
        <v>116</v>
      </c>
      <c r="K431" t="s">
        <v>4308</v>
      </c>
      <c r="L431" t="s">
        <v>65</v>
      </c>
      <c r="M431" t="b">
        <v>0</v>
      </c>
      <c r="N431" t="s">
        <v>524</v>
      </c>
      <c r="O431" t="b">
        <v>0</v>
      </c>
      <c r="P431" t="b">
        <v>0</v>
      </c>
      <c r="Q431" t="b">
        <v>0</v>
      </c>
      <c r="R431" t="b">
        <v>0</v>
      </c>
      <c r="S431" t="b">
        <v>1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s">
        <v>3799</v>
      </c>
      <c r="AC431" t="s">
        <v>8962</v>
      </c>
    </row>
    <row r="432" spans="1:29" x14ac:dyDescent="0.3">
      <c r="A432">
        <v>-73.976663380000005</v>
      </c>
      <c r="B432">
        <v>40.780921079999999</v>
      </c>
      <c r="C432" t="s">
        <v>722</v>
      </c>
      <c r="D432" t="s">
        <v>38</v>
      </c>
      <c r="E432" s="58">
        <v>43392</v>
      </c>
      <c r="F432">
        <v>1</v>
      </c>
      <c r="G432" t="s">
        <v>48</v>
      </c>
      <c r="H432" t="s">
        <v>176</v>
      </c>
      <c r="I432" t="s">
        <v>42</v>
      </c>
      <c r="J432" t="s">
        <v>43</v>
      </c>
      <c r="K432" t="s">
        <v>3461</v>
      </c>
      <c r="L432" t="s">
        <v>65</v>
      </c>
      <c r="M432" t="b">
        <v>0</v>
      </c>
      <c r="N432" t="s">
        <v>1346</v>
      </c>
      <c r="O432" t="b">
        <v>0</v>
      </c>
      <c r="P432" t="b">
        <v>0</v>
      </c>
      <c r="Q432" t="b">
        <v>1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s">
        <v>685</v>
      </c>
      <c r="AC432" t="s">
        <v>8963</v>
      </c>
    </row>
    <row r="433" spans="1:29" x14ac:dyDescent="0.3">
      <c r="A433">
        <v>-73.957219109999997</v>
      </c>
      <c r="B433">
        <v>40.7830637</v>
      </c>
      <c r="C433" t="s">
        <v>2889</v>
      </c>
      <c r="D433" t="s">
        <v>38</v>
      </c>
      <c r="E433" s="58">
        <v>43390</v>
      </c>
      <c r="F433">
        <v>4</v>
      </c>
      <c r="G433" t="s">
        <v>48</v>
      </c>
      <c r="H433" t="s">
        <v>42</v>
      </c>
      <c r="I433" t="s">
        <v>53</v>
      </c>
      <c r="J433" t="s">
        <v>339</v>
      </c>
      <c r="K433" t="s">
        <v>1636</v>
      </c>
      <c r="L433" t="s">
        <v>65</v>
      </c>
      <c r="M433" t="b">
        <v>0</v>
      </c>
      <c r="N433" t="s">
        <v>4948</v>
      </c>
      <c r="O433" t="b">
        <v>0</v>
      </c>
      <c r="P433" t="b">
        <v>0</v>
      </c>
      <c r="Q433" t="b">
        <v>0</v>
      </c>
      <c r="R433" t="b">
        <v>1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1</v>
      </c>
      <c r="AA433" t="b">
        <v>0</v>
      </c>
      <c r="AB433" t="s">
        <v>810</v>
      </c>
      <c r="AC433" t="s">
        <v>8964</v>
      </c>
    </row>
    <row r="434" spans="1:29" x14ac:dyDescent="0.3">
      <c r="A434">
        <v>-73.961723770000006</v>
      </c>
      <c r="B434">
        <v>40.782121910000001</v>
      </c>
      <c r="C434" t="s">
        <v>1336</v>
      </c>
      <c r="D434" t="s">
        <v>38</v>
      </c>
      <c r="E434" s="58">
        <v>43389</v>
      </c>
      <c r="F434">
        <v>14</v>
      </c>
      <c r="G434" t="s">
        <v>48</v>
      </c>
      <c r="H434" t="s">
        <v>42</v>
      </c>
      <c r="I434" t="s">
        <v>53</v>
      </c>
      <c r="J434" t="s">
        <v>738</v>
      </c>
      <c r="K434" t="s">
        <v>1816</v>
      </c>
      <c r="L434" t="s">
        <v>65</v>
      </c>
      <c r="M434" t="b">
        <v>0</v>
      </c>
      <c r="N434" t="s">
        <v>2970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1</v>
      </c>
      <c r="AA434" t="b">
        <v>0</v>
      </c>
      <c r="AB434" t="s">
        <v>714</v>
      </c>
      <c r="AC434" t="s">
        <v>8965</v>
      </c>
    </row>
    <row r="435" spans="1:29" x14ac:dyDescent="0.3">
      <c r="A435">
        <v>-73.977979610000006</v>
      </c>
      <c r="B435">
        <v>40.788389520000003</v>
      </c>
      <c r="C435" t="s">
        <v>1780</v>
      </c>
      <c r="D435" t="s">
        <v>33</v>
      </c>
      <c r="E435" s="58">
        <v>43381</v>
      </c>
      <c r="F435">
        <v>17</v>
      </c>
      <c r="G435" t="s">
        <v>105</v>
      </c>
      <c r="H435" t="s">
        <v>42</v>
      </c>
      <c r="I435" t="s">
        <v>42</v>
      </c>
      <c r="J435" t="s">
        <v>79</v>
      </c>
      <c r="K435" t="s">
        <v>820</v>
      </c>
      <c r="L435" t="s">
        <v>65</v>
      </c>
      <c r="M435" t="b">
        <v>0</v>
      </c>
      <c r="N435" t="s">
        <v>190</v>
      </c>
      <c r="O435" t="b">
        <v>1</v>
      </c>
      <c r="P435" t="b">
        <v>0</v>
      </c>
      <c r="Q435" t="b">
        <v>0</v>
      </c>
      <c r="R435" t="b">
        <v>1</v>
      </c>
      <c r="S435" t="b">
        <v>1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s">
        <v>954</v>
      </c>
      <c r="AC435" t="s">
        <v>8966</v>
      </c>
    </row>
    <row r="436" spans="1:29" x14ac:dyDescent="0.3">
      <c r="A436">
        <v>-73.978514529999998</v>
      </c>
      <c r="B436">
        <v>40.769827489999997</v>
      </c>
      <c r="C436" t="s">
        <v>163</v>
      </c>
      <c r="D436" t="s">
        <v>38</v>
      </c>
      <c r="E436" s="58">
        <v>43383</v>
      </c>
      <c r="F436">
        <v>20</v>
      </c>
      <c r="G436" t="s">
        <v>48</v>
      </c>
      <c r="H436" t="s">
        <v>42</v>
      </c>
      <c r="I436" t="s">
        <v>53</v>
      </c>
      <c r="J436" t="s">
        <v>43</v>
      </c>
      <c r="K436" t="s">
        <v>7003</v>
      </c>
      <c r="L436" t="s">
        <v>65</v>
      </c>
      <c r="M436" t="b">
        <v>0</v>
      </c>
      <c r="N436" t="s">
        <v>3132</v>
      </c>
      <c r="O436" t="b">
        <v>1</v>
      </c>
      <c r="P436" t="b">
        <v>0</v>
      </c>
      <c r="Q436" t="b">
        <v>0</v>
      </c>
      <c r="R436" t="b">
        <v>0</v>
      </c>
      <c r="S436" t="b">
        <v>0</v>
      </c>
      <c r="T436" t="b">
        <v>1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1</v>
      </c>
      <c r="AB436" t="s">
        <v>1649</v>
      </c>
      <c r="AC436" t="s">
        <v>8967</v>
      </c>
    </row>
    <row r="437" spans="1:29" x14ac:dyDescent="0.3">
      <c r="A437">
        <v>-73.959122350000001</v>
      </c>
      <c r="B437">
        <v>40.765965970000003</v>
      </c>
      <c r="C437" t="s">
        <v>726</v>
      </c>
      <c r="D437" t="s">
        <v>33</v>
      </c>
      <c r="E437" s="58">
        <v>43383</v>
      </c>
      <c r="F437">
        <v>18</v>
      </c>
      <c r="G437" t="s">
        <v>48</v>
      </c>
      <c r="H437" t="s">
        <v>42</v>
      </c>
      <c r="I437" t="s">
        <v>59</v>
      </c>
      <c r="J437" t="s">
        <v>54</v>
      </c>
      <c r="K437" t="s">
        <v>242</v>
      </c>
      <c r="L437" t="s">
        <v>65</v>
      </c>
      <c r="M437" t="b">
        <v>0</v>
      </c>
      <c r="N437" t="s">
        <v>456</v>
      </c>
      <c r="O437" t="b">
        <v>1</v>
      </c>
      <c r="P437" t="b">
        <v>1</v>
      </c>
      <c r="Q437" t="b">
        <v>0</v>
      </c>
      <c r="R437" t="b">
        <v>0</v>
      </c>
      <c r="S437" t="b">
        <v>1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s">
        <v>340</v>
      </c>
      <c r="AC437" t="s">
        <v>8968</v>
      </c>
    </row>
    <row r="438" spans="1:29" x14ac:dyDescent="0.3">
      <c r="A438">
        <v>-73.978871139999995</v>
      </c>
      <c r="B438">
        <v>40.775752220000001</v>
      </c>
      <c r="C438" t="s">
        <v>544</v>
      </c>
      <c r="D438" t="s">
        <v>33</v>
      </c>
      <c r="E438" s="58">
        <v>43392</v>
      </c>
      <c r="F438">
        <v>11</v>
      </c>
      <c r="G438" t="s">
        <v>48</v>
      </c>
      <c r="H438" t="s">
        <v>42</v>
      </c>
      <c r="I438" t="s">
        <v>59</v>
      </c>
      <c r="J438" t="s">
        <v>54</v>
      </c>
      <c r="K438" t="s">
        <v>2136</v>
      </c>
      <c r="L438" t="s">
        <v>65</v>
      </c>
      <c r="M438" t="b">
        <v>0</v>
      </c>
      <c r="N438" t="s">
        <v>1311</v>
      </c>
      <c r="O438" t="b">
        <v>0</v>
      </c>
      <c r="P438" t="b">
        <v>1</v>
      </c>
      <c r="Q438" t="b">
        <v>1</v>
      </c>
      <c r="R438" t="b">
        <v>1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s">
        <v>3549</v>
      </c>
      <c r="AC438" t="s">
        <v>8969</v>
      </c>
    </row>
    <row r="439" spans="1:29" x14ac:dyDescent="0.3">
      <c r="A439">
        <v>-73.955321920000003</v>
      </c>
      <c r="B439">
        <v>40.789720959999997</v>
      </c>
      <c r="C439" t="s">
        <v>936</v>
      </c>
      <c r="D439" t="s">
        <v>38</v>
      </c>
      <c r="E439" s="58">
        <v>43383</v>
      </c>
      <c r="F439">
        <v>29</v>
      </c>
      <c r="G439" t="s">
        <v>48</v>
      </c>
      <c r="H439" t="s">
        <v>42</v>
      </c>
      <c r="I439" t="s">
        <v>96</v>
      </c>
      <c r="J439" t="s">
        <v>54</v>
      </c>
      <c r="K439" t="s">
        <v>4381</v>
      </c>
      <c r="L439" t="s">
        <v>65</v>
      </c>
      <c r="M439" t="b">
        <v>0</v>
      </c>
      <c r="N439" t="s">
        <v>6256</v>
      </c>
      <c r="O439" t="b">
        <v>1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s">
        <v>867</v>
      </c>
      <c r="AC439" t="s">
        <v>8970</v>
      </c>
    </row>
    <row r="440" spans="1:29" x14ac:dyDescent="0.3">
      <c r="A440">
        <v>-73.958956580000006</v>
      </c>
      <c r="B440">
        <v>40.772017490000003</v>
      </c>
      <c r="C440" t="s">
        <v>1025</v>
      </c>
      <c r="D440" t="s">
        <v>38</v>
      </c>
      <c r="E440" s="58">
        <v>43386</v>
      </c>
      <c r="F440">
        <v>21</v>
      </c>
      <c r="G440" t="s">
        <v>48</v>
      </c>
      <c r="H440" t="s">
        <v>42</v>
      </c>
      <c r="I440" t="s">
        <v>53</v>
      </c>
      <c r="J440" t="s">
        <v>43</v>
      </c>
      <c r="K440" t="s">
        <v>2517</v>
      </c>
      <c r="L440" t="s">
        <v>44</v>
      </c>
      <c r="M440">
        <v>7</v>
      </c>
      <c r="N440" t="s">
        <v>190</v>
      </c>
      <c r="O440" t="b">
        <v>0</v>
      </c>
      <c r="P440" t="b">
        <v>0</v>
      </c>
      <c r="Q440" t="b">
        <v>1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s">
        <v>4727</v>
      </c>
      <c r="AC440" t="s">
        <v>8971</v>
      </c>
    </row>
    <row r="441" spans="1:29" x14ac:dyDescent="0.3">
      <c r="A441">
        <v>-73.978601229999995</v>
      </c>
      <c r="B441">
        <v>40.788620780000002</v>
      </c>
      <c r="C441" t="s">
        <v>88</v>
      </c>
      <c r="D441" t="s">
        <v>38</v>
      </c>
      <c r="E441" s="58">
        <v>43387</v>
      </c>
      <c r="F441">
        <v>26</v>
      </c>
      <c r="G441" t="s">
        <v>48</v>
      </c>
      <c r="H441" t="s">
        <v>42</v>
      </c>
      <c r="I441" t="s">
        <v>53</v>
      </c>
      <c r="J441" t="s">
        <v>339</v>
      </c>
      <c r="K441" t="s">
        <v>6764</v>
      </c>
      <c r="L441" t="s">
        <v>65</v>
      </c>
      <c r="M441" t="b">
        <v>0</v>
      </c>
      <c r="N441" t="s">
        <v>140</v>
      </c>
      <c r="O441" t="b">
        <v>0</v>
      </c>
      <c r="P441" t="b">
        <v>0</v>
      </c>
      <c r="Q441" t="b">
        <v>1</v>
      </c>
      <c r="R441" t="b">
        <v>0</v>
      </c>
      <c r="S441" t="b">
        <v>1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1</v>
      </c>
      <c r="AA441" t="b">
        <v>0</v>
      </c>
      <c r="AB441" t="s">
        <v>5150</v>
      </c>
      <c r="AC441" t="s">
        <v>8972</v>
      </c>
    </row>
    <row r="442" spans="1:29" x14ac:dyDescent="0.3">
      <c r="A442">
        <v>-73.978491550000001</v>
      </c>
      <c r="B442">
        <v>40.799059190000001</v>
      </c>
      <c r="C442" t="s">
        <v>1199</v>
      </c>
      <c r="D442" t="s">
        <v>33</v>
      </c>
      <c r="E442" s="58">
        <v>43391</v>
      </c>
      <c r="F442">
        <v>14</v>
      </c>
      <c r="G442" t="s">
        <v>48</v>
      </c>
      <c r="H442" t="s">
        <v>42</v>
      </c>
      <c r="I442" t="s">
        <v>59</v>
      </c>
      <c r="J442" t="s">
        <v>43</v>
      </c>
      <c r="K442" t="s">
        <v>4237</v>
      </c>
      <c r="L442" t="s">
        <v>44</v>
      </c>
      <c r="M442">
        <v>5</v>
      </c>
      <c r="N442" t="s">
        <v>2877</v>
      </c>
      <c r="O442" t="b">
        <v>0</v>
      </c>
      <c r="P442" t="b">
        <v>0</v>
      </c>
      <c r="Q442" t="b">
        <v>1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1</v>
      </c>
      <c r="Y442" t="b">
        <v>0</v>
      </c>
      <c r="Z442" t="b">
        <v>1</v>
      </c>
      <c r="AA442" t="b">
        <v>0</v>
      </c>
      <c r="AB442" t="s">
        <v>432</v>
      </c>
      <c r="AC442" t="s">
        <v>8973</v>
      </c>
    </row>
    <row r="443" spans="1:29" x14ac:dyDescent="0.3">
      <c r="A443">
        <v>-73.950141779999996</v>
      </c>
      <c r="B443">
        <v>40.768216709999997</v>
      </c>
      <c r="C443" t="s">
        <v>1025</v>
      </c>
      <c r="D443" t="s">
        <v>33</v>
      </c>
      <c r="E443" s="58">
        <v>43387</v>
      </c>
      <c r="F443">
        <v>9</v>
      </c>
      <c r="G443" t="s">
        <v>48</v>
      </c>
      <c r="H443" t="s">
        <v>42</v>
      </c>
      <c r="I443" t="s">
        <v>115</v>
      </c>
      <c r="J443" t="s">
        <v>97</v>
      </c>
      <c r="K443" t="s">
        <v>1636</v>
      </c>
      <c r="L443" t="s">
        <v>65</v>
      </c>
      <c r="M443" t="b">
        <v>0</v>
      </c>
      <c r="N443" t="s">
        <v>1996</v>
      </c>
      <c r="O443" t="b">
        <v>0</v>
      </c>
      <c r="P443" t="b">
        <v>0</v>
      </c>
      <c r="Q443" t="b">
        <v>0</v>
      </c>
      <c r="R443" t="b">
        <v>0</v>
      </c>
      <c r="S443" t="b">
        <v>1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1</v>
      </c>
      <c r="AA443" t="b">
        <v>0</v>
      </c>
      <c r="AB443" t="s">
        <v>121</v>
      </c>
      <c r="AC443" t="s">
        <v>8974</v>
      </c>
    </row>
    <row r="444" spans="1:29" x14ac:dyDescent="0.3">
      <c r="A444">
        <v>-73.9693927</v>
      </c>
      <c r="B444">
        <v>40.788591539999999</v>
      </c>
      <c r="C444" t="s">
        <v>1420</v>
      </c>
      <c r="D444" t="s">
        <v>33</v>
      </c>
      <c r="E444" s="58">
        <v>43391</v>
      </c>
      <c r="F444">
        <v>27</v>
      </c>
      <c r="G444" t="s">
        <v>48</v>
      </c>
      <c r="H444" t="s">
        <v>42</v>
      </c>
      <c r="I444" t="s">
        <v>59</v>
      </c>
      <c r="J444" t="s">
        <v>43</v>
      </c>
      <c r="K444" t="s">
        <v>1012</v>
      </c>
      <c r="L444" t="s">
        <v>65</v>
      </c>
      <c r="M444" t="b">
        <v>0</v>
      </c>
      <c r="N444" t="s">
        <v>706</v>
      </c>
      <c r="O444" t="b">
        <v>0</v>
      </c>
      <c r="P444" t="b">
        <v>0</v>
      </c>
      <c r="Q444" t="b">
        <v>0</v>
      </c>
      <c r="R444" t="b">
        <v>0</v>
      </c>
      <c r="S444" t="b">
        <v>1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s">
        <v>3799</v>
      </c>
      <c r="AC444" t="s">
        <v>8975</v>
      </c>
    </row>
    <row r="445" spans="1:29" x14ac:dyDescent="0.3">
      <c r="A445">
        <v>-73.969506769999995</v>
      </c>
      <c r="B445">
        <v>40.780534160000002</v>
      </c>
      <c r="C445" t="s">
        <v>127</v>
      </c>
      <c r="D445" t="s">
        <v>38</v>
      </c>
      <c r="E445" s="58">
        <v>43384</v>
      </c>
      <c r="F445">
        <v>15</v>
      </c>
      <c r="G445" t="s">
        <v>48</v>
      </c>
      <c r="H445" t="s">
        <v>53</v>
      </c>
      <c r="I445" t="s">
        <v>53</v>
      </c>
      <c r="J445" t="s">
        <v>79</v>
      </c>
      <c r="K445" t="s">
        <v>3261</v>
      </c>
      <c r="L445" t="s">
        <v>65</v>
      </c>
      <c r="M445" t="b">
        <v>0</v>
      </c>
      <c r="N445" t="s">
        <v>140</v>
      </c>
      <c r="O445" t="b">
        <v>0</v>
      </c>
      <c r="P445" t="b">
        <v>0</v>
      </c>
      <c r="Q445" t="b">
        <v>0</v>
      </c>
      <c r="R445" t="b">
        <v>0</v>
      </c>
      <c r="S445" t="b">
        <v>1</v>
      </c>
      <c r="T445" t="b">
        <v>0</v>
      </c>
      <c r="U445" t="b">
        <v>0</v>
      </c>
      <c r="V445" t="b">
        <v>0</v>
      </c>
      <c r="W445" t="b">
        <v>1</v>
      </c>
      <c r="X445" t="b">
        <v>1</v>
      </c>
      <c r="Y445" t="b">
        <v>0</v>
      </c>
      <c r="Z445" t="b">
        <v>1</v>
      </c>
      <c r="AA445" t="b">
        <v>0</v>
      </c>
      <c r="AB445" t="s">
        <v>7224</v>
      </c>
      <c r="AC445" t="s">
        <v>8976</v>
      </c>
    </row>
    <row r="446" spans="1:29" x14ac:dyDescent="0.3">
      <c r="A446">
        <v>-73.955606750000001</v>
      </c>
      <c r="B446">
        <v>40.795476090000001</v>
      </c>
      <c r="C446" t="s">
        <v>320</v>
      </c>
      <c r="D446" t="s">
        <v>38</v>
      </c>
      <c r="E446" s="58">
        <v>43384</v>
      </c>
      <c r="F446">
        <v>12</v>
      </c>
      <c r="G446" t="s">
        <v>48</v>
      </c>
      <c r="H446" t="s">
        <v>53</v>
      </c>
      <c r="I446" t="s">
        <v>59</v>
      </c>
      <c r="J446" t="s">
        <v>155</v>
      </c>
      <c r="K446" t="s">
        <v>1181</v>
      </c>
      <c r="L446" t="s">
        <v>65</v>
      </c>
      <c r="M446" t="b">
        <v>0</v>
      </c>
      <c r="N446" t="s">
        <v>748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s">
        <v>445</v>
      </c>
      <c r="AC446" t="s">
        <v>8977</v>
      </c>
    </row>
    <row r="447" spans="1:29" x14ac:dyDescent="0.3">
      <c r="A447">
        <v>-73.951380099999994</v>
      </c>
      <c r="B447">
        <v>40.771147730000003</v>
      </c>
      <c r="C447" t="s">
        <v>124</v>
      </c>
      <c r="D447" t="s">
        <v>38</v>
      </c>
      <c r="E447" s="58">
        <v>43387</v>
      </c>
      <c r="F447">
        <v>10</v>
      </c>
      <c r="G447" t="s">
        <v>48</v>
      </c>
      <c r="H447" t="s">
        <v>42</v>
      </c>
      <c r="I447" t="s">
        <v>115</v>
      </c>
      <c r="J447" t="s">
        <v>43</v>
      </c>
      <c r="K447" t="s">
        <v>1666</v>
      </c>
      <c r="L447" t="s">
        <v>65</v>
      </c>
      <c r="M447" t="b">
        <v>0</v>
      </c>
      <c r="N447" t="s">
        <v>1311</v>
      </c>
      <c r="O447" t="b">
        <v>0</v>
      </c>
      <c r="P447" t="b">
        <v>0</v>
      </c>
      <c r="Q447" t="b">
        <v>1</v>
      </c>
      <c r="R447" t="b">
        <v>1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s">
        <v>1660</v>
      </c>
      <c r="AC447" t="s">
        <v>8978</v>
      </c>
    </row>
    <row r="448" spans="1:29" x14ac:dyDescent="0.3">
      <c r="A448">
        <v>-73.950161850000001</v>
      </c>
      <c r="B448">
        <v>40.789296540000002</v>
      </c>
      <c r="C448" t="s">
        <v>245</v>
      </c>
      <c r="D448" t="s">
        <v>38</v>
      </c>
      <c r="E448" s="58">
        <v>43382</v>
      </c>
      <c r="F448">
        <v>19</v>
      </c>
      <c r="G448" t="s">
        <v>48</v>
      </c>
      <c r="H448" t="s">
        <v>42</v>
      </c>
      <c r="I448" t="s">
        <v>42</v>
      </c>
      <c r="J448" t="s">
        <v>43</v>
      </c>
      <c r="K448" t="s">
        <v>2458</v>
      </c>
      <c r="L448" t="s">
        <v>65</v>
      </c>
      <c r="M448" t="b">
        <v>0</v>
      </c>
      <c r="N448" t="s">
        <v>321</v>
      </c>
      <c r="O448" t="b">
        <v>0</v>
      </c>
      <c r="P448" t="b">
        <v>0</v>
      </c>
      <c r="Q448" t="b">
        <v>0</v>
      </c>
      <c r="R448" t="b">
        <v>1</v>
      </c>
      <c r="S448" t="b">
        <v>1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s">
        <v>1367</v>
      </c>
      <c r="AC448" t="s">
        <v>8979</v>
      </c>
    </row>
    <row r="449" spans="1:29" x14ac:dyDescent="0.3">
      <c r="A449">
        <v>-73.957474770000005</v>
      </c>
      <c r="B449">
        <v>40.794418909999997</v>
      </c>
      <c r="C449" t="s">
        <v>235</v>
      </c>
      <c r="D449" t="s">
        <v>38</v>
      </c>
      <c r="E449" s="58">
        <v>43384</v>
      </c>
      <c r="F449">
        <v>24</v>
      </c>
      <c r="G449" t="s">
        <v>105</v>
      </c>
      <c r="H449" t="s">
        <v>42</v>
      </c>
      <c r="I449" t="s">
        <v>1921</v>
      </c>
      <c r="J449" t="s">
        <v>79</v>
      </c>
      <c r="K449" t="s">
        <v>2282</v>
      </c>
      <c r="L449" t="s">
        <v>65</v>
      </c>
      <c r="M449" t="b">
        <v>0</v>
      </c>
      <c r="N449" t="s">
        <v>1359</v>
      </c>
      <c r="O449" t="b">
        <v>1</v>
      </c>
      <c r="P449" t="b">
        <v>0</v>
      </c>
      <c r="Q449" t="b">
        <v>1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1</v>
      </c>
      <c r="Y449" t="b">
        <v>0</v>
      </c>
      <c r="Z449" t="b">
        <v>1</v>
      </c>
      <c r="AA449" t="b">
        <v>0</v>
      </c>
      <c r="AB449" t="s">
        <v>374</v>
      </c>
      <c r="AC449" t="s">
        <v>8980</v>
      </c>
    </row>
    <row r="450" spans="1:29" x14ac:dyDescent="0.3">
      <c r="A450">
        <v>-73.96933018</v>
      </c>
      <c r="B450">
        <v>40.798168500000003</v>
      </c>
      <c r="C450" t="s">
        <v>52</v>
      </c>
      <c r="D450" t="s">
        <v>38</v>
      </c>
      <c r="E450" s="58">
        <v>43382</v>
      </c>
      <c r="F450">
        <v>19</v>
      </c>
      <c r="G450" t="s">
        <v>48</v>
      </c>
      <c r="H450" t="s">
        <v>53</v>
      </c>
      <c r="I450" t="s">
        <v>53</v>
      </c>
      <c r="J450" t="s">
        <v>97</v>
      </c>
      <c r="K450" t="s">
        <v>2637</v>
      </c>
      <c r="L450" t="s">
        <v>65</v>
      </c>
      <c r="M450" t="b">
        <v>0</v>
      </c>
      <c r="N450" t="s">
        <v>6646</v>
      </c>
      <c r="O450" t="b">
        <v>0</v>
      </c>
      <c r="P450" t="b">
        <v>0</v>
      </c>
      <c r="Q450" t="b">
        <v>0</v>
      </c>
      <c r="R450" t="b">
        <v>0</v>
      </c>
      <c r="S450" t="b">
        <v>1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1</v>
      </c>
      <c r="AA450" t="b">
        <v>1</v>
      </c>
      <c r="AB450" t="s">
        <v>2182</v>
      </c>
      <c r="AC450" t="s">
        <v>8981</v>
      </c>
    </row>
    <row r="451" spans="1:29" x14ac:dyDescent="0.3">
      <c r="A451">
        <v>-73.978533580000004</v>
      </c>
      <c r="B451">
        <v>40.788966360000003</v>
      </c>
      <c r="C451" t="s">
        <v>936</v>
      </c>
      <c r="D451" t="s">
        <v>33</v>
      </c>
      <c r="E451" s="58">
        <v>43389</v>
      </c>
      <c r="F451">
        <v>6</v>
      </c>
      <c r="G451" t="s">
        <v>48</v>
      </c>
      <c r="H451" t="s">
        <v>42</v>
      </c>
      <c r="I451" t="s">
        <v>53</v>
      </c>
      <c r="J451" t="s">
        <v>79</v>
      </c>
      <c r="K451" t="s">
        <v>4110</v>
      </c>
      <c r="L451" t="s">
        <v>65</v>
      </c>
      <c r="M451" t="b">
        <v>0</v>
      </c>
      <c r="N451" t="s">
        <v>4635</v>
      </c>
      <c r="O451" t="b">
        <v>0</v>
      </c>
      <c r="P451" t="b">
        <v>0</v>
      </c>
      <c r="Q451" t="b">
        <v>1</v>
      </c>
      <c r="R451" t="b">
        <v>0</v>
      </c>
      <c r="S451" t="b">
        <v>1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1</v>
      </c>
      <c r="AA451" t="b">
        <v>0</v>
      </c>
      <c r="AB451" t="s">
        <v>360</v>
      </c>
      <c r="AC451" t="s">
        <v>8982</v>
      </c>
    </row>
    <row r="452" spans="1:29" x14ac:dyDescent="0.3">
      <c r="A452">
        <v>-73.956727560000004</v>
      </c>
      <c r="B452">
        <v>40.782415120000003</v>
      </c>
      <c r="C452" t="s">
        <v>402</v>
      </c>
      <c r="D452" t="s">
        <v>33</v>
      </c>
      <c r="E452" s="58">
        <v>43379</v>
      </c>
      <c r="F452">
        <v>20</v>
      </c>
      <c r="G452" t="s">
        <v>48</v>
      </c>
      <c r="H452" t="s">
        <v>42</v>
      </c>
      <c r="I452" t="s">
        <v>59</v>
      </c>
      <c r="J452" t="s">
        <v>54</v>
      </c>
      <c r="K452" t="s">
        <v>3347</v>
      </c>
      <c r="L452" t="s">
        <v>65</v>
      </c>
      <c r="M452" t="b">
        <v>0</v>
      </c>
      <c r="N452" t="s">
        <v>190</v>
      </c>
      <c r="O452" t="b">
        <v>0</v>
      </c>
      <c r="P452" t="b">
        <v>0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1</v>
      </c>
      <c r="AA452" t="b">
        <v>0</v>
      </c>
      <c r="AB452" t="s">
        <v>3173</v>
      </c>
      <c r="AC452" t="s">
        <v>8983</v>
      </c>
    </row>
    <row r="453" spans="1:29" x14ac:dyDescent="0.3">
      <c r="A453">
        <v>-73.963604129999993</v>
      </c>
      <c r="B453">
        <v>40.786663740000002</v>
      </c>
      <c r="C453" t="s">
        <v>1115</v>
      </c>
      <c r="D453" t="s">
        <v>38</v>
      </c>
      <c r="E453" s="58">
        <v>43385</v>
      </c>
      <c r="F453">
        <v>24</v>
      </c>
      <c r="G453" t="s">
        <v>48</v>
      </c>
      <c r="H453" t="s">
        <v>42</v>
      </c>
      <c r="I453" t="s">
        <v>96</v>
      </c>
      <c r="J453" t="s">
        <v>43</v>
      </c>
      <c r="K453" t="s">
        <v>4308</v>
      </c>
      <c r="L453" t="s">
        <v>65</v>
      </c>
      <c r="M453" t="b">
        <v>0</v>
      </c>
      <c r="N453" t="s">
        <v>3496</v>
      </c>
      <c r="O453" t="b">
        <v>1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1</v>
      </c>
      <c r="AA453" t="b">
        <v>0</v>
      </c>
      <c r="AB453" t="s">
        <v>3474</v>
      </c>
      <c r="AC453" t="s">
        <v>8984</v>
      </c>
    </row>
    <row r="454" spans="1:29" x14ac:dyDescent="0.3">
      <c r="A454">
        <v>-73.967822389999995</v>
      </c>
      <c r="B454">
        <v>40.795502939999999</v>
      </c>
      <c r="C454" t="s">
        <v>1362</v>
      </c>
      <c r="D454" t="s">
        <v>38</v>
      </c>
      <c r="E454" s="58">
        <v>43392</v>
      </c>
      <c r="F454">
        <v>27</v>
      </c>
      <c r="G454" t="s">
        <v>48</v>
      </c>
      <c r="H454" t="s">
        <v>53</v>
      </c>
      <c r="I454" t="s">
        <v>53</v>
      </c>
      <c r="J454" t="s">
        <v>34</v>
      </c>
      <c r="K454" t="s">
        <v>1688</v>
      </c>
      <c r="L454" t="s">
        <v>65</v>
      </c>
      <c r="M454" t="b">
        <v>0</v>
      </c>
      <c r="N454" t="s">
        <v>3098</v>
      </c>
      <c r="O454" t="b">
        <v>0</v>
      </c>
      <c r="P454" t="b">
        <v>0</v>
      </c>
      <c r="Q454" t="b">
        <v>0</v>
      </c>
      <c r="R454" t="b">
        <v>1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1</v>
      </c>
      <c r="AA454" t="b">
        <v>0</v>
      </c>
      <c r="AB454" t="s">
        <v>121</v>
      </c>
      <c r="AC454" t="s">
        <v>8985</v>
      </c>
    </row>
    <row r="455" spans="1:29" x14ac:dyDescent="0.3">
      <c r="A455">
        <v>-73.952665690000003</v>
      </c>
      <c r="B455">
        <v>40.785000609999997</v>
      </c>
      <c r="C455" t="s">
        <v>1245</v>
      </c>
      <c r="D455" t="s">
        <v>33</v>
      </c>
      <c r="E455" s="58">
        <v>43388</v>
      </c>
      <c r="F455">
        <v>6</v>
      </c>
      <c r="G455" t="s">
        <v>48</v>
      </c>
      <c r="H455" t="s">
        <v>42</v>
      </c>
      <c r="I455" t="s">
        <v>53</v>
      </c>
      <c r="J455" t="s">
        <v>155</v>
      </c>
      <c r="K455" t="s">
        <v>4243</v>
      </c>
      <c r="L455" t="s">
        <v>65</v>
      </c>
      <c r="M455" t="b">
        <v>0</v>
      </c>
      <c r="N455" t="s">
        <v>2563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s">
        <v>4327</v>
      </c>
      <c r="AC455" t="s">
        <v>8986</v>
      </c>
    </row>
    <row r="456" spans="1:29" x14ac:dyDescent="0.3">
      <c r="A456">
        <v>-73.977662890000005</v>
      </c>
      <c r="B456">
        <v>40.76598053</v>
      </c>
      <c r="C456" t="s">
        <v>335</v>
      </c>
      <c r="D456" t="s">
        <v>38</v>
      </c>
      <c r="E456" s="58">
        <v>43389</v>
      </c>
      <c r="F456">
        <v>8</v>
      </c>
      <c r="G456" t="s">
        <v>48</v>
      </c>
      <c r="H456" t="s">
        <v>176</v>
      </c>
      <c r="I456" t="s">
        <v>96</v>
      </c>
      <c r="J456" t="s">
        <v>54</v>
      </c>
      <c r="K456" t="s">
        <v>2282</v>
      </c>
      <c r="L456" t="s">
        <v>44</v>
      </c>
      <c r="M456">
        <v>6</v>
      </c>
      <c r="N456" t="s">
        <v>1408</v>
      </c>
      <c r="O456" t="b">
        <v>0</v>
      </c>
      <c r="P456" t="b">
        <v>0</v>
      </c>
      <c r="Q456" t="b">
        <v>0</v>
      </c>
      <c r="R456" t="b">
        <v>1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1</v>
      </c>
      <c r="AA456" t="b">
        <v>0</v>
      </c>
      <c r="AB456" t="s">
        <v>5720</v>
      </c>
      <c r="AC456" t="s">
        <v>8987</v>
      </c>
    </row>
    <row r="457" spans="1:29" x14ac:dyDescent="0.3">
      <c r="A457">
        <v>-73.96567202</v>
      </c>
      <c r="B457">
        <v>40.797687369999998</v>
      </c>
      <c r="C457" t="s">
        <v>1326</v>
      </c>
      <c r="D457" t="s">
        <v>33</v>
      </c>
      <c r="E457" s="58">
        <v>43390</v>
      </c>
      <c r="F457">
        <v>1</v>
      </c>
      <c r="G457" t="s">
        <v>48</v>
      </c>
      <c r="H457" t="s">
        <v>42</v>
      </c>
      <c r="I457" t="s">
        <v>53</v>
      </c>
      <c r="J457" t="s">
        <v>89</v>
      </c>
      <c r="K457" t="s">
        <v>4791</v>
      </c>
      <c r="L457" t="s">
        <v>65</v>
      </c>
      <c r="M457" t="b">
        <v>0</v>
      </c>
      <c r="N457" t="s">
        <v>1263</v>
      </c>
      <c r="O457" t="b">
        <v>0</v>
      </c>
      <c r="P457" t="b">
        <v>1</v>
      </c>
      <c r="Q457" t="b">
        <v>1</v>
      </c>
      <c r="R457" t="b">
        <v>0</v>
      </c>
      <c r="S457" t="b">
        <v>1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1</v>
      </c>
      <c r="AA457" t="b">
        <v>0</v>
      </c>
      <c r="AB457" t="s">
        <v>991</v>
      </c>
      <c r="AC457" t="s">
        <v>8988</v>
      </c>
    </row>
    <row r="458" spans="1:29" x14ac:dyDescent="0.3">
      <c r="A458">
        <v>-73.980801659999997</v>
      </c>
      <c r="B458">
        <v>40.789187419999998</v>
      </c>
      <c r="C458" t="s">
        <v>363</v>
      </c>
      <c r="D458" t="s">
        <v>33</v>
      </c>
      <c r="E458" s="58">
        <v>43384</v>
      </c>
      <c r="F458">
        <v>22</v>
      </c>
      <c r="G458" t="s">
        <v>48</v>
      </c>
      <c r="H458" t="s">
        <v>42</v>
      </c>
      <c r="I458" t="s">
        <v>53</v>
      </c>
      <c r="J458" t="s">
        <v>54</v>
      </c>
      <c r="K458" t="s">
        <v>2382</v>
      </c>
      <c r="L458" t="s">
        <v>65</v>
      </c>
      <c r="M458" t="b">
        <v>0</v>
      </c>
      <c r="N458" t="s">
        <v>4128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s">
        <v>7073</v>
      </c>
      <c r="AC458" t="s">
        <v>8989</v>
      </c>
    </row>
    <row r="459" spans="1:29" x14ac:dyDescent="0.3">
      <c r="A459">
        <v>-73.966425380000004</v>
      </c>
      <c r="B459">
        <v>40.788729250000003</v>
      </c>
      <c r="C459" t="s">
        <v>1206</v>
      </c>
      <c r="D459" t="s">
        <v>38</v>
      </c>
      <c r="E459" s="58">
        <v>43387</v>
      </c>
      <c r="F459">
        <v>17</v>
      </c>
      <c r="G459" t="s">
        <v>48</v>
      </c>
      <c r="H459" t="s">
        <v>42</v>
      </c>
      <c r="I459" t="s">
        <v>59</v>
      </c>
      <c r="J459" t="s">
        <v>54</v>
      </c>
      <c r="K459" t="s">
        <v>3318</v>
      </c>
      <c r="L459" t="s">
        <v>65</v>
      </c>
      <c r="M459" t="b">
        <v>0</v>
      </c>
      <c r="N459" t="s">
        <v>6499</v>
      </c>
      <c r="O459" t="b">
        <v>0</v>
      </c>
      <c r="P459" t="b">
        <v>0</v>
      </c>
      <c r="Q459" t="b">
        <v>0</v>
      </c>
      <c r="R459" t="b">
        <v>1</v>
      </c>
      <c r="S459" t="b">
        <v>1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1</v>
      </c>
      <c r="AB459" t="s">
        <v>1109</v>
      </c>
      <c r="AC459" t="s">
        <v>8990</v>
      </c>
    </row>
    <row r="460" spans="1:29" x14ac:dyDescent="0.3">
      <c r="A460">
        <v>-73.979388589999999</v>
      </c>
      <c r="B460">
        <v>40.772504130000002</v>
      </c>
      <c r="C460" t="s">
        <v>2085</v>
      </c>
      <c r="D460" t="s">
        <v>38</v>
      </c>
      <c r="E460" s="58">
        <v>43385</v>
      </c>
      <c r="F460">
        <v>17</v>
      </c>
      <c r="G460" t="s">
        <v>48</v>
      </c>
      <c r="H460" t="s">
        <v>42</v>
      </c>
      <c r="I460" t="s">
        <v>59</v>
      </c>
      <c r="J460" t="s">
        <v>43</v>
      </c>
      <c r="K460" t="s">
        <v>6800</v>
      </c>
      <c r="L460" t="s">
        <v>44</v>
      </c>
      <c r="M460">
        <v>3</v>
      </c>
      <c r="N460" t="s">
        <v>1072</v>
      </c>
      <c r="O460" t="b">
        <v>0</v>
      </c>
      <c r="P460" t="b">
        <v>0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s">
        <v>669</v>
      </c>
      <c r="AC460" t="s">
        <v>8991</v>
      </c>
    </row>
    <row r="461" spans="1:29" x14ac:dyDescent="0.3">
      <c r="A461">
        <v>-73.97742332</v>
      </c>
      <c r="B461">
        <v>40.788108610000002</v>
      </c>
      <c r="C461" t="s">
        <v>58</v>
      </c>
      <c r="D461" t="s">
        <v>38</v>
      </c>
      <c r="E461" s="58">
        <v>43391</v>
      </c>
      <c r="F461">
        <v>24</v>
      </c>
      <c r="G461" t="s">
        <v>48</v>
      </c>
      <c r="H461" t="s">
        <v>42</v>
      </c>
      <c r="I461" t="s">
        <v>96</v>
      </c>
      <c r="J461" t="s">
        <v>54</v>
      </c>
      <c r="K461" t="s">
        <v>3883</v>
      </c>
      <c r="L461" t="s">
        <v>65</v>
      </c>
      <c r="M461" t="b">
        <v>0</v>
      </c>
      <c r="N461" t="s">
        <v>3132</v>
      </c>
      <c r="O461" t="b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1</v>
      </c>
      <c r="AB461" t="s">
        <v>1428</v>
      </c>
      <c r="AC461" t="s">
        <v>8992</v>
      </c>
    </row>
    <row r="462" spans="1:29" x14ac:dyDescent="0.3">
      <c r="A462">
        <v>-73.977463929999999</v>
      </c>
      <c r="B462">
        <v>40.778777789999999</v>
      </c>
      <c r="C462" t="s">
        <v>6089</v>
      </c>
      <c r="D462" t="s">
        <v>33</v>
      </c>
      <c r="E462" s="58">
        <v>43385</v>
      </c>
      <c r="F462">
        <v>15</v>
      </c>
      <c r="G462" t="s">
        <v>48</v>
      </c>
      <c r="H462" t="s">
        <v>42</v>
      </c>
      <c r="I462" t="s">
        <v>53</v>
      </c>
      <c r="J462" t="s">
        <v>54</v>
      </c>
      <c r="K462" t="s">
        <v>2637</v>
      </c>
      <c r="L462" t="s">
        <v>65</v>
      </c>
      <c r="M462" t="b">
        <v>0</v>
      </c>
      <c r="N462" t="s">
        <v>4635</v>
      </c>
      <c r="O462" t="b">
        <v>1</v>
      </c>
      <c r="P462" t="b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s">
        <v>3663</v>
      </c>
      <c r="AC462" t="s">
        <v>8993</v>
      </c>
    </row>
    <row r="463" spans="1:29" x14ac:dyDescent="0.3">
      <c r="A463">
        <v>-73.960749480000004</v>
      </c>
      <c r="B463">
        <v>40.787839179999999</v>
      </c>
      <c r="C463" t="s">
        <v>2667</v>
      </c>
      <c r="D463" t="s">
        <v>33</v>
      </c>
      <c r="E463" s="58">
        <v>43380</v>
      </c>
      <c r="F463">
        <v>7</v>
      </c>
      <c r="G463" t="s">
        <v>48</v>
      </c>
      <c r="H463" t="s">
        <v>176</v>
      </c>
      <c r="I463" t="s">
        <v>59</v>
      </c>
      <c r="J463" t="s">
        <v>43</v>
      </c>
      <c r="K463" t="s">
        <v>1558</v>
      </c>
      <c r="L463" t="s">
        <v>44</v>
      </c>
      <c r="M463">
        <v>15</v>
      </c>
      <c r="N463" t="s">
        <v>6499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s">
        <v>1649</v>
      </c>
      <c r="AC463" t="s">
        <v>8994</v>
      </c>
    </row>
    <row r="464" spans="1:29" x14ac:dyDescent="0.3">
      <c r="A464">
        <v>-73.957705309999994</v>
      </c>
      <c r="B464">
        <v>40.768663580000002</v>
      </c>
      <c r="C464" t="s">
        <v>1032</v>
      </c>
      <c r="D464" t="s">
        <v>38</v>
      </c>
      <c r="E464" s="58">
        <v>43390</v>
      </c>
      <c r="F464">
        <v>19</v>
      </c>
      <c r="G464" t="s">
        <v>48</v>
      </c>
      <c r="H464" t="s">
        <v>42</v>
      </c>
      <c r="I464" t="s">
        <v>59</v>
      </c>
      <c r="J464" t="s">
        <v>54</v>
      </c>
      <c r="K464" t="s">
        <v>6367</v>
      </c>
      <c r="L464" t="s">
        <v>65</v>
      </c>
      <c r="M464" t="b">
        <v>0</v>
      </c>
      <c r="N464" t="s">
        <v>6242</v>
      </c>
      <c r="O464" t="b">
        <v>0</v>
      </c>
      <c r="P464" t="b">
        <v>0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s">
        <v>2643</v>
      </c>
      <c r="AC464" t="s">
        <v>8995</v>
      </c>
    </row>
    <row r="465" spans="1:29" x14ac:dyDescent="0.3">
      <c r="A465">
        <v>-73.962819330000002</v>
      </c>
      <c r="B465">
        <v>40.788071989999999</v>
      </c>
      <c r="C465" t="s">
        <v>2573</v>
      </c>
      <c r="D465" t="s">
        <v>38</v>
      </c>
      <c r="E465" s="58">
        <v>43389</v>
      </c>
      <c r="F465">
        <v>22</v>
      </c>
      <c r="G465" t="s">
        <v>48</v>
      </c>
      <c r="H465" t="s">
        <v>53</v>
      </c>
      <c r="I465" t="s">
        <v>59</v>
      </c>
      <c r="J465" t="s">
        <v>97</v>
      </c>
      <c r="K465" t="s">
        <v>1012</v>
      </c>
      <c r="L465" t="s">
        <v>65</v>
      </c>
      <c r="M465" t="b">
        <v>0</v>
      </c>
      <c r="N465" t="s">
        <v>190</v>
      </c>
      <c r="O465" t="b">
        <v>1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1</v>
      </c>
      <c r="AA465" t="b">
        <v>1</v>
      </c>
      <c r="AB465" t="s">
        <v>4197</v>
      </c>
      <c r="AC465" t="s">
        <v>8996</v>
      </c>
    </row>
    <row r="466" spans="1:29" x14ac:dyDescent="0.3">
      <c r="A466">
        <v>-73.95091094</v>
      </c>
      <c r="B466">
        <v>40.800097880000003</v>
      </c>
      <c r="C466" t="s">
        <v>863</v>
      </c>
      <c r="D466" t="s">
        <v>33</v>
      </c>
      <c r="E466" s="58">
        <v>43393</v>
      </c>
      <c r="F466">
        <v>25</v>
      </c>
      <c r="G466" t="s">
        <v>48</v>
      </c>
      <c r="H466" t="s">
        <v>42</v>
      </c>
      <c r="I466" t="s">
        <v>59</v>
      </c>
      <c r="J466" t="s">
        <v>79</v>
      </c>
      <c r="K466" t="s">
        <v>7359</v>
      </c>
      <c r="L466" t="s">
        <v>44</v>
      </c>
      <c r="M466">
        <v>15</v>
      </c>
      <c r="N466" t="s">
        <v>456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1</v>
      </c>
      <c r="Y466" t="b">
        <v>0</v>
      </c>
      <c r="Z466" t="b">
        <v>0</v>
      </c>
      <c r="AA466" t="b">
        <v>0</v>
      </c>
      <c r="AB466" t="s">
        <v>4013</v>
      </c>
      <c r="AC466" t="s">
        <v>8997</v>
      </c>
    </row>
    <row r="467" spans="1:29" x14ac:dyDescent="0.3">
      <c r="A467">
        <v>-73.969373840000003</v>
      </c>
      <c r="B467">
        <v>40.76660811</v>
      </c>
      <c r="C467" t="s">
        <v>311</v>
      </c>
      <c r="D467" t="s">
        <v>38</v>
      </c>
      <c r="E467" s="58">
        <v>43387</v>
      </c>
      <c r="F467">
        <v>23</v>
      </c>
      <c r="G467" t="s">
        <v>48</v>
      </c>
      <c r="H467" t="s">
        <v>53</v>
      </c>
      <c r="I467" t="s">
        <v>53</v>
      </c>
      <c r="J467" t="s">
        <v>79</v>
      </c>
      <c r="K467" t="s">
        <v>6869</v>
      </c>
      <c r="L467" t="s">
        <v>65</v>
      </c>
      <c r="M467" t="b">
        <v>0</v>
      </c>
      <c r="N467" t="s">
        <v>201</v>
      </c>
      <c r="O467" t="b">
        <v>0</v>
      </c>
      <c r="P467" t="b">
        <v>0</v>
      </c>
      <c r="Q467" t="b">
        <v>1</v>
      </c>
      <c r="R467" t="b">
        <v>1</v>
      </c>
      <c r="S467" t="b">
        <v>1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1</v>
      </c>
      <c r="AA467" t="b">
        <v>0</v>
      </c>
      <c r="AB467" t="s">
        <v>340</v>
      </c>
      <c r="AC467" t="s">
        <v>8998</v>
      </c>
    </row>
    <row r="468" spans="1:29" x14ac:dyDescent="0.3">
      <c r="A468">
        <v>-73.972176700000006</v>
      </c>
      <c r="B468">
        <v>40.799314870000003</v>
      </c>
      <c r="C468" t="s">
        <v>41</v>
      </c>
      <c r="D468" t="s">
        <v>33</v>
      </c>
      <c r="E468" s="58">
        <v>43388</v>
      </c>
      <c r="F468">
        <v>28</v>
      </c>
      <c r="G468" t="s">
        <v>48</v>
      </c>
      <c r="H468" t="s">
        <v>42</v>
      </c>
      <c r="I468" t="s">
        <v>53</v>
      </c>
      <c r="J468" t="s">
        <v>155</v>
      </c>
      <c r="K468" t="s">
        <v>1012</v>
      </c>
      <c r="L468" t="s">
        <v>44</v>
      </c>
      <c r="M468">
        <v>10</v>
      </c>
      <c r="N468" t="s">
        <v>456</v>
      </c>
      <c r="O468" t="b">
        <v>0</v>
      </c>
      <c r="P468" t="b">
        <v>0</v>
      </c>
      <c r="Q468" t="b">
        <v>0</v>
      </c>
      <c r="R468" t="b">
        <v>0</v>
      </c>
      <c r="S468" t="b">
        <v>1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s">
        <v>4974</v>
      </c>
      <c r="AC468" t="s">
        <v>8999</v>
      </c>
    </row>
    <row r="469" spans="1:29" x14ac:dyDescent="0.3">
      <c r="A469">
        <v>-73.953852589999997</v>
      </c>
      <c r="B469">
        <v>40.779237019999997</v>
      </c>
      <c r="C469" t="s">
        <v>92</v>
      </c>
      <c r="D469" t="s">
        <v>38</v>
      </c>
      <c r="E469" s="58">
        <v>43387</v>
      </c>
      <c r="F469">
        <v>3</v>
      </c>
      <c r="G469" t="s">
        <v>48</v>
      </c>
      <c r="H469" t="s">
        <v>53</v>
      </c>
      <c r="I469" t="s">
        <v>53</v>
      </c>
      <c r="J469" t="s">
        <v>43</v>
      </c>
      <c r="K469" t="s">
        <v>6764</v>
      </c>
      <c r="L469" t="s">
        <v>44</v>
      </c>
      <c r="M469">
        <v>15</v>
      </c>
      <c r="N469" t="s">
        <v>373</v>
      </c>
      <c r="O469" t="b">
        <v>0</v>
      </c>
      <c r="P469" t="b">
        <v>0</v>
      </c>
      <c r="Q469" t="b">
        <v>0</v>
      </c>
      <c r="R469" t="b">
        <v>1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1</v>
      </c>
      <c r="AA469" t="b">
        <v>0</v>
      </c>
      <c r="AB469" t="s">
        <v>1637</v>
      </c>
      <c r="AC469" t="s">
        <v>9000</v>
      </c>
    </row>
    <row r="470" spans="1:29" x14ac:dyDescent="0.3">
      <c r="A470">
        <v>-73.974129439999999</v>
      </c>
      <c r="B470">
        <v>40.795568029999998</v>
      </c>
      <c r="C470" t="s">
        <v>1202</v>
      </c>
      <c r="D470" t="s">
        <v>38</v>
      </c>
      <c r="E470" s="58">
        <v>43384</v>
      </c>
      <c r="F470">
        <v>30</v>
      </c>
      <c r="G470" t="s">
        <v>48</v>
      </c>
      <c r="H470" t="s">
        <v>53</v>
      </c>
      <c r="I470" t="s">
        <v>53</v>
      </c>
      <c r="J470" t="s">
        <v>79</v>
      </c>
      <c r="K470" t="s">
        <v>3351</v>
      </c>
      <c r="L470" t="s">
        <v>44</v>
      </c>
      <c r="M470">
        <v>8</v>
      </c>
      <c r="N470" t="s">
        <v>456</v>
      </c>
      <c r="O470" t="b">
        <v>1</v>
      </c>
      <c r="P470" t="b">
        <v>0</v>
      </c>
      <c r="Q470" t="b">
        <v>0</v>
      </c>
      <c r="R470" t="b">
        <v>1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s">
        <v>5863</v>
      </c>
      <c r="AC470" t="s">
        <v>9001</v>
      </c>
    </row>
    <row r="471" spans="1:29" x14ac:dyDescent="0.3">
      <c r="A471">
        <v>-73.950877930000004</v>
      </c>
      <c r="B471">
        <v>40.792456780000002</v>
      </c>
      <c r="C471" t="s">
        <v>1025</v>
      </c>
      <c r="D471" t="s">
        <v>33</v>
      </c>
      <c r="E471" s="58">
        <v>43391</v>
      </c>
      <c r="F471">
        <v>30</v>
      </c>
      <c r="G471" t="s">
        <v>48</v>
      </c>
      <c r="H471" t="s">
        <v>42</v>
      </c>
      <c r="I471" t="s">
        <v>59</v>
      </c>
      <c r="J471" t="s">
        <v>97</v>
      </c>
      <c r="K471" t="s">
        <v>5787</v>
      </c>
      <c r="L471" t="s">
        <v>65</v>
      </c>
      <c r="M471" t="b">
        <v>0</v>
      </c>
      <c r="N471" t="s">
        <v>2189</v>
      </c>
      <c r="O471" t="b">
        <v>0</v>
      </c>
      <c r="P471" t="b">
        <v>0</v>
      </c>
      <c r="Q471" t="b">
        <v>0</v>
      </c>
      <c r="R471" t="b">
        <v>0</v>
      </c>
      <c r="S471" t="b">
        <v>1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s">
        <v>1649</v>
      </c>
      <c r="AC471" t="s">
        <v>9002</v>
      </c>
    </row>
    <row r="472" spans="1:29" x14ac:dyDescent="0.3">
      <c r="A472">
        <v>-73.980776480000003</v>
      </c>
      <c r="B472">
        <v>40.784874090000002</v>
      </c>
      <c r="C472" t="s">
        <v>212</v>
      </c>
      <c r="D472" t="s">
        <v>33</v>
      </c>
      <c r="E472" s="58">
        <v>43381</v>
      </c>
      <c r="F472">
        <v>29</v>
      </c>
      <c r="G472" t="s">
        <v>48</v>
      </c>
      <c r="H472" t="s">
        <v>42</v>
      </c>
      <c r="I472" t="s">
        <v>42</v>
      </c>
      <c r="J472" t="s">
        <v>54</v>
      </c>
      <c r="K472" t="s">
        <v>672</v>
      </c>
      <c r="L472" t="s">
        <v>65</v>
      </c>
      <c r="M472" t="b">
        <v>0</v>
      </c>
      <c r="N472" t="s">
        <v>6646</v>
      </c>
      <c r="O472" t="b">
        <v>1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1</v>
      </c>
      <c r="AA472" t="b">
        <v>0</v>
      </c>
      <c r="AB472" t="s">
        <v>2742</v>
      </c>
      <c r="AC472" t="s">
        <v>9003</v>
      </c>
    </row>
    <row r="473" spans="1:29" x14ac:dyDescent="0.3">
      <c r="A473">
        <v>-73.950668680000007</v>
      </c>
      <c r="B473">
        <v>40.790909880000001</v>
      </c>
      <c r="C473" t="s">
        <v>943</v>
      </c>
      <c r="D473" t="s">
        <v>38</v>
      </c>
      <c r="E473" s="58">
        <v>43379</v>
      </c>
      <c r="F473">
        <v>22</v>
      </c>
      <c r="G473" t="s">
        <v>48</v>
      </c>
      <c r="H473" t="s">
        <v>42</v>
      </c>
      <c r="I473" t="s">
        <v>96</v>
      </c>
      <c r="J473" t="s">
        <v>54</v>
      </c>
      <c r="K473" t="s">
        <v>981</v>
      </c>
      <c r="L473" t="s">
        <v>65</v>
      </c>
      <c r="M473" t="b">
        <v>0</v>
      </c>
      <c r="N473" t="s">
        <v>7258</v>
      </c>
      <c r="O473" t="b">
        <v>0</v>
      </c>
      <c r="P473" t="b">
        <v>0</v>
      </c>
      <c r="Q473" t="b">
        <v>0</v>
      </c>
      <c r="R473" t="b">
        <v>1</v>
      </c>
      <c r="S473" t="b">
        <v>0</v>
      </c>
      <c r="T473" t="b">
        <v>1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s">
        <v>1367</v>
      </c>
      <c r="AC473" t="s">
        <v>9004</v>
      </c>
    </row>
    <row r="474" spans="1:29" x14ac:dyDescent="0.3">
      <c r="A474">
        <v>-73.979801769999995</v>
      </c>
      <c r="B474">
        <v>40.79584131</v>
      </c>
      <c r="C474" t="s">
        <v>1145</v>
      </c>
      <c r="D474" t="s">
        <v>38</v>
      </c>
      <c r="E474" s="58">
        <v>43382</v>
      </c>
      <c r="F474">
        <v>11</v>
      </c>
      <c r="G474" t="s">
        <v>48</v>
      </c>
      <c r="H474" t="s">
        <v>42</v>
      </c>
      <c r="I474" t="s">
        <v>96</v>
      </c>
      <c r="J474" t="s">
        <v>43</v>
      </c>
      <c r="K474" t="s">
        <v>3433</v>
      </c>
      <c r="L474" t="s">
        <v>65</v>
      </c>
      <c r="M474" t="b">
        <v>0</v>
      </c>
      <c r="N474" t="s">
        <v>1374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1</v>
      </c>
      <c r="AA474" t="b">
        <v>0</v>
      </c>
      <c r="AB474" t="s">
        <v>272</v>
      </c>
      <c r="AC474" t="s">
        <v>9005</v>
      </c>
    </row>
    <row r="475" spans="1:29" x14ac:dyDescent="0.3">
      <c r="A475">
        <v>-73.953143879999999</v>
      </c>
      <c r="B475">
        <v>40.779139579999999</v>
      </c>
      <c r="C475" t="s">
        <v>304</v>
      </c>
      <c r="D475" t="s">
        <v>38</v>
      </c>
      <c r="E475" s="58">
        <v>43392</v>
      </c>
      <c r="F475">
        <v>20</v>
      </c>
      <c r="G475" t="s">
        <v>48</v>
      </c>
      <c r="H475" t="s">
        <v>53</v>
      </c>
      <c r="I475" t="s">
        <v>53</v>
      </c>
      <c r="J475" t="s">
        <v>177</v>
      </c>
      <c r="K475" t="s">
        <v>4785</v>
      </c>
      <c r="L475" t="s">
        <v>65</v>
      </c>
      <c r="M475" t="b">
        <v>0</v>
      </c>
      <c r="N475" t="s">
        <v>1833</v>
      </c>
      <c r="O475" t="b">
        <v>0</v>
      </c>
      <c r="P475" t="b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1</v>
      </c>
      <c r="AA475" t="b">
        <v>0</v>
      </c>
      <c r="AB475" t="s">
        <v>3274</v>
      </c>
      <c r="AC475" t="s">
        <v>9006</v>
      </c>
    </row>
    <row r="476" spans="1:29" x14ac:dyDescent="0.3">
      <c r="A476">
        <v>-73.964569339999997</v>
      </c>
      <c r="B476">
        <v>40.776424800000001</v>
      </c>
      <c r="C476" t="s">
        <v>886</v>
      </c>
      <c r="D476" t="s">
        <v>38</v>
      </c>
      <c r="E476" s="58">
        <v>43392</v>
      </c>
      <c r="F476">
        <v>30</v>
      </c>
      <c r="G476" t="s">
        <v>48</v>
      </c>
      <c r="H476" t="s">
        <v>42</v>
      </c>
      <c r="I476" t="s">
        <v>59</v>
      </c>
      <c r="J476" t="s">
        <v>54</v>
      </c>
      <c r="K476" t="s">
        <v>1381</v>
      </c>
      <c r="L476" t="s">
        <v>65</v>
      </c>
      <c r="M476" t="b">
        <v>0</v>
      </c>
      <c r="N476" t="s">
        <v>5295</v>
      </c>
      <c r="O476" t="b">
        <v>1</v>
      </c>
      <c r="P476" t="b">
        <v>0</v>
      </c>
      <c r="Q476" t="b">
        <v>0</v>
      </c>
      <c r="R476" t="b">
        <v>1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1</v>
      </c>
      <c r="AA476" t="b">
        <v>0</v>
      </c>
      <c r="AB476" t="s">
        <v>3884</v>
      </c>
      <c r="AC476" t="s">
        <v>9007</v>
      </c>
    </row>
    <row r="477" spans="1:29" x14ac:dyDescent="0.3">
      <c r="A477">
        <v>-73.949942930000006</v>
      </c>
      <c r="B477">
        <v>40.788415200000003</v>
      </c>
      <c r="C477" t="s">
        <v>2053</v>
      </c>
      <c r="D477" t="s">
        <v>38</v>
      </c>
      <c r="E477" s="58">
        <v>43381</v>
      </c>
      <c r="F477">
        <v>29</v>
      </c>
      <c r="G477" t="s">
        <v>48</v>
      </c>
      <c r="H477" t="s">
        <v>42</v>
      </c>
      <c r="I477" t="s">
        <v>53</v>
      </c>
      <c r="J477" t="s">
        <v>60</v>
      </c>
      <c r="K477" t="s">
        <v>3157</v>
      </c>
      <c r="L477" t="s">
        <v>65</v>
      </c>
      <c r="M477" t="b">
        <v>0</v>
      </c>
      <c r="N477" t="s">
        <v>456</v>
      </c>
      <c r="O477" t="b">
        <v>1</v>
      </c>
      <c r="P477" t="b">
        <v>0</v>
      </c>
      <c r="Q477" t="b">
        <v>1</v>
      </c>
      <c r="R477" t="b">
        <v>0</v>
      </c>
      <c r="S477" t="b">
        <v>1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1</v>
      </c>
      <c r="AB477" t="s">
        <v>101</v>
      </c>
      <c r="AC477" t="s">
        <v>9008</v>
      </c>
    </row>
    <row r="478" spans="1:29" x14ac:dyDescent="0.3">
      <c r="A478">
        <v>-73.97883865</v>
      </c>
      <c r="B478">
        <v>40.793353189999998</v>
      </c>
      <c r="C478" t="s">
        <v>1232</v>
      </c>
      <c r="D478" t="s">
        <v>38</v>
      </c>
      <c r="E478" s="58">
        <v>43392</v>
      </c>
      <c r="F478">
        <v>19</v>
      </c>
      <c r="G478" t="s">
        <v>48</v>
      </c>
      <c r="H478" t="s">
        <v>42</v>
      </c>
      <c r="I478" t="s">
        <v>53</v>
      </c>
      <c r="J478" t="s">
        <v>79</v>
      </c>
      <c r="K478" t="s">
        <v>4308</v>
      </c>
      <c r="L478" t="s">
        <v>65</v>
      </c>
      <c r="M478" t="b">
        <v>0</v>
      </c>
      <c r="N478" t="s">
        <v>2988</v>
      </c>
      <c r="O478" t="b">
        <v>0</v>
      </c>
      <c r="P478" t="b">
        <v>0</v>
      </c>
      <c r="Q478" t="b">
        <v>0</v>
      </c>
      <c r="R478" t="b">
        <v>1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s">
        <v>1367</v>
      </c>
      <c r="AC478" t="s">
        <v>9009</v>
      </c>
    </row>
    <row r="479" spans="1:29" x14ac:dyDescent="0.3">
      <c r="A479">
        <v>-73.963747170000005</v>
      </c>
      <c r="B479">
        <v>40.791749090000003</v>
      </c>
      <c r="C479" t="s">
        <v>549</v>
      </c>
      <c r="D479" t="s">
        <v>33</v>
      </c>
      <c r="E479" s="58">
        <v>43390</v>
      </c>
      <c r="F479">
        <v>9</v>
      </c>
      <c r="G479" t="s">
        <v>48</v>
      </c>
      <c r="H479" t="s">
        <v>42</v>
      </c>
      <c r="I479" t="s">
        <v>53</v>
      </c>
      <c r="J479" t="s">
        <v>79</v>
      </c>
      <c r="K479" t="s">
        <v>3152</v>
      </c>
      <c r="L479" t="s">
        <v>65</v>
      </c>
      <c r="M479" t="b">
        <v>0</v>
      </c>
      <c r="N479" t="s">
        <v>1836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1</v>
      </c>
      <c r="Y479" t="b">
        <v>0</v>
      </c>
      <c r="Z479" t="b">
        <v>0</v>
      </c>
      <c r="AA479" t="b">
        <v>0</v>
      </c>
      <c r="AB479" t="s">
        <v>1367</v>
      </c>
      <c r="AC479" t="s">
        <v>9010</v>
      </c>
    </row>
    <row r="480" spans="1:29" x14ac:dyDescent="0.3">
      <c r="A480">
        <v>-73.9506868</v>
      </c>
      <c r="B480">
        <v>40.792999969999997</v>
      </c>
      <c r="C480" t="s">
        <v>908</v>
      </c>
      <c r="D480" t="s">
        <v>33</v>
      </c>
      <c r="E480" s="58">
        <v>43379</v>
      </c>
      <c r="F480">
        <v>10</v>
      </c>
      <c r="G480" t="s">
        <v>48</v>
      </c>
      <c r="H480" t="s">
        <v>176</v>
      </c>
      <c r="I480" t="s">
        <v>59</v>
      </c>
      <c r="J480" t="s">
        <v>89</v>
      </c>
      <c r="K480" t="s">
        <v>3152</v>
      </c>
      <c r="L480" t="s">
        <v>44</v>
      </c>
      <c r="M480">
        <v>15</v>
      </c>
      <c r="N480" t="s">
        <v>742</v>
      </c>
      <c r="O480" t="b">
        <v>1</v>
      </c>
      <c r="P480" t="b">
        <v>0</v>
      </c>
      <c r="Q480" t="b">
        <v>0</v>
      </c>
      <c r="R480" t="b">
        <v>1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1</v>
      </c>
      <c r="Z480" t="b">
        <v>0</v>
      </c>
      <c r="AA480" t="b">
        <v>0</v>
      </c>
      <c r="AB480" t="s">
        <v>4327</v>
      </c>
      <c r="AC480" t="s">
        <v>9011</v>
      </c>
    </row>
    <row r="481" spans="1:29" x14ac:dyDescent="0.3">
      <c r="A481">
        <v>-73.964714049999998</v>
      </c>
      <c r="B481">
        <v>40.78024662</v>
      </c>
      <c r="C481" t="s">
        <v>677</v>
      </c>
      <c r="D481" t="s">
        <v>33</v>
      </c>
      <c r="E481" s="58">
        <v>43381</v>
      </c>
      <c r="F481">
        <v>2</v>
      </c>
      <c r="G481" t="s">
        <v>48</v>
      </c>
      <c r="H481" t="s">
        <v>42</v>
      </c>
      <c r="I481" t="s">
        <v>737</v>
      </c>
      <c r="J481" t="s">
        <v>79</v>
      </c>
      <c r="K481" t="s">
        <v>1688</v>
      </c>
      <c r="L481" t="s">
        <v>44</v>
      </c>
      <c r="M481">
        <v>7</v>
      </c>
      <c r="N481" t="s">
        <v>1766</v>
      </c>
      <c r="O481" t="b">
        <v>1</v>
      </c>
      <c r="P481" t="b">
        <v>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1</v>
      </c>
      <c r="AB481" t="s">
        <v>5988</v>
      </c>
      <c r="AC481" t="s">
        <v>9012</v>
      </c>
    </row>
    <row r="482" spans="1:29" x14ac:dyDescent="0.3">
      <c r="A482">
        <v>-73.96137229</v>
      </c>
      <c r="B482">
        <v>40.793704849999997</v>
      </c>
      <c r="C482" t="s">
        <v>689</v>
      </c>
      <c r="D482" t="s">
        <v>33</v>
      </c>
      <c r="E482" s="58">
        <v>43392</v>
      </c>
      <c r="F482">
        <v>1</v>
      </c>
      <c r="G482" t="s">
        <v>48</v>
      </c>
      <c r="H482" t="s">
        <v>42</v>
      </c>
      <c r="I482" t="s">
        <v>53</v>
      </c>
      <c r="J482" t="s">
        <v>54</v>
      </c>
      <c r="K482" t="s">
        <v>3028</v>
      </c>
      <c r="L482" t="s">
        <v>44</v>
      </c>
      <c r="M482">
        <v>8</v>
      </c>
      <c r="N482" t="s">
        <v>190</v>
      </c>
      <c r="O482" t="b">
        <v>1</v>
      </c>
      <c r="P482" t="b">
        <v>0</v>
      </c>
      <c r="Q482" t="b">
        <v>0</v>
      </c>
      <c r="R482" t="b">
        <v>1</v>
      </c>
      <c r="S482" t="b">
        <v>1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s">
        <v>2131</v>
      </c>
      <c r="AC482" t="s">
        <v>9013</v>
      </c>
    </row>
    <row r="483" spans="1:29" x14ac:dyDescent="0.3">
      <c r="A483">
        <v>-73.959286460000001</v>
      </c>
      <c r="B483">
        <v>40.769142969999997</v>
      </c>
      <c r="C483" t="s">
        <v>2255</v>
      </c>
      <c r="D483" t="s">
        <v>38</v>
      </c>
      <c r="E483" s="58">
        <v>43392</v>
      </c>
      <c r="F483">
        <v>30</v>
      </c>
      <c r="G483" t="s">
        <v>48</v>
      </c>
      <c r="H483" t="s">
        <v>42</v>
      </c>
      <c r="I483" t="s">
        <v>53</v>
      </c>
      <c r="J483" t="s">
        <v>54</v>
      </c>
      <c r="K483" t="s">
        <v>1896</v>
      </c>
      <c r="L483" t="s">
        <v>65</v>
      </c>
      <c r="M483" t="b">
        <v>0</v>
      </c>
      <c r="N483" t="s">
        <v>3066</v>
      </c>
      <c r="O483" t="b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b">
        <v>1</v>
      </c>
      <c r="V483" t="b">
        <v>0</v>
      </c>
      <c r="W483" t="b">
        <v>0</v>
      </c>
      <c r="X483" t="b">
        <v>0</v>
      </c>
      <c r="Y483" t="b">
        <v>0</v>
      </c>
      <c r="Z483" t="b">
        <v>1</v>
      </c>
      <c r="AA483" t="b">
        <v>0</v>
      </c>
      <c r="AB483" t="s">
        <v>263</v>
      </c>
      <c r="AC483" t="s">
        <v>9014</v>
      </c>
    </row>
    <row r="484" spans="1:29" x14ac:dyDescent="0.3">
      <c r="A484">
        <v>-73.966869259999996</v>
      </c>
      <c r="B484">
        <v>40.784080959999997</v>
      </c>
      <c r="C484" t="s">
        <v>1882</v>
      </c>
      <c r="D484" t="s">
        <v>33</v>
      </c>
      <c r="E484" s="58">
        <v>43382</v>
      </c>
      <c r="F484">
        <v>16</v>
      </c>
      <c r="G484" t="s">
        <v>48</v>
      </c>
      <c r="H484" t="s">
        <v>42</v>
      </c>
      <c r="I484" t="s">
        <v>96</v>
      </c>
      <c r="J484" t="s">
        <v>89</v>
      </c>
      <c r="K484" t="s">
        <v>49</v>
      </c>
      <c r="L484" t="s">
        <v>44</v>
      </c>
      <c r="M484">
        <v>25</v>
      </c>
      <c r="N484" t="s">
        <v>958</v>
      </c>
      <c r="O484" t="b">
        <v>0</v>
      </c>
      <c r="P484" t="b">
        <v>0</v>
      </c>
      <c r="Q484" t="b">
        <v>1</v>
      </c>
      <c r="R484" t="b">
        <v>0</v>
      </c>
      <c r="S484" t="b">
        <v>1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1</v>
      </c>
      <c r="AA484" t="b">
        <v>0</v>
      </c>
      <c r="AB484" t="s">
        <v>1216</v>
      </c>
      <c r="AC484" t="s">
        <v>9015</v>
      </c>
    </row>
    <row r="485" spans="1:29" x14ac:dyDescent="0.3">
      <c r="A485">
        <v>-73.961430149999998</v>
      </c>
      <c r="B485">
        <v>40.765113419999999</v>
      </c>
      <c r="C485" t="s">
        <v>88</v>
      </c>
      <c r="D485" t="s">
        <v>38</v>
      </c>
      <c r="E485" s="58">
        <v>43391</v>
      </c>
      <c r="F485">
        <v>18</v>
      </c>
      <c r="G485" t="s">
        <v>48</v>
      </c>
      <c r="H485" t="s">
        <v>42</v>
      </c>
      <c r="I485" t="s">
        <v>53</v>
      </c>
      <c r="J485" t="s">
        <v>54</v>
      </c>
      <c r="K485" t="s">
        <v>1381</v>
      </c>
      <c r="L485" t="s">
        <v>44</v>
      </c>
      <c r="M485">
        <v>2</v>
      </c>
      <c r="N485" t="s">
        <v>2877</v>
      </c>
      <c r="O485" t="b">
        <v>1</v>
      </c>
      <c r="P485" t="b">
        <v>1</v>
      </c>
      <c r="Q485" t="b">
        <v>0</v>
      </c>
      <c r="R485" t="b">
        <v>0</v>
      </c>
      <c r="S485" t="b">
        <v>1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1</v>
      </c>
      <c r="AA485" t="b">
        <v>1</v>
      </c>
      <c r="AB485" t="s">
        <v>4695</v>
      </c>
      <c r="AC485" t="s">
        <v>9016</v>
      </c>
    </row>
    <row r="486" spans="1:29" x14ac:dyDescent="0.3">
      <c r="A486">
        <v>-73.962789599999994</v>
      </c>
      <c r="B486">
        <v>40.776338639999999</v>
      </c>
      <c r="C486" t="s">
        <v>879</v>
      </c>
      <c r="D486" t="s">
        <v>38</v>
      </c>
      <c r="E486" s="58">
        <v>43391</v>
      </c>
      <c r="F486">
        <v>23</v>
      </c>
      <c r="G486" t="s">
        <v>48</v>
      </c>
      <c r="H486" t="s">
        <v>42</v>
      </c>
      <c r="I486" t="s">
        <v>96</v>
      </c>
      <c r="J486" t="s">
        <v>54</v>
      </c>
      <c r="K486" t="s">
        <v>1688</v>
      </c>
      <c r="L486" t="s">
        <v>65</v>
      </c>
      <c r="M486" t="b">
        <v>0</v>
      </c>
      <c r="N486" t="s">
        <v>456</v>
      </c>
      <c r="O486" t="b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s">
        <v>121</v>
      </c>
      <c r="AC486" t="s">
        <v>9017</v>
      </c>
    </row>
    <row r="487" spans="1:29" x14ac:dyDescent="0.3">
      <c r="A487">
        <v>-73.952829039999997</v>
      </c>
      <c r="B487">
        <v>40.777812990000001</v>
      </c>
      <c r="C487" t="s">
        <v>186</v>
      </c>
      <c r="D487" t="s">
        <v>38</v>
      </c>
      <c r="E487" s="58">
        <v>43393</v>
      </c>
      <c r="F487">
        <v>26</v>
      </c>
      <c r="G487" t="s">
        <v>48</v>
      </c>
      <c r="H487" t="s">
        <v>42</v>
      </c>
      <c r="I487" t="s">
        <v>96</v>
      </c>
      <c r="J487" t="s">
        <v>43</v>
      </c>
      <c r="K487" t="s">
        <v>7003</v>
      </c>
      <c r="L487" t="s">
        <v>65</v>
      </c>
      <c r="M487" t="b">
        <v>0</v>
      </c>
      <c r="N487" t="s">
        <v>5436</v>
      </c>
      <c r="O487" t="b">
        <v>1</v>
      </c>
      <c r="P487" t="b">
        <v>0</v>
      </c>
      <c r="Q487" t="b">
        <v>1</v>
      </c>
      <c r="R487" t="b">
        <v>1</v>
      </c>
      <c r="S487" t="b">
        <v>1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1</v>
      </c>
      <c r="AA487" t="b">
        <v>0</v>
      </c>
      <c r="AB487" t="s">
        <v>1428</v>
      </c>
      <c r="AC487" t="s">
        <v>9018</v>
      </c>
    </row>
    <row r="488" spans="1:29" x14ac:dyDescent="0.3">
      <c r="A488">
        <v>-73.979729890000002</v>
      </c>
      <c r="B488">
        <v>40.778859060000002</v>
      </c>
      <c r="C488" t="s">
        <v>1320</v>
      </c>
      <c r="D488" t="s">
        <v>33</v>
      </c>
      <c r="E488" s="58">
        <v>43392</v>
      </c>
      <c r="F488">
        <v>17</v>
      </c>
      <c r="G488" t="s">
        <v>48</v>
      </c>
      <c r="H488" t="s">
        <v>42</v>
      </c>
      <c r="I488" t="s">
        <v>115</v>
      </c>
      <c r="J488" t="s">
        <v>155</v>
      </c>
      <c r="K488" t="s">
        <v>1896</v>
      </c>
      <c r="L488" t="s">
        <v>65</v>
      </c>
      <c r="M488" t="b">
        <v>0</v>
      </c>
      <c r="N488" t="s">
        <v>151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1</v>
      </c>
      <c r="AA488" t="b">
        <v>0</v>
      </c>
      <c r="AB488" t="s">
        <v>2552</v>
      </c>
      <c r="AC488" t="s">
        <v>9019</v>
      </c>
    </row>
    <row r="489" spans="1:29" x14ac:dyDescent="0.3">
      <c r="A489">
        <v>-73.972325990000002</v>
      </c>
      <c r="B489">
        <v>40.789396570000001</v>
      </c>
      <c r="C489" t="s">
        <v>1366</v>
      </c>
      <c r="D489" t="s">
        <v>33</v>
      </c>
      <c r="E489" s="58">
        <v>43386</v>
      </c>
      <c r="F489">
        <v>6</v>
      </c>
      <c r="G489" t="s">
        <v>48</v>
      </c>
      <c r="H489" t="s">
        <v>42</v>
      </c>
      <c r="I489" t="s">
        <v>59</v>
      </c>
      <c r="J489" t="s">
        <v>43</v>
      </c>
      <c r="K489" t="s">
        <v>6869</v>
      </c>
      <c r="L489" t="s">
        <v>65</v>
      </c>
      <c r="M489" t="b">
        <v>0</v>
      </c>
      <c r="N489" t="s">
        <v>1337</v>
      </c>
      <c r="O489" t="b">
        <v>0</v>
      </c>
      <c r="P489" t="b">
        <v>0</v>
      </c>
      <c r="Q489" t="b">
        <v>0</v>
      </c>
      <c r="R489" t="b">
        <v>1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s">
        <v>7288</v>
      </c>
      <c r="AC489" t="s">
        <v>9020</v>
      </c>
    </row>
    <row r="490" spans="1:29" x14ac:dyDescent="0.3">
      <c r="A490">
        <v>-73.951280670000003</v>
      </c>
      <c r="B490">
        <v>40.778590960000002</v>
      </c>
      <c r="C490" t="s">
        <v>390</v>
      </c>
      <c r="D490" t="s">
        <v>33</v>
      </c>
      <c r="E490" s="58">
        <v>43387</v>
      </c>
      <c r="F490">
        <v>14</v>
      </c>
      <c r="G490" t="s">
        <v>105</v>
      </c>
      <c r="H490" t="s">
        <v>42</v>
      </c>
      <c r="I490" t="s">
        <v>59</v>
      </c>
      <c r="J490" t="s">
        <v>79</v>
      </c>
      <c r="K490" t="s">
        <v>4381</v>
      </c>
      <c r="L490" t="s">
        <v>65</v>
      </c>
      <c r="M490" t="b">
        <v>0</v>
      </c>
      <c r="N490" t="s">
        <v>1263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1</v>
      </c>
      <c r="V490" t="b">
        <v>0</v>
      </c>
      <c r="W490" t="b">
        <v>1</v>
      </c>
      <c r="X490" t="b">
        <v>0</v>
      </c>
      <c r="Y490" t="b">
        <v>0</v>
      </c>
      <c r="Z490" t="b">
        <v>1</v>
      </c>
      <c r="AA490" t="b">
        <v>0</v>
      </c>
      <c r="AB490" t="s">
        <v>2194</v>
      </c>
      <c r="AC490" t="s">
        <v>9021</v>
      </c>
    </row>
    <row r="491" spans="1:29" x14ac:dyDescent="0.3">
      <c r="A491">
        <v>-73.953171519999998</v>
      </c>
      <c r="B491">
        <v>40.78070821</v>
      </c>
      <c r="C491" t="s">
        <v>394</v>
      </c>
      <c r="D491" t="s">
        <v>33</v>
      </c>
      <c r="E491" s="58">
        <v>43381</v>
      </c>
      <c r="F491">
        <v>23</v>
      </c>
      <c r="G491" t="s">
        <v>48</v>
      </c>
      <c r="H491" t="s">
        <v>42</v>
      </c>
      <c r="I491" t="s">
        <v>59</v>
      </c>
      <c r="J491" t="s">
        <v>54</v>
      </c>
      <c r="K491" t="s">
        <v>3453</v>
      </c>
      <c r="L491" t="s">
        <v>65</v>
      </c>
      <c r="M491" t="b">
        <v>0</v>
      </c>
      <c r="N491" t="s">
        <v>1836</v>
      </c>
      <c r="O491" t="b">
        <v>0</v>
      </c>
      <c r="P491" t="b">
        <v>0</v>
      </c>
      <c r="Q491" t="b">
        <v>0</v>
      </c>
      <c r="R491" t="b">
        <v>1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1</v>
      </c>
      <c r="AB491" t="s">
        <v>511</v>
      </c>
      <c r="AC491" t="s">
        <v>9022</v>
      </c>
    </row>
    <row r="492" spans="1:29" x14ac:dyDescent="0.3">
      <c r="A492">
        <v>-73.966834180000006</v>
      </c>
      <c r="B492">
        <v>40.773274090000001</v>
      </c>
      <c r="C492" t="s">
        <v>1278</v>
      </c>
      <c r="D492" t="s">
        <v>33</v>
      </c>
      <c r="E492" s="58">
        <v>43384</v>
      </c>
      <c r="F492">
        <v>25</v>
      </c>
      <c r="G492" t="s">
        <v>48</v>
      </c>
      <c r="H492" t="s">
        <v>42</v>
      </c>
      <c r="I492" t="s">
        <v>59</v>
      </c>
      <c r="J492" t="s">
        <v>54</v>
      </c>
      <c r="K492" t="s">
        <v>3461</v>
      </c>
      <c r="L492" t="s">
        <v>44</v>
      </c>
      <c r="M492">
        <v>40</v>
      </c>
      <c r="N492" t="s">
        <v>815</v>
      </c>
      <c r="O492" t="b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1</v>
      </c>
      <c r="AA492" t="b">
        <v>0</v>
      </c>
      <c r="AB492" t="s">
        <v>3474</v>
      </c>
      <c r="AC492" t="s">
        <v>9023</v>
      </c>
    </row>
    <row r="493" spans="1:29" x14ac:dyDescent="0.3">
      <c r="A493">
        <v>-73.961663590000001</v>
      </c>
      <c r="B493">
        <v>40.77805206</v>
      </c>
      <c r="C493" t="s">
        <v>311</v>
      </c>
      <c r="D493" t="s">
        <v>38</v>
      </c>
      <c r="E493" s="58">
        <v>43388</v>
      </c>
      <c r="F493">
        <v>15</v>
      </c>
      <c r="G493" t="s">
        <v>48</v>
      </c>
      <c r="H493" t="s">
        <v>42</v>
      </c>
      <c r="I493" t="s">
        <v>59</v>
      </c>
      <c r="J493" t="s">
        <v>79</v>
      </c>
      <c r="K493" t="s">
        <v>5558</v>
      </c>
      <c r="L493" t="s">
        <v>65</v>
      </c>
      <c r="M493" t="b">
        <v>0</v>
      </c>
      <c r="N493" t="s">
        <v>3705</v>
      </c>
      <c r="O493" t="b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1</v>
      </c>
      <c r="AA493" t="b">
        <v>0</v>
      </c>
      <c r="AB493" t="s">
        <v>685</v>
      </c>
      <c r="AC493" t="s">
        <v>9024</v>
      </c>
    </row>
    <row r="494" spans="1:29" x14ac:dyDescent="0.3">
      <c r="A494">
        <v>-73.972438600000004</v>
      </c>
      <c r="B494">
        <v>40.772912339999998</v>
      </c>
      <c r="C494" t="s">
        <v>1420</v>
      </c>
      <c r="D494" t="s">
        <v>38</v>
      </c>
      <c r="E494" s="58">
        <v>43389</v>
      </c>
      <c r="F494">
        <v>14</v>
      </c>
      <c r="G494" t="s">
        <v>48</v>
      </c>
      <c r="H494" t="s">
        <v>42</v>
      </c>
      <c r="I494" t="s">
        <v>53</v>
      </c>
      <c r="J494" t="s">
        <v>43</v>
      </c>
      <c r="K494" t="s">
        <v>1896</v>
      </c>
      <c r="L494" t="s">
        <v>65</v>
      </c>
      <c r="M494" t="b">
        <v>0</v>
      </c>
      <c r="N494" t="s">
        <v>456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1</v>
      </c>
      <c r="AA494" t="b">
        <v>0</v>
      </c>
      <c r="AB494" t="s">
        <v>511</v>
      </c>
      <c r="AC494" t="s">
        <v>9025</v>
      </c>
    </row>
    <row r="495" spans="1:29" x14ac:dyDescent="0.3">
      <c r="A495">
        <v>-73.975244649999993</v>
      </c>
      <c r="B495">
        <v>40.76748774</v>
      </c>
      <c r="C495" t="s">
        <v>726</v>
      </c>
      <c r="D495" t="s">
        <v>38</v>
      </c>
      <c r="E495" s="58">
        <v>43393</v>
      </c>
      <c r="F495">
        <v>24</v>
      </c>
      <c r="G495" t="s">
        <v>48</v>
      </c>
      <c r="H495" t="s">
        <v>42</v>
      </c>
      <c r="I495" t="s">
        <v>59</v>
      </c>
      <c r="J495" t="s">
        <v>79</v>
      </c>
      <c r="K495" t="s">
        <v>1843</v>
      </c>
      <c r="L495" t="s">
        <v>44</v>
      </c>
      <c r="M495">
        <v>40</v>
      </c>
      <c r="N495" t="s">
        <v>456</v>
      </c>
      <c r="O495" t="b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1</v>
      </c>
      <c r="Y495" t="b">
        <v>0</v>
      </c>
      <c r="Z495" t="b">
        <v>1</v>
      </c>
      <c r="AA495" t="b">
        <v>1</v>
      </c>
      <c r="AB495" t="s">
        <v>4800</v>
      </c>
      <c r="AC495" t="s">
        <v>9026</v>
      </c>
    </row>
    <row r="496" spans="1:29" x14ac:dyDescent="0.3">
      <c r="A496">
        <v>-73.966581379999994</v>
      </c>
      <c r="B496">
        <v>40.786156800000001</v>
      </c>
      <c r="C496" t="s">
        <v>423</v>
      </c>
      <c r="D496" t="s">
        <v>38</v>
      </c>
      <c r="E496" s="58">
        <v>43383</v>
      </c>
      <c r="F496">
        <v>22</v>
      </c>
      <c r="G496" t="s">
        <v>48</v>
      </c>
      <c r="H496" t="s">
        <v>42</v>
      </c>
      <c r="I496" t="s">
        <v>59</v>
      </c>
      <c r="J496" t="s">
        <v>97</v>
      </c>
      <c r="K496" t="s">
        <v>4069</v>
      </c>
      <c r="L496" t="s">
        <v>65</v>
      </c>
      <c r="M496" t="b">
        <v>0</v>
      </c>
      <c r="N496" t="s">
        <v>3188</v>
      </c>
      <c r="O496" t="b">
        <v>1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s">
        <v>974</v>
      </c>
      <c r="AC496" t="s">
        <v>9027</v>
      </c>
    </row>
    <row r="497" spans="1:29" x14ac:dyDescent="0.3">
      <c r="A497">
        <v>-73.970050310000005</v>
      </c>
      <c r="B497">
        <v>40.788437000000002</v>
      </c>
      <c r="C497" t="s">
        <v>2798</v>
      </c>
      <c r="D497" t="s">
        <v>33</v>
      </c>
      <c r="E497" s="58">
        <v>43384</v>
      </c>
      <c r="F497">
        <v>3</v>
      </c>
      <c r="G497" t="s">
        <v>48</v>
      </c>
      <c r="H497" t="s">
        <v>53</v>
      </c>
      <c r="I497" t="s">
        <v>96</v>
      </c>
      <c r="J497" t="s">
        <v>89</v>
      </c>
      <c r="K497" t="s">
        <v>2973</v>
      </c>
      <c r="L497" t="s">
        <v>44</v>
      </c>
      <c r="M497">
        <v>6</v>
      </c>
      <c r="N497" t="s">
        <v>742</v>
      </c>
      <c r="O497" t="b">
        <v>0</v>
      </c>
      <c r="P497" t="b">
        <v>0</v>
      </c>
      <c r="Q497" t="b">
        <v>1</v>
      </c>
      <c r="R497" t="b">
        <v>0</v>
      </c>
      <c r="S497" t="b">
        <v>1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1</v>
      </c>
      <c r="AA497" t="b">
        <v>1</v>
      </c>
      <c r="AB497" t="s">
        <v>2870</v>
      </c>
      <c r="AC497" t="s">
        <v>9028</v>
      </c>
    </row>
    <row r="498" spans="1:29" x14ac:dyDescent="0.3">
      <c r="A498">
        <v>-73.962810289999993</v>
      </c>
      <c r="B498">
        <v>40.786721589999999</v>
      </c>
      <c r="C498" t="s">
        <v>221</v>
      </c>
      <c r="D498" t="s">
        <v>38</v>
      </c>
      <c r="E498" s="58">
        <v>43382</v>
      </c>
      <c r="F498">
        <v>24</v>
      </c>
      <c r="G498" t="s">
        <v>48</v>
      </c>
      <c r="H498" t="s">
        <v>42</v>
      </c>
      <c r="I498" t="s">
        <v>96</v>
      </c>
      <c r="J498" t="s">
        <v>43</v>
      </c>
      <c r="K498" t="s">
        <v>5649</v>
      </c>
      <c r="L498" t="s">
        <v>65</v>
      </c>
      <c r="M498" t="b">
        <v>0</v>
      </c>
      <c r="N498" t="s">
        <v>2877</v>
      </c>
      <c r="O498" t="b">
        <v>0</v>
      </c>
      <c r="P498" t="b">
        <v>0</v>
      </c>
      <c r="Q498" t="b">
        <v>1</v>
      </c>
      <c r="R498" t="b">
        <v>0</v>
      </c>
      <c r="S498" t="b">
        <v>1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1</v>
      </c>
      <c r="AA498" t="b">
        <v>0</v>
      </c>
      <c r="AB498" t="s">
        <v>2182</v>
      </c>
      <c r="AC498" t="s">
        <v>9029</v>
      </c>
    </row>
    <row r="499" spans="1:29" x14ac:dyDescent="0.3">
      <c r="A499">
        <v>-73.978714850000003</v>
      </c>
      <c r="B499">
        <v>40.7812293</v>
      </c>
      <c r="C499" t="s">
        <v>1525</v>
      </c>
      <c r="D499" t="s">
        <v>38</v>
      </c>
      <c r="E499" s="58">
        <v>43388</v>
      </c>
      <c r="F499">
        <v>23</v>
      </c>
      <c r="G499" t="s">
        <v>105</v>
      </c>
      <c r="H499" t="s">
        <v>42</v>
      </c>
      <c r="I499" t="s">
        <v>59</v>
      </c>
      <c r="J499" t="s">
        <v>177</v>
      </c>
      <c r="K499" t="s">
        <v>2637</v>
      </c>
      <c r="L499" t="s">
        <v>44</v>
      </c>
      <c r="M499">
        <v>8</v>
      </c>
      <c r="N499" t="s">
        <v>4895</v>
      </c>
      <c r="O499" t="b">
        <v>1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1</v>
      </c>
      <c r="AB499" t="s">
        <v>1963</v>
      </c>
      <c r="AC499" t="s">
        <v>9030</v>
      </c>
    </row>
    <row r="500" spans="1:29" x14ac:dyDescent="0.3">
      <c r="A500">
        <v>-73.950526710000005</v>
      </c>
      <c r="B500">
        <v>40.778282109999999</v>
      </c>
      <c r="C500" t="s">
        <v>166</v>
      </c>
      <c r="D500" t="s">
        <v>33</v>
      </c>
      <c r="E500" s="58">
        <v>43384</v>
      </c>
      <c r="F500">
        <v>19</v>
      </c>
      <c r="G500" t="s">
        <v>48</v>
      </c>
      <c r="H500" t="s">
        <v>42</v>
      </c>
      <c r="I500" t="s">
        <v>53</v>
      </c>
      <c r="J500" t="s">
        <v>79</v>
      </c>
      <c r="K500" t="s">
        <v>4020</v>
      </c>
      <c r="L500" t="s">
        <v>65</v>
      </c>
      <c r="M500" t="b">
        <v>0</v>
      </c>
      <c r="N500" t="s">
        <v>3542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s">
        <v>1660</v>
      </c>
      <c r="AC500" t="s">
        <v>9031</v>
      </c>
    </row>
    <row r="501" spans="1:29" x14ac:dyDescent="0.3">
      <c r="A501">
        <v>-73.950155260000002</v>
      </c>
      <c r="B501">
        <v>40.795306789999998</v>
      </c>
      <c r="C501" t="s">
        <v>74</v>
      </c>
      <c r="D501" t="s">
        <v>38</v>
      </c>
      <c r="E501" s="58">
        <v>43385</v>
      </c>
      <c r="F501">
        <v>25</v>
      </c>
      <c r="G501" t="s">
        <v>48</v>
      </c>
      <c r="H501" t="s">
        <v>42</v>
      </c>
      <c r="I501" t="s">
        <v>96</v>
      </c>
      <c r="J501" t="s">
        <v>177</v>
      </c>
      <c r="K501" t="s">
        <v>2311</v>
      </c>
      <c r="L501" t="s">
        <v>65</v>
      </c>
      <c r="M501" t="b">
        <v>0</v>
      </c>
      <c r="N501" t="s">
        <v>3176</v>
      </c>
      <c r="O501" t="b">
        <v>0</v>
      </c>
      <c r="P501" t="b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1</v>
      </c>
      <c r="Z501" t="b">
        <v>0</v>
      </c>
      <c r="AA501" t="b">
        <v>1</v>
      </c>
      <c r="AB501" t="s">
        <v>743</v>
      </c>
      <c r="AC501" t="s">
        <v>9032</v>
      </c>
    </row>
    <row r="502" spans="1:29" x14ac:dyDescent="0.3">
      <c r="A502">
        <v>-73.959210600000006</v>
      </c>
      <c r="B502">
        <v>40.78318642</v>
      </c>
      <c r="C502" t="s">
        <v>2889</v>
      </c>
      <c r="D502" t="s">
        <v>33</v>
      </c>
      <c r="E502" s="58">
        <v>43387</v>
      </c>
      <c r="F502">
        <v>12</v>
      </c>
      <c r="G502" t="s">
        <v>105</v>
      </c>
      <c r="H502" t="s">
        <v>42</v>
      </c>
      <c r="I502" t="s">
        <v>59</v>
      </c>
      <c r="J502" t="s">
        <v>54</v>
      </c>
      <c r="K502" t="s">
        <v>4237</v>
      </c>
      <c r="L502" t="s">
        <v>65</v>
      </c>
      <c r="M502" t="b">
        <v>0</v>
      </c>
      <c r="N502" t="s">
        <v>2022</v>
      </c>
      <c r="O502" t="b">
        <v>1</v>
      </c>
      <c r="P502" t="b">
        <v>0</v>
      </c>
      <c r="Q502" t="b">
        <v>1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s">
        <v>3158</v>
      </c>
      <c r="AC502" t="s">
        <v>9033</v>
      </c>
    </row>
    <row r="503" spans="1:29" x14ac:dyDescent="0.3">
      <c r="A503">
        <v>-73.964305420000002</v>
      </c>
      <c r="B503">
        <v>40.781781629999998</v>
      </c>
      <c r="C503" t="s">
        <v>1626</v>
      </c>
      <c r="D503" t="s">
        <v>38</v>
      </c>
      <c r="E503" s="58">
        <v>43388</v>
      </c>
      <c r="F503">
        <v>2</v>
      </c>
      <c r="G503" t="s">
        <v>48</v>
      </c>
      <c r="H503" t="s">
        <v>42</v>
      </c>
      <c r="I503" t="s">
        <v>42</v>
      </c>
      <c r="J503" t="s">
        <v>54</v>
      </c>
      <c r="K503" t="s">
        <v>3028</v>
      </c>
      <c r="L503" t="s">
        <v>65</v>
      </c>
      <c r="M503" t="b">
        <v>0</v>
      </c>
      <c r="N503" t="s">
        <v>2337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1</v>
      </c>
      <c r="X503" t="b">
        <v>0</v>
      </c>
      <c r="Y503" t="b">
        <v>0</v>
      </c>
      <c r="Z503" t="b">
        <v>0</v>
      </c>
      <c r="AA503" t="b">
        <v>0</v>
      </c>
      <c r="AB503" t="s">
        <v>1367</v>
      </c>
      <c r="AC503" t="s">
        <v>9034</v>
      </c>
    </row>
    <row r="504" spans="1:29" x14ac:dyDescent="0.3">
      <c r="A504">
        <v>-73.971428020000005</v>
      </c>
      <c r="B504">
        <v>40.765813469999998</v>
      </c>
      <c r="C504" t="s">
        <v>189</v>
      </c>
      <c r="D504" t="s">
        <v>38</v>
      </c>
      <c r="E504" s="58">
        <v>43385</v>
      </c>
      <c r="F504">
        <v>3</v>
      </c>
      <c r="G504" t="s">
        <v>48</v>
      </c>
      <c r="H504" t="s">
        <v>42</v>
      </c>
      <c r="I504" t="s">
        <v>42</v>
      </c>
      <c r="J504" t="s">
        <v>155</v>
      </c>
      <c r="K504" t="s">
        <v>3341</v>
      </c>
      <c r="L504" t="s">
        <v>44</v>
      </c>
      <c r="M504">
        <v>2</v>
      </c>
      <c r="N504" t="s">
        <v>3200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1</v>
      </c>
      <c r="Z504" t="b">
        <v>1</v>
      </c>
      <c r="AA504" t="b">
        <v>0</v>
      </c>
      <c r="AB504" t="s">
        <v>2751</v>
      </c>
      <c r="AC504" t="s">
        <v>9035</v>
      </c>
    </row>
    <row r="505" spans="1:29" x14ac:dyDescent="0.3">
      <c r="A505">
        <v>-73.955575460000006</v>
      </c>
      <c r="B505">
        <v>40.77692527</v>
      </c>
      <c r="C505" t="s">
        <v>3395</v>
      </c>
      <c r="D505" t="s">
        <v>33</v>
      </c>
      <c r="E505" s="58">
        <v>43384</v>
      </c>
      <c r="F505">
        <v>18</v>
      </c>
      <c r="G505" t="s">
        <v>48</v>
      </c>
      <c r="H505" t="s">
        <v>42</v>
      </c>
      <c r="I505" t="s">
        <v>53</v>
      </c>
      <c r="J505" t="s">
        <v>177</v>
      </c>
      <c r="K505" t="s">
        <v>6367</v>
      </c>
      <c r="L505" t="s">
        <v>65</v>
      </c>
      <c r="M505" t="b">
        <v>0</v>
      </c>
      <c r="N505" t="s">
        <v>2032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1</v>
      </c>
      <c r="Y505" t="b">
        <v>0</v>
      </c>
      <c r="Z505" t="b">
        <v>0</v>
      </c>
      <c r="AA505" t="b">
        <v>0</v>
      </c>
      <c r="AB505" t="s">
        <v>5702</v>
      </c>
      <c r="AC505" t="s">
        <v>9036</v>
      </c>
    </row>
    <row r="506" spans="1:29" x14ac:dyDescent="0.3">
      <c r="A506">
        <v>-73.959632810000002</v>
      </c>
      <c r="B506">
        <v>40.778296539999999</v>
      </c>
      <c r="C506" t="s">
        <v>311</v>
      </c>
      <c r="D506" t="s">
        <v>38</v>
      </c>
      <c r="E506" s="58">
        <v>43379</v>
      </c>
      <c r="F506">
        <v>29</v>
      </c>
      <c r="G506" t="s">
        <v>48</v>
      </c>
      <c r="H506" t="s">
        <v>42</v>
      </c>
      <c r="I506" t="s">
        <v>96</v>
      </c>
      <c r="J506" t="s">
        <v>54</v>
      </c>
      <c r="K506" t="s">
        <v>1816</v>
      </c>
      <c r="L506" t="s">
        <v>44</v>
      </c>
      <c r="M506">
        <v>3</v>
      </c>
      <c r="N506" t="s">
        <v>3013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1</v>
      </c>
      <c r="Y506" t="b">
        <v>0</v>
      </c>
      <c r="Z506" t="b">
        <v>0</v>
      </c>
      <c r="AA506" t="b">
        <v>0</v>
      </c>
      <c r="AB506" t="s">
        <v>511</v>
      </c>
      <c r="AC506" t="s">
        <v>9037</v>
      </c>
    </row>
    <row r="507" spans="1:29" x14ac:dyDescent="0.3">
      <c r="A507">
        <v>-73.976046420000003</v>
      </c>
      <c r="B507">
        <v>40.778952359999998</v>
      </c>
      <c r="C507" t="s">
        <v>600</v>
      </c>
      <c r="D507" t="s">
        <v>38</v>
      </c>
      <c r="E507" s="58">
        <v>43380</v>
      </c>
      <c r="F507">
        <v>1</v>
      </c>
      <c r="G507" t="s">
        <v>105</v>
      </c>
      <c r="H507" t="s">
        <v>42</v>
      </c>
      <c r="I507" t="s">
        <v>53</v>
      </c>
      <c r="J507" t="s">
        <v>43</v>
      </c>
      <c r="K507" t="s">
        <v>5558</v>
      </c>
      <c r="L507" t="s">
        <v>65</v>
      </c>
      <c r="M507" t="b">
        <v>0</v>
      </c>
      <c r="N507" t="s">
        <v>3334</v>
      </c>
      <c r="O507" t="b">
        <v>0</v>
      </c>
      <c r="P507" t="b">
        <v>1</v>
      </c>
      <c r="Q507" t="b">
        <v>0</v>
      </c>
      <c r="R507" t="b">
        <v>0</v>
      </c>
      <c r="S507" t="b">
        <v>0</v>
      </c>
      <c r="T507" t="b">
        <v>1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1</v>
      </c>
      <c r="AA507" t="b">
        <v>0</v>
      </c>
      <c r="AB507" t="s">
        <v>6045</v>
      </c>
      <c r="AC507" t="s">
        <v>9038</v>
      </c>
    </row>
    <row r="508" spans="1:29" x14ac:dyDescent="0.3">
      <c r="A508">
        <v>-73.952521930000003</v>
      </c>
      <c r="B508">
        <v>40.785337290000001</v>
      </c>
      <c r="C508" t="s">
        <v>1028</v>
      </c>
      <c r="D508" t="s">
        <v>38</v>
      </c>
      <c r="E508" s="58">
        <v>43379</v>
      </c>
      <c r="F508">
        <v>20</v>
      </c>
      <c r="G508" t="s">
        <v>105</v>
      </c>
      <c r="H508" t="s">
        <v>42</v>
      </c>
      <c r="I508" t="s">
        <v>53</v>
      </c>
      <c r="J508" t="s">
        <v>54</v>
      </c>
      <c r="K508" t="s">
        <v>5180</v>
      </c>
      <c r="L508" t="s">
        <v>65</v>
      </c>
      <c r="M508" t="b">
        <v>0</v>
      </c>
      <c r="N508" t="s">
        <v>2877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1</v>
      </c>
      <c r="AA508" t="b">
        <v>1</v>
      </c>
      <c r="AB508" t="s">
        <v>121</v>
      </c>
      <c r="AC508" t="s">
        <v>9039</v>
      </c>
    </row>
    <row r="509" spans="1:29" x14ac:dyDescent="0.3">
      <c r="A509">
        <v>-73.955300629999996</v>
      </c>
      <c r="B509">
        <v>40.783697670000002</v>
      </c>
      <c r="C509" t="s">
        <v>320</v>
      </c>
      <c r="D509" t="s">
        <v>33</v>
      </c>
      <c r="E509" s="58">
        <v>43387</v>
      </c>
      <c r="F509">
        <v>21</v>
      </c>
      <c r="G509" t="s">
        <v>48</v>
      </c>
      <c r="H509" t="s">
        <v>42</v>
      </c>
      <c r="I509" t="s">
        <v>59</v>
      </c>
      <c r="J509" t="s">
        <v>54</v>
      </c>
      <c r="K509" t="s">
        <v>1896</v>
      </c>
      <c r="L509" t="s">
        <v>44</v>
      </c>
      <c r="M509">
        <v>12</v>
      </c>
      <c r="N509" t="s">
        <v>7063</v>
      </c>
      <c r="O509" t="b">
        <v>1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1</v>
      </c>
      <c r="AA509" t="b">
        <v>0</v>
      </c>
      <c r="AB509" t="s">
        <v>3820</v>
      </c>
      <c r="AC509" t="s">
        <v>9040</v>
      </c>
    </row>
    <row r="510" spans="1:29" x14ac:dyDescent="0.3">
      <c r="A510">
        <v>-73.951299899999995</v>
      </c>
      <c r="B510">
        <v>40.786313700000001</v>
      </c>
      <c r="C510" t="s">
        <v>660</v>
      </c>
      <c r="D510" t="s">
        <v>38</v>
      </c>
      <c r="E510" s="58">
        <v>43388</v>
      </c>
      <c r="F510">
        <v>29</v>
      </c>
      <c r="G510" t="s">
        <v>48</v>
      </c>
      <c r="H510" t="s">
        <v>42</v>
      </c>
      <c r="I510" t="s">
        <v>53</v>
      </c>
      <c r="J510" t="s">
        <v>43</v>
      </c>
      <c r="K510" t="s">
        <v>2637</v>
      </c>
      <c r="L510" t="s">
        <v>65</v>
      </c>
      <c r="M510" t="b">
        <v>0</v>
      </c>
      <c r="N510" t="s">
        <v>4576</v>
      </c>
      <c r="O510" t="b">
        <v>0</v>
      </c>
      <c r="P510" t="b">
        <v>0</v>
      </c>
      <c r="Q510" t="b">
        <v>1</v>
      </c>
      <c r="R510" t="b">
        <v>0</v>
      </c>
      <c r="S510" t="b">
        <v>1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1</v>
      </c>
      <c r="AA510" t="b">
        <v>0</v>
      </c>
      <c r="AB510" t="s">
        <v>2713</v>
      </c>
      <c r="AC510" t="s">
        <v>9041</v>
      </c>
    </row>
    <row r="511" spans="1:29" x14ac:dyDescent="0.3">
      <c r="A511">
        <v>-73.958344269999998</v>
      </c>
      <c r="B511">
        <v>40.791840559999997</v>
      </c>
      <c r="C511" t="s">
        <v>493</v>
      </c>
      <c r="D511" t="s">
        <v>33</v>
      </c>
      <c r="E511" s="58">
        <v>43388</v>
      </c>
      <c r="F511">
        <v>6</v>
      </c>
      <c r="G511" t="s">
        <v>48</v>
      </c>
      <c r="H511" t="s">
        <v>53</v>
      </c>
      <c r="I511" t="s">
        <v>96</v>
      </c>
      <c r="J511" t="s">
        <v>43</v>
      </c>
      <c r="K511" t="s">
        <v>2637</v>
      </c>
      <c r="L511" t="s">
        <v>65</v>
      </c>
      <c r="M511" t="b">
        <v>0</v>
      </c>
      <c r="N511" t="s">
        <v>748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1</v>
      </c>
      <c r="AA511" t="b">
        <v>0</v>
      </c>
      <c r="AB511" t="s">
        <v>2038</v>
      </c>
      <c r="AC511" t="s">
        <v>9042</v>
      </c>
    </row>
    <row r="512" spans="1:29" x14ac:dyDescent="0.3">
      <c r="A512">
        <v>-73.961874760000001</v>
      </c>
      <c r="B512">
        <v>40.793534149999999</v>
      </c>
      <c r="C512" t="s">
        <v>52</v>
      </c>
      <c r="D512" t="s">
        <v>33</v>
      </c>
      <c r="E512" s="58">
        <v>43387</v>
      </c>
      <c r="F512">
        <v>5</v>
      </c>
      <c r="G512" t="s">
        <v>48</v>
      </c>
      <c r="H512" t="s">
        <v>42</v>
      </c>
      <c r="I512" t="s">
        <v>53</v>
      </c>
      <c r="J512" t="s">
        <v>60</v>
      </c>
      <c r="K512" t="s">
        <v>4237</v>
      </c>
      <c r="L512" t="s">
        <v>44</v>
      </c>
      <c r="M512">
        <v>25</v>
      </c>
      <c r="N512" t="s">
        <v>190</v>
      </c>
      <c r="O512" t="b">
        <v>1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1</v>
      </c>
      <c r="V512" t="b">
        <v>0</v>
      </c>
      <c r="W512" t="b">
        <v>0</v>
      </c>
      <c r="X512" t="b">
        <v>0</v>
      </c>
      <c r="Y512" t="b">
        <v>0</v>
      </c>
      <c r="Z512" t="b">
        <v>1</v>
      </c>
      <c r="AA512" t="b">
        <v>1</v>
      </c>
      <c r="AB512" t="s">
        <v>101</v>
      </c>
      <c r="AC512" t="s">
        <v>9043</v>
      </c>
    </row>
    <row r="513" spans="1:29" x14ac:dyDescent="0.3">
      <c r="A513">
        <v>-73.96801035</v>
      </c>
      <c r="B513">
        <v>40.790194239999998</v>
      </c>
      <c r="C513" t="s">
        <v>3049</v>
      </c>
      <c r="D513" t="s">
        <v>33</v>
      </c>
      <c r="E513" s="58">
        <v>43385</v>
      </c>
      <c r="F513">
        <v>1</v>
      </c>
      <c r="G513" t="s">
        <v>48</v>
      </c>
      <c r="H513" t="s">
        <v>42</v>
      </c>
      <c r="I513" t="s">
        <v>53</v>
      </c>
      <c r="J513" t="s">
        <v>43</v>
      </c>
      <c r="K513" t="s">
        <v>3028</v>
      </c>
      <c r="L513" t="s">
        <v>44</v>
      </c>
      <c r="M513">
        <v>4</v>
      </c>
      <c r="N513" t="s">
        <v>190</v>
      </c>
      <c r="O513" t="b">
        <v>0</v>
      </c>
      <c r="P513" t="b">
        <v>0</v>
      </c>
      <c r="Q513" t="b">
        <v>0</v>
      </c>
      <c r="R513" t="b">
        <v>1</v>
      </c>
      <c r="S513" t="b">
        <v>1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s">
        <v>4924</v>
      </c>
      <c r="AC513" t="s">
        <v>9044</v>
      </c>
    </row>
    <row r="514" spans="1:29" x14ac:dyDescent="0.3">
      <c r="A514">
        <v>-73.951836569999998</v>
      </c>
      <c r="B514">
        <v>40.798552600000001</v>
      </c>
      <c r="C514" t="s">
        <v>459</v>
      </c>
      <c r="D514" t="s">
        <v>38</v>
      </c>
      <c r="E514" s="58">
        <v>43391</v>
      </c>
      <c r="F514">
        <v>19</v>
      </c>
      <c r="G514" t="s">
        <v>48</v>
      </c>
      <c r="H514" t="s">
        <v>53</v>
      </c>
      <c r="I514" t="s">
        <v>59</v>
      </c>
      <c r="J514" t="s">
        <v>79</v>
      </c>
      <c r="K514" t="s">
        <v>4180</v>
      </c>
      <c r="L514" t="s">
        <v>44</v>
      </c>
      <c r="M514">
        <v>7</v>
      </c>
      <c r="N514" t="s">
        <v>701</v>
      </c>
      <c r="O514" t="b">
        <v>1</v>
      </c>
      <c r="P514" t="b">
        <v>0</v>
      </c>
      <c r="Q514" t="b">
        <v>1</v>
      </c>
      <c r="R514" t="b">
        <v>1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1</v>
      </c>
      <c r="Y514" t="b">
        <v>0</v>
      </c>
      <c r="Z514" t="b">
        <v>0</v>
      </c>
      <c r="AA514" t="b">
        <v>0</v>
      </c>
      <c r="AB514" t="s">
        <v>7150</v>
      </c>
      <c r="AC514" t="s">
        <v>9045</v>
      </c>
    </row>
    <row r="515" spans="1:29" x14ac:dyDescent="0.3">
      <c r="A515">
        <v>-73.953932289999997</v>
      </c>
      <c r="B515">
        <v>40.765552599999999</v>
      </c>
      <c r="C515" t="s">
        <v>372</v>
      </c>
      <c r="D515" t="s">
        <v>38</v>
      </c>
      <c r="E515" s="58">
        <v>43380</v>
      </c>
      <c r="F515">
        <v>1</v>
      </c>
      <c r="G515" t="s">
        <v>105</v>
      </c>
      <c r="H515" t="s">
        <v>42</v>
      </c>
      <c r="I515" t="s">
        <v>96</v>
      </c>
      <c r="J515" t="s">
        <v>43</v>
      </c>
      <c r="K515" t="s">
        <v>4477</v>
      </c>
      <c r="L515" t="s">
        <v>44</v>
      </c>
      <c r="M515">
        <v>8</v>
      </c>
      <c r="N515" t="s">
        <v>456</v>
      </c>
      <c r="O515" t="b">
        <v>0</v>
      </c>
      <c r="P515" t="b">
        <v>0</v>
      </c>
      <c r="Q515" t="b">
        <v>0</v>
      </c>
      <c r="R515" t="b">
        <v>1</v>
      </c>
      <c r="S515" t="b">
        <v>1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s">
        <v>75</v>
      </c>
      <c r="AC515" t="s">
        <v>9046</v>
      </c>
    </row>
    <row r="516" spans="1:29" x14ac:dyDescent="0.3">
      <c r="A516">
        <v>-73.979737049999997</v>
      </c>
      <c r="B516">
        <v>40.771803589999998</v>
      </c>
      <c r="C516" t="s">
        <v>1206</v>
      </c>
      <c r="D516" t="s">
        <v>38</v>
      </c>
      <c r="E516" s="58">
        <v>43384</v>
      </c>
      <c r="F516">
        <v>27</v>
      </c>
      <c r="G516" t="s">
        <v>105</v>
      </c>
      <c r="H516" t="s">
        <v>42</v>
      </c>
      <c r="I516" t="s">
        <v>42</v>
      </c>
      <c r="J516" t="s">
        <v>54</v>
      </c>
      <c r="K516" t="s">
        <v>2637</v>
      </c>
      <c r="L516" t="s">
        <v>65</v>
      </c>
      <c r="M516" t="b">
        <v>0</v>
      </c>
      <c r="N516" t="s">
        <v>664</v>
      </c>
      <c r="O516" t="b">
        <v>1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1</v>
      </c>
      <c r="Y516" t="b">
        <v>0</v>
      </c>
      <c r="Z516" t="b">
        <v>0</v>
      </c>
      <c r="AA516" t="b">
        <v>0</v>
      </c>
      <c r="AB516" t="s">
        <v>6042</v>
      </c>
      <c r="AC516" t="s">
        <v>9047</v>
      </c>
    </row>
    <row r="517" spans="1:29" x14ac:dyDescent="0.3">
      <c r="A517">
        <v>-73.980329690000005</v>
      </c>
      <c r="B517">
        <v>40.765176940000003</v>
      </c>
      <c r="C517" t="s">
        <v>114</v>
      </c>
      <c r="D517" t="s">
        <v>38</v>
      </c>
      <c r="E517" s="58">
        <v>43389</v>
      </c>
      <c r="F517">
        <v>21</v>
      </c>
      <c r="G517" t="s">
        <v>48</v>
      </c>
      <c r="H517" t="s">
        <v>42</v>
      </c>
      <c r="I517" t="s">
        <v>96</v>
      </c>
      <c r="J517" t="s">
        <v>43</v>
      </c>
      <c r="K517" t="s">
        <v>442</v>
      </c>
      <c r="L517" t="s">
        <v>44</v>
      </c>
      <c r="M517">
        <v>12</v>
      </c>
      <c r="N517" t="s">
        <v>5312</v>
      </c>
      <c r="O517" t="b">
        <v>1</v>
      </c>
      <c r="P517" t="b">
        <v>0</v>
      </c>
      <c r="Q517" t="b">
        <v>1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1</v>
      </c>
      <c r="AA517" t="b">
        <v>0</v>
      </c>
      <c r="AB517" t="s">
        <v>2025</v>
      </c>
      <c r="AC517" t="s">
        <v>9048</v>
      </c>
    </row>
    <row r="518" spans="1:29" x14ac:dyDescent="0.3">
      <c r="A518">
        <v>-73.969323770000003</v>
      </c>
      <c r="B518">
        <v>40.78770686</v>
      </c>
      <c r="C518" t="s">
        <v>47</v>
      </c>
      <c r="D518" t="s">
        <v>33</v>
      </c>
      <c r="E518" s="58">
        <v>43382</v>
      </c>
      <c r="F518">
        <v>21</v>
      </c>
      <c r="G518" t="s">
        <v>48</v>
      </c>
      <c r="H518" t="s">
        <v>53</v>
      </c>
      <c r="I518" t="s">
        <v>59</v>
      </c>
      <c r="J518" t="s">
        <v>43</v>
      </c>
      <c r="K518" t="s">
        <v>809</v>
      </c>
      <c r="L518" t="s">
        <v>65</v>
      </c>
      <c r="M518" t="b">
        <v>0</v>
      </c>
      <c r="N518" t="s">
        <v>3629</v>
      </c>
      <c r="O518" t="b">
        <v>1</v>
      </c>
      <c r="P518" t="b">
        <v>0</v>
      </c>
      <c r="Q518" t="b">
        <v>0</v>
      </c>
      <c r="R518" t="b">
        <v>0</v>
      </c>
      <c r="S518" t="b">
        <v>1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s">
        <v>6610</v>
      </c>
      <c r="AC518" t="s">
        <v>9049</v>
      </c>
    </row>
    <row r="519" spans="1:29" x14ac:dyDescent="0.3">
      <c r="A519">
        <v>-73.955677370000004</v>
      </c>
      <c r="B519">
        <v>40.796528389999999</v>
      </c>
      <c r="C519" t="s">
        <v>1202</v>
      </c>
      <c r="D519" t="s">
        <v>33</v>
      </c>
      <c r="E519" s="58">
        <v>43379</v>
      </c>
      <c r="F519">
        <v>16</v>
      </c>
      <c r="G519" t="s">
        <v>48</v>
      </c>
      <c r="H519" t="s">
        <v>53</v>
      </c>
      <c r="I519" t="s">
        <v>53</v>
      </c>
      <c r="J519" t="s">
        <v>97</v>
      </c>
      <c r="K519" t="s">
        <v>2458</v>
      </c>
      <c r="L519" t="s">
        <v>44</v>
      </c>
      <c r="M519">
        <v>6</v>
      </c>
      <c r="N519" t="s">
        <v>140</v>
      </c>
      <c r="O519" t="b">
        <v>1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1</v>
      </c>
      <c r="AB519" t="s">
        <v>685</v>
      </c>
      <c r="AC519" t="s">
        <v>9050</v>
      </c>
    </row>
    <row r="520" spans="1:29" x14ac:dyDescent="0.3">
      <c r="A520">
        <v>-73.950121769999996</v>
      </c>
      <c r="B520">
        <v>40.773483159999998</v>
      </c>
      <c r="C520" t="s">
        <v>1063</v>
      </c>
      <c r="D520" t="s">
        <v>33</v>
      </c>
      <c r="E520" s="58">
        <v>43379</v>
      </c>
      <c r="F520">
        <v>12</v>
      </c>
      <c r="G520" t="s">
        <v>48</v>
      </c>
      <c r="H520" t="s">
        <v>42</v>
      </c>
      <c r="I520" t="s">
        <v>53</v>
      </c>
      <c r="J520" t="s">
        <v>177</v>
      </c>
      <c r="K520" t="s">
        <v>49</v>
      </c>
      <c r="L520" t="s">
        <v>65</v>
      </c>
      <c r="M520" t="b">
        <v>0</v>
      </c>
      <c r="N520" t="s">
        <v>1766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1</v>
      </c>
      <c r="AA520" t="b">
        <v>0</v>
      </c>
      <c r="AB520" t="s">
        <v>4778</v>
      </c>
      <c r="AC520" t="s">
        <v>9051</v>
      </c>
    </row>
    <row r="521" spans="1:29" x14ac:dyDescent="0.3">
      <c r="A521">
        <v>-73.976429949999996</v>
      </c>
      <c r="B521">
        <v>40.79754956</v>
      </c>
      <c r="C521" t="s">
        <v>304</v>
      </c>
      <c r="D521" t="s">
        <v>33</v>
      </c>
      <c r="E521" s="58">
        <v>43390</v>
      </c>
      <c r="F521">
        <v>27</v>
      </c>
      <c r="G521" t="s">
        <v>48</v>
      </c>
      <c r="H521" t="s">
        <v>42</v>
      </c>
      <c r="I521" t="s">
        <v>53</v>
      </c>
      <c r="J521" t="s">
        <v>43</v>
      </c>
      <c r="K521" t="s">
        <v>3050</v>
      </c>
      <c r="L521" t="s">
        <v>65</v>
      </c>
      <c r="M521" t="b">
        <v>0</v>
      </c>
      <c r="N521" t="s">
        <v>332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1</v>
      </c>
      <c r="Y521" t="b">
        <v>0</v>
      </c>
      <c r="Z521" t="b">
        <v>1</v>
      </c>
      <c r="AA521" t="b">
        <v>0</v>
      </c>
      <c r="AB521" t="s">
        <v>121</v>
      </c>
      <c r="AC521" t="s">
        <v>9052</v>
      </c>
    </row>
    <row r="522" spans="1:29" x14ac:dyDescent="0.3">
      <c r="A522">
        <v>-73.962480999999997</v>
      </c>
      <c r="B522">
        <v>40.767032550000003</v>
      </c>
      <c r="C522" t="s">
        <v>1083</v>
      </c>
      <c r="D522" t="s">
        <v>33</v>
      </c>
      <c r="E522" s="58">
        <v>43383</v>
      </c>
      <c r="F522">
        <v>29</v>
      </c>
      <c r="G522" t="s">
        <v>48</v>
      </c>
      <c r="H522" t="s">
        <v>42</v>
      </c>
      <c r="I522" t="s">
        <v>59</v>
      </c>
      <c r="J522" t="s">
        <v>54</v>
      </c>
      <c r="K522" t="s">
        <v>6823</v>
      </c>
      <c r="L522" t="s">
        <v>65</v>
      </c>
      <c r="M522" t="b">
        <v>0</v>
      </c>
      <c r="N522" t="s">
        <v>4541</v>
      </c>
      <c r="O522" t="b">
        <v>0</v>
      </c>
      <c r="P522" t="b">
        <v>0</v>
      </c>
      <c r="Q522" t="b">
        <v>0</v>
      </c>
      <c r="R522" t="b">
        <v>0</v>
      </c>
      <c r="S522" t="b">
        <v>1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1</v>
      </c>
      <c r="AA522" t="b">
        <v>1</v>
      </c>
      <c r="AB522" t="s">
        <v>5918</v>
      </c>
      <c r="AC522" t="s">
        <v>9053</v>
      </c>
    </row>
    <row r="523" spans="1:29" x14ac:dyDescent="0.3">
      <c r="A523">
        <v>-73.969184589999998</v>
      </c>
      <c r="B523">
        <v>40.797810149999997</v>
      </c>
      <c r="C523" t="s">
        <v>1326</v>
      </c>
      <c r="D523" t="s">
        <v>33</v>
      </c>
      <c r="E523" s="58">
        <v>43390</v>
      </c>
      <c r="F523">
        <v>22</v>
      </c>
      <c r="G523" t="s">
        <v>48</v>
      </c>
      <c r="H523" t="s">
        <v>42</v>
      </c>
      <c r="I523" t="s">
        <v>59</v>
      </c>
      <c r="J523" t="s">
        <v>54</v>
      </c>
      <c r="K523" t="s">
        <v>5323</v>
      </c>
      <c r="L523" t="s">
        <v>65</v>
      </c>
      <c r="M523" t="b">
        <v>0</v>
      </c>
      <c r="N523" t="s">
        <v>5022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1</v>
      </c>
      <c r="AA523" t="b">
        <v>1</v>
      </c>
      <c r="AB523" t="s">
        <v>3437</v>
      </c>
      <c r="AC523" t="s">
        <v>9054</v>
      </c>
    </row>
    <row r="524" spans="1:29" x14ac:dyDescent="0.3">
      <c r="A524">
        <v>-73.950667559999999</v>
      </c>
      <c r="B524">
        <v>40.777290549999996</v>
      </c>
      <c r="C524" t="s">
        <v>124</v>
      </c>
      <c r="D524" t="s">
        <v>33</v>
      </c>
      <c r="E524" s="58">
        <v>43380</v>
      </c>
      <c r="F524">
        <v>8</v>
      </c>
      <c r="G524" t="s">
        <v>48</v>
      </c>
      <c r="H524" t="s">
        <v>42</v>
      </c>
      <c r="I524" t="s">
        <v>59</v>
      </c>
      <c r="J524" t="s">
        <v>60</v>
      </c>
      <c r="K524" t="s">
        <v>4308</v>
      </c>
      <c r="L524" t="s">
        <v>65</v>
      </c>
      <c r="M524" t="b">
        <v>0</v>
      </c>
      <c r="N524" t="s">
        <v>6273</v>
      </c>
      <c r="O524" t="b">
        <v>1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1</v>
      </c>
      <c r="Y524" t="b">
        <v>1</v>
      </c>
      <c r="Z524" t="b">
        <v>1</v>
      </c>
      <c r="AA524" t="b">
        <v>1</v>
      </c>
      <c r="AB524" t="s">
        <v>4201</v>
      </c>
      <c r="AC524" t="s">
        <v>9055</v>
      </c>
    </row>
    <row r="525" spans="1:29" x14ac:dyDescent="0.3">
      <c r="A525">
        <v>-73.954685049999995</v>
      </c>
      <c r="B525">
        <v>40.768481479999998</v>
      </c>
      <c r="C525" t="s">
        <v>104</v>
      </c>
      <c r="D525" t="s">
        <v>33</v>
      </c>
      <c r="E525" s="58">
        <v>43382</v>
      </c>
      <c r="F525">
        <v>26</v>
      </c>
      <c r="G525" t="s">
        <v>48</v>
      </c>
      <c r="H525" t="s">
        <v>42</v>
      </c>
      <c r="I525" t="s">
        <v>96</v>
      </c>
      <c r="J525" t="s">
        <v>97</v>
      </c>
      <c r="K525" t="s">
        <v>5180</v>
      </c>
      <c r="L525" t="s">
        <v>44</v>
      </c>
      <c r="M525">
        <v>5</v>
      </c>
      <c r="N525" t="s">
        <v>348</v>
      </c>
      <c r="O525" t="b">
        <v>0</v>
      </c>
      <c r="P525" t="b">
        <v>0</v>
      </c>
      <c r="Q525" t="b">
        <v>1</v>
      </c>
      <c r="R525" t="b">
        <v>1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1</v>
      </c>
      <c r="AA525" t="b">
        <v>0</v>
      </c>
      <c r="AB525" t="s">
        <v>1428</v>
      </c>
      <c r="AC525" t="s">
        <v>9056</v>
      </c>
    </row>
    <row r="526" spans="1:29" x14ac:dyDescent="0.3">
      <c r="A526">
        <v>-73.954804199999998</v>
      </c>
      <c r="B526">
        <v>40.782017170000003</v>
      </c>
      <c r="C526" t="s">
        <v>963</v>
      </c>
      <c r="D526" t="s">
        <v>33</v>
      </c>
      <c r="E526" s="58">
        <v>43379</v>
      </c>
      <c r="F526">
        <v>16</v>
      </c>
      <c r="G526" t="s">
        <v>105</v>
      </c>
      <c r="H526" t="s">
        <v>42</v>
      </c>
      <c r="I526" t="s">
        <v>59</v>
      </c>
      <c r="J526" t="s">
        <v>54</v>
      </c>
      <c r="K526" t="s">
        <v>3182</v>
      </c>
      <c r="L526" t="s">
        <v>44</v>
      </c>
      <c r="M526">
        <v>20</v>
      </c>
      <c r="N526" t="s">
        <v>3040</v>
      </c>
      <c r="O526" t="b">
        <v>1</v>
      </c>
      <c r="P526" t="b">
        <v>1</v>
      </c>
      <c r="Q526" t="b">
        <v>0</v>
      </c>
      <c r="R526" t="b">
        <v>1</v>
      </c>
      <c r="S526" t="b">
        <v>1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1</v>
      </c>
      <c r="AA526" t="b">
        <v>0</v>
      </c>
      <c r="AB526" t="s">
        <v>5150</v>
      </c>
      <c r="AC526" t="s">
        <v>9057</v>
      </c>
    </row>
    <row r="527" spans="1:29" x14ac:dyDescent="0.3">
      <c r="A527">
        <v>-73.966424360000005</v>
      </c>
      <c r="B527">
        <v>40.773951220000001</v>
      </c>
      <c r="C527" t="s">
        <v>855</v>
      </c>
      <c r="D527" t="s">
        <v>33</v>
      </c>
      <c r="E527" s="58">
        <v>43382</v>
      </c>
      <c r="F527">
        <v>28</v>
      </c>
      <c r="G527" t="s">
        <v>48</v>
      </c>
      <c r="H527" t="s">
        <v>42</v>
      </c>
      <c r="I527" t="s">
        <v>53</v>
      </c>
      <c r="J527" t="s">
        <v>79</v>
      </c>
      <c r="K527" t="s">
        <v>5038</v>
      </c>
      <c r="L527" t="s">
        <v>65</v>
      </c>
      <c r="M527" t="b">
        <v>0</v>
      </c>
      <c r="N527" t="s">
        <v>456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1</v>
      </c>
      <c r="AA527" t="b">
        <v>0</v>
      </c>
      <c r="AB527" t="s">
        <v>2643</v>
      </c>
      <c r="AC527" t="s">
        <v>9058</v>
      </c>
    </row>
    <row r="528" spans="1:29" x14ac:dyDescent="0.3">
      <c r="A528">
        <v>-73.968117980000002</v>
      </c>
      <c r="B528">
        <v>40.774940430000001</v>
      </c>
      <c r="C528" t="s">
        <v>534</v>
      </c>
      <c r="D528" t="s">
        <v>38</v>
      </c>
      <c r="E528" s="58">
        <v>43389</v>
      </c>
      <c r="F528">
        <v>1</v>
      </c>
      <c r="G528" t="s">
        <v>48</v>
      </c>
      <c r="H528" t="s">
        <v>42</v>
      </c>
      <c r="I528" t="s">
        <v>53</v>
      </c>
      <c r="J528" t="s">
        <v>89</v>
      </c>
      <c r="K528" t="s">
        <v>1934</v>
      </c>
      <c r="L528" t="s">
        <v>44</v>
      </c>
      <c r="M528">
        <v>25</v>
      </c>
      <c r="N528" t="s">
        <v>1241</v>
      </c>
      <c r="O528" t="b">
        <v>0</v>
      </c>
      <c r="P528" t="b">
        <v>1</v>
      </c>
      <c r="Q528" t="b">
        <v>1</v>
      </c>
      <c r="R528" t="b">
        <v>0</v>
      </c>
      <c r="S528" t="b">
        <v>1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s">
        <v>4055</v>
      </c>
      <c r="AC528" t="s">
        <v>9059</v>
      </c>
    </row>
    <row r="529" spans="1:29" x14ac:dyDescent="0.3">
      <c r="A529">
        <v>-73.972563530000002</v>
      </c>
      <c r="B529">
        <v>40.775729689999999</v>
      </c>
      <c r="C529" t="s">
        <v>4236</v>
      </c>
      <c r="D529" t="s">
        <v>38</v>
      </c>
      <c r="E529" s="58">
        <v>43384</v>
      </c>
      <c r="F529">
        <v>4</v>
      </c>
      <c r="G529" t="s">
        <v>48</v>
      </c>
      <c r="H529" t="s">
        <v>42</v>
      </c>
      <c r="I529" t="s">
        <v>42</v>
      </c>
      <c r="J529" t="s">
        <v>43</v>
      </c>
      <c r="K529" t="s">
        <v>3050</v>
      </c>
      <c r="L529" t="s">
        <v>65</v>
      </c>
      <c r="M529" t="b">
        <v>0</v>
      </c>
      <c r="N529" t="s">
        <v>701</v>
      </c>
      <c r="O529" t="b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1</v>
      </c>
      <c r="AA529" t="b">
        <v>0</v>
      </c>
      <c r="AB529" t="s">
        <v>425</v>
      </c>
      <c r="AC529" t="s">
        <v>9060</v>
      </c>
    </row>
    <row r="530" spans="1:29" x14ac:dyDescent="0.3">
      <c r="A530">
        <v>-73.979386309999995</v>
      </c>
      <c r="B530">
        <v>40.793183480000003</v>
      </c>
      <c r="C530" t="s">
        <v>729</v>
      </c>
      <c r="D530" t="s">
        <v>38</v>
      </c>
      <c r="E530" s="58">
        <v>43388</v>
      </c>
      <c r="F530">
        <v>10</v>
      </c>
      <c r="G530" t="s">
        <v>48</v>
      </c>
      <c r="H530" t="s">
        <v>42</v>
      </c>
      <c r="I530" t="s">
        <v>96</v>
      </c>
      <c r="J530" t="s">
        <v>54</v>
      </c>
      <c r="K530" t="s">
        <v>4463</v>
      </c>
      <c r="L530" t="s">
        <v>65</v>
      </c>
      <c r="M530" t="b">
        <v>0</v>
      </c>
      <c r="N530" t="s">
        <v>2737</v>
      </c>
      <c r="O530" t="b">
        <v>0</v>
      </c>
      <c r="P530" t="b">
        <v>0</v>
      </c>
      <c r="Q530" t="b">
        <v>0</v>
      </c>
      <c r="R530" t="b">
        <v>1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1</v>
      </c>
      <c r="AA530" t="b">
        <v>0</v>
      </c>
      <c r="AB530" t="s">
        <v>5284</v>
      </c>
      <c r="AC530" t="s">
        <v>9061</v>
      </c>
    </row>
    <row r="531" spans="1:29" x14ac:dyDescent="0.3">
      <c r="A531">
        <v>-73.953974459999998</v>
      </c>
      <c r="B531">
        <v>40.783893380000002</v>
      </c>
      <c r="C531" t="s">
        <v>1832</v>
      </c>
      <c r="D531" t="s">
        <v>33</v>
      </c>
      <c r="E531" s="58">
        <v>43382</v>
      </c>
      <c r="F531">
        <v>11</v>
      </c>
      <c r="G531" t="s">
        <v>105</v>
      </c>
      <c r="H531" t="s">
        <v>53</v>
      </c>
      <c r="I531" t="s">
        <v>42</v>
      </c>
      <c r="J531" t="s">
        <v>155</v>
      </c>
      <c r="K531" t="s">
        <v>5180</v>
      </c>
      <c r="L531" t="s">
        <v>65</v>
      </c>
      <c r="M531" t="b">
        <v>0</v>
      </c>
      <c r="N531" t="s">
        <v>2170</v>
      </c>
      <c r="O531" t="b">
        <v>0</v>
      </c>
      <c r="P531" t="b">
        <v>0</v>
      </c>
      <c r="Q531" t="b">
        <v>0</v>
      </c>
      <c r="R531" t="b">
        <v>1</v>
      </c>
      <c r="S531" t="b">
        <v>1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s">
        <v>3374</v>
      </c>
      <c r="AC531" t="s">
        <v>9062</v>
      </c>
    </row>
    <row r="532" spans="1:29" x14ac:dyDescent="0.3">
      <c r="A532">
        <v>-73.95560356</v>
      </c>
      <c r="B532">
        <v>40.77587114</v>
      </c>
      <c r="C532" t="s">
        <v>873</v>
      </c>
      <c r="D532" t="s">
        <v>33</v>
      </c>
      <c r="E532" s="58">
        <v>43379</v>
      </c>
      <c r="F532">
        <v>17</v>
      </c>
      <c r="G532" t="s">
        <v>48</v>
      </c>
      <c r="H532" t="s">
        <v>42</v>
      </c>
      <c r="I532" t="s">
        <v>53</v>
      </c>
      <c r="J532" t="s">
        <v>97</v>
      </c>
      <c r="K532" t="s">
        <v>700</v>
      </c>
      <c r="L532" t="s">
        <v>44</v>
      </c>
      <c r="M532">
        <v>3</v>
      </c>
      <c r="N532" t="s">
        <v>1072</v>
      </c>
      <c r="O532" t="b">
        <v>0</v>
      </c>
      <c r="P532" t="b">
        <v>1</v>
      </c>
      <c r="Q532" t="b">
        <v>0</v>
      </c>
      <c r="R532" t="b">
        <v>0</v>
      </c>
      <c r="S532" t="b">
        <v>0</v>
      </c>
      <c r="T532" t="b">
        <v>1</v>
      </c>
      <c r="U532" t="b">
        <v>0</v>
      </c>
      <c r="V532" t="b">
        <v>0</v>
      </c>
      <c r="W532" t="b">
        <v>0</v>
      </c>
      <c r="X532" t="b">
        <v>0</v>
      </c>
      <c r="Y532" t="b">
        <v>1</v>
      </c>
      <c r="Z532" t="b">
        <v>0</v>
      </c>
      <c r="AA532" t="b">
        <v>1</v>
      </c>
      <c r="AB532" t="s">
        <v>101</v>
      </c>
      <c r="AC532" t="s">
        <v>9063</v>
      </c>
    </row>
    <row r="533" spans="1:29" x14ac:dyDescent="0.3">
      <c r="A533">
        <v>-73.949730639999999</v>
      </c>
      <c r="B533">
        <v>40.786399209999999</v>
      </c>
      <c r="C533" t="s">
        <v>3964</v>
      </c>
      <c r="D533" t="s">
        <v>38</v>
      </c>
      <c r="E533" s="58">
        <v>43385</v>
      </c>
      <c r="F533">
        <v>25</v>
      </c>
      <c r="G533" t="s">
        <v>48</v>
      </c>
      <c r="H533" t="s">
        <v>42</v>
      </c>
      <c r="I533" t="s">
        <v>737</v>
      </c>
      <c r="J533" t="s">
        <v>54</v>
      </c>
      <c r="K533" t="s">
        <v>4237</v>
      </c>
      <c r="L533" t="s">
        <v>65</v>
      </c>
      <c r="M533" t="b">
        <v>0</v>
      </c>
      <c r="N533" t="s">
        <v>190</v>
      </c>
      <c r="O533" t="b">
        <v>0</v>
      </c>
      <c r="P533" t="b">
        <v>0</v>
      </c>
      <c r="Q533" t="b">
        <v>0</v>
      </c>
      <c r="R533" t="b">
        <v>0</v>
      </c>
      <c r="S533" t="b">
        <v>1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1</v>
      </c>
      <c r="Z533" t="b">
        <v>1</v>
      </c>
      <c r="AA533" t="b">
        <v>0</v>
      </c>
      <c r="AB533" t="s">
        <v>6268</v>
      </c>
      <c r="AC533" t="s">
        <v>9064</v>
      </c>
    </row>
    <row r="534" spans="1:29" x14ac:dyDescent="0.3">
      <c r="A534">
        <v>-73.949827490000004</v>
      </c>
      <c r="B534">
        <v>40.79012479</v>
      </c>
      <c r="C534" t="s">
        <v>82</v>
      </c>
      <c r="D534" t="s">
        <v>33</v>
      </c>
      <c r="E534" s="58">
        <v>43392</v>
      </c>
      <c r="F534">
        <v>27</v>
      </c>
      <c r="G534" t="s">
        <v>48</v>
      </c>
      <c r="H534" t="s">
        <v>42</v>
      </c>
      <c r="I534" t="s">
        <v>53</v>
      </c>
      <c r="J534" t="s">
        <v>54</v>
      </c>
      <c r="K534" t="s">
        <v>1816</v>
      </c>
      <c r="L534" t="s">
        <v>65</v>
      </c>
      <c r="M534" t="b">
        <v>0</v>
      </c>
      <c r="N534" t="s">
        <v>190</v>
      </c>
      <c r="O534" t="b">
        <v>0</v>
      </c>
      <c r="P534" t="b">
        <v>0</v>
      </c>
      <c r="Q534" t="b">
        <v>1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s">
        <v>5392</v>
      </c>
      <c r="AC534" t="s">
        <v>9065</v>
      </c>
    </row>
    <row r="535" spans="1:29" x14ac:dyDescent="0.3">
      <c r="A535">
        <v>-73.963697580000002</v>
      </c>
      <c r="B535">
        <v>40.774509170000002</v>
      </c>
      <c r="C535" t="s">
        <v>47</v>
      </c>
      <c r="D535" t="s">
        <v>33</v>
      </c>
      <c r="E535" s="58">
        <v>43380</v>
      </c>
      <c r="F535">
        <v>23</v>
      </c>
      <c r="G535" t="s">
        <v>48</v>
      </c>
      <c r="H535" t="s">
        <v>42</v>
      </c>
      <c r="I535" t="s">
        <v>53</v>
      </c>
      <c r="J535" t="s">
        <v>54</v>
      </c>
      <c r="K535" t="s">
        <v>3152</v>
      </c>
      <c r="L535" t="s">
        <v>65</v>
      </c>
      <c r="M535" t="b">
        <v>0</v>
      </c>
      <c r="N535" t="s">
        <v>190</v>
      </c>
      <c r="O535" t="b">
        <v>0</v>
      </c>
      <c r="P535" t="b">
        <v>0</v>
      </c>
      <c r="Q535" t="b">
        <v>1</v>
      </c>
      <c r="R535" t="b">
        <v>1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1</v>
      </c>
      <c r="AA535" t="b">
        <v>0</v>
      </c>
      <c r="AB535" t="s">
        <v>3820</v>
      </c>
      <c r="AC535" t="s">
        <v>9066</v>
      </c>
    </row>
    <row r="536" spans="1:29" x14ac:dyDescent="0.3">
      <c r="A536">
        <v>-73.956984070000004</v>
      </c>
      <c r="B536">
        <v>40.779470840000002</v>
      </c>
      <c r="C536" t="s">
        <v>844</v>
      </c>
      <c r="D536" t="s">
        <v>33</v>
      </c>
      <c r="E536" s="58">
        <v>43387</v>
      </c>
      <c r="F536">
        <v>7</v>
      </c>
      <c r="G536" t="s">
        <v>48</v>
      </c>
      <c r="H536" t="s">
        <v>53</v>
      </c>
      <c r="I536" t="s">
        <v>1921</v>
      </c>
      <c r="J536" t="s">
        <v>54</v>
      </c>
      <c r="K536" t="s">
        <v>565</v>
      </c>
      <c r="L536" t="s">
        <v>65</v>
      </c>
      <c r="M536" t="b">
        <v>0</v>
      </c>
      <c r="N536" t="s">
        <v>190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1</v>
      </c>
      <c r="AA536" t="b">
        <v>0</v>
      </c>
      <c r="AB536" t="s">
        <v>2131</v>
      </c>
      <c r="AC536" t="s">
        <v>9067</v>
      </c>
    </row>
    <row r="537" spans="1:29" x14ac:dyDescent="0.3">
      <c r="A537">
        <v>-73.951458160000001</v>
      </c>
      <c r="B537">
        <v>40.769202020000002</v>
      </c>
      <c r="C537" t="s">
        <v>154</v>
      </c>
      <c r="D537" t="s">
        <v>33</v>
      </c>
      <c r="E537" s="58">
        <v>43391</v>
      </c>
      <c r="F537">
        <v>12</v>
      </c>
      <c r="G537" t="s">
        <v>48</v>
      </c>
      <c r="H537" t="s">
        <v>42</v>
      </c>
      <c r="I537" t="s">
        <v>53</v>
      </c>
      <c r="J537" t="s">
        <v>79</v>
      </c>
      <c r="K537" t="s">
        <v>5180</v>
      </c>
      <c r="L537" t="s">
        <v>65</v>
      </c>
      <c r="M537" t="b">
        <v>0</v>
      </c>
      <c r="N537" t="s">
        <v>456</v>
      </c>
      <c r="O537" t="b">
        <v>0</v>
      </c>
      <c r="P537" t="b">
        <v>0</v>
      </c>
      <c r="Q537" t="b">
        <v>0</v>
      </c>
      <c r="R537" t="b">
        <v>1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1</v>
      </c>
      <c r="AA537" t="b">
        <v>1</v>
      </c>
      <c r="AB537" t="s">
        <v>6045</v>
      </c>
      <c r="AC537" t="s">
        <v>9068</v>
      </c>
    </row>
    <row r="538" spans="1:29" x14ac:dyDescent="0.3">
      <c r="A538">
        <v>-73.954448369999994</v>
      </c>
      <c r="B538">
        <v>40.771288550000001</v>
      </c>
      <c r="C538" t="s">
        <v>1049</v>
      </c>
      <c r="D538" t="s">
        <v>33</v>
      </c>
      <c r="E538" s="58">
        <v>43381</v>
      </c>
      <c r="F538">
        <v>21</v>
      </c>
      <c r="G538" t="s">
        <v>48</v>
      </c>
      <c r="H538" t="s">
        <v>42</v>
      </c>
      <c r="I538" t="s">
        <v>59</v>
      </c>
      <c r="J538" t="s">
        <v>54</v>
      </c>
      <c r="K538" t="s">
        <v>1381</v>
      </c>
      <c r="L538" t="s">
        <v>65</v>
      </c>
      <c r="M538" t="b">
        <v>0</v>
      </c>
      <c r="N538" t="s">
        <v>424</v>
      </c>
      <c r="O538" t="b">
        <v>1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s">
        <v>3061</v>
      </c>
      <c r="AC538" t="s">
        <v>9069</v>
      </c>
    </row>
    <row r="539" spans="1:29" x14ac:dyDescent="0.3">
      <c r="A539">
        <v>-73.973382740000005</v>
      </c>
      <c r="B539">
        <v>40.788891360000001</v>
      </c>
      <c r="C539" t="s">
        <v>1701</v>
      </c>
      <c r="D539" t="s">
        <v>33</v>
      </c>
      <c r="E539" s="58">
        <v>43386</v>
      </c>
      <c r="F539">
        <v>7</v>
      </c>
      <c r="G539" t="s">
        <v>48</v>
      </c>
      <c r="H539" t="s">
        <v>42</v>
      </c>
      <c r="I539" t="s">
        <v>53</v>
      </c>
      <c r="J539" t="s">
        <v>97</v>
      </c>
      <c r="K539" t="s">
        <v>4785</v>
      </c>
      <c r="L539" t="s">
        <v>65</v>
      </c>
      <c r="M539" t="b">
        <v>0</v>
      </c>
      <c r="N539" t="s">
        <v>222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1</v>
      </c>
      <c r="AA539" t="b">
        <v>1</v>
      </c>
      <c r="AB539" t="s">
        <v>2920</v>
      </c>
      <c r="AC539" t="s">
        <v>9070</v>
      </c>
    </row>
    <row r="540" spans="1:29" x14ac:dyDescent="0.3">
      <c r="A540">
        <v>-73.966994909999997</v>
      </c>
      <c r="B540">
        <v>40.771298719999997</v>
      </c>
      <c r="C540" t="s">
        <v>1310</v>
      </c>
      <c r="D540" t="s">
        <v>38</v>
      </c>
      <c r="E540" s="58">
        <v>43391</v>
      </c>
      <c r="F540">
        <v>12</v>
      </c>
      <c r="G540" t="s">
        <v>48</v>
      </c>
      <c r="H540" t="s">
        <v>42</v>
      </c>
      <c r="I540" t="s">
        <v>59</v>
      </c>
      <c r="J540" t="s">
        <v>60</v>
      </c>
      <c r="K540" t="s">
        <v>1666</v>
      </c>
      <c r="L540" t="s">
        <v>65</v>
      </c>
      <c r="M540" t="b">
        <v>0</v>
      </c>
      <c r="N540" t="s">
        <v>7090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1</v>
      </c>
      <c r="Y540" t="b">
        <v>0</v>
      </c>
      <c r="Z540" t="b">
        <v>0</v>
      </c>
      <c r="AA540" t="b">
        <v>1</v>
      </c>
      <c r="AB540" t="s">
        <v>5913</v>
      </c>
      <c r="AC540" t="s">
        <v>9071</v>
      </c>
    </row>
    <row r="541" spans="1:29" x14ac:dyDescent="0.3">
      <c r="A541">
        <v>-73.977098220000002</v>
      </c>
      <c r="B541">
        <v>40.783400540000002</v>
      </c>
      <c r="C541" t="s">
        <v>1859</v>
      </c>
      <c r="D541" t="s">
        <v>33</v>
      </c>
      <c r="E541" s="58">
        <v>43386</v>
      </c>
      <c r="F541">
        <v>15</v>
      </c>
      <c r="G541" t="s">
        <v>48</v>
      </c>
      <c r="H541" t="s">
        <v>42</v>
      </c>
      <c r="I541" t="s">
        <v>42</v>
      </c>
      <c r="J541" t="s">
        <v>43</v>
      </c>
      <c r="K541" t="s">
        <v>1381</v>
      </c>
      <c r="L541" t="s">
        <v>44</v>
      </c>
      <c r="M541">
        <v>4</v>
      </c>
      <c r="N541" t="s">
        <v>2451</v>
      </c>
      <c r="O541" t="b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1</v>
      </c>
      <c r="AA541" t="b">
        <v>0</v>
      </c>
      <c r="AB541" t="s">
        <v>340</v>
      </c>
      <c r="AC541" t="s">
        <v>9072</v>
      </c>
    </row>
    <row r="542" spans="1:29" x14ac:dyDescent="0.3">
      <c r="A542">
        <v>-73.951166259999994</v>
      </c>
      <c r="B542">
        <v>40.789874660000002</v>
      </c>
      <c r="C542" t="s">
        <v>383</v>
      </c>
      <c r="D542" t="s">
        <v>33</v>
      </c>
      <c r="E542" s="58">
        <v>43381</v>
      </c>
      <c r="F542">
        <v>2</v>
      </c>
      <c r="G542" t="s">
        <v>48</v>
      </c>
      <c r="H542" t="s">
        <v>42</v>
      </c>
      <c r="I542" t="s">
        <v>53</v>
      </c>
      <c r="J542" t="s">
        <v>54</v>
      </c>
      <c r="K542" t="s">
        <v>3471</v>
      </c>
      <c r="L542" t="s">
        <v>65</v>
      </c>
      <c r="M542" t="b">
        <v>0</v>
      </c>
      <c r="N542" t="s">
        <v>456</v>
      </c>
      <c r="O542" t="b">
        <v>1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s">
        <v>5330</v>
      </c>
      <c r="AC542" t="s">
        <v>9073</v>
      </c>
    </row>
    <row r="543" spans="1:29" x14ac:dyDescent="0.3">
      <c r="A543">
        <v>-73.962102380000005</v>
      </c>
      <c r="B543">
        <v>40.768673569999997</v>
      </c>
      <c r="C543" t="s">
        <v>1626</v>
      </c>
      <c r="D543" t="s">
        <v>38</v>
      </c>
      <c r="E543" s="58">
        <v>43382</v>
      </c>
      <c r="F543">
        <v>14</v>
      </c>
      <c r="G543" t="s">
        <v>48</v>
      </c>
      <c r="H543" t="s">
        <v>42</v>
      </c>
      <c r="I543" t="s">
        <v>59</v>
      </c>
      <c r="J543" t="s">
        <v>54</v>
      </c>
      <c r="K543" t="s">
        <v>4785</v>
      </c>
      <c r="L543" t="s">
        <v>65</v>
      </c>
      <c r="M543" t="b">
        <v>0</v>
      </c>
      <c r="N543" t="s">
        <v>864</v>
      </c>
      <c r="O543" t="b">
        <v>0</v>
      </c>
      <c r="P543" t="b">
        <v>0</v>
      </c>
      <c r="Q543" t="b">
        <v>1</v>
      </c>
      <c r="R543" t="b">
        <v>0</v>
      </c>
      <c r="S543" t="b">
        <v>0</v>
      </c>
      <c r="T543" t="b">
        <v>1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1</v>
      </c>
      <c r="AA543" t="b">
        <v>0</v>
      </c>
      <c r="AB543" t="s">
        <v>229</v>
      </c>
      <c r="AC543" t="s">
        <v>9074</v>
      </c>
    </row>
    <row r="544" spans="1:29" x14ac:dyDescent="0.3">
      <c r="A544">
        <v>-73.973970780000002</v>
      </c>
      <c r="B544">
        <v>40.784884509999998</v>
      </c>
      <c r="C544" t="s">
        <v>660</v>
      </c>
      <c r="D544" t="s">
        <v>33</v>
      </c>
      <c r="E544" s="58">
        <v>43380</v>
      </c>
      <c r="F544">
        <v>13</v>
      </c>
      <c r="G544" t="s">
        <v>48</v>
      </c>
      <c r="H544" t="s">
        <v>42</v>
      </c>
      <c r="I544" t="s">
        <v>53</v>
      </c>
      <c r="J544" t="s">
        <v>79</v>
      </c>
      <c r="K544" t="s">
        <v>5429</v>
      </c>
      <c r="L544" t="s">
        <v>65</v>
      </c>
      <c r="M544" t="b">
        <v>0</v>
      </c>
      <c r="N544" t="s">
        <v>5312</v>
      </c>
      <c r="O544" t="b">
        <v>0</v>
      </c>
      <c r="P544" t="b">
        <v>0</v>
      </c>
      <c r="Q544" t="b">
        <v>0</v>
      </c>
      <c r="R544" t="b">
        <v>1</v>
      </c>
      <c r="S544" t="b">
        <v>1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1</v>
      </c>
      <c r="AA544" t="b">
        <v>0</v>
      </c>
      <c r="AB544" t="s">
        <v>3189</v>
      </c>
      <c r="AC544" t="s">
        <v>9075</v>
      </c>
    </row>
    <row r="545" spans="1:29" x14ac:dyDescent="0.3">
      <c r="A545">
        <v>-73.960042450000003</v>
      </c>
      <c r="B545">
        <v>40.773943690000003</v>
      </c>
      <c r="C545" t="s">
        <v>793</v>
      </c>
      <c r="D545" t="s">
        <v>33</v>
      </c>
      <c r="E545" s="58">
        <v>43382</v>
      </c>
      <c r="F545">
        <v>4</v>
      </c>
      <c r="G545" t="s">
        <v>105</v>
      </c>
      <c r="H545" t="s">
        <v>42</v>
      </c>
      <c r="I545" t="s">
        <v>59</v>
      </c>
      <c r="J545" t="s">
        <v>43</v>
      </c>
      <c r="K545" t="s">
        <v>1813</v>
      </c>
      <c r="L545" t="s">
        <v>44</v>
      </c>
      <c r="M545">
        <v>6</v>
      </c>
      <c r="N545" t="s">
        <v>2810</v>
      </c>
      <c r="O545" t="b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  <c r="U545" t="b">
        <v>0</v>
      </c>
      <c r="V545" t="b">
        <v>0</v>
      </c>
      <c r="W545" t="b">
        <v>0</v>
      </c>
      <c r="X545" t="b">
        <v>1</v>
      </c>
      <c r="Y545" t="b">
        <v>0</v>
      </c>
      <c r="Z545" t="b">
        <v>0</v>
      </c>
      <c r="AA545" t="b">
        <v>0</v>
      </c>
      <c r="AB545" t="s">
        <v>4201</v>
      </c>
      <c r="AC545" t="s">
        <v>9076</v>
      </c>
    </row>
    <row r="546" spans="1:29" x14ac:dyDescent="0.3">
      <c r="A546">
        <v>-73.961726600000006</v>
      </c>
      <c r="B546">
        <v>40.798813250000002</v>
      </c>
      <c r="C546" t="s">
        <v>85</v>
      </c>
      <c r="D546" t="s">
        <v>38</v>
      </c>
      <c r="E546" s="58">
        <v>43389</v>
      </c>
      <c r="F546">
        <v>14</v>
      </c>
      <c r="G546" t="s">
        <v>48</v>
      </c>
      <c r="H546" t="s">
        <v>53</v>
      </c>
      <c r="I546" t="s">
        <v>53</v>
      </c>
      <c r="J546" t="s">
        <v>79</v>
      </c>
      <c r="K546" t="s">
        <v>5957</v>
      </c>
      <c r="L546" t="s">
        <v>44</v>
      </c>
      <c r="M546">
        <v>20</v>
      </c>
      <c r="N546" t="s">
        <v>2101</v>
      </c>
      <c r="O546" t="b">
        <v>0</v>
      </c>
      <c r="P546" t="b">
        <v>0</v>
      </c>
      <c r="Q546" t="b">
        <v>0</v>
      </c>
      <c r="R546" t="b">
        <v>1</v>
      </c>
      <c r="S546" t="b">
        <v>1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s">
        <v>3663</v>
      </c>
      <c r="AC546" t="s">
        <v>9077</v>
      </c>
    </row>
    <row r="547" spans="1:29" x14ac:dyDescent="0.3">
      <c r="A547">
        <v>-73.969899089999998</v>
      </c>
      <c r="B547">
        <v>40.781935269999998</v>
      </c>
      <c r="C547" t="s">
        <v>2085</v>
      </c>
      <c r="D547" t="s">
        <v>33</v>
      </c>
      <c r="E547" s="58">
        <v>43389</v>
      </c>
      <c r="F547">
        <v>14</v>
      </c>
      <c r="G547" t="s">
        <v>48</v>
      </c>
      <c r="H547" t="s">
        <v>42</v>
      </c>
      <c r="I547" t="s">
        <v>53</v>
      </c>
      <c r="J547" t="s">
        <v>60</v>
      </c>
      <c r="K547" t="s">
        <v>4463</v>
      </c>
      <c r="L547" t="s">
        <v>44</v>
      </c>
      <c r="M547">
        <v>30</v>
      </c>
      <c r="N547" t="s">
        <v>1192</v>
      </c>
      <c r="O547" t="b">
        <v>0</v>
      </c>
      <c r="P547" t="b">
        <v>1</v>
      </c>
      <c r="Q547" t="b">
        <v>0</v>
      </c>
      <c r="R547" t="b">
        <v>0</v>
      </c>
      <c r="S547" t="b">
        <v>1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1</v>
      </c>
      <c r="AA547" t="b">
        <v>0</v>
      </c>
      <c r="AB547" t="s">
        <v>1660</v>
      </c>
      <c r="AC547" t="s">
        <v>9078</v>
      </c>
    </row>
    <row r="548" spans="1:29" x14ac:dyDescent="0.3">
      <c r="A548">
        <v>-73.977588690000005</v>
      </c>
      <c r="B548">
        <v>40.793287929999998</v>
      </c>
      <c r="C548" t="s">
        <v>1211</v>
      </c>
      <c r="D548" t="s">
        <v>33</v>
      </c>
      <c r="E548" s="58">
        <v>43389</v>
      </c>
      <c r="F548">
        <v>16</v>
      </c>
      <c r="G548" t="s">
        <v>48</v>
      </c>
      <c r="H548" t="s">
        <v>53</v>
      </c>
      <c r="I548" t="s">
        <v>53</v>
      </c>
      <c r="J548" t="s">
        <v>54</v>
      </c>
      <c r="K548" t="s">
        <v>4110</v>
      </c>
      <c r="L548" t="s">
        <v>65</v>
      </c>
      <c r="M548" t="b">
        <v>0</v>
      </c>
      <c r="N548" t="s">
        <v>3239</v>
      </c>
      <c r="O548" t="b">
        <v>1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s">
        <v>340</v>
      </c>
      <c r="AC548" t="s">
        <v>9079</v>
      </c>
    </row>
    <row r="549" spans="1:29" x14ac:dyDescent="0.3">
      <c r="A549">
        <v>-73.960046460000001</v>
      </c>
      <c r="B549">
        <v>40.784282959999999</v>
      </c>
      <c r="C549" t="s">
        <v>74</v>
      </c>
      <c r="D549" t="s">
        <v>33</v>
      </c>
      <c r="E549" s="58">
        <v>43392</v>
      </c>
      <c r="F549">
        <v>7</v>
      </c>
      <c r="G549" t="s">
        <v>48</v>
      </c>
      <c r="H549" t="s">
        <v>42</v>
      </c>
      <c r="I549" t="s">
        <v>53</v>
      </c>
      <c r="J549" t="s">
        <v>155</v>
      </c>
      <c r="K549" t="s">
        <v>565</v>
      </c>
      <c r="L549" t="s">
        <v>44</v>
      </c>
      <c r="M549">
        <v>3</v>
      </c>
      <c r="N549" t="s">
        <v>3479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1</v>
      </c>
      <c r="AB549" t="s">
        <v>6801</v>
      </c>
      <c r="AC549" t="s">
        <v>9080</v>
      </c>
    </row>
    <row r="550" spans="1:29" x14ac:dyDescent="0.3">
      <c r="A550">
        <v>-73.96480176</v>
      </c>
      <c r="B550">
        <v>40.766439130000002</v>
      </c>
      <c r="C550" t="s">
        <v>74</v>
      </c>
      <c r="D550" t="s">
        <v>33</v>
      </c>
      <c r="E550" s="58">
        <v>43387</v>
      </c>
      <c r="F550">
        <v>19</v>
      </c>
      <c r="G550" t="s">
        <v>48</v>
      </c>
      <c r="H550" t="s">
        <v>42</v>
      </c>
      <c r="I550" t="s">
        <v>42</v>
      </c>
      <c r="J550" t="s">
        <v>1233</v>
      </c>
      <c r="K550" t="s">
        <v>6582</v>
      </c>
      <c r="L550" t="s">
        <v>65</v>
      </c>
      <c r="M550" t="b">
        <v>0</v>
      </c>
      <c r="N550" t="s">
        <v>2724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1</v>
      </c>
      <c r="AA550" t="b">
        <v>0</v>
      </c>
      <c r="AB550" t="s">
        <v>340</v>
      </c>
      <c r="AC550" t="s">
        <v>9081</v>
      </c>
    </row>
    <row r="551" spans="1:29" x14ac:dyDescent="0.3">
      <c r="A551">
        <v>-73.956879349999994</v>
      </c>
      <c r="B551">
        <v>40.787202569999998</v>
      </c>
      <c r="C551" t="s">
        <v>502</v>
      </c>
      <c r="D551" t="s">
        <v>38</v>
      </c>
      <c r="E551" s="58">
        <v>43380</v>
      </c>
      <c r="F551">
        <v>2</v>
      </c>
      <c r="G551" t="s">
        <v>48</v>
      </c>
      <c r="H551" t="s">
        <v>42</v>
      </c>
      <c r="I551" t="s">
        <v>59</v>
      </c>
      <c r="J551" t="s">
        <v>43</v>
      </c>
      <c r="K551" t="s">
        <v>1896</v>
      </c>
      <c r="L551" t="s">
        <v>65</v>
      </c>
      <c r="M551" t="b">
        <v>0</v>
      </c>
      <c r="N551" t="s">
        <v>5529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s">
        <v>5277</v>
      </c>
      <c r="AC551" t="s">
        <v>9082</v>
      </c>
    </row>
    <row r="552" spans="1:29" x14ac:dyDescent="0.3">
      <c r="A552">
        <v>-73.964806300000006</v>
      </c>
      <c r="B552">
        <v>40.798407529999999</v>
      </c>
      <c r="C552" t="s">
        <v>1906</v>
      </c>
      <c r="D552" t="s">
        <v>38</v>
      </c>
      <c r="E552" s="58">
        <v>43390</v>
      </c>
      <c r="F552">
        <v>10</v>
      </c>
      <c r="G552" t="s">
        <v>48</v>
      </c>
      <c r="H552" t="s">
        <v>42</v>
      </c>
      <c r="I552" t="s">
        <v>53</v>
      </c>
      <c r="J552" t="s">
        <v>43</v>
      </c>
      <c r="K552" t="s">
        <v>7307</v>
      </c>
      <c r="L552" t="s">
        <v>65</v>
      </c>
      <c r="M552" t="b">
        <v>0</v>
      </c>
      <c r="N552" t="s">
        <v>5529</v>
      </c>
      <c r="O552" t="b">
        <v>1</v>
      </c>
      <c r="P552" t="b">
        <v>0</v>
      </c>
      <c r="Q552" t="b">
        <v>0</v>
      </c>
      <c r="R552" t="b">
        <v>1</v>
      </c>
      <c r="S552" t="b">
        <v>1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s">
        <v>685</v>
      </c>
      <c r="AC552" t="s">
        <v>9083</v>
      </c>
    </row>
    <row r="553" spans="1:29" x14ac:dyDescent="0.3">
      <c r="A553">
        <v>-73.954368709999997</v>
      </c>
      <c r="B553">
        <v>40.78609213</v>
      </c>
      <c r="C553" t="s">
        <v>600</v>
      </c>
      <c r="D553" t="s">
        <v>33</v>
      </c>
      <c r="E553" s="58">
        <v>43390</v>
      </c>
      <c r="F553">
        <v>18</v>
      </c>
      <c r="G553" t="s">
        <v>48</v>
      </c>
      <c r="H553" t="s">
        <v>42</v>
      </c>
      <c r="I553" t="s">
        <v>59</v>
      </c>
      <c r="J553" t="s">
        <v>34</v>
      </c>
      <c r="K553" t="s">
        <v>5976</v>
      </c>
      <c r="L553" t="s">
        <v>65</v>
      </c>
      <c r="M553" t="b">
        <v>0</v>
      </c>
      <c r="N553" t="s">
        <v>1421</v>
      </c>
      <c r="O553" t="b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1</v>
      </c>
      <c r="AA553" t="b">
        <v>0</v>
      </c>
      <c r="AB553" t="s">
        <v>5863</v>
      </c>
      <c r="AC553" t="s">
        <v>9084</v>
      </c>
    </row>
    <row r="554" spans="1:29" x14ac:dyDescent="0.3">
      <c r="A554">
        <v>-73.963808389999997</v>
      </c>
      <c r="B554">
        <v>40.793752550000001</v>
      </c>
      <c r="C554" t="s">
        <v>1133</v>
      </c>
      <c r="D554" t="s">
        <v>38</v>
      </c>
      <c r="E554" s="58">
        <v>43391</v>
      </c>
      <c r="F554">
        <v>29</v>
      </c>
      <c r="G554" t="s">
        <v>48</v>
      </c>
      <c r="H554" t="s">
        <v>42</v>
      </c>
      <c r="I554" t="s">
        <v>53</v>
      </c>
      <c r="J554" t="s">
        <v>34</v>
      </c>
      <c r="K554" t="s">
        <v>4020</v>
      </c>
      <c r="L554" t="s">
        <v>44</v>
      </c>
      <c r="M554">
        <v>30</v>
      </c>
      <c r="N554" t="s">
        <v>2737</v>
      </c>
      <c r="O554" t="b">
        <v>0</v>
      </c>
      <c r="P554" t="b">
        <v>0</v>
      </c>
      <c r="Q554" t="b">
        <v>1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1</v>
      </c>
      <c r="AA554" t="b">
        <v>0</v>
      </c>
      <c r="AB554" t="s">
        <v>5241</v>
      </c>
      <c r="AC554" t="s">
        <v>9085</v>
      </c>
    </row>
    <row r="555" spans="1:29" x14ac:dyDescent="0.3">
      <c r="A555">
        <v>-73.963524480000004</v>
      </c>
      <c r="B555">
        <v>40.796041680000002</v>
      </c>
      <c r="C555" t="s">
        <v>2244</v>
      </c>
      <c r="D555" t="s">
        <v>33</v>
      </c>
      <c r="E555" s="58">
        <v>43381</v>
      </c>
      <c r="F555">
        <v>17</v>
      </c>
      <c r="G555" t="s">
        <v>48</v>
      </c>
      <c r="H555" t="s">
        <v>42</v>
      </c>
      <c r="I555" t="s">
        <v>96</v>
      </c>
      <c r="J555" t="s">
        <v>43</v>
      </c>
      <c r="K555" t="s">
        <v>6800</v>
      </c>
      <c r="L555" t="s">
        <v>44</v>
      </c>
      <c r="M555">
        <v>5</v>
      </c>
      <c r="N555" t="s">
        <v>2332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1</v>
      </c>
      <c r="AB555" t="s">
        <v>2131</v>
      </c>
      <c r="AC555" t="s">
        <v>9086</v>
      </c>
    </row>
    <row r="556" spans="1:29" x14ac:dyDescent="0.3">
      <c r="A556">
        <v>-73.953599389999994</v>
      </c>
      <c r="B556">
        <v>40.772940869999999</v>
      </c>
      <c r="C556" t="s">
        <v>1211</v>
      </c>
      <c r="D556" t="s">
        <v>33</v>
      </c>
      <c r="E556" s="58">
        <v>43393</v>
      </c>
      <c r="F556">
        <v>5</v>
      </c>
      <c r="G556" t="s">
        <v>48</v>
      </c>
      <c r="H556" t="s">
        <v>42</v>
      </c>
      <c r="I556" t="s">
        <v>176</v>
      </c>
      <c r="J556" t="s">
        <v>43</v>
      </c>
      <c r="K556" t="s">
        <v>4243</v>
      </c>
      <c r="L556" t="s">
        <v>65</v>
      </c>
      <c r="M556" t="b">
        <v>0</v>
      </c>
      <c r="N556" t="s">
        <v>4688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1</v>
      </c>
      <c r="AA556" t="b">
        <v>0</v>
      </c>
      <c r="AB556" t="s">
        <v>5800</v>
      </c>
      <c r="AC556" t="s">
        <v>9087</v>
      </c>
    </row>
    <row r="557" spans="1:29" x14ac:dyDescent="0.3">
      <c r="A557">
        <v>-73.968474369999996</v>
      </c>
      <c r="B557">
        <v>40.772376309999999</v>
      </c>
      <c r="C557" t="s">
        <v>3392</v>
      </c>
      <c r="D557" t="s">
        <v>38</v>
      </c>
      <c r="E557" s="58">
        <v>43389</v>
      </c>
      <c r="F557">
        <v>12</v>
      </c>
      <c r="G557" t="s">
        <v>48</v>
      </c>
      <c r="H557" t="s">
        <v>42</v>
      </c>
      <c r="I557" t="s">
        <v>59</v>
      </c>
      <c r="J557" t="s">
        <v>43</v>
      </c>
      <c r="K557" t="s">
        <v>4308</v>
      </c>
      <c r="L557" t="s">
        <v>65</v>
      </c>
      <c r="M557" t="b">
        <v>0</v>
      </c>
      <c r="N557" t="s">
        <v>190</v>
      </c>
      <c r="O557" t="b">
        <v>1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b">
        <v>0</v>
      </c>
      <c r="V557" t="b">
        <v>0</v>
      </c>
      <c r="W557" t="b">
        <v>0</v>
      </c>
      <c r="X557" t="b">
        <v>1</v>
      </c>
      <c r="Y557" t="b">
        <v>0</v>
      </c>
      <c r="Z557" t="b">
        <v>1</v>
      </c>
      <c r="AA557" t="b">
        <v>1</v>
      </c>
      <c r="AB557" t="s">
        <v>991</v>
      </c>
      <c r="AC557" t="s">
        <v>9088</v>
      </c>
    </row>
    <row r="558" spans="1:29" x14ac:dyDescent="0.3">
      <c r="A558">
        <v>-73.976945569999998</v>
      </c>
      <c r="B558">
        <v>40.786422000000002</v>
      </c>
      <c r="C558" t="s">
        <v>574</v>
      </c>
      <c r="D558" t="s">
        <v>33</v>
      </c>
      <c r="E558" s="58">
        <v>43389</v>
      </c>
      <c r="F558">
        <v>6</v>
      </c>
      <c r="G558" t="s">
        <v>48</v>
      </c>
      <c r="H558" t="s">
        <v>42</v>
      </c>
      <c r="I558" t="s">
        <v>42</v>
      </c>
      <c r="J558" t="s">
        <v>738</v>
      </c>
      <c r="K558" t="s">
        <v>981</v>
      </c>
      <c r="L558" t="s">
        <v>65</v>
      </c>
      <c r="M558" t="b">
        <v>0</v>
      </c>
      <c r="N558" t="s">
        <v>7250</v>
      </c>
      <c r="O558" t="b">
        <v>0</v>
      </c>
      <c r="P558" t="b">
        <v>0</v>
      </c>
      <c r="Q558" t="b">
        <v>0</v>
      </c>
      <c r="R558" t="b">
        <v>1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1</v>
      </c>
      <c r="AA558" t="b">
        <v>0</v>
      </c>
      <c r="AB558" t="s">
        <v>4139</v>
      </c>
      <c r="AC558" t="s">
        <v>9089</v>
      </c>
    </row>
    <row r="559" spans="1:29" x14ac:dyDescent="0.3">
      <c r="A559">
        <v>-73.980253750000003</v>
      </c>
      <c r="B559">
        <v>40.779382099999999</v>
      </c>
      <c r="C559" t="s">
        <v>124</v>
      </c>
      <c r="D559" t="s">
        <v>33</v>
      </c>
      <c r="E559" s="58">
        <v>43393</v>
      </c>
      <c r="F559">
        <v>22</v>
      </c>
      <c r="G559" t="s">
        <v>105</v>
      </c>
      <c r="H559" t="s">
        <v>42</v>
      </c>
      <c r="I559" t="s">
        <v>59</v>
      </c>
      <c r="J559" t="s">
        <v>43</v>
      </c>
      <c r="K559" t="s">
        <v>2637</v>
      </c>
      <c r="L559" t="s">
        <v>65</v>
      </c>
      <c r="M559" t="b">
        <v>0</v>
      </c>
      <c r="N559" t="s">
        <v>2865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s">
        <v>3258</v>
      </c>
      <c r="AC559" t="s">
        <v>9090</v>
      </c>
    </row>
    <row r="560" spans="1:29" x14ac:dyDescent="0.3">
      <c r="A560">
        <v>-73.957419470000005</v>
      </c>
      <c r="B560">
        <v>40.794480380000003</v>
      </c>
      <c r="C560" t="s">
        <v>1211</v>
      </c>
      <c r="D560" t="s">
        <v>33</v>
      </c>
      <c r="E560" s="58">
        <v>43382</v>
      </c>
      <c r="F560">
        <v>9</v>
      </c>
      <c r="G560" t="s">
        <v>48</v>
      </c>
      <c r="H560" t="s">
        <v>42</v>
      </c>
      <c r="I560" t="s">
        <v>53</v>
      </c>
      <c r="J560" t="s">
        <v>54</v>
      </c>
      <c r="K560" t="s">
        <v>4791</v>
      </c>
      <c r="L560" t="s">
        <v>65</v>
      </c>
      <c r="M560" t="b">
        <v>0</v>
      </c>
      <c r="N560" t="s">
        <v>4712</v>
      </c>
      <c r="O560" t="b">
        <v>0</v>
      </c>
      <c r="P560" t="b">
        <v>0</v>
      </c>
      <c r="Q560" t="b">
        <v>1</v>
      </c>
      <c r="R560" t="b">
        <v>1</v>
      </c>
      <c r="S560" t="b">
        <v>1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1</v>
      </c>
      <c r="AA560" t="b">
        <v>0</v>
      </c>
      <c r="AB560" t="s">
        <v>3564</v>
      </c>
      <c r="AC560" t="s">
        <v>9091</v>
      </c>
    </row>
    <row r="561" spans="1:29" x14ac:dyDescent="0.3">
      <c r="A561">
        <v>-73.961658029999995</v>
      </c>
      <c r="B561">
        <v>40.796598549999999</v>
      </c>
      <c r="C561" t="s">
        <v>278</v>
      </c>
      <c r="D561" t="s">
        <v>33</v>
      </c>
      <c r="E561" s="58">
        <v>43383</v>
      </c>
      <c r="F561">
        <v>20</v>
      </c>
      <c r="G561" t="s">
        <v>48</v>
      </c>
      <c r="H561" t="s">
        <v>42</v>
      </c>
      <c r="I561" t="s">
        <v>59</v>
      </c>
      <c r="J561" t="s">
        <v>60</v>
      </c>
      <c r="K561" t="s">
        <v>4463</v>
      </c>
      <c r="L561" t="s">
        <v>44</v>
      </c>
      <c r="M561">
        <v>2</v>
      </c>
      <c r="N561" t="s">
        <v>5548</v>
      </c>
      <c r="O561" t="b">
        <v>0</v>
      </c>
      <c r="P561" t="b">
        <v>0</v>
      </c>
      <c r="Q561" t="b">
        <v>0</v>
      </c>
      <c r="R561" t="b">
        <v>1</v>
      </c>
      <c r="S561" t="b">
        <v>1</v>
      </c>
      <c r="T561" t="b">
        <v>1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s">
        <v>3820</v>
      </c>
      <c r="AC561" t="s">
        <v>9092</v>
      </c>
    </row>
    <row r="562" spans="1:29" x14ac:dyDescent="0.3">
      <c r="A562">
        <v>-73.959024560000003</v>
      </c>
      <c r="B562">
        <v>40.777353869999999</v>
      </c>
      <c r="C562" t="s">
        <v>677</v>
      </c>
      <c r="D562" t="s">
        <v>33</v>
      </c>
      <c r="E562" s="58">
        <v>43379</v>
      </c>
      <c r="F562">
        <v>1</v>
      </c>
      <c r="G562" t="s">
        <v>48</v>
      </c>
      <c r="H562" t="s">
        <v>42</v>
      </c>
      <c r="I562" t="s">
        <v>59</v>
      </c>
      <c r="J562" t="s">
        <v>43</v>
      </c>
      <c r="K562" t="s">
        <v>4791</v>
      </c>
      <c r="L562" t="s">
        <v>44</v>
      </c>
      <c r="M562">
        <v>5</v>
      </c>
      <c r="N562" t="s">
        <v>222</v>
      </c>
      <c r="O562" t="b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  <c r="U562" t="b">
        <v>0</v>
      </c>
      <c r="V562" t="b">
        <v>0</v>
      </c>
      <c r="W562" t="b">
        <v>0</v>
      </c>
      <c r="X562" t="b">
        <v>1</v>
      </c>
      <c r="Y562" t="b">
        <v>0</v>
      </c>
      <c r="Z562" t="b">
        <v>1</v>
      </c>
      <c r="AA562" t="b">
        <v>0</v>
      </c>
      <c r="AB562" t="s">
        <v>4073</v>
      </c>
      <c r="AC562" t="s">
        <v>9093</v>
      </c>
    </row>
    <row r="563" spans="1:29" x14ac:dyDescent="0.3">
      <c r="A563">
        <v>-73.974463670000006</v>
      </c>
      <c r="B563">
        <v>40.77325037</v>
      </c>
      <c r="C563" t="s">
        <v>2803</v>
      </c>
      <c r="D563" t="s">
        <v>38</v>
      </c>
      <c r="E563" s="58">
        <v>43385</v>
      </c>
      <c r="F563">
        <v>22</v>
      </c>
      <c r="G563" t="s">
        <v>48</v>
      </c>
      <c r="H563" t="s">
        <v>42</v>
      </c>
      <c r="I563" t="s">
        <v>59</v>
      </c>
      <c r="J563" t="s">
        <v>79</v>
      </c>
      <c r="K563" t="s">
        <v>3028</v>
      </c>
      <c r="L563" t="s">
        <v>65</v>
      </c>
      <c r="M563" t="b">
        <v>0</v>
      </c>
      <c r="N563" t="s">
        <v>4895</v>
      </c>
      <c r="O563" t="b">
        <v>0</v>
      </c>
      <c r="P563" t="b">
        <v>0</v>
      </c>
      <c r="Q563" t="b">
        <v>1</v>
      </c>
      <c r="R563" t="b">
        <v>0</v>
      </c>
      <c r="S563" t="b">
        <v>1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1</v>
      </c>
      <c r="Z563" t="b">
        <v>1</v>
      </c>
      <c r="AA563" t="b">
        <v>0</v>
      </c>
      <c r="AB563" t="s">
        <v>1216</v>
      </c>
      <c r="AC563" t="s">
        <v>9094</v>
      </c>
    </row>
    <row r="564" spans="1:29" x14ac:dyDescent="0.3">
      <c r="A564">
        <v>-73.976871500000001</v>
      </c>
      <c r="B564">
        <v>40.792391289999998</v>
      </c>
      <c r="C564" t="s">
        <v>415</v>
      </c>
      <c r="D564" t="s">
        <v>33</v>
      </c>
      <c r="E564" s="58">
        <v>43392</v>
      </c>
      <c r="F564">
        <v>15</v>
      </c>
      <c r="G564" t="s">
        <v>48</v>
      </c>
      <c r="H564" t="s">
        <v>42</v>
      </c>
      <c r="I564" t="s">
        <v>42</v>
      </c>
      <c r="J564" t="s">
        <v>43</v>
      </c>
      <c r="K564" t="s">
        <v>3208</v>
      </c>
      <c r="L564" t="s">
        <v>44</v>
      </c>
      <c r="M564">
        <v>8</v>
      </c>
      <c r="N564" t="s">
        <v>456</v>
      </c>
      <c r="O564" t="b">
        <v>0</v>
      </c>
      <c r="P564" t="b">
        <v>0</v>
      </c>
      <c r="Q564" t="b">
        <v>0</v>
      </c>
      <c r="R564" t="b">
        <v>1</v>
      </c>
      <c r="S564" t="b">
        <v>1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s">
        <v>2131</v>
      </c>
      <c r="AC564" t="s">
        <v>9095</v>
      </c>
    </row>
    <row r="565" spans="1:29" x14ac:dyDescent="0.3">
      <c r="A565">
        <v>-73.980701339999996</v>
      </c>
      <c r="B565">
        <v>40.774585999999999</v>
      </c>
      <c r="C565" t="s">
        <v>1211</v>
      </c>
      <c r="D565" t="s">
        <v>33</v>
      </c>
      <c r="E565" s="58">
        <v>43388</v>
      </c>
      <c r="F565">
        <v>21</v>
      </c>
      <c r="G565" t="s">
        <v>48</v>
      </c>
      <c r="H565" t="s">
        <v>42</v>
      </c>
      <c r="I565" t="s">
        <v>59</v>
      </c>
      <c r="J565" t="s">
        <v>60</v>
      </c>
      <c r="K565" t="s">
        <v>6166</v>
      </c>
      <c r="L565" t="s">
        <v>65</v>
      </c>
      <c r="M565" t="b">
        <v>0</v>
      </c>
      <c r="N565" t="s">
        <v>1730</v>
      </c>
      <c r="O565" t="b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s">
        <v>5023</v>
      </c>
      <c r="AC565" t="s">
        <v>9096</v>
      </c>
    </row>
    <row r="566" spans="1:29" x14ac:dyDescent="0.3">
      <c r="A566">
        <v>-73.970137230000006</v>
      </c>
      <c r="B566">
        <v>40.793873150000003</v>
      </c>
      <c r="C566" t="s">
        <v>58</v>
      </c>
      <c r="D566" t="s">
        <v>33</v>
      </c>
      <c r="E566" s="58">
        <v>43385</v>
      </c>
      <c r="F566">
        <v>26</v>
      </c>
      <c r="G566" t="s">
        <v>48</v>
      </c>
      <c r="H566" t="s">
        <v>42</v>
      </c>
      <c r="I566" t="s">
        <v>42</v>
      </c>
      <c r="J566" t="s">
        <v>43</v>
      </c>
      <c r="K566" t="s">
        <v>1381</v>
      </c>
      <c r="L566" t="s">
        <v>65</v>
      </c>
      <c r="M566" t="b">
        <v>0</v>
      </c>
      <c r="N566" t="s">
        <v>2865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1</v>
      </c>
      <c r="Z566" t="b">
        <v>1</v>
      </c>
      <c r="AA566" t="b">
        <v>0</v>
      </c>
      <c r="AB566" t="s">
        <v>4979</v>
      </c>
      <c r="AC566" t="s">
        <v>9097</v>
      </c>
    </row>
    <row r="567" spans="1:29" x14ac:dyDescent="0.3">
      <c r="A567">
        <v>-73.962613450000006</v>
      </c>
      <c r="B567">
        <v>40.779829579999998</v>
      </c>
      <c r="C567" t="s">
        <v>82</v>
      </c>
      <c r="D567" t="s">
        <v>38</v>
      </c>
      <c r="E567" s="58">
        <v>43387</v>
      </c>
      <c r="F567">
        <v>6</v>
      </c>
      <c r="G567" t="s">
        <v>48</v>
      </c>
      <c r="H567" t="s">
        <v>42</v>
      </c>
      <c r="I567" t="s">
        <v>96</v>
      </c>
      <c r="J567" t="s">
        <v>79</v>
      </c>
      <c r="K567" t="s">
        <v>4791</v>
      </c>
      <c r="L567" t="s">
        <v>65</v>
      </c>
      <c r="M567" t="b">
        <v>0</v>
      </c>
      <c r="N567" t="s">
        <v>848</v>
      </c>
      <c r="O567" t="b">
        <v>1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1</v>
      </c>
      <c r="AA567" t="b">
        <v>0</v>
      </c>
      <c r="AB567" t="s">
        <v>991</v>
      </c>
      <c r="AC567" t="s">
        <v>9098</v>
      </c>
    </row>
    <row r="568" spans="1:29" x14ac:dyDescent="0.3">
      <c r="A568">
        <v>-73.968827680000004</v>
      </c>
      <c r="B568">
        <v>40.788413660000003</v>
      </c>
      <c r="C568" t="s">
        <v>215</v>
      </c>
      <c r="D568" t="s">
        <v>38</v>
      </c>
      <c r="E568" s="58">
        <v>43382</v>
      </c>
      <c r="F568">
        <v>19</v>
      </c>
      <c r="G568" t="s">
        <v>48</v>
      </c>
      <c r="H568" t="s">
        <v>42</v>
      </c>
      <c r="I568" t="s">
        <v>59</v>
      </c>
      <c r="J568" t="s">
        <v>79</v>
      </c>
      <c r="K568" t="s">
        <v>49</v>
      </c>
      <c r="L568" t="s">
        <v>65</v>
      </c>
      <c r="M568" t="b">
        <v>0</v>
      </c>
      <c r="N568" t="s">
        <v>874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1</v>
      </c>
      <c r="X568" t="b">
        <v>0</v>
      </c>
      <c r="Y568" t="b">
        <v>0</v>
      </c>
      <c r="Z568" t="b">
        <v>1</v>
      </c>
      <c r="AA568" t="b">
        <v>0</v>
      </c>
      <c r="AB568" t="s">
        <v>1455</v>
      </c>
      <c r="AC568" t="s">
        <v>9099</v>
      </c>
    </row>
    <row r="569" spans="1:29" x14ac:dyDescent="0.3">
      <c r="A569">
        <v>-73.967405760000005</v>
      </c>
      <c r="B569">
        <v>40.768274259999998</v>
      </c>
      <c r="C569" t="s">
        <v>855</v>
      </c>
      <c r="D569" t="s">
        <v>38</v>
      </c>
      <c r="E569" s="58">
        <v>43392</v>
      </c>
      <c r="F569">
        <v>18</v>
      </c>
      <c r="G569" t="s">
        <v>48</v>
      </c>
      <c r="H569" t="s">
        <v>42</v>
      </c>
      <c r="I569" t="s">
        <v>59</v>
      </c>
      <c r="J569" t="s">
        <v>43</v>
      </c>
      <c r="K569" t="s">
        <v>4069</v>
      </c>
      <c r="L569" t="s">
        <v>44</v>
      </c>
      <c r="M569">
        <v>40</v>
      </c>
      <c r="N569" t="s">
        <v>7250</v>
      </c>
      <c r="O569" t="b">
        <v>1</v>
      </c>
      <c r="P569" t="b">
        <v>0</v>
      </c>
      <c r="Q569" t="b">
        <v>1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s">
        <v>3672</v>
      </c>
      <c r="AC569" t="s">
        <v>9100</v>
      </c>
    </row>
    <row r="570" spans="1:29" x14ac:dyDescent="0.3">
      <c r="A570">
        <v>-73.952734710000001</v>
      </c>
      <c r="B570">
        <v>40.78687541</v>
      </c>
      <c r="C570" t="s">
        <v>963</v>
      </c>
      <c r="D570" t="s">
        <v>38</v>
      </c>
      <c r="E570" s="58">
        <v>43392</v>
      </c>
      <c r="F570">
        <v>6</v>
      </c>
      <c r="G570" t="s">
        <v>48</v>
      </c>
      <c r="H570" t="s">
        <v>42</v>
      </c>
      <c r="I570" t="s">
        <v>53</v>
      </c>
      <c r="J570" t="s">
        <v>43</v>
      </c>
      <c r="K570" t="s">
        <v>1896</v>
      </c>
      <c r="L570" t="s">
        <v>65</v>
      </c>
      <c r="M570" t="b">
        <v>0</v>
      </c>
      <c r="N570" t="s">
        <v>7253</v>
      </c>
      <c r="O570" t="b">
        <v>0</v>
      </c>
      <c r="P570" t="b">
        <v>0</v>
      </c>
      <c r="Q570" t="b">
        <v>1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1</v>
      </c>
      <c r="AA570" t="b">
        <v>0</v>
      </c>
      <c r="AB570" t="s">
        <v>1182</v>
      </c>
      <c r="AC570" t="s">
        <v>9101</v>
      </c>
    </row>
    <row r="571" spans="1:29" x14ac:dyDescent="0.3">
      <c r="A571">
        <v>-73.970210539999997</v>
      </c>
      <c r="B571">
        <v>40.780816440000002</v>
      </c>
      <c r="C571" t="s">
        <v>331</v>
      </c>
      <c r="D571" t="s">
        <v>38</v>
      </c>
      <c r="E571" s="58">
        <v>43384</v>
      </c>
      <c r="F571">
        <v>13</v>
      </c>
      <c r="G571" t="s">
        <v>48</v>
      </c>
      <c r="H571" t="s">
        <v>42</v>
      </c>
      <c r="I571" t="s">
        <v>148</v>
      </c>
      <c r="J571" t="s">
        <v>54</v>
      </c>
      <c r="K571" t="s">
        <v>3843</v>
      </c>
      <c r="L571" t="s">
        <v>65</v>
      </c>
      <c r="M571" t="b">
        <v>0</v>
      </c>
      <c r="N571" t="s">
        <v>456</v>
      </c>
      <c r="O571" t="b">
        <v>0</v>
      </c>
      <c r="P571" t="b">
        <v>0</v>
      </c>
      <c r="Q571" t="b">
        <v>0</v>
      </c>
      <c r="R571" t="b">
        <v>1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1</v>
      </c>
      <c r="Y571" t="b">
        <v>0</v>
      </c>
      <c r="Z571" t="b">
        <v>0</v>
      </c>
      <c r="AA571" t="b">
        <v>0</v>
      </c>
      <c r="AB571" t="s">
        <v>272</v>
      </c>
      <c r="AC571" t="s">
        <v>9102</v>
      </c>
    </row>
    <row r="572" spans="1:29" x14ac:dyDescent="0.3">
      <c r="A572">
        <v>-73.96500039</v>
      </c>
      <c r="B572">
        <v>40.785563889999999</v>
      </c>
      <c r="C572" t="s">
        <v>74</v>
      </c>
      <c r="D572" t="s">
        <v>33</v>
      </c>
      <c r="E572" s="58">
        <v>43389</v>
      </c>
      <c r="F572">
        <v>1</v>
      </c>
      <c r="G572" t="s">
        <v>48</v>
      </c>
      <c r="H572" t="s">
        <v>42</v>
      </c>
      <c r="I572" t="s">
        <v>59</v>
      </c>
      <c r="J572" t="s">
        <v>43</v>
      </c>
      <c r="K572" t="s">
        <v>1181</v>
      </c>
      <c r="L572" t="s">
        <v>65</v>
      </c>
      <c r="M572" t="b">
        <v>0</v>
      </c>
      <c r="N572" t="s">
        <v>3389</v>
      </c>
      <c r="O572" t="b">
        <v>1</v>
      </c>
      <c r="P572" t="b">
        <v>0</v>
      </c>
      <c r="Q572" t="b">
        <v>0</v>
      </c>
      <c r="R572" t="b">
        <v>1</v>
      </c>
      <c r="S572" t="b">
        <v>1</v>
      </c>
      <c r="T572" t="b">
        <v>0</v>
      </c>
      <c r="U572" t="b">
        <v>0</v>
      </c>
      <c r="V572" t="b">
        <v>0</v>
      </c>
      <c r="W572" t="b">
        <v>0</v>
      </c>
      <c r="X572" t="b">
        <v>1</v>
      </c>
      <c r="Y572" t="b">
        <v>0</v>
      </c>
      <c r="Z572" t="b">
        <v>0</v>
      </c>
      <c r="AA572" t="b">
        <v>0</v>
      </c>
      <c r="AB572" t="s">
        <v>7356</v>
      </c>
      <c r="AC572" t="s">
        <v>9103</v>
      </c>
    </row>
    <row r="573" spans="1:29" x14ac:dyDescent="0.3">
      <c r="A573">
        <v>-73.95652303</v>
      </c>
      <c r="B573">
        <v>40.77082609</v>
      </c>
      <c r="C573" t="s">
        <v>1056</v>
      </c>
      <c r="D573" t="s">
        <v>33</v>
      </c>
      <c r="E573" s="58">
        <v>43380</v>
      </c>
      <c r="F573">
        <v>23</v>
      </c>
      <c r="G573" t="s">
        <v>48</v>
      </c>
      <c r="H573" t="s">
        <v>42</v>
      </c>
      <c r="I573" t="s">
        <v>53</v>
      </c>
      <c r="J573" t="s">
        <v>89</v>
      </c>
      <c r="K573" t="s">
        <v>5957</v>
      </c>
      <c r="L573" t="s">
        <v>44</v>
      </c>
      <c r="M573">
        <v>25</v>
      </c>
      <c r="N573" t="s">
        <v>190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1</v>
      </c>
      <c r="AA573" t="b">
        <v>0</v>
      </c>
      <c r="AB573" t="s">
        <v>1367</v>
      </c>
      <c r="AC573" t="s">
        <v>9104</v>
      </c>
    </row>
    <row r="574" spans="1:29" x14ac:dyDescent="0.3">
      <c r="A574">
        <v>-73.968692540000006</v>
      </c>
      <c r="B574">
        <v>40.790854410000001</v>
      </c>
      <c r="C574" t="s">
        <v>294</v>
      </c>
      <c r="D574" t="s">
        <v>38</v>
      </c>
      <c r="E574" s="58">
        <v>43390</v>
      </c>
      <c r="F574">
        <v>23</v>
      </c>
      <c r="G574" t="s">
        <v>48</v>
      </c>
      <c r="H574" t="s">
        <v>53</v>
      </c>
      <c r="I574" t="s">
        <v>53</v>
      </c>
      <c r="J574" t="s">
        <v>89</v>
      </c>
      <c r="K574" t="s">
        <v>6800</v>
      </c>
      <c r="L574" t="s">
        <v>65</v>
      </c>
      <c r="M574" t="b">
        <v>0</v>
      </c>
      <c r="N574" t="s">
        <v>190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1</v>
      </c>
      <c r="AA574" t="b">
        <v>0</v>
      </c>
      <c r="AB574" t="s">
        <v>2459</v>
      </c>
      <c r="AC574" t="s">
        <v>9105</v>
      </c>
    </row>
    <row r="575" spans="1:29" x14ac:dyDescent="0.3">
      <c r="A575">
        <v>-73.961602159999998</v>
      </c>
      <c r="B575">
        <v>40.795287899999998</v>
      </c>
      <c r="C575" t="s">
        <v>1202</v>
      </c>
      <c r="D575" t="s">
        <v>38</v>
      </c>
      <c r="E575" s="58">
        <v>43390</v>
      </c>
      <c r="F575">
        <v>26</v>
      </c>
      <c r="G575" t="s">
        <v>48</v>
      </c>
      <c r="H575" t="s">
        <v>42</v>
      </c>
      <c r="I575" t="s">
        <v>59</v>
      </c>
      <c r="J575" t="s">
        <v>54</v>
      </c>
      <c r="K575" t="s">
        <v>1381</v>
      </c>
      <c r="L575" t="s">
        <v>44</v>
      </c>
      <c r="M575">
        <v>4</v>
      </c>
      <c r="N575" t="s">
        <v>456</v>
      </c>
      <c r="O575" t="b">
        <v>0</v>
      </c>
      <c r="P575" t="b">
        <v>0</v>
      </c>
      <c r="Q575" t="b">
        <v>0</v>
      </c>
      <c r="R575" t="b">
        <v>1</v>
      </c>
      <c r="S575" t="b">
        <v>1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1</v>
      </c>
      <c r="AA575" t="b">
        <v>0</v>
      </c>
      <c r="AB575" t="s">
        <v>5924</v>
      </c>
      <c r="AC575" t="s">
        <v>9106</v>
      </c>
    </row>
    <row r="576" spans="1:29" x14ac:dyDescent="0.3">
      <c r="A576">
        <v>-73.954048610000001</v>
      </c>
      <c r="B576">
        <v>40.772541609999998</v>
      </c>
      <c r="C576" t="s">
        <v>212</v>
      </c>
      <c r="D576" t="s">
        <v>38</v>
      </c>
      <c r="E576" s="58">
        <v>43392</v>
      </c>
      <c r="F576">
        <v>13</v>
      </c>
      <c r="G576" t="s">
        <v>48</v>
      </c>
      <c r="H576" t="s">
        <v>42</v>
      </c>
      <c r="I576" t="s">
        <v>53</v>
      </c>
      <c r="J576" t="s">
        <v>79</v>
      </c>
      <c r="K576" t="s">
        <v>977</v>
      </c>
      <c r="L576" t="s">
        <v>44</v>
      </c>
      <c r="M576">
        <v>15</v>
      </c>
      <c r="N576" t="s">
        <v>6787</v>
      </c>
      <c r="O576" t="b">
        <v>0</v>
      </c>
      <c r="P576" t="b">
        <v>0</v>
      </c>
      <c r="Q576" t="b">
        <v>0</v>
      </c>
      <c r="R576" t="b">
        <v>1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1</v>
      </c>
      <c r="Y576" t="b">
        <v>0</v>
      </c>
      <c r="Z576" t="b">
        <v>1</v>
      </c>
      <c r="AA576" t="b">
        <v>1</v>
      </c>
      <c r="AB576" t="s">
        <v>3552</v>
      </c>
      <c r="AC576" t="s">
        <v>9107</v>
      </c>
    </row>
    <row r="577" spans="1:29" x14ac:dyDescent="0.3">
      <c r="A577">
        <v>-73.951308679999997</v>
      </c>
      <c r="B577">
        <v>40.768280570000002</v>
      </c>
      <c r="C577" t="s">
        <v>1945</v>
      </c>
      <c r="D577" t="s">
        <v>33</v>
      </c>
      <c r="E577" s="58">
        <v>43382</v>
      </c>
      <c r="F577">
        <v>7</v>
      </c>
      <c r="G577" t="s">
        <v>48</v>
      </c>
      <c r="H577" t="s">
        <v>42</v>
      </c>
      <c r="I577" t="s">
        <v>53</v>
      </c>
      <c r="J577" t="s">
        <v>79</v>
      </c>
      <c r="K577" t="s">
        <v>1381</v>
      </c>
      <c r="L577" t="s">
        <v>65</v>
      </c>
      <c r="M577" t="b">
        <v>0</v>
      </c>
      <c r="N577" t="s">
        <v>6570</v>
      </c>
      <c r="O577" t="b">
        <v>0</v>
      </c>
      <c r="P577" t="b">
        <v>1</v>
      </c>
      <c r="Q577" t="b">
        <v>0</v>
      </c>
      <c r="R577" t="b">
        <v>1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s">
        <v>5913</v>
      </c>
      <c r="AC577" t="s">
        <v>9108</v>
      </c>
    </row>
    <row r="578" spans="1:29" x14ac:dyDescent="0.3">
      <c r="A578">
        <v>-73.976535060000003</v>
      </c>
      <c r="B578">
        <v>40.765742930000002</v>
      </c>
      <c r="C578" t="s">
        <v>5232</v>
      </c>
      <c r="D578" t="s">
        <v>33</v>
      </c>
      <c r="E578" s="58">
        <v>43380</v>
      </c>
      <c r="F578">
        <v>15</v>
      </c>
      <c r="G578" t="s">
        <v>48</v>
      </c>
      <c r="H578" t="s">
        <v>42</v>
      </c>
      <c r="I578" t="s">
        <v>59</v>
      </c>
      <c r="J578" t="s">
        <v>89</v>
      </c>
      <c r="K578" t="s">
        <v>1785</v>
      </c>
      <c r="L578" t="s">
        <v>65</v>
      </c>
      <c r="M578" t="b">
        <v>0</v>
      </c>
      <c r="N578" t="s">
        <v>815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1</v>
      </c>
      <c r="X578" t="b">
        <v>0</v>
      </c>
      <c r="Y578" t="b">
        <v>0</v>
      </c>
      <c r="Z578" t="b">
        <v>0</v>
      </c>
      <c r="AA578" t="b">
        <v>0</v>
      </c>
      <c r="AB578" t="s">
        <v>3274</v>
      </c>
      <c r="AC578" t="s">
        <v>9109</v>
      </c>
    </row>
    <row r="579" spans="1:29" x14ac:dyDescent="0.3">
      <c r="A579">
        <v>-73.952029620000005</v>
      </c>
      <c r="B579">
        <v>40.787513099999998</v>
      </c>
      <c r="C579" t="s">
        <v>722</v>
      </c>
      <c r="D579" t="s">
        <v>33</v>
      </c>
      <c r="E579" s="58">
        <v>43388</v>
      </c>
      <c r="F579">
        <v>12</v>
      </c>
      <c r="G579" t="s">
        <v>48</v>
      </c>
      <c r="H579" t="s">
        <v>42</v>
      </c>
      <c r="I579" t="s">
        <v>53</v>
      </c>
      <c r="J579" t="s">
        <v>54</v>
      </c>
      <c r="K579" t="s">
        <v>1843</v>
      </c>
      <c r="L579" t="s">
        <v>44</v>
      </c>
      <c r="M579">
        <v>10</v>
      </c>
      <c r="N579" t="s">
        <v>748</v>
      </c>
      <c r="O579" t="b">
        <v>1</v>
      </c>
      <c r="P579" t="b">
        <v>0</v>
      </c>
      <c r="Q579" t="b">
        <v>0</v>
      </c>
      <c r="R579" t="b">
        <v>0</v>
      </c>
      <c r="S579" t="b">
        <v>1</v>
      </c>
      <c r="T579" t="b">
        <v>0</v>
      </c>
      <c r="U579" t="b">
        <v>0</v>
      </c>
      <c r="V579" t="b">
        <v>0</v>
      </c>
      <c r="W579" t="b">
        <v>0</v>
      </c>
      <c r="X579" t="b">
        <v>1</v>
      </c>
      <c r="Y579" t="b">
        <v>0</v>
      </c>
      <c r="Z579" t="b">
        <v>0</v>
      </c>
      <c r="AA579" t="b">
        <v>0</v>
      </c>
      <c r="AB579" t="s">
        <v>3474</v>
      </c>
      <c r="AC579" t="s">
        <v>9110</v>
      </c>
    </row>
    <row r="580" spans="1:29" x14ac:dyDescent="0.3">
      <c r="A580">
        <v>-73.965688009999994</v>
      </c>
      <c r="B580">
        <v>40.786285139999997</v>
      </c>
      <c r="C580" t="s">
        <v>2056</v>
      </c>
      <c r="D580" t="s">
        <v>38</v>
      </c>
      <c r="E580" s="58">
        <v>43383</v>
      </c>
      <c r="F580">
        <v>27</v>
      </c>
      <c r="G580" t="s">
        <v>48</v>
      </c>
      <c r="H580" t="s">
        <v>42</v>
      </c>
      <c r="I580" t="s">
        <v>59</v>
      </c>
      <c r="J580" t="s">
        <v>43</v>
      </c>
      <c r="K580" t="s">
        <v>2382</v>
      </c>
      <c r="L580" t="s">
        <v>65</v>
      </c>
      <c r="M580" t="b">
        <v>0</v>
      </c>
      <c r="N580" t="s">
        <v>424</v>
      </c>
      <c r="O580" t="b">
        <v>1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1</v>
      </c>
      <c r="AA580" t="b">
        <v>0</v>
      </c>
      <c r="AB580" t="s">
        <v>5702</v>
      </c>
      <c r="AC580" t="s">
        <v>9111</v>
      </c>
    </row>
    <row r="581" spans="1:29" x14ac:dyDescent="0.3">
      <c r="A581">
        <v>-73.9730402</v>
      </c>
      <c r="B581">
        <v>40.78415871</v>
      </c>
      <c r="C581" t="s">
        <v>133</v>
      </c>
      <c r="D581" t="s">
        <v>33</v>
      </c>
      <c r="E581" s="58">
        <v>43393</v>
      </c>
      <c r="F581">
        <v>26</v>
      </c>
      <c r="G581" t="s">
        <v>48</v>
      </c>
      <c r="H581" t="s">
        <v>53</v>
      </c>
      <c r="I581" t="s">
        <v>53</v>
      </c>
      <c r="J581" t="s">
        <v>43</v>
      </c>
      <c r="K581" t="s">
        <v>3050</v>
      </c>
      <c r="L581" t="s">
        <v>44</v>
      </c>
      <c r="M581">
        <v>7</v>
      </c>
      <c r="N581" t="s">
        <v>368</v>
      </c>
      <c r="O581" t="b">
        <v>1</v>
      </c>
      <c r="P581" t="b">
        <v>0</v>
      </c>
      <c r="Q581" t="b">
        <v>0</v>
      </c>
      <c r="R581" t="b">
        <v>0</v>
      </c>
      <c r="S581" t="b">
        <v>1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s">
        <v>5863</v>
      </c>
      <c r="AC581" t="s">
        <v>9112</v>
      </c>
    </row>
    <row r="582" spans="1:29" x14ac:dyDescent="0.3">
      <c r="A582">
        <v>-73.966724819999996</v>
      </c>
      <c r="B582">
        <v>40.773077030000003</v>
      </c>
      <c r="C582" t="s">
        <v>908</v>
      </c>
      <c r="D582" t="s">
        <v>33</v>
      </c>
      <c r="E582" s="58">
        <v>43385</v>
      </c>
      <c r="F582">
        <v>1</v>
      </c>
      <c r="G582" t="s">
        <v>48</v>
      </c>
      <c r="H582" t="s">
        <v>42</v>
      </c>
      <c r="I582" t="s">
        <v>53</v>
      </c>
      <c r="J582" t="s">
        <v>54</v>
      </c>
      <c r="K582" t="s">
        <v>4237</v>
      </c>
      <c r="L582" t="s">
        <v>65</v>
      </c>
      <c r="M582" t="b">
        <v>0</v>
      </c>
      <c r="N582" t="s">
        <v>1263</v>
      </c>
      <c r="O582" t="b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b">
        <v>0</v>
      </c>
      <c r="W582" t="b">
        <v>0</v>
      </c>
      <c r="X582" t="b">
        <v>1</v>
      </c>
      <c r="Y582" t="b">
        <v>0</v>
      </c>
      <c r="Z582" t="b">
        <v>1</v>
      </c>
      <c r="AA582" t="b">
        <v>0</v>
      </c>
      <c r="AB582" t="s">
        <v>3832</v>
      </c>
      <c r="AC582" t="s">
        <v>9113</v>
      </c>
    </row>
    <row r="583" spans="1:29" x14ac:dyDescent="0.3">
      <c r="A583">
        <v>-73.95034948</v>
      </c>
      <c r="B583">
        <v>40.77867363</v>
      </c>
      <c r="C583" t="s">
        <v>180</v>
      </c>
      <c r="D583" t="s">
        <v>38</v>
      </c>
      <c r="E583" s="58">
        <v>43391</v>
      </c>
      <c r="F583">
        <v>15</v>
      </c>
      <c r="G583" t="s">
        <v>48</v>
      </c>
      <c r="H583" t="s">
        <v>42</v>
      </c>
      <c r="I583" t="s">
        <v>59</v>
      </c>
      <c r="J583" t="s">
        <v>54</v>
      </c>
      <c r="K583" t="s">
        <v>3883</v>
      </c>
      <c r="L583" t="s">
        <v>65</v>
      </c>
      <c r="M583" t="b">
        <v>0</v>
      </c>
      <c r="N583" t="s">
        <v>222</v>
      </c>
      <c r="O583" t="b">
        <v>0</v>
      </c>
      <c r="P583" t="b">
        <v>0</v>
      </c>
      <c r="Q583" t="b">
        <v>0</v>
      </c>
      <c r="R583" t="b">
        <v>0</v>
      </c>
      <c r="S583" t="b">
        <v>1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1</v>
      </c>
      <c r="AA583" t="b">
        <v>0</v>
      </c>
      <c r="AB583" t="s">
        <v>1367</v>
      </c>
      <c r="AC583" t="s">
        <v>9114</v>
      </c>
    </row>
    <row r="584" spans="1:29" x14ac:dyDescent="0.3">
      <c r="A584">
        <v>-73.965672240000004</v>
      </c>
      <c r="B584">
        <v>40.785840899999997</v>
      </c>
      <c r="C584" t="s">
        <v>278</v>
      </c>
      <c r="D584" t="s">
        <v>33</v>
      </c>
      <c r="E584" s="58">
        <v>43379</v>
      </c>
      <c r="F584">
        <v>4</v>
      </c>
      <c r="G584" t="s">
        <v>48</v>
      </c>
      <c r="H584" t="s">
        <v>53</v>
      </c>
      <c r="I584" t="s">
        <v>59</v>
      </c>
      <c r="J584" t="s">
        <v>54</v>
      </c>
      <c r="K584" t="s">
        <v>4939</v>
      </c>
      <c r="L584" t="s">
        <v>44</v>
      </c>
      <c r="M584">
        <v>7</v>
      </c>
      <c r="N584" t="s">
        <v>3957</v>
      </c>
      <c r="O584" t="b">
        <v>0</v>
      </c>
      <c r="P584" t="b">
        <v>0</v>
      </c>
      <c r="Q584" t="b">
        <v>1</v>
      </c>
      <c r="R584" t="b">
        <v>1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s">
        <v>4294</v>
      </c>
      <c r="AC584" t="s">
        <v>9115</v>
      </c>
    </row>
    <row r="585" spans="1:29" x14ac:dyDescent="0.3">
      <c r="A585">
        <v>-73.970823679999995</v>
      </c>
      <c r="B585">
        <v>40.782400760000002</v>
      </c>
      <c r="C585" t="s">
        <v>517</v>
      </c>
      <c r="D585" t="s">
        <v>38</v>
      </c>
      <c r="E585" s="58">
        <v>43393</v>
      </c>
      <c r="F585">
        <v>13</v>
      </c>
      <c r="G585" t="s">
        <v>48</v>
      </c>
      <c r="H585" t="s">
        <v>53</v>
      </c>
      <c r="I585" t="s">
        <v>53</v>
      </c>
      <c r="J585" t="s">
        <v>43</v>
      </c>
      <c r="K585" t="s">
        <v>2282</v>
      </c>
      <c r="L585" t="s">
        <v>44</v>
      </c>
      <c r="M585">
        <v>40</v>
      </c>
      <c r="N585" t="s">
        <v>2877</v>
      </c>
      <c r="O585" t="b">
        <v>0</v>
      </c>
      <c r="P585" t="b">
        <v>0</v>
      </c>
      <c r="Q585" t="b">
        <v>0</v>
      </c>
      <c r="R585" t="b">
        <v>1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s">
        <v>1849</v>
      </c>
      <c r="AC585" t="s">
        <v>9116</v>
      </c>
    </row>
    <row r="586" spans="1:29" x14ac:dyDescent="0.3">
      <c r="A586">
        <v>-73.96124648</v>
      </c>
      <c r="B586">
        <v>40.79968847</v>
      </c>
      <c r="C586" t="s">
        <v>338</v>
      </c>
      <c r="D586" t="s">
        <v>33</v>
      </c>
      <c r="E586" s="58">
        <v>43388</v>
      </c>
      <c r="F586">
        <v>23</v>
      </c>
      <c r="G586" t="s">
        <v>48</v>
      </c>
      <c r="H586" t="s">
        <v>42</v>
      </c>
      <c r="I586" t="s">
        <v>53</v>
      </c>
      <c r="J586" t="s">
        <v>97</v>
      </c>
      <c r="K586" t="s">
        <v>3157</v>
      </c>
      <c r="L586" t="s">
        <v>44</v>
      </c>
      <c r="M586">
        <v>2</v>
      </c>
      <c r="N586" t="s">
        <v>6409</v>
      </c>
      <c r="O586" t="b">
        <v>1</v>
      </c>
      <c r="P586" t="b">
        <v>0</v>
      </c>
      <c r="Q586" t="b">
        <v>0</v>
      </c>
      <c r="R586" t="b">
        <v>1</v>
      </c>
      <c r="S586" t="b">
        <v>1</v>
      </c>
      <c r="T586" t="b">
        <v>0</v>
      </c>
      <c r="U586" t="b">
        <v>0</v>
      </c>
      <c r="V586" t="b">
        <v>0</v>
      </c>
      <c r="W586" t="b">
        <v>0</v>
      </c>
      <c r="X586" t="b">
        <v>1</v>
      </c>
      <c r="Y586" t="b">
        <v>0</v>
      </c>
      <c r="Z586" t="b">
        <v>1</v>
      </c>
      <c r="AA586" t="b">
        <v>0</v>
      </c>
      <c r="AB586" t="s">
        <v>3474</v>
      </c>
      <c r="AC586" t="s">
        <v>9117</v>
      </c>
    </row>
    <row r="587" spans="1:29" x14ac:dyDescent="0.3">
      <c r="A587">
        <v>-73.973609170000003</v>
      </c>
      <c r="B587">
        <v>40.76971442</v>
      </c>
      <c r="C587" t="s">
        <v>1032</v>
      </c>
      <c r="D587" t="s">
        <v>33</v>
      </c>
      <c r="E587" s="58">
        <v>43388</v>
      </c>
      <c r="F587">
        <v>27</v>
      </c>
      <c r="G587" t="s">
        <v>48</v>
      </c>
      <c r="H587" t="s">
        <v>53</v>
      </c>
      <c r="I587" t="s">
        <v>59</v>
      </c>
      <c r="J587" t="s">
        <v>43</v>
      </c>
      <c r="K587" t="s">
        <v>5957</v>
      </c>
      <c r="L587" t="s">
        <v>65</v>
      </c>
      <c r="M587" t="b">
        <v>0</v>
      </c>
      <c r="N587" t="s">
        <v>2574</v>
      </c>
      <c r="O587" t="b">
        <v>0</v>
      </c>
      <c r="P587" t="b">
        <v>0</v>
      </c>
      <c r="Q587" t="b">
        <v>1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1</v>
      </c>
      <c r="AB587" t="s">
        <v>974</v>
      </c>
      <c r="AC587" t="s">
        <v>9118</v>
      </c>
    </row>
    <row r="588" spans="1:29" x14ac:dyDescent="0.3">
      <c r="A588">
        <v>-73.978773680000003</v>
      </c>
      <c r="B588">
        <v>40.789385209999999</v>
      </c>
      <c r="C588" t="s">
        <v>1211</v>
      </c>
      <c r="D588" t="s">
        <v>33</v>
      </c>
      <c r="E588" s="58">
        <v>43385</v>
      </c>
      <c r="F588">
        <v>25</v>
      </c>
      <c r="G588" t="s">
        <v>48</v>
      </c>
      <c r="H588" t="s">
        <v>42</v>
      </c>
      <c r="I588" t="s">
        <v>53</v>
      </c>
      <c r="J588" t="s">
        <v>43</v>
      </c>
      <c r="K588" t="s">
        <v>1181</v>
      </c>
      <c r="L588" t="s">
        <v>44</v>
      </c>
      <c r="M588">
        <v>6</v>
      </c>
      <c r="N588" t="s">
        <v>3185</v>
      </c>
      <c r="O588" t="b">
        <v>1</v>
      </c>
      <c r="P588" t="b">
        <v>0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s">
        <v>3672</v>
      </c>
      <c r="AC588" t="s">
        <v>9119</v>
      </c>
    </row>
    <row r="589" spans="1:29" x14ac:dyDescent="0.3">
      <c r="A589">
        <v>-73.977107009999997</v>
      </c>
      <c r="B589">
        <v>40.77914586</v>
      </c>
      <c r="C589" t="s">
        <v>957</v>
      </c>
      <c r="D589" t="s">
        <v>38</v>
      </c>
      <c r="E589" s="58">
        <v>43388</v>
      </c>
      <c r="F589">
        <v>5</v>
      </c>
      <c r="G589" t="s">
        <v>48</v>
      </c>
      <c r="H589" t="s">
        <v>53</v>
      </c>
      <c r="I589" t="s">
        <v>53</v>
      </c>
      <c r="J589" t="s">
        <v>54</v>
      </c>
      <c r="K589" t="s">
        <v>1666</v>
      </c>
      <c r="L589" t="s">
        <v>44</v>
      </c>
      <c r="M589">
        <v>4</v>
      </c>
      <c r="N589" t="s">
        <v>4326</v>
      </c>
      <c r="O589" t="b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  <c r="U589" t="b">
        <v>0</v>
      </c>
      <c r="V589" t="b">
        <v>0</v>
      </c>
      <c r="W589" t="b">
        <v>0</v>
      </c>
      <c r="X589" t="b">
        <v>1</v>
      </c>
      <c r="Y589" t="b">
        <v>0</v>
      </c>
      <c r="Z589" t="b">
        <v>0</v>
      </c>
      <c r="AA589" t="b">
        <v>0</v>
      </c>
      <c r="AB589" t="s">
        <v>340</v>
      </c>
      <c r="AC589" t="s">
        <v>9120</v>
      </c>
    </row>
    <row r="590" spans="1:29" x14ac:dyDescent="0.3">
      <c r="A590">
        <v>-73.977133230000007</v>
      </c>
      <c r="B590">
        <v>40.779986659999999</v>
      </c>
      <c r="C590" t="s">
        <v>471</v>
      </c>
      <c r="D590" t="s">
        <v>33</v>
      </c>
      <c r="E590" s="58">
        <v>43391</v>
      </c>
      <c r="F590">
        <v>29</v>
      </c>
      <c r="G590" t="s">
        <v>48</v>
      </c>
      <c r="H590" t="s">
        <v>42</v>
      </c>
      <c r="I590" t="s">
        <v>53</v>
      </c>
      <c r="J590" t="s">
        <v>43</v>
      </c>
      <c r="K590" t="s">
        <v>565</v>
      </c>
      <c r="L590" t="s">
        <v>44</v>
      </c>
      <c r="M590">
        <v>15</v>
      </c>
      <c r="N590" t="s">
        <v>4688</v>
      </c>
      <c r="O590" t="b">
        <v>0</v>
      </c>
      <c r="P590" t="b">
        <v>0</v>
      </c>
      <c r="Q590" t="b">
        <v>0</v>
      </c>
      <c r="R590" t="b">
        <v>1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1</v>
      </c>
      <c r="AA590" t="b">
        <v>0</v>
      </c>
      <c r="AB590" t="s">
        <v>2920</v>
      </c>
      <c r="AC590" t="s">
        <v>9121</v>
      </c>
    </row>
    <row r="591" spans="1:29" x14ac:dyDescent="0.3">
      <c r="A591">
        <v>-73.976383240000004</v>
      </c>
      <c r="B591">
        <v>40.790175740000002</v>
      </c>
      <c r="C591" t="s">
        <v>172</v>
      </c>
      <c r="D591" t="s">
        <v>33</v>
      </c>
      <c r="E591" s="58">
        <v>43384</v>
      </c>
      <c r="F591">
        <v>2</v>
      </c>
      <c r="G591" t="s">
        <v>48</v>
      </c>
      <c r="H591" t="s">
        <v>42</v>
      </c>
      <c r="I591" t="s">
        <v>96</v>
      </c>
      <c r="J591" t="s">
        <v>79</v>
      </c>
      <c r="K591" t="s">
        <v>442</v>
      </c>
      <c r="L591" t="s">
        <v>65</v>
      </c>
      <c r="M591" t="b">
        <v>0</v>
      </c>
      <c r="N591" t="s">
        <v>2032</v>
      </c>
      <c r="O591" t="b">
        <v>1</v>
      </c>
      <c r="P591" t="b">
        <v>0</v>
      </c>
      <c r="Q591" t="b">
        <v>1</v>
      </c>
      <c r="R591" t="b">
        <v>0</v>
      </c>
      <c r="S591" t="b">
        <v>1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s">
        <v>1751</v>
      </c>
      <c r="AC591" t="s">
        <v>9122</v>
      </c>
    </row>
    <row r="592" spans="1:29" x14ac:dyDescent="0.3">
      <c r="A592">
        <v>-73.976794299999995</v>
      </c>
      <c r="B592">
        <v>40.789289859999997</v>
      </c>
      <c r="C592" t="s">
        <v>2181</v>
      </c>
      <c r="D592" t="s">
        <v>38</v>
      </c>
      <c r="E592" s="58">
        <v>43384</v>
      </c>
      <c r="F592">
        <v>23</v>
      </c>
      <c r="G592" t="s">
        <v>48</v>
      </c>
      <c r="H592" t="s">
        <v>42</v>
      </c>
      <c r="I592" t="s">
        <v>96</v>
      </c>
      <c r="J592" t="s">
        <v>54</v>
      </c>
      <c r="K592" t="s">
        <v>2136</v>
      </c>
      <c r="L592" t="s">
        <v>65</v>
      </c>
      <c r="M592" t="b">
        <v>0</v>
      </c>
      <c r="N592" t="s">
        <v>3424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s">
        <v>3061</v>
      </c>
      <c r="AC592" t="s">
        <v>9123</v>
      </c>
    </row>
    <row r="593" spans="1:29" x14ac:dyDescent="0.3">
      <c r="A593">
        <v>-73.96101152</v>
      </c>
      <c r="B593">
        <v>40.799810659999999</v>
      </c>
      <c r="C593" t="s">
        <v>963</v>
      </c>
      <c r="D593" t="s">
        <v>33</v>
      </c>
      <c r="E593" s="58">
        <v>43390</v>
      </c>
      <c r="F593">
        <v>26</v>
      </c>
      <c r="G593" t="s">
        <v>48</v>
      </c>
      <c r="H593" t="s">
        <v>42</v>
      </c>
      <c r="I593" t="s">
        <v>96</v>
      </c>
      <c r="J593" t="s">
        <v>54</v>
      </c>
      <c r="K593" t="s">
        <v>2685</v>
      </c>
      <c r="L593" t="s">
        <v>44</v>
      </c>
      <c r="M593">
        <v>2</v>
      </c>
      <c r="N593" t="s">
        <v>6538</v>
      </c>
      <c r="O593" t="b">
        <v>1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1</v>
      </c>
      <c r="AB593" t="s">
        <v>4197</v>
      </c>
      <c r="AC593" t="s">
        <v>9124</v>
      </c>
    </row>
    <row r="594" spans="1:29" x14ac:dyDescent="0.3">
      <c r="A594">
        <v>-73.975440849999998</v>
      </c>
      <c r="B594">
        <v>40.769431150000003</v>
      </c>
      <c r="C594" t="s">
        <v>1199</v>
      </c>
      <c r="D594" t="s">
        <v>38</v>
      </c>
      <c r="E594" s="58">
        <v>43386</v>
      </c>
      <c r="F594">
        <v>1</v>
      </c>
      <c r="G594" t="s">
        <v>48</v>
      </c>
      <c r="H594" t="s">
        <v>42</v>
      </c>
      <c r="I594" t="s">
        <v>96</v>
      </c>
      <c r="J594" t="s">
        <v>54</v>
      </c>
      <c r="K594" t="s">
        <v>6823</v>
      </c>
      <c r="L594" t="s">
        <v>65</v>
      </c>
      <c r="M594" t="b">
        <v>0</v>
      </c>
      <c r="N594" t="s">
        <v>748</v>
      </c>
      <c r="O594" t="b">
        <v>0</v>
      </c>
      <c r="P594" t="b">
        <v>1</v>
      </c>
      <c r="Q594" t="b">
        <v>0</v>
      </c>
      <c r="R594" t="b">
        <v>0</v>
      </c>
      <c r="S594" t="b">
        <v>1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s">
        <v>643</v>
      </c>
      <c r="AC594" t="s">
        <v>9125</v>
      </c>
    </row>
    <row r="595" spans="1:29" x14ac:dyDescent="0.3">
      <c r="A595">
        <v>-73.970291900000007</v>
      </c>
      <c r="B595">
        <v>40.76857614</v>
      </c>
      <c r="C595" t="s">
        <v>505</v>
      </c>
      <c r="D595" t="s">
        <v>38</v>
      </c>
      <c r="E595" s="58">
        <v>43386</v>
      </c>
      <c r="F595">
        <v>16</v>
      </c>
      <c r="G595" t="s">
        <v>48</v>
      </c>
      <c r="H595" t="s">
        <v>42</v>
      </c>
      <c r="I595" t="s">
        <v>59</v>
      </c>
      <c r="J595" t="s">
        <v>43</v>
      </c>
      <c r="K595" t="s">
        <v>5957</v>
      </c>
      <c r="L595" t="s">
        <v>65</v>
      </c>
      <c r="M595" t="b">
        <v>0</v>
      </c>
      <c r="N595" t="s">
        <v>190</v>
      </c>
      <c r="O595" t="b">
        <v>1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s">
        <v>669</v>
      </c>
      <c r="AC595" t="s">
        <v>9126</v>
      </c>
    </row>
    <row r="596" spans="1:29" x14ac:dyDescent="0.3">
      <c r="A596">
        <v>-73.952966410000002</v>
      </c>
      <c r="B596">
        <v>40.79041308</v>
      </c>
      <c r="C596" t="s">
        <v>1701</v>
      </c>
      <c r="D596" t="s">
        <v>33</v>
      </c>
      <c r="E596" s="58">
        <v>43384</v>
      </c>
      <c r="F596">
        <v>23</v>
      </c>
      <c r="G596" t="s">
        <v>105</v>
      </c>
      <c r="H596" t="s">
        <v>42</v>
      </c>
      <c r="I596" t="s">
        <v>59</v>
      </c>
      <c r="J596" t="s">
        <v>43</v>
      </c>
      <c r="K596" t="s">
        <v>3453</v>
      </c>
      <c r="L596" t="s">
        <v>65</v>
      </c>
      <c r="M596" t="b">
        <v>0</v>
      </c>
      <c r="N596" t="s">
        <v>4120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1</v>
      </c>
      <c r="AA596" t="b">
        <v>1</v>
      </c>
      <c r="AB596" t="s">
        <v>749</v>
      </c>
      <c r="AC596" t="s">
        <v>9127</v>
      </c>
    </row>
    <row r="597" spans="1:29" x14ac:dyDescent="0.3">
      <c r="A597">
        <v>-73.966258740000001</v>
      </c>
      <c r="B597">
        <v>40.785274430000001</v>
      </c>
      <c r="C597" t="s">
        <v>95</v>
      </c>
      <c r="D597" t="s">
        <v>38</v>
      </c>
      <c r="E597" s="58">
        <v>43381</v>
      </c>
      <c r="F597">
        <v>6</v>
      </c>
      <c r="G597" t="s">
        <v>48</v>
      </c>
      <c r="H597" t="s">
        <v>42</v>
      </c>
      <c r="I597" t="s">
        <v>59</v>
      </c>
      <c r="J597" t="s">
        <v>177</v>
      </c>
      <c r="K597" t="s">
        <v>5429</v>
      </c>
      <c r="L597" t="s">
        <v>65</v>
      </c>
      <c r="M597" t="b">
        <v>0</v>
      </c>
      <c r="N597" t="s">
        <v>4494</v>
      </c>
      <c r="O597" t="b">
        <v>1</v>
      </c>
      <c r="P597" t="b">
        <v>0</v>
      </c>
      <c r="Q597" t="b">
        <v>0</v>
      </c>
      <c r="R597" t="b">
        <v>0</v>
      </c>
      <c r="S597" t="b">
        <v>1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1</v>
      </c>
      <c r="AA597" t="b">
        <v>0</v>
      </c>
      <c r="AB597" t="s">
        <v>3446</v>
      </c>
      <c r="AC597" t="s">
        <v>9128</v>
      </c>
    </row>
    <row r="598" spans="1:29" x14ac:dyDescent="0.3">
      <c r="A598">
        <v>-73.960172689999993</v>
      </c>
      <c r="B598">
        <v>40.774563280000002</v>
      </c>
      <c r="C598" t="s">
        <v>402</v>
      </c>
      <c r="D598" t="s">
        <v>33</v>
      </c>
      <c r="E598" s="58">
        <v>43383</v>
      </c>
      <c r="F598">
        <v>23</v>
      </c>
      <c r="G598" t="s">
        <v>48</v>
      </c>
      <c r="H598" t="s">
        <v>42</v>
      </c>
      <c r="I598" t="s">
        <v>53</v>
      </c>
      <c r="J598" t="s">
        <v>54</v>
      </c>
      <c r="K598" t="s">
        <v>2517</v>
      </c>
      <c r="L598" t="s">
        <v>65</v>
      </c>
      <c r="M598" t="b">
        <v>0</v>
      </c>
      <c r="N598" t="s">
        <v>4128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1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1</v>
      </c>
      <c r="AA598" t="b">
        <v>0</v>
      </c>
      <c r="AB598" t="s">
        <v>6518</v>
      </c>
      <c r="AC598" t="s">
        <v>9129</v>
      </c>
    </row>
    <row r="599" spans="1:29" x14ac:dyDescent="0.3">
      <c r="A599">
        <v>-73.975741389999996</v>
      </c>
      <c r="B599">
        <v>40.767706850000003</v>
      </c>
      <c r="C599" t="s">
        <v>239</v>
      </c>
      <c r="D599" t="s">
        <v>33</v>
      </c>
      <c r="E599" s="58">
        <v>43380</v>
      </c>
      <c r="F599">
        <v>16</v>
      </c>
      <c r="G599" t="s">
        <v>48</v>
      </c>
      <c r="H599" t="s">
        <v>42</v>
      </c>
      <c r="I599" t="s">
        <v>59</v>
      </c>
      <c r="J599" t="s">
        <v>54</v>
      </c>
      <c r="K599" t="s">
        <v>700</v>
      </c>
      <c r="L599" t="s">
        <v>65</v>
      </c>
      <c r="M599" t="b">
        <v>0</v>
      </c>
      <c r="N599" t="s">
        <v>6398</v>
      </c>
      <c r="O599" t="b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1</v>
      </c>
      <c r="AA599" t="b">
        <v>0</v>
      </c>
      <c r="AB599" t="s">
        <v>1367</v>
      </c>
      <c r="AC599" t="s">
        <v>9130</v>
      </c>
    </row>
    <row r="600" spans="1:29" x14ac:dyDescent="0.3">
      <c r="A600">
        <v>-73.975113629999996</v>
      </c>
      <c r="B600">
        <v>40.767926510000002</v>
      </c>
      <c r="C600" t="s">
        <v>1278</v>
      </c>
      <c r="D600" t="s">
        <v>33</v>
      </c>
      <c r="E600" s="58">
        <v>43393</v>
      </c>
      <c r="F600">
        <v>14</v>
      </c>
      <c r="G600" t="s">
        <v>48</v>
      </c>
      <c r="H600" t="s">
        <v>42</v>
      </c>
      <c r="I600" t="s">
        <v>96</v>
      </c>
      <c r="J600" t="s">
        <v>43</v>
      </c>
      <c r="K600" t="s">
        <v>700</v>
      </c>
      <c r="L600" t="s">
        <v>44</v>
      </c>
      <c r="M600">
        <v>10</v>
      </c>
      <c r="N600" t="s">
        <v>664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1</v>
      </c>
      <c r="AA600" t="b">
        <v>0</v>
      </c>
      <c r="AB600" t="s">
        <v>6346</v>
      </c>
      <c r="AC600" t="s">
        <v>9131</v>
      </c>
    </row>
    <row r="601" spans="1:29" x14ac:dyDescent="0.3">
      <c r="A601">
        <v>-73.979873799999993</v>
      </c>
      <c r="B601">
        <v>40.796393209999998</v>
      </c>
      <c r="C601" t="s">
        <v>1232</v>
      </c>
      <c r="D601" t="s">
        <v>38</v>
      </c>
      <c r="E601" s="58">
        <v>43392</v>
      </c>
      <c r="F601">
        <v>29</v>
      </c>
      <c r="G601" t="s">
        <v>48</v>
      </c>
      <c r="H601" t="s">
        <v>42</v>
      </c>
      <c r="I601" t="s">
        <v>59</v>
      </c>
      <c r="J601" t="s">
        <v>54</v>
      </c>
      <c r="K601" t="s">
        <v>1381</v>
      </c>
      <c r="L601" t="s">
        <v>65</v>
      </c>
      <c r="M601" t="b">
        <v>0</v>
      </c>
      <c r="N601" t="s">
        <v>456</v>
      </c>
      <c r="O601" t="b">
        <v>0</v>
      </c>
      <c r="P601" t="b">
        <v>0</v>
      </c>
      <c r="Q601" t="b">
        <v>0</v>
      </c>
      <c r="R601" t="b">
        <v>0</v>
      </c>
      <c r="S601" t="b">
        <v>1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1</v>
      </c>
      <c r="AB601" t="s">
        <v>121</v>
      </c>
      <c r="AC601" t="s">
        <v>9132</v>
      </c>
    </row>
    <row r="602" spans="1:29" x14ac:dyDescent="0.3">
      <c r="A602">
        <v>-73.975847799999997</v>
      </c>
      <c r="B602">
        <v>40.771665900000002</v>
      </c>
      <c r="C602" t="s">
        <v>1262</v>
      </c>
      <c r="D602" t="s">
        <v>33</v>
      </c>
      <c r="E602" s="58">
        <v>43383</v>
      </c>
      <c r="F602">
        <v>26</v>
      </c>
      <c r="G602" t="s">
        <v>48</v>
      </c>
      <c r="H602" t="s">
        <v>53</v>
      </c>
      <c r="I602" t="s">
        <v>53</v>
      </c>
      <c r="J602" t="s">
        <v>79</v>
      </c>
      <c r="K602" t="s">
        <v>1259</v>
      </c>
      <c r="L602" t="s">
        <v>65</v>
      </c>
      <c r="M602" t="b">
        <v>0</v>
      </c>
      <c r="N602" t="s">
        <v>1582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1</v>
      </c>
      <c r="Z602" t="b">
        <v>1</v>
      </c>
      <c r="AA602" t="b">
        <v>0</v>
      </c>
      <c r="AB602" t="s">
        <v>4305</v>
      </c>
      <c r="AC602" t="s">
        <v>9133</v>
      </c>
    </row>
    <row r="603" spans="1:29" x14ac:dyDescent="0.3">
      <c r="A603">
        <v>-73.972400590000007</v>
      </c>
      <c r="B603">
        <v>40.77629589</v>
      </c>
      <c r="C603" t="s">
        <v>415</v>
      </c>
      <c r="D603" t="s">
        <v>38</v>
      </c>
      <c r="E603" s="58">
        <v>43392</v>
      </c>
      <c r="F603">
        <v>3</v>
      </c>
      <c r="G603" t="s">
        <v>48</v>
      </c>
      <c r="H603" t="s">
        <v>42</v>
      </c>
      <c r="I603" t="s">
        <v>53</v>
      </c>
      <c r="J603" t="s">
        <v>79</v>
      </c>
      <c r="K603" t="s">
        <v>4477</v>
      </c>
      <c r="L603" t="s">
        <v>65</v>
      </c>
      <c r="M603" t="b">
        <v>0</v>
      </c>
      <c r="N603" t="s">
        <v>4240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s">
        <v>445</v>
      </c>
      <c r="AC603" t="s">
        <v>9134</v>
      </c>
    </row>
    <row r="604" spans="1:29" x14ac:dyDescent="0.3">
      <c r="A604">
        <v>-73.975593939999996</v>
      </c>
      <c r="B604">
        <v>40.772890750000002</v>
      </c>
      <c r="C604" t="s">
        <v>1287</v>
      </c>
      <c r="D604" t="s">
        <v>33</v>
      </c>
      <c r="E604" s="58">
        <v>43387</v>
      </c>
      <c r="F604">
        <v>15</v>
      </c>
      <c r="G604" t="s">
        <v>48</v>
      </c>
      <c r="H604" t="s">
        <v>42</v>
      </c>
      <c r="I604" t="s">
        <v>59</v>
      </c>
      <c r="J604" t="s">
        <v>97</v>
      </c>
      <c r="K604" t="s">
        <v>1381</v>
      </c>
      <c r="L604" t="s">
        <v>65</v>
      </c>
      <c r="M604" t="b">
        <v>0</v>
      </c>
      <c r="N604" t="s">
        <v>456</v>
      </c>
      <c r="O604" t="b">
        <v>1</v>
      </c>
      <c r="P604" t="b">
        <v>0</v>
      </c>
      <c r="Q604" t="b">
        <v>1</v>
      </c>
      <c r="R604" t="b">
        <v>0</v>
      </c>
      <c r="S604" t="b">
        <v>1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s">
        <v>3823</v>
      </c>
      <c r="AC604" t="s">
        <v>9135</v>
      </c>
    </row>
    <row r="605" spans="1:29" x14ac:dyDescent="0.3">
      <c r="A605">
        <v>-73.978370060000003</v>
      </c>
      <c r="B605">
        <v>40.777409319999997</v>
      </c>
      <c r="C605" t="s">
        <v>225</v>
      </c>
      <c r="D605" t="s">
        <v>33</v>
      </c>
      <c r="E605" s="58">
        <v>43388</v>
      </c>
      <c r="F605">
        <v>3</v>
      </c>
      <c r="G605" t="s">
        <v>48</v>
      </c>
      <c r="H605" t="s">
        <v>42</v>
      </c>
      <c r="I605" t="s">
        <v>59</v>
      </c>
      <c r="J605" t="s">
        <v>43</v>
      </c>
      <c r="K605" t="s">
        <v>242</v>
      </c>
      <c r="L605" t="s">
        <v>65</v>
      </c>
      <c r="M605" t="b">
        <v>0</v>
      </c>
      <c r="N605" t="s">
        <v>748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1</v>
      </c>
      <c r="AA605" t="b">
        <v>0</v>
      </c>
      <c r="AB605" t="s">
        <v>1539</v>
      </c>
      <c r="AC605" t="s">
        <v>9136</v>
      </c>
    </row>
    <row r="606" spans="1:29" x14ac:dyDescent="0.3">
      <c r="A606">
        <v>-73.977366169999996</v>
      </c>
      <c r="B606">
        <v>40.767354930000003</v>
      </c>
      <c r="C606" t="s">
        <v>729</v>
      </c>
      <c r="D606" t="s">
        <v>33</v>
      </c>
      <c r="E606" s="58">
        <v>43379</v>
      </c>
      <c r="F606">
        <v>23</v>
      </c>
      <c r="G606" t="s">
        <v>48</v>
      </c>
      <c r="H606" t="s">
        <v>42</v>
      </c>
      <c r="I606" t="s">
        <v>42</v>
      </c>
      <c r="J606" t="s">
        <v>43</v>
      </c>
      <c r="K606" t="s">
        <v>4123</v>
      </c>
      <c r="L606" t="s">
        <v>65</v>
      </c>
      <c r="M606" t="b">
        <v>0</v>
      </c>
      <c r="N606" t="s">
        <v>190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1</v>
      </c>
      <c r="X606" t="b">
        <v>0</v>
      </c>
      <c r="Y606" t="b">
        <v>0</v>
      </c>
      <c r="Z606" t="b">
        <v>0</v>
      </c>
      <c r="AA606" t="b">
        <v>0</v>
      </c>
      <c r="AB606" t="s">
        <v>5499</v>
      </c>
      <c r="AC606" t="s">
        <v>9137</v>
      </c>
    </row>
    <row r="607" spans="1:29" x14ac:dyDescent="0.3">
      <c r="A607">
        <v>-73.966673159999999</v>
      </c>
      <c r="B607">
        <v>40.78318565</v>
      </c>
      <c r="C607" t="s">
        <v>423</v>
      </c>
      <c r="D607" t="s">
        <v>33</v>
      </c>
      <c r="E607" s="58">
        <v>43388</v>
      </c>
      <c r="F607">
        <v>29</v>
      </c>
      <c r="G607" t="s">
        <v>48</v>
      </c>
      <c r="H607" t="s">
        <v>42</v>
      </c>
      <c r="I607" t="s">
        <v>53</v>
      </c>
      <c r="J607" t="s">
        <v>89</v>
      </c>
      <c r="K607" t="s">
        <v>4939</v>
      </c>
      <c r="L607" t="s">
        <v>65</v>
      </c>
      <c r="M607" t="b">
        <v>0</v>
      </c>
      <c r="N607" t="s">
        <v>1702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1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1</v>
      </c>
      <c r="AA607" t="b">
        <v>0</v>
      </c>
      <c r="AB607" t="s">
        <v>1643</v>
      </c>
      <c r="AC607" t="s">
        <v>9138</v>
      </c>
    </row>
    <row r="608" spans="1:29" x14ac:dyDescent="0.3">
      <c r="A608">
        <v>-73.97467211</v>
      </c>
      <c r="B608">
        <v>40.767291159999999</v>
      </c>
      <c r="C608" t="s">
        <v>92</v>
      </c>
      <c r="D608" t="s">
        <v>38</v>
      </c>
      <c r="E608" s="58">
        <v>43383</v>
      </c>
      <c r="F608">
        <v>2</v>
      </c>
      <c r="G608" t="s">
        <v>48</v>
      </c>
      <c r="H608" t="s">
        <v>42</v>
      </c>
      <c r="I608" t="s">
        <v>96</v>
      </c>
      <c r="J608" t="s">
        <v>34</v>
      </c>
      <c r="K608" t="s">
        <v>1472</v>
      </c>
      <c r="L608" t="s">
        <v>44</v>
      </c>
      <c r="M608">
        <v>8</v>
      </c>
      <c r="N608" t="s">
        <v>5784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s">
        <v>6686</v>
      </c>
      <c r="AC608" t="s">
        <v>9139</v>
      </c>
    </row>
    <row r="609" spans="1:29" x14ac:dyDescent="0.3">
      <c r="A609">
        <v>-73.969707099999994</v>
      </c>
      <c r="B609">
        <v>40.793089500000001</v>
      </c>
      <c r="C609" t="s">
        <v>689</v>
      </c>
      <c r="D609" t="s">
        <v>33</v>
      </c>
      <c r="E609" s="58">
        <v>43390</v>
      </c>
      <c r="F609">
        <v>1</v>
      </c>
      <c r="G609" t="s">
        <v>48</v>
      </c>
      <c r="H609" t="s">
        <v>42</v>
      </c>
      <c r="I609" t="s">
        <v>59</v>
      </c>
      <c r="J609" t="s">
        <v>43</v>
      </c>
      <c r="K609" t="s">
        <v>4110</v>
      </c>
      <c r="L609" t="s">
        <v>65</v>
      </c>
      <c r="M609" t="b">
        <v>0</v>
      </c>
      <c r="N609" t="s">
        <v>2760</v>
      </c>
      <c r="O609" t="b">
        <v>1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s">
        <v>121</v>
      </c>
      <c r="AC609" t="s">
        <v>9140</v>
      </c>
    </row>
    <row r="610" spans="1:29" x14ac:dyDescent="0.3">
      <c r="A610">
        <v>-73.965332750000002</v>
      </c>
      <c r="B610">
        <v>40.77313917</v>
      </c>
      <c r="C610" t="s">
        <v>2803</v>
      </c>
      <c r="D610" t="s">
        <v>38</v>
      </c>
      <c r="E610" s="58">
        <v>43384</v>
      </c>
      <c r="F610">
        <v>9</v>
      </c>
      <c r="G610" t="s">
        <v>48</v>
      </c>
      <c r="H610" t="s">
        <v>42</v>
      </c>
      <c r="I610" t="s">
        <v>42</v>
      </c>
      <c r="J610" t="s">
        <v>54</v>
      </c>
      <c r="K610" t="s">
        <v>4791</v>
      </c>
      <c r="L610" t="s">
        <v>65</v>
      </c>
      <c r="M610" t="b">
        <v>0</v>
      </c>
      <c r="N610" t="s">
        <v>7012</v>
      </c>
      <c r="O610" t="b">
        <v>0</v>
      </c>
      <c r="P610" t="b">
        <v>0</v>
      </c>
      <c r="Q610" t="b">
        <v>0</v>
      </c>
      <c r="R610" t="b">
        <v>1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1</v>
      </c>
      <c r="AA610" t="b">
        <v>1</v>
      </c>
      <c r="AB610" t="s">
        <v>1264</v>
      </c>
      <c r="AC610" t="s">
        <v>9141</v>
      </c>
    </row>
    <row r="611" spans="1:29" x14ac:dyDescent="0.3">
      <c r="A611">
        <v>-73.959454769999994</v>
      </c>
      <c r="B611">
        <v>40.78392333</v>
      </c>
      <c r="C611" t="s">
        <v>52</v>
      </c>
      <c r="D611" t="s">
        <v>38</v>
      </c>
      <c r="E611" s="58">
        <v>43392</v>
      </c>
      <c r="F611">
        <v>9</v>
      </c>
      <c r="G611" t="s">
        <v>48</v>
      </c>
      <c r="H611" t="s">
        <v>42</v>
      </c>
      <c r="I611" t="s">
        <v>59</v>
      </c>
      <c r="J611" t="s">
        <v>43</v>
      </c>
      <c r="K611" t="s">
        <v>1666</v>
      </c>
      <c r="L611" t="s">
        <v>65</v>
      </c>
      <c r="M611" t="b">
        <v>0</v>
      </c>
      <c r="N611" t="s">
        <v>190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1</v>
      </c>
      <c r="AA611" t="b">
        <v>0</v>
      </c>
      <c r="AB611" t="s">
        <v>4410</v>
      </c>
      <c r="AC611" t="s">
        <v>9142</v>
      </c>
    </row>
    <row r="612" spans="1:29" x14ac:dyDescent="0.3">
      <c r="A612">
        <v>-73.979922729999998</v>
      </c>
      <c r="B612">
        <v>40.79589636</v>
      </c>
      <c r="C612" t="s">
        <v>281</v>
      </c>
      <c r="D612" t="s">
        <v>38</v>
      </c>
      <c r="E612" s="58">
        <v>43389</v>
      </c>
      <c r="F612">
        <v>23</v>
      </c>
      <c r="G612" t="s">
        <v>105</v>
      </c>
      <c r="H612" t="s">
        <v>42</v>
      </c>
      <c r="I612" t="s">
        <v>59</v>
      </c>
      <c r="J612" t="s">
        <v>43</v>
      </c>
      <c r="K612" t="s">
        <v>5180</v>
      </c>
      <c r="L612" t="s">
        <v>65</v>
      </c>
      <c r="M612" t="b">
        <v>0</v>
      </c>
      <c r="N612" t="s">
        <v>6242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1</v>
      </c>
      <c r="AA612" t="b">
        <v>0</v>
      </c>
      <c r="AB612" t="s">
        <v>2555</v>
      </c>
      <c r="AC612" t="s">
        <v>9143</v>
      </c>
    </row>
    <row r="613" spans="1:29" x14ac:dyDescent="0.3">
      <c r="A613">
        <v>-73.956027669999997</v>
      </c>
      <c r="B613">
        <v>40.78782666</v>
      </c>
      <c r="C613" t="s">
        <v>729</v>
      </c>
      <c r="D613" t="s">
        <v>33</v>
      </c>
      <c r="E613" s="58">
        <v>43385</v>
      </c>
      <c r="F613">
        <v>7</v>
      </c>
      <c r="G613" t="s">
        <v>48</v>
      </c>
      <c r="H613" t="s">
        <v>53</v>
      </c>
      <c r="I613" t="s">
        <v>59</v>
      </c>
      <c r="J613" t="s">
        <v>54</v>
      </c>
      <c r="K613" t="s">
        <v>2943</v>
      </c>
      <c r="L613" t="s">
        <v>44</v>
      </c>
      <c r="M613">
        <v>8</v>
      </c>
      <c r="N613" t="s">
        <v>4576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1</v>
      </c>
      <c r="AB613" t="s">
        <v>340</v>
      </c>
      <c r="AC613" t="s">
        <v>9144</v>
      </c>
    </row>
    <row r="614" spans="1:29" x14ac:dyDescent="0.3">
      <c r="A614">
        <v>-73.961419390000003</v>
      </c>
      <c r="B614">
        <v>40.78367497</v>
      </c>
      <c r="C614" t="s">
        <v>520</v>
      </c>
      <c r="D614" t="s">
        <v>33</v>
      </c>
      <c r="E614" s="58">
        <v>43387</v>
      </c>
      <c r="F614">
        <v>3</v>
      </c>
      <c r="G614" t="s">
        <v>48</v>
      </c>
      <c r="H614" t="s">
        <v>42</v>
      </c>
      <c r="I614" t="s">
        <v>96</v>
      </c>
      <c r="J614" t="s">
        <v>43</v>
      </c>
      <c r="K614" t="s">
        <v>6869</v>
      </c>
      <c r="L614" t="s">
        <v>44</v>
      </c>
      <c r="M614">
        <v>25</v>
      </c>
      <c r="N614" t="s">
        <v>2996</v>
      </c>
      <c r="O614" t="b">
        <v>1</v>
      </c>
      <c r="P614" t="b">
        <v>0</v>
      </c>
      <c r="Q614" t="b">
        <v>0</v>
      </c>
      <c r="R614" t="b">
        <v>1</v>
      </c>
      <c r="S614" t="b">
        <v>1</v>
      </c>
      <c r="T614" t="b">
        <v>0</v>
      </c>
      <c r="U614" t="b">
        <v>0</v>
      </c>
      <c r="V614" t="b">
        <v>0</v>
      </c>
      <c r="W614" t="b">
        <v>0</v>
      </c>
      <c r="X614" t="b">
        <v>1</v>
      </c>
      <c r="Y614" t="b">
        <v>0</v>
      </c>
      <c r="Z614" t="b">
        <v>0</v>
      </c>
      <c r="AA614" t="b">
        <v>1</v>
      </c>
      <c r="AB614" t="s">
        <v>7114</v>
      </c>
      <c r="AC614" t="s">
        <v>9145</v>
      </c>
    </row>
    <row r="615" spans="1:29" x14ac:dyDescent="0.3">
      <c r="A615">
        <v>-73.978588340000002</v>
      </c>
      <c r="B615">
        <v>40.776329760000003</v>
      </c>
      <c r="C615" t="s">
        <v>1049</v>
      </c>
      <c r="D615" t="s">
        <v>38</v>
      </c>
      <c r="E615" s="58">
        <v>43384</v>
      </c>
      <c r="F615">
        <v>26</v>
      </c>
      <c r="G615" t="s">
        <v>48</v>
      </c>
      <c r="H615" t="s">
        <v>42</v>
      </c>
      <c r="I615" t="s">
        <v>176</v>
      </c>
      <c r="J615" t="s">
        <v>97</v>
      </c>
      <c r="K615" t="s">
        <v>2637</v>
      </c>
      <c r="L615" t="s">
        <v>65</v>
      </c>
      <c r="M615" t="b">
        <v>0</v>
      </c>
      <c r="N615" t="s">
        <v>6841</v>
      </c>
      <c r="O615" t="b">
        <v>0</v>
      </c>
      <c r="P615" t="b">
        <v>0</v>
      </c>
      <c r="Q615" t="b">
        <v>0</v>
      </c>
      <c r="R615" t="b">
        <v>0</v>
      </c>
      <c r="S615" t="b">
        <v>1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1</v>
      </c>
      <c r="AA615" t="b">
        <v>0</v>
      </c>
      <c r="AB615" t="s">
        <v>630</v>
      </c>
      <c r="AC615" t="s">
        <v>9146</v>
      </c>
    </row>
    <row r="616" spans="1:29" x14ac:dyDescent="0.3">
      <c r="A616">
        <v>-73.953696050000005</v>
      </c>
      <c r="B616">
        <v>40.776634950000002</v>
      </c>
      <c r="C616" t="s">
        <v>225</v>
      </c>
      <c r="D616" t="s">
        <v>33</v>
      </c>
      <c r="E616" s="58">
        <v>43383</v>
      </c>
      <c r="F616">
        <v>18</v>
      </c>
      <c r="G616" t="s">
        <v>48</v>
      </c>
      <c r="H616" t="s">
        <v>42</v>
      </c>
      <c r="I616" t="s">
        <v>53</v>
      </c>
      <c r="J616" t="s">
        <v>54</v>
      </c>
      <c r="K616" t="s">
        <v>1934</v>
      </c>
      <c r="L616" t="s">
        <v>65</v>
      </c>
      <c r="M616" t="b">
        <v>0</v>
      </c>
      <c r="N616" t="s">
        <v>2032</v>
      </c>
      <c r="O616" t="b">
        <v>1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1</v>
      </c>
      <c r="Y616" t="b">
        <v>0</v>
      </c>
      <c r="Z616" t="b">
        <v>0</v>
      </c>
      <c r="AA616" t="b">
        <v>0</v>
      </c>
      <c r="AB616" t="s">
        <v>1288</v>
      </c>
      <c r="AC616" t="s">
        <v>9147</v>
      </c>
    </row>
    <row r="617" spans="1:29" x14ac:dyDescent="0.3">
      <c r="A617">
        <v>-73.952209289999999</v>
      </c>
      <c r="B617">
        <v>40.788481859999997</v>
      </c>
      <c r="C617" t="s">
        <v>455</v>
      </c>
      <c r="D617" t="s">
        <v>33</v>
      </c>
      <c r="E617" s="58">
        <v>43390</v>
      </c>
      <c r="F617">
        <v>11</v>
      </c>
      <c r="G617" t="s">
        <v>48</v>
      </c>
      <c r="H617" t="s">
        <v>42</v>
      </c>
      <c r="I617" t="s">
        <v>53</v>
      </c>
      <c r="J617" t="s">
        <v>43</v>
      </c>
      <c r="K617" t="s">
        <v>2382</v>
      </c>
      <c r="L617" t="s">
        <v>65</v>
      </c>
      <c r="M617" t="b">
        <v>0</v>
      </c>
      <c r="N617" t="s">
        <v>5858</v>
      </c>
      <c r="O617" t="b">
        <v>0</v>
      </c>
      <c r="P617" t="b">
        <v>0</v>
      </c>
      <c r="Q617" t="b">
        <v>0</v>
      </c>
      <c r="R617" t="b">
        <v>0</v>
      </c>
      <c r="S617" t="b">
        <v>1</v>
      </c>
      <c r="T617" t="b">
        <v>0</v>
      </c>
      <c r="U617" t="b">
        <v>0</v>
      </c>
      <c r="V617" t="b">
        <v>0</v>
      </c>
      <c r="W617" t="b">
        <v>0</v>
      </c>
      <c r="X617" t="b">
        <v>1</v>
      </c>
      <c r="Y617" t="b">
        <v>1</v>
      </c>
      <c r="Z617" t="b">
        <v>1</v>
      </c>
      <c r="AA617" t="b">
        <v>0</v>
      </c>
      <c r="AB617" t="s">
        <v>867</v>
      </c>
      <c r="AC617" t="s">
        <v>9148</v>
      </c>
    </row>
    <row r="618" spans="1:29" x14ac:dyDescent="0.3">
      <c r="A618">
        <v>-73.979238480000006</v>
      </c>
      <c r="B618">
        <v>40.79991218</v>
      </c>
      <c r="C618" t="s">
        <v>104</v>
      </c>
      <c r="D618" t="s">
        <v>38</v>
      </c>
      <c r="E618" s="58">
        <v>43385</v>
      </c>
      <c r="F618">
        <v>7</v>
      </c>
      <c r="G618" t="s">
        <v>48</v>
      </c>
      <c r="H618" t="s">
        <v>42</v>
      </c>
      <c r="I618" t="s">
        <v>115</v>
      </c>
      <c r="J618" t="s">
        <v>43</v>
      </c>
      <c r="K618" t="s">
        <v>1934</v>
      </c>
      <c r="L618" t="s">
        <v>65</v>
      </c>
      <c r="M618" t="b">
        <v>0</v>
      </c>
      <c r="N618" t="s">
        <v>5666</v>
      </c>
      <c r="O618" t="b">
        <v>0</v>
      </c>
      <c r="P618" t="b">
        <v>0</v>
      </c>
      <c r="Q618" t="b">
        <v>0</v>
      </c>
      <c r="R618" t="b">
        <v>1</v>
      </c>
      <c r="S618" t="b">
        <v>0</v>
      </c>
      <c r="T618" t="b">
        <v>0</v>
      </c>
      <c r="U618" t="b">
        <v>0</v>
      </c>
      <c r="V618" t="b">
        <v>0</v>
      </c>
      <c r="W618" t="b">
        <v>1</v>
      </c>
      <c r="X618" t="b">
        <v>0</v>
      </c>
      <c r="Y618" t="b">
        <v>0</v>
      </c>
      <c r="Z618" t="b">
        <v>1</v>
      </c>
      <c r="AA618" t="b">
        <v>0</v>
      </c>
      <c r="AB618" t="s">
        <v>1751</v>
      </c>
      <c r="AC618" t="s">
        <v>9149</v>
      </c>
    </row>
    <row r="619" spans="1:29" x14ac:dyDescent="0.3">
      <c r="A619">
        <v>-73.972454429999999</v>
      </c>
      <c r="B619">
        <v>40.788212600000001</v>
      </c>
      <c r="C619" t="s">
        <v>402</v>
      </c>
      <c r="D619" t="s">
        <v>38</v>
      </c>
      <c r="E619" s="58">
        <v>43391</v>
      </c>
      <c r="F619">
        <v>9</v>
      </c>
      <c r="G619" t="s">
        <v>48</v>
      </c>
      <c r="H619" t="s">
        <v>42</v>
      </c>
      <c r="I619" t="s">
        <v>59</v>
      </c>
      <c r="J619" t="s">
        <v>89</v>
      </c>
      <c r="K619" t="s">
        <v>1381</v>
      </c>
      <c r="L619" t="s">
        <v>44</v>
      </c>
      <c r="M619">
        <v>15</v>
      </c>
      <c r="N619" t="s">
        <v>3957</v>
      </c>
      <c r="O619" t="b">
        <v>0</v>
      </c>
      <c r="P619" t="b">
        <v>0</v>
      </c>
      <c r="Q619" t="b">
        <v>1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s">
        <v>4410</v>
      </c>
      <c r="AC619" t="s">
        <v>9150</v>
      </c>
    </row>
    <row r="620" spans="1:29" x14ac:dyDescent="0.3">
      <c r="A620">
        <v>-73.955814180000004</v>
      </c>
      <c r="B620">
        <v>40.78454902</v>
      </c>
      <c r="C620" t="s">
        <v>386</v>
      </c>
      <c r="D620" t="s">
        <v>38</v>
      </c>
      <c r="E620" s="58">
        <v>43379</v>
      </c>
      <c r="F620">
        <v>1</v>
      </c>
      <c r="G620" t="s">
        <v>105</v>
      </c>
      <c r="H620" t="s">
        <v>53</v>
      </c>
      <c r="I620" t="s">
        <v>59</v>
      </c>
      <c r="J620" t="s">
        <v>43</v>
      </c>
      <c r="K620" t="s">
        <v>2319</v>
      </c>
      <c r="L620" t="s">
        <v>65</v>
      </c>
      <c r="M620" t="b">
        <v>0</v>
      </c>
      <c r="N620" t="s">
        <v>1207</v>
      </c>
      <c r="O620" t="b">
        <v>0</v>
      </c>
      <c r="P620" t="b">
        <v>0</v>
      </c>
      <c r="Q620" t="b">
        <v>0</v>
      </c>
      <c r="R620" t="b">
        <v>1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1</v>
      </c>
      <c r="AA620" t="b">
        <v>0</v>
      </c>
      <c r="AB620" t="s">
        <v>5863</v>
      </c>
      <c r="AC620" t="s">
        <v>9151</v>
      </c>
    </row>
    <row r="621" spans="1:29" x14ac:dyDescent="0.3">
      <c r="A621">
        <v>-73.957635679999996</v>
      </c>
      <c r="B621">
        <v>40.790635299999998</v>
      </c>
      <c r="C621" t="s">
        <v>225</v>
      </c>
      <c r="D621" t="s">
        <v>33</v>
      </c>
      <c r="E621" s="58">
        <v>43389</v>
      </c>
      <c r="F621">
        <v>29</v>
      </c>
      <c r="G621" t="s">
        <v>48</v>
      </c>
      <c r="H621" t="s">
        <v>42</v>
      </c>
      <c r="I621" t="s">
        <v>59</v>
      </c>
      <c r="J621" t="s">
        <v>79</v>
      </c>
      <c r="K621" t="s">
        <v>5481</v>
      </c>
      <c r="L621" t="s">
        <v>44</v>
      </c>
      <c r="M621">
        <v>40</v>
      </c>
      <c r="N621" t="s">
        <v>456</v>
      </c>
      <c r="O621" t="b">
        <v>1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s">
        <v>418</v>
      </c>
      <c r="AC621" t="s">
        <v>9152</v>
      </c>
    </row>
    <row r="622" spans="1:29" x14ac:dyDescent="0.3">
      <c r="A622">
        <v>-73.975357829999993</v>
      </c>
      <c r="B622">
        <v>40.781289559999998</v>
      </c>
      <c r="C622" t="s">
        <v>549</v>
      </c>
      <c r="D622" t="s">
        <v>38</v>
      </c>
      <c r="E622" s="58">
        <v>43392</v>
      </c>
      <c r="F622">
        <v>14</v>
      </c>
      <c r="G622" t="s">
        <v>48</v>
      </c>
      <c r="H622" t="s">
        <v>42</v>
      </c>
      <c r="I622" t="s">
        <v>53</v>
      </c>
      <c r="J622" t="s">
        <v>54</v>
      </c>
      <c r="K622" t="s">
        <v>2503</v>
      </c>
      <c r="L622" t="s">
        <v>65</v>
      </c>
      <c r="M622" t="b">
        <v>0</v>
      </c>
      <c r="N622" t="s">
        <v>664</v>
      </c>
      <c r="O622" t="b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1</v>
      </c>
      <c r="Y622" t="b">
        <v>0</v>
      </c>
      <c r="Z622" t="b">
        <v>0</v>
      </c>
      <c r="AA622" t="b">
        <v>0</v>
      </c>
      <c r="AB622" t="s">
        <v>1643</v>
      </c>
      <c r="AC622" t="s">
        <v>9153</v>
      </c>
    </row>
    <row r="623" spans="1:29" x14ac:dyDescent="0.3">
      <c r="A623">
        <v>-73.974577310000001</v>
      </c>
      <c r="B623">
        <v>40.767028150000002</v>
      </c>
      <c r="C623" t="s">
        <v>271</v>
      </c>
      <c r="D623" t="s">
        <v>33</v>
      </c>
      <c r="E623" s="58">
        <v>43383</v>
      </c>
      <c r="F623">
        <v>20</v>
      </c>
      <c r="G623" t="s">
        <v>48</v>
      </c>
      <c r="H623" t="s">
        <v>42</v>
      </c>
      <c r="I623" t="s">
        <v>96</v>
      </c>
      <c r="J623" t="s">
        <v>79</v>
      </c>
      <c r="K623" t="s">
        <v>1472</v>
      </c>
      <c r="L623" t="s">
        <v>65</v>
      </c>
      <c r="M623" t="b">
        <v>0</v>
      </c>
      <c r="N623" t="s">
        <v>524</v>
      </c>
      <c r="O623" t="b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1</v>
      </c>
      <c r="AB623" t="s">
        <v>5863</v>
      </c>
      <c r="AC623" t="s">
        <v>9154</v>
      </c>
    </row>
    <row r="624" spans="1:29" x14ac:dyDescent="0.3">
      <c r="A624">
        <v>-73.969512120000005</v>
      </c>
      <c r="B624">
        <v>40.784707930000003</v>
      </c>
      <c r="C624" t="s">
        <v>250</v>
      </c>
      <c r="D624" t="s">
        <v>33</v>
      </c>
      <c r="E624" s="58">
        <v>43393</v>
      </c>
      <c r="F624">
        <v>6</v>
      </c>
      <c r="G624" t="s">
        <v>48</v>
      </c>
      <c r="H624" t="s">
        <v>42</v>
      </c>
      <c r="I624" t="s">
        <v>96</v>
      </c>
      <c r="J624" t="s">
        <v>54</v>
      </c>
      <c r="K624" t="s">
        <v>1005</v>
      </c>
      <c r="L624" t="s">
        <v>65</v>
      </c>
      <c r="M624" t="b">
        <v>0</v>
      </c>
      <c r="N624" t="s">
        <v>4406</v>
      </c>
      <c r="O624" t="b">
        <v>0</v>
      </c>
      <c r="P624" t="b">
        <v>0</v>
      </c>
      <c r="Q624" t="b">
        <v>0</v>
      </c>
      <c r="R624" t="b">
        <v>1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1</v>
      </c>
      <c r="AA624" t="b">
        <v>0</v>
      </c>
      <c r="AB624" t="s">
        <v>6280</v>
      </c>
      <c r="AC624" t="s">
        <v>9155</v>
      </c>
    </row>
    <row r="625" spans="1:29" x14ac:dyDescent="0.3">
      <c r="A625">
        <v>-73.965926719999999</v>
      </c>
      <c r="B625">
        <v>40.798626599999999</v>
      </c>
      <c r="C625" t="s">
        <v>1145</v>
      </c>
      <c r="D625" t="s">
        <v>38</v>
      </c>
      <c r="E625" s="58">
        <v>43380</v>
      </c>
      <c r="F625">
        <v>7</v>
      </c>
      <c r="G625" t="s">
        <v>105</v>
      </c>
      <c r="H625" t="s">
        <v>42</v>
      </c>
      <c r="I625" t="s">
        <v>53</v>
      </c>
      <c r="J625" t="s">
        <v>43</v>
      </c>
      <c r="K625" t="s">
        <v>1259</v>
      </c>
      <c r="L625" t="s">
        <v>65</v>
      </c>
      <c r="M625" t="b">
        <v>0</v>
      </c>
      <c r="N625" t="s">
        <v>3957</v>
      </c>
      <c r="O625" t="b">
        <v>1</v>
      </c>
      <c r="P625" t="b">
        <v>0</v>
      </c>
      <c r="Q625" t="b">
        <v>0</v>
      </c>
      <c r="R625" t="b">
        <v>0</v>
      </c>
      <c r="S625" t="b">
        <v>1</v>
      </c>
      <c r="T625" t="b">
        <v>0</v>
      </c>
      <c r="U625" t="b">
        <v>0</v>
      </c>
      <c r="V625" t="b">
        <v>0</v>
      </c>
      <c r="W625" t="b">
        <v>0</v>
      </c>
      <c r="X625" t="b">
        <v>1</v>
      </c>
      <c r="Y625" t="b">
        <v>0</v>
      </c>
      <c r="Z625" t="b">
        <v>1</v>
      </c>
      <c r="AA625" t="b">
        <v>0</v>
      </c>
      <c r="AB625" t="s">
        <v>5699</v>
      </c>
      <c r="AC625" t="s">
        <v>9156</v>
      </c>
    </row>
    <row r="626" spans="1:29" x14ac:dyDescent="0.3">
      <c r="A626">
        <v>-73.961722620000003</v>
      </c>
      <c r="B626">
        <v>40.771082710000002</v>
      </c>
      <c r="C626" t="s">
        <v>428</v>
      </c>
      <c r="D626" t="s">
        <v>33</v>
      </c>
      <c r="E626" s="58">
        <v>43382</v>
      </c>
      <c r="F626">
        <v>10</v>
      </c>
      <c r="G626" t="s">
        <v>48</v>
      </c>
      <c r="H626" t="s">
        <v>42</v>
      </c>
      <c r="I626" t="s">
        <v>53</v>
      </c>
      <c r="J626" t="s">
        <v>43</v>
      </c>
      <c r="K626" t="s">
        <v>4237</v>
      </c>
      <c r="L626" t="s">
        <v>44</v>
      </c>
      <c r="M626">
        <v>15</v>
      </c>
      <c r="N626" t="s">
        <v>6273</v>
      </c>
      <c r="O626" t="b">
        <v>0</v>
      </c>
      <c r="P626" t="b">
        <v>0</v>
      </c>
      <c r="Q626" t="b">
        <v>0</v>
      </c>
      <c r="R626" t="b">
        <v>1</v>
      </c>
      <c r="S626" t="b">
        <v>1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1</v>
      </c>
      <c r="AA626" t="b">
        <v>1</v>
      </c>
      <c r="AB626" t="s">
        <v>536</v>
      </c>
      <c r="AC626" t="s">
        <v>9157</v>
      </c>
    </row>
    <row r="627" spans="1:29" x14ac:dyDescent="0.3">
      <c r="A627">
        <v>-73.969561110000001</v>
      </c>
      <c r="B627">
        <v>40.789204259999998</v>
      </c>
      <c r="C627" t="s">
        <v>943</v>
      </c>
      <c r="D627" t="s">
        <v>33</v>
      </c>
      <c r="E627" s="58">
        <v>43385</v>
      </c>
      <c r="F627">
        <v>7</v>
      </c>
      <c r="G627" t="s">
        <v>48</v>
      </c>
      <c r="H627" t="s">
        <v>42</v>
      </c>
      <c r="I627" t="s">
        <v>42</v>
      </c>
      <c r="J627" t="s">
        <v>43</v>
      </c>
      <c r="K627" t="s">
        <v>5682</v>
      </c>
      <c r="L627" t="s">
        <v>65</v>
      </c>
      <c r="M627" t="b">
        <v>0</v>
      </c>
      <c r="N627" t="s">
        <v>190</v>
      </c>
      <c r="O627" t="b">
        <v>0</v>
      </c>
      <c r="P627" t="b">
        <v>0</v>
      </c>
      <c r="Q627" t="b">
        <v>0</v>
      </c>
      <c r="R627" t="b">
        <v>0</v>
      </c>
      <c r="S627" t="b">
        <v>1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s">
        <v>340</v>
      </c>
      <c r="AC627" t="s">
        <v>9158</v>
      </c>
    </row>
    <row r="628" spans="1:29" x14ac:dyDescent="0.3">
      <c r="A628">
        <v>-73.966617959999994</v>
      </c>
      <c r="B628">
        <v>40.771985110000003</v>
      </c>
      <c r="C628" t="s">
        <v>85</v>
      </c>
      <c r="D628" t="s">
        <v>33</v>
      </c>
      <c r="E628" s="58">
        <v>43383</v>
      </c>
      <c r="F628">
        <v>26</v>
      </c>
      <c r="G628" t="s">
        <v>48</v>
      </c>
      <c r="H628" t="s">
        <v>42</v>
      </c>
      <c r="I628" t="s">
        <v>53</v>
      </c>
      <c r="J628" t="s">
        <v>54</v>
      </c>
      <c r="K628" t="s">
        <v>7072</v>
      </c>
      <c r="L628" t="s">
        <v>44</v>
      </c>
      <c r="M628">
        <v>15</v>
      </c>
      <c r="N628" t="s">
        <v>4541</v>
      </c>
      <c r="O628" t="b">
        <v>0</v>
      </c>
      <c r="P628" t="b">
        <v>0</v>
      </c>
      <c r="Q628" t="b">
        <v>1</v>
      </c>
      <c r="R628" t="b">
        <v>0</v>
      </c>
      <c r="S628" t="b">
        <v>1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s">
        <v>6121</v>
      </c>
      <c r="AC628" t="s">
        <v>9159</v>
      </c>
    </row>
    <row r="629" spans="1:29" x14ac:dyDescent="0.3">
      <c r="A629">
        <v>-73.957660480000001</v>
      </c>
      <c r="B629">
        <v>40.783776009999997</v>
      </c>
      <c r="C629" t="s">
        <v>1035</v>
      </c>
      <c r="D629" t="s">
        <v>38</v>
      </c>
      <c r="E629" s="58">
        <v>43390</v>
      </c>
      <c r="F629">
        <v>2</v>
      </c>
      <c r="G629" t="s">
        <v>48</v>
      </c>
      <c r="H629" t="s">
        <v>42</v>
      </c>
      <c r="I629" t="s">
        <v>42</v>
      </c>
      <c r="J629" t="s">
        <v>79</v>
      </c>
      <c r="K629" t="s">
        <v>977</v>
      </c>
      <c r="L629" t="s">
        <v>65</v>
      </c>
      <c r="M629" t="b">
        <v>0</v>
      </c>
      <c r="N629" t="s">
        <v>6557</v>
      </c>
      <c r="O629" t="b">
        <v>0</v>
      </c>
      <c r="P629" t="b">
        <v>0</v>
      </c>
      <c r="Q629" t="b">
        <v>0</v>
      </c>
      <c r="R629" t="b">
        <v>0</v>
      </c>
      <c r="S629" t="b">
        <v>1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1</v>
      </c>
      <c r="AA629" t="b">
        <v>0</v>
      </c>
      <c r="AB629" t="s">
        <v>511</v>
      </c>
      <c r="AC629" t="s">
        <v>9160</v>
      </c>
    </row>
    <row r="630" spans="1:29" x14ac:dyDescent="0.3">
      <c r="A630">
        <v>-73.980005379999994</v>
      </c>
      <c r="B630">
        <v>40.768314439999997</v>
      </c>
      <c r="C630" t="s">
        <v>139</v>
      </c>
      <c r="D630" t="s">
        <v>38</v>
      </c>
      <c r="E630" s="58">
        <v>43384</v>
      </c>
      <c r="F630">
        <v>30</v>
      </c>
      <c r="G630" t="s">
        <v>48</v>
      </c>
      <c r="H630" t="s">
        <v>42</v>
      </c>
      <c r="I630" t="s">
        <v>53</v>
      </c>
      <c r="J630" t="s">
        <v>43</v>
      </c>
      <c r="K630" t="s">
        <v>4791</v>
      </c>
      <c r="L630" t="s">
        <v>44</v>
      </c>
      <c r="M630">
        <v>5</v>
      </c>
      <c r="N630" t="s">
        <v>4326</v>
      </c>
      <c r="O630" t="b">
        <v>0</v>
      </c>
      <c r="P630" t="b">
        <v>0</v>
      </c>
      <c r="Q630" t="b">
        <v>0</v>
      </c>
      <c r="R630" t="b">
        <v>0</v>
      </c>
      <c r="S630" t="b">
        <v>1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s">
        <v>1222</v>
      </c>
      <c r="AC630" t="s">
        <v>9161</v>
      </c>
    </row>
    <row r="631" spans="1:29" x14ac:dyDescent="0.3">
      <c r="A631">
        <v>-73.973222770000007</v>
      </c>
      <c r="B631">
        <v>40.780767259999998</v>
      </c>
      <c r="C631" t="s">
        <v>726</v>
      </c>
      <c r="D631" t="s">
        <v>38</v>
      </c>
      <c r="E631" s="58">
        <v>43380</v>
      </c>
      <c r="F631">
        <v>4</v>
      </c>
      <c r="G631" t="s">
        <v>48</v>
      </c>
      <c r="H631" t="s">
        <v>42</v>
      </c>
      <c r="I631" t="s">
        <v>59</v>
      </c>
      <c r="J631" t="s">
        <v>43</v>
      </c>
      <c r="K631" t="s">
        <v>5933</v>
      </c>
      <c r="L631" t="s">
        <v>65</v>
      </c>
      <c r="M631" t="b">
        <v>0</v>
      </c>
      <c r="N631" t="s">
        <v>456</v>
      </c>
      <c r="O631" t="b">
        <v>0</v>
      </c>
      <c r="P631" t="b">
        <v>0</v>
      </c>
      <c r="Q631" t="b">
        <v>1</v>
      </c>
      <c r="R631" t="b">
        <v>1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1</v>
      </c>
      <c r="AA631" t="b">
        <v>0</v>
      </c>
      <c r="AB631" t="s">
        <v>1367</v>
      </c>
      <c r="AC631" t="s">
        <v>9162</v>
      </c>
    </row>
    <row r="632" spans="1:29" x14ac:dyDescent="0.3">
      <c r="A632">
        <v>-73.958733140000007</v>
      </c>
      <c r="B632">
        <v>40.791533549999997</v>
      </c>
      <c r="C632" t="s">
        <v>1401</v>
      </c>
      <c r="D632" t="s">
        <v>38</v>
      </c>
      <c r="E632" s="58">
        <v>43381</v>
      </c>
      <c r="F632">
        <v>21</v>
      </c>
      <c r="G632" t="s">
        <v>48</v>
      </c>
      <c r="H632" t="s">
        <v>42</v>
      </c>
      <c r="I632" t="s">
        <v>115</v>
      </c>
      <c r="J632" t="s">
        <v>54</v>
      </c>
      <c r="K632" t="s">
        <v>820</v>
      </c>
      <c r="L632" t="s">
        <v>44</v>
      </c>
      <c r="M632">
        <v>30</v>
      </c>
      <c r="N632" t="s">
        <v>190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1</v>
      </c>
      <c r="AA632" t="b">
        <v>0</v>
      </c>
      <c r="AB632" t="s">
        <v>75</v>
      </c>
      <c r="AC632" t="s">
        <v>9163</v>
      </c>
    </row>
    <row r="633" spans="1:29" x14ac:dyDescent="0.3">
      <c r="A633">
        <v>-73.953016129999995</v>
      </c>
      <c r="B633">
        <v>40.777147909999997</v>
      </c>
      <c r="C633" t="s">
        <v>2011</v>
      </c>
      <c r="D633" t="s">
        <v>33</v>
      </c>
      <c r="E633" s="58">
        <v>43385</v>
      </c>
      <c r="F633">
        <v>30</v>
      </c>
      <c r="G633" t="s">
        <v>48</v>
      </c>
      <c r="H633" t="s">
        <v>42</v>
      </c>
      <c r="I633" t="s">
        <v>59</v>
      </c>
      <c r="J633" t="s">
        <v>79</v>
      </c>
      <c r="K633" t="s">
        <v>2503</v>
      </c>
      <c r="L633" t="s">
        <v>44</v>
      </c>
      <c r="M633">
        <v>20</v>
      </c>
      <c r="N633" t="s">
        <v>190</v>
      </c>
      <c r="O633" t="b">
        <v>1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  <c r="V633" t="b">
        <v>0</v>
      </c>
      <c r="W633" t="b">
        <v>0</v>
      </c>
      <c r="X633" t="b">
        <v>1</v>
      </c>
      <c r="Y633" t="b">
        <v>0</v>
      </c>
      <c r="Z633" t="b">
        <v>1</v>
      </c>
      <c r="AA633" t="b">
        <v>0</v>
      </c>
      <c r="AB633" t="s">
        <v>4974</v>
      </c>
      <c r="AC633" t="s">
        <v>9164</v>
      </c>
    </row>
    <row r="634" spans="1:29" x14ac:dyDescent="0.3">
      <c r="A634">
        <v>-73.965073070000003</v>
      </c>
      <c r="B634">
        <v>40.788320779999999</v>
      </c>
      <c r="C634" t="s">
        <v>729</v>
      </c>
      <c r="D634" t="s">
        <v>33</v>
      </c>
      <c r="E634" s="58">
        <v>43389</v>
      </c>
      <c r="F634">
        <v>28</v>
      </c>
      <c r="G634" t="s">
        <v>48</v>
      </c>
      <c r="H634" t="s">
        <v>42</v>
      </c>
      <c r="I634" t="s">
        <v>59</v>
      </c>
      <c r="J634" t="s">
        <v>149</v>
      </c>
      <c r="K634" t="s">
        <v>531</v>
      </c>
      <c r="L634" t="s">
        <v>44</v>
      </c>
      <c r="M634">
        <v>7</v>
      </c>
      <c r="N634" t="s">
        <v>2119</v>
      </c>
      <c r="O634" t="b">
        <v>0</v>
      </c>
      <c r="P634" t="b">
        <v>0</v>
      </c>
      <c r="Q634" t="b">
        <v>1</v>
      </c>
      <c r="R634" t="b">
        <v>0</v>
      </c>
      <c r="S634" t="b">
        <v>1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1</v>
      </c>
      <c r="AA634" t="b">
        <v>1</v>
      </c>
      <c r="AB634" t="s">
        <v>2287</v>
      </c>
      <c r="AC634" t="s">
        <v>9165</v>
      </c>
    </row>
    <row r="635" spans="1:29" x14ac:dyDescent="0.3">
      <c r="A635">
        <v>-73.964430629999995</v>
      </c>
      <c r="B635">
        <v>40.792916750000003</v>
      </c>
      <c r="C635" t="s">
        <v>286</v>
      </c>
      <c r="D635" t="s">
        <v>33</v>
      </c>
      <c r="E635" s="58">
        <v>43380</v>
      </c>
      <c r="F635">
        <v>17</v>
      </c>
      <c r="G635" t="s">
        <v>48</v>
      </c>
      <c r="H635" t="s">
        <v>42</v>
      </c>
      <c r="I635" t="s">
        <v>59</v>
      </c>
      <c r="J635" t="s">
        <v>79</v>
      </c>
      <c r="K635" t="s">
        <v>4477</v>
      </c>
      <c r="L635" t="s">
        <v>65</v>
      </c>
      <c r="M635" t="b">
        <v>0</v>
      </c>
      <c r="N635" t="s">
        <v>2119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1</v>
      </c>
      <c r="AA635" t="b">
        <v>0</v>
      </c>
      <c r="AB635" t="s">
        <v>6939</v>
      </c>
      <c r="AC635" t="s">
        <v>9166</v>
      </c>
    </row>
    <row r="636" spans="1:29" x14ac:dyDescent="0.3">
      <c r="A636">
        <v>-73.977789430000001</v>
      </c>
      <c r="B636">
        <v>40.797554609999999</v>
      </c>
      <c r="C636" t="s">
        <v>147</v>
      </c>
      <c r="D636" t="s">
        <v>33</v>
      </c>
      <c r="E636" s="58">
        <v>43390</v>
      </c>
      <c r="F636">
        <v>1</v>
      </c>
      <c r="G636" t="s">
        <v>105</v>
      </c>
      <c r="H636" t="s">
        <v>42</v>
      </c>
      <c r="I636" t="s">
        <v>53</v>
      </c>
      <c r="J636" t="s">
        <v>54</v>
      </c>
      <c r="K636" t="s">
        <v>2282</v>
      </c>
      <c r="L636" t="s">
        <v>44</v>
      </c>
      <c r="M636">
        <v>30</v>
      </c>
      <c r="N636" t="s">
        <v>7090</v>
      </c>
      <c r="O636" t="b">
        <v>0</v>
      </c>
      <c r="P636" t="b">
        <v>0</v>
      </c>
      <c r="Q636" t="b">
        <v>1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1</v>
      </c>
      <c r="AA636" t="b">
        <v>0</v>
      </c>
      <c r="AB636" t="s">
        <v>432</v>
      </c>
      <c r="AC636" t="s">
        <v>9167</v>
      </c>
    </row>
    <row r="637" spans="1:29" x14ac:dyDescent="0.3">
      <c r="A637">
        <v>-73.967093360000007</v>
      </c>
      <c r="B637">
        <v>40.773171910000002</v>
      </c>
      <c r="C637" t="s">
        <v>585</v>
      </c>
      <c r="D637" t="s">
        <v>33</v>
      </c>
      <c r="E637" s="58">
        <v>43384</v>
      </c>
      <c r="F637">
        <v>10</v>
      </c>
      <c r="G637" t="s">
        <v>48</v>
      </c>
      <c r="H637" t="s">
        <v>42</v>
      </c>
      <c r="I637" t="s">
        <v>53</v>
      </c>
      <c r="J637" t="s">
        <v>79</v>
      </c>
      <c r="K637" t="s">
        <v>5413</v>
      </c>
      <c r="L637" t="s">
        <v>65</v>
      </c>
      <c r="M637" t="b">
        <v>0</v>
      </c>
      <c r="N637" t="s">
        <v>1730</v>
      </c>
      <c r="O637" t="b">
        <v>0</v>
      </c>
      <c r="P637" t="b">
        <v>0</v>
      </c>
      <c r="Q637" t="b">
        <v>0</v>
      </c>
      <c r="R637" t="b">
        <v>1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s">
        <v>867</v>
      </c>
      <c r="AC637" t="s">
        <v>9168</v>
      </c>
    </row>
    <row r="638" spans="1:29" x14ac:dyDescent="0.3">
      <c r="A638">
        <v>-73.964414790000006</v>
      </c>
      <c r="B638">
        <v>40.778969719999999</v>
      </c>
      <c r="C638" t="s">
        <v>1071</v>
      </c>
      <c r="D638" t="s">
        <v>38</v>
      </c>
      <c r="E638" s="58">
        <v>43383</v>
      </c>
      <c r="F638">
        <v>19</v>
      </c>
      <c r="G638" t="s">
        <v>48</v>
      </c>
      <c r="H638" t="s">
        <v>42</v>
      </c>
      <c r="I638" t="s">
        <v>1921</v>
      </c>
      <c r="J638" t="s">
        <v>116</v>
      </c>
      <c r="K638" t="s">
        <v>4939</v>
      </c>
      <c r="L638" t="s">
        <v>65</v>
      </c>
      <c r="M638" t="b">
        <v>0</v>
      </c>
      <c r="N638" t="s">
        <v>3098</v>
      </c>
      <c r="O638" t="b">
        <v>0</v>
      </c>
      <c r="P638" t="b">
        <v>0</v>
      </c>
      <c r="Q638" t="b">
        <v>0</v>
      </c>
      <c r="R638" t="b">
        <v>0</v>
      </c>
      <c r="S638" t="b">
        <v>1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1</v>
      </c>
      <c r="AB638" t="s">
        <v>7224</v>
      </c>
      <c r="AC638" t="s">
        <v>9169</v>
      </c>
    </row>
    <row r="639" spans="1:29" x14ac:dyDescent="0.3">
      <c r="A639">
        <v>-73.973536080000002</v>
      </c>
      <c r="B639">
        <v>40.77027691</v>
      </c>
      <c r="C639" t="s">
        <v>1389</v>
      </c>
      <c r="D639" t="s">
        <v>33</v>
      </c>
      <c r="E639" s="58">
        <v>43388</v>
      </c>
      <c r="F639">
        <v>15</v>
      </c>
      <c r="G639" t="s">
        <v>48</v>
      </c>
      <c r="H639" t="s">
        <v>42</v>
      </c>
      <c r="I639" t="s">
        <v>96</v>
      </c>
      <c r="J639" t="s">
        <v>89</v>
      </c>
      <c r="K639" t="s">
        <v>242</v>
      </c>
      <c r="L639" t="s">
        <v>65</v>
      </c>
      <c r="M639" t="b">
        <v>0</v>
      </c>
      <c r="N639" t="s">
        <v>2071</v>
      </c>
      <c r="O639" t="b">
        <v>1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1</v>
      </c>
      <c r="Y639" t="b">
        <v>0</v>
      </c>
      <c r="Z639" t="b">
        <v>1</v>
      </c>
      <c r="AA639" t="b">
        <v>0</v>
      </c>
      <c r="AB639" t="s">
        <v>5284</v>
      </c>
      <c r="AC639" t="s">
        <v>9170</v>
      </c>
    </row>
    <row r="640" spans="1:29" x14ac:dyDescent="0.3">
      <c r="A640">
        <v>-73.972694430000004</v>
      </c>
      <c r="B640">
        <v>40.799853880000001</v>
      </c>
      <c r="C640" t="s">
        <v>2654</v>
      </c>
      <c r="D640" t="s">
        <v>33</v>
      </c>
      <c r="E640" s="58">
        <v>43379</v>
      </c>
      <c r="F640">
        <v>10</v>
      </c>
      <c r="G640" t="s">
        <v>48</v>
      </c>
      <c r="H640" t="s">
        <v>42</v>
      </c>
      <c r="I640" t="s">
        <v>59</v>
      </c>
      <c r="J640" t="s">
        <v>54</v>
      </c>
      <c r="K640" t="s">
        <v>4180</v>
      </c>
      <c r="L640" t="s">
        <v>65</v>
      </c>
      <c r="M640" t="b">
        <v>0</v>
      </c>
      <c r="N640" t="s">
        <v>4805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1</v>
      </c>
      <c r="X640" t="b">
        <v>0</v>
      </c>
      <c r="Y640" t="b">
        <v>0</v>
      </c>
      <c r="Z640" t="b">
        <v>0</v>
      </c>
      <c r="AA640" t="b">
        <v>1</v>
      </c>
      <c r="AB640" t="s">
        <v>4025</v>
      </c>
      <c r="AC640" t="s">
        <v>9171</v>
      </c>
    </row>
    <row r="641" spans="1:29" x14ac:dyDescent="0.3">
      <c r="A641">
        <v>-73.96929797</v>
      </c>
      <c r="B641">
        <v>40.797548380000002</v>
      </c>
      <c r="C641" t="s">
        <v>2011</v>
      </c>
      <c r="D641" t="s">
        <v>33</v>
      </c>
      <c r="E641" s="58">
        <v>43390</v>
      </c>
      <c r="F641">
        <v>19</v>
      </c>
      <c r="G641" t="s">
        <v>48</v>
      </c>
      <c r="H641" t="s">
        <v>42</v>
      </c>
      <c r="I641" t="s">
        <v>53</v>
      </c>
      <c r="J641" t="s">
        <v>43</v>
      </c>
      <c r="K641" t="s">
        <v>5206</v>
      </c>
      <c r="L641" t="s">
        <v>44</v>
      </c>
      <c r="M641">
        <v>12</v>
      </c>
      <c r="N641" t="s">
        <v>6538</v>
      </c>
      <c r="O641" t="b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1</v>
      </c>
      <c r="Y641" t="b">
        <v>0</v>
      </c>
      <c r="Z641" t="b">
        <v>0</v>
      </c>
      <c r="AA641" t="b">
        <v>0</v>
      </c>
      <c r="AB641" t="s">
        <v>75</v>
      </c>
      <c r="AC641" t="s">
        <v>9172</v>
      </c>
    </row>
    <row r="642" spans="1:29" x14ac:dyDescent="0.3">
      <c r="A642">
        <v>-73.980527609999996</v>
      </c>
      <c r="B642">
        <v>40.783921399999997</v>
      </c>
      <c r="C642" t="s">
        <v>82</v>
      </c>
      <c r="D642" t="s">
        <v>33</v>
      </c>
      <c r="E642" s="58">
        <v>43389</v>
      </c>
      <c r="F642">
        <v>12</v>
      </c>
      <c r="G642" t="s">
        <v>105</v>
      </c>
      <c r="H642" t="s">
        <v>42</v>
      </c>
      <c r="I642" t="s">
        <v>53</v>
      </c>
      <c r="J642" t="s">
        <v>43</v>
      </c>
      <c r="K642" t="s">
        <v>3152</v>
      </c>
      <c r="L642" t="s">
        <v>65</v>
      </c>
      <c r="M642" t="b">
        <v>0</v>
      </c>
      <c r="N642" t="s">
        <v>4500</v>
      </c>
      <c r="O642" t="b">
        <v>0</v>
      </c>
      <c r="P642" t="b">
        <v>0</v>
      </c>
      <c r="Q642" t="b">
        <v>1</v>
      </c>
      <c r="R642" t="b">
        <v>1</v>
      </c>
      <c r="S642" t="b">
        <v>1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1</v>
      </c>
      <c r="AA642" t="b">
        <v>0</v>
      </c>
      <c r="AB642" t="s">
        <v>4464</v>
      </c>
      <c r="AC642" t="s">
        <v>9173</v>
      </c>
    </row>
    <row r="643" spans="1:29" x14ac:dyDescent="0.3">
      <c r="A643">
        <v>-73.971033439999999</v>
      </c>
      <c r="B643">
        <v>40.794556849999999</v>
      </c>
      <c r="C643" t="s">
        <v>455</v>
      </c>
      <c r="D643" t="s">
        <v>38</v>
      </c>
      <c r="E643" s="58">
        <v>43393</v>
      </c>
      <c r="F643">
        <v>24</v>
      </c>
      <c r="G643" t="s">
        <v>48</v>
      </c>
      <c r="H643" t="s">
        <v>42</v>
      </c>
      <c r="I643" t="s">
        <v>53</v>
      </c>
      <c r="J643" t="s">
        <v>54</v>
      </c>
      <c r="K643" t="s">
        <v>1666</v>
      </c>
      <c r="L643" t="s">
        <v>65</v>
      </c>
      <c r="M643" t="b">
        <v>0</v>
      </c>
      <c r="N643" t="s">
        <v>2700</v>
      </c>
      <c r="O643" t="b">
        <v>0</v>
      </c>
      <c r="P643" t="b">
        <v>0</v>
      </c>
      <c r="Q643" t="b">
        <v>0</v>
      </c>
      <c r="R643" t="b">
        <v>1</v>
      </c>
      <c r="S643" t="b">
        <v>1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1</v>
      </c>
      <c r="AB643" t="s">
        <v>3820</v>
      </c>
      <c r="AC643" t="s">
        <v>9174</v>
      </c>
    </row>
    <row r="644" spans="1:29" x14ac:dyDescent="0.3">
      <c r="A644">
        <v>-73.974511329999999</v>
      </c>
      <c r="B644">
        <v>40.783252480000002</v>
      </c>
      <c r="C644" t="s">
        <v>468</v>
      </c>
      <c r="D644" t="s">
        <v>33</v>
      </c>
      <c r="E644" s="58">
        <v>43388</v>
      </c>
      <c r="F644">
        <v>16</v>
      </c>
      <c r="G644" t="s">
        <v>105</v>
      </c>
      <c r="H644" t="s">
        <v>53</v>
      </c>
      <c r="I644" t="s">
        <v>59</v>
      </c>
      <c r="J644" t="s">
        <v>97</v>
      </c>
      <c r="K644" t="s">
        <v>1381</v>
      </c>
      <c r="L644" t="s">
        <v>65</v>
      </c>
      <c r="M644" t="b">
        <v>0</v>
      </c>
      <c r="N644" t="s">
        <v>2189</v>
      </c>
      <c r="O644" t="b">
        <v>0</v>
      </c>
      <c r="P644" t="b">
        <v>0</v>
      </c>
      <c r="Q644" t="b">
        <v>0</v>
      </c>
      <c r="R644" t="b">
        <v>1</v>
      </c>
      <c r="S644" t="b">
        <v>1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s">
        <v>1473</v>
      </c>
      <c r="AC644" t="s">
        <v>9175</v>
      </c>
    </row>
    <row r="645" spans="1:29" x14ac:dyDescent="0.3">
      <c r="A645">
        <v>-73.970863109999996</v>
      </c>
      <c r="B645">
        <v>40.786865779999999</v>
      </c>
      <c r="C645" t="s">
        <v>2861</v>
      </c>
      <c r="D645" t="s">
        <v>33</v>
      </c>
      <c r="E645" s="58">
        <v>43389</v>
      </c>
      <c r="F645">
        <v>9</v>
      </c>
      <c r="G645" t="s">
        <v>48</v>
      </c>
      <c r="H645" t="s">
        <v>42</v>
      </c>
      <c r="I645" t="s">
        <v>96</v>
      </c>
      <c r="J645" t="s">
        <v>54</v>
      </c>
      <c r="K645" t="s">
        <v>1472</v>
      </c>
      <c r="L645" t="s">
        <v>65</v>
      </c>
      <c r="M645" t="b">
        <v>0</v>
      </c>
      <c r="N645" t="s">
        <v>5295</v>
      </c>
      <c r="O645" t="b">
        <v>1</v>
      </c>
      <c r="P645" t="b">
        <v>0</v>
      </c>
      <c r="Q645" t="b">
        <v>1</v>
      </c>
      <c r="R645" t="b">
        <v>1</v>
      </c>
      <c r="S645" t="b">
        <v>1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1</v>
      </c>
      <c r="AB645" t="s">
        <v>2713</v>
      </c>
      <c r="AC645" t="s">
        <v>9176</v>
      </c>
    </row>
    <row r="646" spans="1:29" x14ac:dyDescent="0.3">
      <c r="A646">
        <v>-73.977393640000003</v>
      </c>
      <c r="B646">
        <v>40.768048550000003</v>
      </c>
      <c r="C646" t="s">
        <v>415</v>
      </c>
      <c r="D646" t="s">
        <v>38</v>
      </c>
      <c r="E646" s="58">
        <v>43382</v>
      </c>
      <c r="F646">
        <v>15</v>
      </c>
      <c r="G646" t="s">
        <v>48</v>
      </c>
      <c r="H646" t="s">
        <v>42</v>
      </c>
      <c r="I646" t="s">
        <v>59</v>
      </c>
      <c r="J646" t="s">
        <v>43</v>
      </c>
      <c r="K646" t="s">
        <v>3182</v>
      </c>
      <c r="L646" t="s">
        <v>65</v>
      </c>
      <c r="M646" t="b">
        <v>0</v>
      </c>
      <c r="N646" t="s">
        <v>120</v>
      </c>
      <c r="O646" t="b">
        <v>0</v>
      </c>
      <c r="P646" t="b">
        <v>0</v>
      </c>
      <c r="Q646" t="b">
        <v>0</v>
      </c>
      <c r="R646" t="b">
        <v>1</v>
      </c>
      <c r="S646" t="b">
        <v>0</v>
      </c>
      <c r="T646" t="b">
        <v>0</v>
      </c>
      <c r="U646" t="b">
        <v>1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s">
        <v>2713</v>
      </c>
      <c r="AC646" t="s">
        <v>9177</v>
      </c>
    </row>
    <row r="647" spans="1:29" x14ac:dyDescent="0.3">
      <c r="A647">
        <v>-73.953163239999995</v>
      </c>
      <c r="B647">
        <v>40.791502119999997</v>
      </c>
      <c r="C647" t="s">
        <v>104</v>
      </c>
      <c r="D647" t="s">
        <v>33</v>
      </c>
      <c r="E647" s="58">
        <v>43389</v>
      </c>
      <c r="F647">
        <v>30</v>
      </c>
      <c r="G647" t="s">
        <v>105</v>
      </c>
      <c r="H647" t="s">
        <v>53</v>
      </c>
      <c r="I647" t="s">
        <v>42</v>
      </c>
      <c r="J647" t="s">
        <v>97</v>
      </c>
      <c r="K647" t="s">
        <v>2503</v>
      </c>
      <c r="L647" t="s">
        <v>65</v>
      </c>
      <c r="M647" t="b">
        <v>0</v>
      </c>
      <c r="N647" t="s">
        <v>140</v>
      </c>
      <c r="O647" t="b">
        <v>0</v>
      </c>
      <c r="P647" t="b">
        <v>0</v>
      </c>
      <c r="Q647" t="b">
        <v>1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1</v>
      </c>
      <c r="AB647" t="s">
        <v>4013</v>
      </c>
      <c r="AC647" t="s">
        <v>9178</v>
      </c>
    </row>
    <row r="648" spans="1:29" x14ac:dyDescent="0.3">
      <c r="A648">
        <v>-73.962497929999998</v>
      </c>
      <c r="B648">
        <v>40.769407180000002</v>
      </c>
      <c r="C648" t="s">
        <v>4236</v>
      </c>
      <c r="D648" t="s">
        <v>33</v>
      </c>
      <c r="E648" s="58">
        <v>43380</v>
      </c>
      <c r="F648">
        <v>27</v>
      </c>
      <c r="G648" t="s">
        <v>48</v>
      </c>
      <c r="H648" t="s">
        <v>42</v>
      </c>
      <c r="I648" t="s">
        <v>53</v>
      </c>
      <c r="J648" t="s">
        <v>89</v>
      </c>
      <c r="K648" t="s">
        <v>4308</v>
      </c>
      <c r="L648" t="s">
        <v>65</v>
      </c>
      <c r="M648" t="b">
        <v>0</v>
      </c>
      <c r="N648" t="s">
        <v>748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1</v>
      </c>
      <c r="AA648" t="b">
        <v>1</v>
      </c>
      <c r="AB648" t="s">
        <v>3258</v>
      </c>
      <c r="AC648" t="s">
        <v>9179</v>
      </c>
    </row>
    <row r="649" spans="1:29" x14ac:dyDescent="0.3">
      <c r="A649">
        <v>-73.959809770000007</v>
      </c>
      <c r="B649">
        <v>40.793994730000001</v>
      </c>
      <c r="C649" t="s">
        <v>278</v>
      </c>
      <c r="D649" t="s">
        <v>33</v>
      </c>
      <c r="E649" s="58">
        <v>43382</v>
      </c>
      <c r="F649">
        <v>28</v>
      </c>
      <c r="G649" t="s">
        <v>105</v>
      </c>
      <c r="H649" t="s">
        <v>42</v>
      </c>
      <c r="I649" t="s">
        <v>53</v>
      </c>
      <c r="J649" t="s">
        <v>43</v>
      </c>
      <c r="K649" t="s">
        <v>5976</v>
      </c>
      <c r="L649" t="s">
        <v>65</v>
      </c>
      <c r="M649" t="b">
        <v>0</v>
      </c>
      <c r="N649" t="s">
        <v>190</v>
      </c>
      <c r="O649" t="b">
        <v>0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s">
        <v>121</v>
      </c>
      <c r="AC649" t="s">
        <v>9180</v>
      </c>
    </row>
    <row r="650" spans="1:29" x14ac:dyDescent="0.3">
      <c r="A650">
        <v>-73.956349549999999</v>
      </c>
      <c r="B650">
        <v>40.792444199999998</v>
      </c>
      <c r="C650" t="s">
        <v>37</v>
      </c>
      <c r="D650" t="s">
        <v>38</v>
      </c>
      <c r="E650" s="58">
        <v>43379</v>
      </c>
      <c r="F650">
        <v>17</v>
      </c>
      <c r="G650" t="s">
        <v>48</v>
      </c>
      <c r="H650" t="s">
        <v>42</v>
      </c>
      <c r="I650" t="s">
        <v>53</v>
      </c>
      <c r="J650" t="s">
        <v>79</v>
      </c>
      <c r="K650" t="s">
        <v>700</v>
      </c>
      <c r="L650" t="s">
        <v>44</v>
      </c>
      <c r="M650">
        <v>40</v>
      </c>
      <c r="N650" t="s">
        <v>3251</v>
      </c>
      <c r="O650" t="b">
        <v>1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1</v>
      </c>
      <c r="AA650" t="b">
        <v>0</v>
      </c>
      <c r="AB650" t="s">
        <v>601</v>
      </c>
      <c r="AC650" t="s">
        <v>9181</v>
      </c>
    </row>
    <row r="651" spans="1:29" x14ac:dyDescent="0.3">
      <c r="A651">
        <v>-73.965489149999996</v>
      </c>
      <c r="B651">
        <v>40.789864049999998</v>
      </c>
      <c r="C651" t="s">
        <v>782</v>
      </c>
      <c r="D651" t="s">
        <v>38</v>
      </c>
      <c r="E651" s="58">
        <v>43380</v>
      </c>
      <c r="F651">
        <v>14</v>
      </c>
      <c r="G651" t="s">
        <v>105</v>
      </c>
      <c r="H651" t="s">
        <v>42</v>
      </c>
      <c r="I651" t="s">
        <v>59</v>
      </c>
      <c r="J651" t="s">
        <v>54</v>
      </c>
      <c r="K651" t="s">
        <v>442</v>
      </c>
      <c r="L651" t="s">
        <v>44</v>
      </c>
      <c r="M651">
        <v>4</v>
      </c>
      <c r="N651" t="s">
        <v>456</v>
      </c>
      <c r="O651" t="b">
        <v>1</v>
      </c>
      <c r="P651" t="b">
        <v>0</v>
      </c>
      <c r="Q651" t="b">
        <v>0</v>
      </c>
      <c r="R651" t="b">
        <v>1</v>
      </c>
      <c r="S651" t="b">
        <v>1</v>
      </c>
      <c r="T651" t="b">
        <v>0</v>
      </c>
      <c r="U651" t="b">
        <v>0</v>
      </c>
      <c r="V651" t="b">
        <v>0</v>
      </c>
      <c r="W651" t="b">
        <v>1</v>
      </c>
      <c r="X651" t="b">
        <v>0</v>
      </c>
      <c r="Y651" t="b">
        <v>0</v>
      </c>
      <c r="Z651" t="b">
        <v>0</v>
      </c>
      <c r="AA651" t="b">
        <v>1</v>
      </c>
      <c r="AB651" t="s">
        <v>3312</v>
      </c>
      <c r="AC651" t="s">
        <v>9182</v>
      </c>
    </row>
    <row r="652" spans="1:29" x14ac:dyDescent="0.3">
      <c r="A652">
        <v>-73.978426080000006</v>
      </c>
      <c r="B652">
        <v>40.7661838</v>
      </c>
      <c r="C652" t="s">
        <v>534</v>
      </c>
      <c r="D652" t="s">
        <v>38</v>
      </c>
      <c r="E652" s="58">
        <v>43391</v>
      </c>
      <c r="F652">
        <v>27</v>
      </c>
      <c r="G652" t="s">
        <v>48</v>
      </c>
      <c r="H652" t="s">
        <v>53</v>
      </c>
      <c r="I652" t="s">
        <v>53</v>
      </c>
      <c r="J652" t="s">
        <v>177</v>
      </c>
      <c r="K652" t="s">
        <v>1754</v>
      </c>
      <c r="L652" t="s">
        <v>44</v>
      </c>
      <c r="M652">
        <v>12</v>
      </c>
      <c r="N652" t="s">
        <v>701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1</v>
      </c>
      <c r="AA652" t="b">
        <v>0</v>
      </c>
      <c r="AB652" t="s">
        <v>630</v>
      </c>
      <c r="AC652" t="s">
        <v>9183</v>
      </c>
    </row>
    <row r="653" spans="1:29" x14ac:dyDescent="0.3">
      <c r="A653">
        <v>-73.964273660000003</v>
      </c>
      <c r="B653">
        <v>40.775583169999997</v>
      </c>
      <c r="C653" t="s">
        <v>200</v>
      </c>
      <c r="D653" t="s">
        <v>33</v>
      </c>
      <c r="E653" s="58">
        <v>43386</v>
      </c>
      <c r="F653">
        <v>18</v>
      </c>
      <c r="G653" t="s">
        <v>48</v>
      </c>
      <c r="H653" t="s">
        <v>42</v>
      </c>
      <c r="I653" t="s">
        <v>115</v>
      </c>
      <c r="J653" t="s">
        <v>89</v>
      </c>
      <c r="K653" t="s">
        <v>1816</v>
      </c>
      <c r="L653" t="s">
        <v>65</v>
      </c>
      <c r="M653" t="b">
        <v>0</v>
      </c>
      <c r="N653" t="s">
        <v>2101</v>
      </c>
      <c r="O653" t="b">
        <v>0</v>
      </c>
      <c r="P653" t="b">
        <v>1</v>
      </c>
      <c r="Q653" t="b">
        <v>1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1</v>
      </c>
      <c r="AA653" t="b">
        <v>1</v>
      </c>
      <c r="AB653" t="s">
        <v>1216</v>
      </c>
      <c r="AC653" t="s">
        <v>9184</v>
      </c>
    </row>
    <row r="654" spans="1:29" x14ac:dyDescent="0.3">
      <c r="A654">
        <v>-73.962710169999994</v>
      </c>
      <c r="B654">
        <v>40.774174299999999</v>
      </c>
      <c r="C654" t="s">
        <v>200</v>
      </c>
      <c r="D654" t="s">
        <v>38</v>
      </c>
      <c r="E654" s="58">
        <v>43384</v>
      </c>
      <c r="F654">
        <v>26</v>
      </c>
      <c r="G654" t="s">
        <v>48</v>
      </c>
      <c r="H654" t="s">
        <v>42</v>
      </c>
      <c r="I654" t="s">
        <v>53</v>
      </c>
      <c r="J654" t="s">
        <v>54</v>
      </c>
      <c r="K654" t="s">
        <v>242</v>
      </c>
      <c r="L654" t="s">
        <v>65</v>
      </c>
      <c r="M654" t="b">
        <v>0</v>
      </c>
      <c r="N654" t="s">
        <v>1106</v>
      </c>
      <c r="O654" t="b">
        <v>0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s">
        <v>511</v>
      </c>
      <c r="AC654" t="s">
        <v>9185</v>
      </c>
    </row>
    <row r="655" spans="1:29" x14ac:dyDescent="0.3">
      <c r="A655">
        <v>-73.957724339999999</v>
      </c>
      <c r="B655">
        <v>40.7775903</v>
      </c>
      <c r="C655" t="s">
        <v>415</v>
      </c>
      <c r="D655" t="s">
        <v>33</v>
      </c>
      <c r="E655" s="58">
        <v>43380</v>
      </c>
      <c r="F655">
        <v>2</v>
      </c>
      <c r="G655" t="s">
        <v>48</v>
      </c>
      <c r="H655" t="s">
        <v>42</v>
      </c>
      <c r="I655" t="s">
        <v>42</v>
      </c>
      <c r="J655" t="s">
        <v>79</v>
      </c>
      <c r="K655" t="s">
        <v>809</v>
      </c>
      <c r="L655" t="s">
        <v>65</v>
      </c>
      <c r="M655" t="b">
        <v>0</v>
      </c>
      <c r="N655" t="s">
        <v>1730</v>
      </c>
      <c r="O655" t="b">
        <v>0</v>
      </c>
      <c r="P655" t="b">
        <v>0</v>
      </c>
      <c r="Q655" t="b">
        <v>0</v>
      </c>
      <c r="R655" t="b">
        <v>0</v>
      </c>
      <c r="S655" t="b">
        <v>1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1</v>
      </c>
      <c r="AA655" t="b">
        <v>0</v>
      </c>
      <c r="AB655" t="s">
        <v>272</v>
      </c>
      <c r="AC655" t="s">
        <v>9186</v>
      </c>
    </row>
    <row r="656" spans="1:29" x14ac:dyDescent="0.3">
      <c r="A656">
        <v>-73.967588579999997</v>
      </c>
      <c r="B656">
        <v>40.76799638</v>
      </c>
      <c r="C656" t="s">
        <v>1859</v>
      </c>
      <c r="D656" t="s">
        <v>33</v>
      </c>
      <c r="E656" s="58">
        <v>43390</v>
      </c>
      <c r="F656">
        <v>4</v>
      </c>
      <c r="G656" t="s">
        <v>48</v>
      </c>
      <c r="H656" t="s">
        <v>42</v>
      </c>
      <c r="I656" t="s">
        <v>59</v>
      </c>
      <c r="J656" t="s">
        <v>177</v>
      </c>
      <c r="K656" t="s">
        <v>1666</v>
      </c>
      <c r="L656" t="s">
        <v>65</v>
      </c>
      <c r="M656" t="b">
        <v>0</v>
      </c>
      <c r="N656" t="s">
        <v>2777</v>
      </c>
      <c r="O656" t="b">
        <v>0</v>
      </c>
      <c r="P656" t="b">
        <v>0</v>
      </c>
      <c r="Q656" t="b">
        <v>0</v>
      </c>
      <c r="R656" t="b">
        <v>1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s">
        <v>7278</v>
      </c>
      <c r="AC656" t="s">
        <v>9187</v>
      </c>
    </row>
    <row r="657" spans="1:29" x14ac:dyDescent="0.3">
      <c r="A657">
        <v>-73.977147860000002</v>
      </c>
      <c r="B657">
        <v>40.797898940000003</v>
      </c>
      <c r="C657" t="s">
        <v>408</v>
      </c>
      <c r="D657" t="s">
        <v>33</v>
      </c>
      <c r="E657" s="58">
        <v>43393</v>
      </c>
      <c r="F657">
        <v>18</v>
      </c>
      <c r="G657" t="s">
        <v>48</v>
      </c>
      <c r="H657" t="s">
        <v>42</v>
      </c>
      <c r="I657" t="s">
        <v>148</v>
      </c>
      <c r="J657" t="s">
        <v>54</v>
      </c>
      <c r="K657" t="s">
        <v>4180</v>
      </c>
      <c r="L657" t="s">
        <v>65</v>
      </c>
      <c r="M657" t="b">
        <v>0</v>
      </c>
      <c r="N657" t="s">
        <v>190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1</v>
      </c>
      <c r="Y657" t="b">
        <v>0</v>
      </c>
      <c r="Z657" t="b">
        <v>1</v>
      </c>
      <c r="AA657" t="b">
        <v>0</v>
      </c>
      <c r="AB657" t="s">
        <v>369</v>
      </c>
      <c r="AC657" t="s">
        <v>9188</v>
      </c>
    </row>
    <row r="658" spans="1:29" x14ac:dyDescent="0.3">
      <c r="A658">
        <v>-73.972237570000004</v>
      </c>
      <c r="B658">
        <v>40.784408849999998</v>
      </c>
      <c r="C658" t="s">
        <v>2181</v>
      </c>
      <c r="D658" t="s">
        <v>33</v>
      </c>
      <c r="E658" s="58">
        <v>43384</v>
      </c>
      <c r="F658">
        <v>7</v>
      </c>
      <c r="G658" t="s">
        <v>48</v>
      </c>
      <c r="H658" t="s">
        <v>42</v>
      </c>
      <c r="I658" t="s">
        <v>59</v>
      </c>
      <c r="J658" t="s">
        <v>54</v>
      </c>
      <c r="K658" t="s">
        <v>4785</v>
      </c>
      <c r="L658" t="s">
        <v>65</v>
      </c>
      <c r="M658" t="b">
        <v>0</v>
      </c>
      <c r="N658" t="s">
        <v>456</v>
      </c>
      <c r="O658" t="b">
        <v>1</v>
      </c>
      <c r="P658" t="b">
        <v>0</v>
      </c>
      <c r="Q658" t="b">
        <v>1</v>
      </c>
      <c r="R658" t="b">
        <v>0</v>
      </c>
      <c r="S658" t="b">
        <v>1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1</v>
      </c>
      <c r="AB658" t="s">
        <v>1637</v>
      </c>
      <c r="AC658" t="s">
        <v>9189</v>
      </c>
    </row>
    <row r="659" spans="1:29" x14ac:dyDescent="0.3">
      <c r="A659">
        <v>-73.969744430000006</v>
      </c>
      <c r="B659">
        <v>40.775667519999999</v>
      </c>
      <c r="C659" t="s">
        <v>893</v>
      </c>
      <c r="D659" t="s">
        <v>33</v>
      </c>
      <c r="E659" s="58">
        <v>43388</v>
      </c>
      <c r="F659">
        <v>13</v>
      </c>
      <c r="G659" t="s">
        <v>48</v>
      </c>
      <c r="H659" t="s">
        <v>42</v>
      </c>
      <c r="I659" t="s">
        <v>115</v>
      </c>
      <c r="J659" t="s">
        <v>97</v>
      </c>
      <c r="K659" t="s">
        <v>1636</v>
      </c>
      <c r="L659" t="s">
        <v>65</v>
      </c>
      <c r="M659" t="b">
        <v>0</v>
      </c>
      <c r="N659" t="s">
        <v>257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1</v>
      </c>
      <c r="AA659" t="b">
        <v>0</v>
      </c>
      <c r="AB659" t="s">
        <v>4147</v>
      </c>
      <c r="AC659" t="s">
        <v>9190</v>
      </c>
    </row>
    <row r="660" spans="1:29" x14ac:dyDescent="0.3">
      <c r="A660">
        <v>-73.960853</v>
      </c>
      <c r="B660">
        <v>40.778887529999999</v>
      </c>
      <c r="C660" t="s">
        <v>928</v>
      </c>
      <c r="D660" t="s">
        <v>38</v>
      </c>
      <c r="E660" s="58">
        <v>43387</v>
      </c>
      <c r="F660">
        <v>15</v>
      </c>
      <c r="G660" t="s">
        <v>48</v>
      </c>
      <c r="H660" t="s">
        <v>42</v>
      </c>
      <c r="I660" t="s">
        <v>53</v>
      </c>
      <c r="J660" t="s">
        <v>43</v>
      </c>
      <c r="K660" t="s">
        <v>4177</v>
      </c>
      <c r="L660" t="s">
        <v>65</v>
      </c>
      <c r="M660" t="b">
        <v>0</v>
      </c>
      <c r="N660" t="s">
        <v>3132</v>
      </c>
      <c r="O660" t="b">
        <v>0</v>
      </c>
      <c r="P660" t="b">
        <v>0</v>
      </c>
      <c r="Q660" t="b">
        <v>1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1</v>
      </c>
      <c r="AA660" t="b">
        <v>1</v>
      </c>
      <c r="AB660" t="s">
        <v>340</v>
      </c>
      <c r="AC660" t="s">
        <v>9191</v>
      </c>
    </row>
    <row r="661" spans="1:29" x14ac:dyDescent="0.3">
      <c r="A661">
        <v>-73.963215129999995</v>
      </c>
      <c r="B661">
        <v>40.780655709999998</v>
      </c>
      <c r="C661" t="s">
        <v>327</v>
      </c>
      <c r="D661" t="s">
        <v>38</v>
      </c>
      <c r="E661" s="58">
        <v>43385</v>
      </c>
      <c r="F661">
        <v>25</v>
      </c>
      <c r="G661" t="s">
        <v>48</v>
      </c>
      <c r="H661" t="s">
        <v>42</v>
      </c>
      <c r="I661" t="s">
        <v>96</v>
      </c>
      <c r="J661" t="s">
        <v>54</v>
      </c>
      <c r="K661" t="s">
        <v>4381</v>
      </c>
      <c r="L661" t="s">
        <v>44</v>
      </c>
      <c r="M661">
        <v>5</v>
      </c>
      <c r="N661" t="s">
        <v>2101</v>
      </c>
      <c r="O661" t="b">
        <v>1</v>
      </c>
      <c r="P661" t="b">
        <v>0</v>
      </c>
      <c r="Q661" t="b">
        <v>1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1</v>
      </c>
      <c r="AA661" t="b">
        <v>0</v>
      </c>
      <c r="AB661" t="s">
        <v>6121</v>
      </c>
      <c r="AC661" t="s">
        <v>9192</v>
      </c>
    </row>
    <row r="662" spans="1:29" x14ac:dyDescent="0.3">
      <c r="A662">
        <v>-73.96996403</v>
      </c>
      <c r="B662">
        <v>40.786056299999998</v>
      </c>
      <c r="C662" t="s">
        <v>1141</v>
      </c>
      <c r="D662" t="s">
        <v>33</v>
      </c>
      <c r="E662" s="58">
        <v>43387</v>
      </c>
      <c r="F662">
        <v>23</v>
      </c>
      <c r="G662" t="s">
        <v>48</v>
      </c>
      <c r="H662" t="s">
        <v>42</v>
      </c>
      <c r="I662" t="s">
        <v>42</v>
      </c>
      <c r="J662" t="s">
        <v>60</v>
      </c>
      <c r="K662" t="s">
        <v>3050</v>
      </c>
      <c r="L662" t="s">
        <v>65</v>
      </c>
      <c r="M662" t="b">
        <v>0</v>
      </c>
      <c r="N662" t="s">
        <v>190</v>
      </c>
      <c r="O662" t="b">
        <v>0</v>
      </c>
      <c r="P662" t="b">
        <v>0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b">
        <v>0</v>
      </c>
      <c r="W662" t="b">
        <v>0</v>
      </c>
      <c r="X662" t="b">
        <v>1</v>
      </c>
      <c r="Y662" t="b">
        <v>0</v>
      </c>
      <c r="Z662" t="b">
        <v>0</v>
      </c>
      <c r="AA662" t="b">
        <v>0</v>
      </c>
      <c r="AB662" t="s">
        <v>5110</v>
      </c>
      <c r="AC662" t="s">
        <v>9193</v>
      </c>
    </row>
    <row r="663" spans="1:29" x14ac:dyDescent="0.3">
      <c r="A663">
        <v>-73.950145689999999</v>
      </c>
      <c r="B663">
        <v>40.78306663</v>
      </c>
      <c r="C663" t="s">
        <v>2667</v>
      </c>
      <c r="D663" t="s">
        <v>33</v>
      </c>
      <c r="E663" s="58">
        <v>43383</v>
      </c>
      <c r="F663">
        <v>28</v>
      </c>
      <c r="G663" t="s">
        <v>48</v>
      </c>
      <c r="H663" t="s">
        <v>42</v>
      </c>
      <c r="I663" t="s">
        <v>53</v>
      </c>
      <c r="J663" t="s">
        <v>97</v>
      </c>
      <c r="K663" t="s">
        <v>7049</v>
      </c>
      <c r="L663" t="s">
        <v>65</v>
      </c>
      <c r="M663" t="b">
        <v>0</v>
      </c>
      <c r="N663" t="s">
        <v>6098</v>
      </c>
      <c r="O663" t="b">
        <v>0</v>
      </c>
      <c r="P663" t="b">
        <v>0</v>
      </c>
      <c r="Q663" t="b">
        <v>1</v>
      </c>
      <c r="R663" t="b">
        <v>0</v>
      </c>
      <c r="S663" t="b">
        <v>1</v>
      </c>
      <c r="T663" t="b">
        <v>0</v>
      </c>
      <c r="U663" t="b">
        <v>0</v>
      </c>
      <c r="V663" t="b">
        <v>0</v>
      </c>
      <c r="W663" t="b">
        <v>0</v>
      </c>
      <c r="X663" t="b">
        <v>1</v>
      </c>
      <c r="Y663" t="b">
        <v>0</v>
      </c>
      <c r="Z663" t="b">
        <v>0</v>
      </c>
      <c r="AA663" t="b">
        <v>0</v>
      </c>
      <c r="AB663" t="s">
        <v>5813</v>
      </c>
      <c r="AC663" t="s">
        <v>9194</v>
      </c>
    </row>
    <row r="664" spans="1:29" x14ac:dyDescent="0.3">
      <c r="A664">
        <v>-73.96211495</v>
      </c>
      <c r="B664">
        <v>40.797280479999998</v>
      </c>
      <c r="C664" t="s">
        <v>928</v>
      </c>
      <c r="D664" t="s">
        <v>33</v>
      </c>
      <c r="E664" s="58">
        <v>43385</v>
      </c>
      <c r="F664">
        <v>22</v>
      </c>
      <c r="G664" t="s">
        <v>48</v>
      </c>
      <c r="H664" t="s">
        <v>42</v>
      </c>
      <c r="I664" t="s">
        <v>53</v>
      </c>
      <c r="J664" t="s">
        <v>54</v>
      </c>
      <c r="K664" t="s">
        <v>5481</v>
      </c>
      <c r="L664" t="s">
        <v>65</v>
      </c>
      <c r="M664" t="b">
        <v>0</v>
      </c>
      <c r="N664" t="s">
        <v>3037</v>
      </c>
      <c r="O664" t="b">
        <v>0</v>
      </c>
      <c r="P664" t="b">
        <v>0</v>
      </c>
      <c r="Q664" t="b">
        <v>1</v>
      </c>
      <c r="R664" t="b">
        <v>1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1</v>
      </c>
      <c r="Y664" t="b">
        <v>1</v>
      </c>
      <c r="Z664" t="b">
        <v>0</v>
      </c>
      <c r="AA664" t="b">
        <v>1</v>
      </c>
      <c r="AB664" t="s">
        <v>340</v>
      </c>
      <c r="AC664" t="s">
        <v>9195</v>
      </c>
    </row>
    <row r="665" spans="1:29" x14ac:dyDescent="0.3">
      <c r="A665">
        <v>-73.973700930000007</v>
      </c>
      <c r="B665">
        <v>40.782407679999999</v>
      </c>
      <c r="C665" t="s">
        <v>873</v>
      </c>
      <c r="D665" t="s">
        <v>33</v>
      </c>
      <c r="E665" s="58">
        <v>43389</v>
      </c>
      <c r="F665">
        <v>26</v>
      </c>
      <c r="G665" t="s">
        <v>48</v>
      </c>
      <c r="H665" t="s">
        <v>42</v>
      </c>
      <c r="I665" t="s">
        <v>59</v>
      </c>
      <c r="J665" t="s">
        <v>43</v>
      </c>
      <c r="K665" t="s">
        <v>5957</v>
      </c>
      <c r="L665" t="s">
        <v>65</v>
      </c>
      <c r="M665" t="b">
        <v>0</v>
      </c>
      <c r="N665" t="s">
        <v>456</v>
      </c>
      <c r="O665" t="b">
        <v>1</v>
      </c>
      <c r="P665" t="b">
        <v>0</v>
      </c>
      <c r="Q665" t="b">
        <v>0</v>
      </c>
      <c r="R665" t="b">
        <v>1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1</v>
      </c>
      <c r="Y665" t="b">
        <v>0</v>
      </c>
      <c r="Z665" t="b">
        <v>0</v>
      </c>
      <c r="AA665" t="b">
        <v>1</v>
      </c>
      <c r="AB665" t="s">
        <v>1367</v>
      </c>
      <c r="AC665" t="s">
        <v>9196</v>
      </c>
    </row>
    <row r="666" spans="1:29" x14ac:dyDescent="0.3">
      <c r="A666">
        <v>-73.977958860000001</v>
      </c>
      <c r="B666">
        <v>40.799842419999997</v>
      </c>
      <c r="C666" t="s">
        <v>773</v>
      </c>
      <c r="D666" t="s">
        <v>33</v>
      </c>
      <c r="E666" s="58">
        <v>43393</v>
      </c>
      <c r="F666">
        <v>1</v>
      </c>
      <c r="G666" t="s">
        <v>48</v>
      </c>
      <c r="H666" t="s">
        <v>53</v>
      </c>
      <c r="I666" t="s">
        <v>115</v>
      </c>
      <c r="J666" t="s">
        <v>54</v>
      </c>
      <c r="K666" t="s">
        <v>4308</v>
      </c>
      <c r="L666" t="s">
        <v>65</v>
      </c>
      <c r="M666" t="b">
        <v>0</v>
      </c>
      <c r="N666" t="s">
        <v>190</v>
      </c>
      <c r="O666" t="b">
        <v>0</v>
      </c>
      <c r="P666" t="b">
        <v>0</v>
      </c>
      <c r="Q666" t="b">
        <v>1</v>
      </c>
      <c r="R666" t="b">
        <v>0</v>
      </c>
      <c r="S666" t="b">
        <v>1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s">
        <v>1539</v>
      </c>
      <c r="AC666" t="s">
        <v>9197</v>
      </c>
    </row>
    <row r="667" spans="1:29" x14ac:dyDescent="0.3">
      <c r="A667">
        <v>-73.976353180000004</v>
      </c>
      <c r="B667">
        <v>40.794887510000002</v>
      </c>
      <c r="C667" t="s">
        <v>82</v>
      </c>
      <c r="D667" t="s">
        <v>33</v>
      </c>
      <c r="E667" s="58">
        <v>43392</v>
      </c>
      <c r="F667">
        <v>11</v>
      </c>
      <c r="G667" t="s">
        <v>105</v>
      </c>
      <c r="H667" t="s">
        <v>42</v>
      </c>
      <c r="I667" t="s">
        <v>59</v>
      </c>
      <c r="J667" t="s">
        <v>43</v>
      </c>
      <c r="K667" t="s">
        <v>3050</v>
      </c>
      <c r="L667" t="s">
        <v>65</v>
      </c>
      <c r="M667" t="b">
        <v>0</v>
      </c>
      <c r="N667" t="s">
        <v>6854</v>
      </c>
      <c r="O667" t="b">
        <v>0</v>
      </c>
      <c r="P667" t="b">
        <v>0</v>
      </c>
      <c r="Q667" t="b">
        <v>1</v>
      </c>
      <c r="R667" t="b">
        <v>1</v>
      </c>
      <c r="S667" t="b">
        <v>1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s">
        <v>3564</v>
      </c>
      <c r="AC667" t="s">
        <v>9198</v>
      </c>
    </row>
    <row r="668" spans="1:29" x14ac:dyDescent="0.3">
      <c r="A668">
        <v>-73.973426450000005</v>
      </c>
      <c r="B668">
        <v>40.772251869999998</v>
      </c>
      <c r="C668" t="s">
        <v>1326</v>
      </c>
      <c r="D668" t="s">
        <v>38</v>
      </c>
      <c r="E668" s="58">
        <v>43385</v>
      </c>
      <c r="F668">
        <v>10</v>
      </c>
      <c r="G668" t="s">
        <v>48</v>
      </c>
      <c r="H668" t="s">
        <v>42</v>
      </c>
      <c r="I668" t="s">
        <v>59</v>
      </c>
      <c r="J668" t="s">
        <v>43</v>
      </c>
      <c r="K668" t="s">
        <v>3050</v>
      </c>
      <c r="L668" t="s">
        <v>65</v>
      </c>
      <c r="M668" t="b">
        <v>0</v>
      </c>
      <c r="N668" t="s">
        <v>2902</v>
      </c>
      <c r="O668" t="b">
        <v>1</v>
      </c>
      <c r="P668" t="b">
        <v>0</v>
      </c>
      <c r="Q668" t="b">
        <v>1</v>
      </c>
      <c r="R668" t="b">
        <v>0</v>
      </c>
      <c r="S668" t="b">
        <v>1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1</v>
      </c>
      <c r="AA668" t="b">
        <v>1</v>
      </c>
      <c r="AB668" t="s">
        <v>5656</v>
      </c>
      <c r="AC668" t="s">
        <v>9199</v>
      </c>
    </row>
    <row r="669" spans="1:29" x14ac:dyDescent="0.3">
      <c r="A669">
        <v>-73.97610727</v>
      </c>
      <c r="B669">
        <v>40.797674929999999</v>
      </c>
      <c r="C669" t="s">
        <v>260</v>
      </c>
      <c r="D669" t="s">
        <v>33</v>
      </c>
      <c r="E669" s="58">
        <v>43390</v>
      </c>
      <c r="F669">
        <v>25</v>
      </c>
      <c r="G669" t="s">
        <v>48</v>
      </c>
      <c r="H669" t="s">
        <v>42</v>
      </c>
      <c r="I669" t="s">
        <v>53</v>
      </c>
      <c r="J669" t="s">
        <v>97</v>
      </c>
      <c r="K669" t="s">
        <v>4572</v>
      </c>
      <c r="L669" t="s">
        <v>44</v>
      </c>
      <c r="M669">
        <v>6</v>
      </c>
      <c r="N669" t="s">
        <v>2304</v>
      </c>
      <c r="O669" t="b">
        <v>0</v>
      </c>
      <c r="P669" t="b">
        <v>0</v>
      </c>
      <c r="Q669" t="b">
        <v>1</v>
      </c>
      <c r="R669" t="b">
        <v>1</v>
      </c>
      <c r="S669" t="b">
        <v>1</v>
      </c>
      <c r="T669" t="b">
        <v>1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1</v>
      </c>
      <c r="AA669" t="b">
        <v>1</v>
      </c>
      <c r="AB669" t="s">
        <v>340</v>
      </c>
      <c r="AC669" t="s">
        <v>9200</v>
      </c>
    </row>
    <row r="670" spans="1:29" x14ac:dyDescent="0.3">
      <c r="A670">
        <v>-73.97529351</v>
      </c>
      <c r="B670">
        <v>40.769007680000001</v>
      </c>
      <c r="C670" t="s">
        <v>844</v>
      </c>
      <c r="D670" t="s">
        <v>33</v>
      </c>
      <c r="E670" s="58">
        <v>43390</v>
      </c>
      <c r="F670">
        <v>5</v>
      </c>
      <c r="G670" t="s">
        <v>48</v>
      </c>
      <c r="H670" t="s">
        <v>53</v>
      </c>
      <c r="I670" t="s">
        <v>53</v>
      </c>
      <c r="J670" t="s">
        <v>43</v>
      </c>
      <c r="K670" t="s">
        <v>1688</v>
      </c>
      <c r="L670" t="s">
        <v>44</v>
      </c>
      <c r="M670">
        <v>8</v>
      </c>
      <c r="N670" t="s">
        <v>3101</v>
      </c>
      <c r="O670" t="b">
        <v>0</v>
      </c>
      <c r="P670" t="b">
        <v>0</v>
      </c>
      <c r="Q670" t="b">
        <v>0</v>
      </c>
      <c r="R670" t="b">
        <v>1</v>
      </c>
      <c r="S670" t="b">
        <v>0</v>
      </c>
      <c r="T670" t="b">
        <v>0</v>
      </c>
      <c r="U670" t="b">
        <v>1</v>
      </c>
      <c r="V670" t="b">
        <v>0</v>
      </c>
      <c r="W670" t="b">
        <v>0</v>
      </c>
      <c r="X670" t="b">
        <v>0</v>
      </c>
      <c r="Y670" t="b">
        <v>0</v>
      </c>
      <c r="Z670" t="b">
        <v>1</v>
      </c>
      <c r="AA670" t="b">
        <v>0</v>
      </c>
      <c r="AB670" t="s">
        <v>2962</v>
      </c>
      <c r="AC670" t="s">
        <v>9201</v>
      </c>
    </row>
    <row r="671" spans="1:29" x14ac:dyDescent="0.3">
      <c r="A671">
        <v>-73.972196100000005</v>
      </c>
      <c r="B671">
        <v>40.793691320000001</v>
      </c>
      <c r="C671" t="s">
        <v>225</v>
      </c>
      <c r="D671" t="s">
        <v>33</v>
      </c>
      <c r="E671" s="58">
        <v>43381</v>
      </c>
      <c r="F671">
        <v>16</v>
      </c>
      <c r="G671" t="s">
        <v>48</v>
      </c>
      <c r="H671" t="s">
        <v>42</v>
      </c>
      <c r="I671" t="s">
        <v>96</v>
      </c>
      <c r="J671" t="s">
        <v>54</v>
      </c>
      <c r="K671" t="s">
        <v>4939</v>
      </c>
      <c r="L671" t="s">
        <v>65</v>
      </c>
      <c r="M671" t="b">
        <v>0</v>
      </c>
      <c r="N671" t="s">
        <v>3957</v>
      </c>
      <c r="O671" t="b">
        <v>0</v>
      </c>
      <c r="P671" t="b">
        <v>0</v>
      </c>
      <c r="Q671" t="b">
        <v>0</v>
      </c>
      <c r="R671" t="b">
        <v>1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1</v>
      </c>
      <c r="AA671" t="b">
        <v>0</v>
      </c>
      <c r="AB671" t="s">
        <v>511</v>
      </c>
      <c r="AC671" t="s">
        <v>9202</v>
      </c>
    </row>
    <row r="672" spans="1:29" x14ac:dyDescent="0.3">
      <c r="A672">
        <v>-73.975708269999998</v>
      </c>
      <c r="B672">
        <v>40.778311600000002</v>
      </c>
      <c r="C672" t="s">
        <v>2861</v>
      </c>
      <c r="D672" t="s">
        <v>33</v>
      </c>
      <c r="E672" s="58">
        <v>43385</v>
      </c>
      <c r="F672">
        <v>11</v>
      </c>
      <c r="G672" t="s">
        <v>48</v>
      </c>
      <c r="H672" t="s">
        <v>42</v>
      </c>
      <c r="I672" t="s">
        <v>53</v>
      </c>
      <c r="J672" t="s">
        <v>54</v>
      </c>
      <c r="K672" t="s">
        <v>4477</v>
      </c>
      <c r="L672" t="s">
        <v>65</v>
      </c>
      <c r="M672" t="b">
        <v>0</v>
      </c>
      <c r="N672" t="s">
        <v>4282</v>
      </c>
      <c r="O672" t="b">
        <v>0</v>
      </c>
      <c r="P672" t="b">
        <v>0</v>
      </c>
      <c r="Q672" t="b">
        <v>0</v>
      </c>
      <c r="R672" t="b">
        <v>0</v>
      </c>
      <c r="S672" t="b">
        <v>1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s">
        <v>5241</v>
      </c>
      <c r="AC672" t="s">
        <v>9203</v>
      </c>
    </row>
    <row r="673" spans="1:29" x14ac:dyDescent="0.3">
      <c r="A673">
        <v>-73.952967130000005</v>
      </c>
      <c r="B673">
        <v>40.795822260000001</v>
      </c>
      <c r="C673" t="s">
        <v>41</v>
      </c>
      <c r="D673" t="s">
        <v>33</v>
      </c>
      <c r="E673" s="58">
        <v>43379</v>
      </c>
      <c r="F673">
        <v>21</v>
      </c>
      <c r="G673" t="s">
        <v>48</v>
      </c>
      <c r="H673" t="s">
        <v>42</v>
      </c>
      <c r="I673" t="s">
        <v>59</v>
      </c>
      <c r="J673" t="s">
        <v>705</v>
      </c>
      <c r="K673" t="s">
        <v>3261</v>
      </c>
      <c r="L673" t="s">
        <v>65</v>
      </c>
      <c r="M673" t="b">
        <v>0</v>
      </c>
      <c r="N673" t="s">
        <v>4895</v>
      </c>
      <c r="O673" t="b">
        <v>0</v>
      </c>
      <c r="P673" t="b">
        <v>1</v>
      </c>
      <c r="Q673" t="b">
        <v>0</v>
      </c>
      <c r="R673" t="b">
        <v>1</v>
      </c>
      <c r="S673" t="b">
        <v>1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s">
        <v>4589</v>
      </c>
      <c r="AC673" t="s">
        <v>9204</v>
      </c>
    </row>
    <row r="674" spans="1:29" x14ac:dyDescent="0.3">
      <c r="A674">
        <v>-73.978636289999997</v>
      </c>
      <c r="B674">
        <v>40.795473080000001</v>
      </c>
      <c r="C674" t="s">
        <v>147</v>
      </c>
      <c r="D674" t="s">
        <v>38</v>
      </c>
      <c r="E674" s="58">
        <v>43387</v>
      </c>
      <c r="F674">
        <v>6</v>
      </c>
      <c r="G674" t="s">
        <v>48</v>
      </c>
      <c r="H674" t="s">
        <v>53</v>
      </c>
      <c r="I674" t="s">
        <v>42</v>
      </c>
      <c r="J674" t="s">
        <v>54</v>
      </c>
      <c r="K674" t="s">
        <v>3942</v>
      </c>
      <c r="L674" t="s">
        <v>44</v>
      </c>
      <c r="M674">
        <v>7</v>
      </c>
      <c r="N674" t="s">
        <v>2737</v>
      </c>
      <c r="O674" t="b">
        <v>0</v>
      </c>
      <c r="P674" t="b">
        <v>0</v>
      </c>
      <c r="Q674" t="b">
        <v>1</v>
      </c>
      <c r="R674" t="b">
        <v>1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s">
        <v>1046</v>
      </c>
      <c r="AC674" t="s">
        <v>9205</v>
      </c>
    </row>
    <row r="675" spans="1:29" x14ac:dyDescent="0.3">
      <c r="A675">
        <v>-73.964669610000001</v>
      </c>
      <c r="B675">
        <v>40.793285570000002</v>
      </c>
      <c r="C675" t="s">
        <v>311</v>
      </c>
      <c r="D675" t="s">
        <v>33</v>
      </c>
      <c r="E675" s="58">
        <v>43388</v>
      </c>
      <c r="F675">
        <v>9</v>
      </c>
      <c r="G675" t="s">
        <v>48</v>
      </c>
      <c r="H675" t="s">
        <v>42</v>
      </c>
      <c r="I675" t="s">
        <v>53</v>
      </c>
      <c r="J675" t="s">
        <v>43</v>
      </c>
      <c r="K675" t="s">
        <v>1381</v>
      </c>
      <c r="L675" t="s">
        <v>65</v>
      </c>
      <c r="M675" t="b">
        <v>0</v>
      </c>
      <c r="N675" t="s">
        <v>190</v>
      </c>
      <c r="O675" t="b">
        <v>0</v>
      </c>
      <c r="P675" t="b">
        <v>0</v>
      </c>
      <c r="Q675" t="b">
        <v>1</v>
      </c>
      <c r="R675" t="b">
        <v>1</v>
      </c>
      <c r="S675" t="b">
        <v>1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s">
        <v>2552</v>
      </c>
      <c r="AC675" t="s">
        <v>9206</v>
      </c>
    </row>
    <row r="676" spans="1:29" x14ac:dyDescent="0.3">
      <c r="A676">
        <v>-73.968257010000002</v>
      </c>
      <c r="B676">
        <v>40.792725939999997</v>
      </c>
      <c r="C676" t="s">
        <v>208</v>
      </c>
      <c r="D676" t="s">
        <v>38</v>
      </c>
      <c r="E676" s="58">
        <v>43391</v>
      </c>
      <c r="F676">
        <v>13</v>
      </c>
      <c r="G676" t="s">
        <v>48</v>
      </c>
      <c r="H676" t="s">
        <v>42</v>
      </c>
      <c r="I676" t="s">
        <v>59</v>
      </c>
      <c r="J676" t="s">
        <v>43</v>
      </c>
      <c r="K676" t="s">
        <v>2319</v>
      </c>
      <c r="L676" t="s">
        <v>65</v>
      </c>
      <c r="M676" t="b">
        <v>0</v>
      </c>
      <c r="N676" t="s">
        <v>6499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s">
        <v>2916</v>
      </c>
      <c r="AC676" t="s">
        <v>9207</v>
      </c>
    </row>
    <row r="677" spans="1:29" x14ac:dyDescent="0.3">
      <c r="A677">
        <v>-73.950275730000001</v>
      </c>
      <c r="B677">
        <v>40.775637770000003</v>
      </c>
      <c r="C677" t="s">
        <v>1278</v>
      </c>
      <c r="D677" t="s">
        <v>33</v>
      </c>
      <c r="E677" s="58">
        <v>43384</v>
      </c>
      <c r="F677">
        <v>24</v>
      </c>
      <c r="G677" t="s">
        <v>48</v>
      </c>
      <c r="H677" t="s">
        <v>53</v>
      </c>
      <c r="I677" t="s">
        <v>53</v>
      </c>
      <c r="J677" t="s">
        <v>79</v>
      </c>
      <c r="K677" t="s">
        <v>3453</v>
      </c>
      <c r="L677" t="s">
        <v>65</v>
      </c>
      <c r="M677" t="b">
        <v>0</v>
      </c>
      <c r="N677" t="s">
        <v>1871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1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1</v>
      </c>
      <c r="AB677" t="s">
        <v>1367</v>
      </c>
      <c r="AC677" t="s">
        <v>9208</v>
      </c>
    </row>
    <row r="678" spans="1:29" x14ac:dyDescent="0.3">
      <c r="A678">
        <v>-73.977636430000004</v>
      </c>
      <c r="B678">
        <v>40.767759660000003</v>
      </c>
      <c r="C678" t="s">
        <v>200</v>
      </c>
      <c r="D678" t="s">
        <v>33</v>
      </c>
      <c r="E678" s="58">
        <v>43383</v>
      </c>
      <c r="F678">
        <v>8</v>
      </c>
      <c r="G678" t="s">
        <v>105</v>
      </c>
      <c r="H678" t="s">
        <v>42</v>
      </c>
      <c r="I678" t="s">
        <v>59</v>
      </c>
      <c r="J678" t="s">
        <v>79</v>
      </c>
      <c r="K678" t="s">
        <v>1381</v>
      </c>
      <c r="L678" t="s">
        <v>65</v>
      </c>
      <c r="M678" t="b">
        <v>0</v>
      </c>
      <c r="N678" t="s">
        <v>742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1</v>
      </c>
      <c r="AA678" t="b">
        <v>1</v>
      </c>
      <c r="AB678" t="s">
        <v>1428</v>
      </c>
      <c r="AC678" t="s">
        <v>9209</v>
      </c>
    </row>
    <row r="679" spans="1:29" x14ac:dyDescent="0.3">
      <c r="A679">
        <v>-73.968651269999995</v>
      </c>
      <c r="B679">
        <v>40.779098730000001</v>
      </c>
      <c r="C679" t="s">
        <v>52</v>
      </c>
      <c r="D679" t="s">
        <v>33</v>
      </c>
      <c r="E679" s="58">
        <v>43385</v>
      </c>
      <c r="F679">
        <v>14</v>
      </c>
      <c r="G679" t="s">
        <v>48</v>
      </c>
      <c r="H679" t="s">
        <v>42</v>
      </c>
      <c r="I679" t="s">
        <v>53</v>
      </c>
      <c r="J679" t="s">
        <v>54</v>
      </c>
      <c r="K679" t="s">
        <v>1381</v>
      </c>
      <c r="L679" t="s">
        <v>44</v>
      </c>
      <c r="M679">
        <v>15</v>
      </c>
      <c r="N679" t="s">
        <v>6398</v>
      </c>
      <c r="O679" t="b">
        <v>1</v>
      </c>
      <c r="P679" t="b">
        <v>0</v>
      </c>
      <c r="Q679" t="b">
        <v>0</v>
      </c>
      <c r="R679" t="b">
        <v>1</v>
      </c>
      <c r="S679" t="b">
        <v>1</v>
      </c>
      <c r="T679" t="b">
        <v>0</v>
      </c>
      <c r="U679" t="b">
        <v>0</v>
      </c>
      <c r="V679" t="b">
        <v>0</v>
      </c>
      <c r="W679" t="b">
        <v>1</v>
      </c>
      <c r="X679" t="b">
        <v>1</v>
      </c>
      <c r="Y679" t="b">
        <v>0</v>
      </c>
      <c r="Z679" t="b">
        <v>1</v>
      </c>
      <c r="AA679" t="b">
        <v>1</v>
      </c>
      <c r="AB679" t="s">
        <v>2795</v>
      </c>
      <c r="AC679" t="s">
        <v>9210</v>
      </c>
    </row>
    <row r="680" spans="1:29" x14ac:dyDescent="0.3">
      <c r="A680">
        <v>-73.950681520000003</v>
      </c>
      <c r="B680">
        <v>40.77102009</v>
      </c>
      <c r="C680" t="s">
        <v>600</v>
      </c>
      <c r="D680" t="s">
        <v>38</v>
      </c>
      <c r="E680" s="58">
        <v>43383</v>
      </c>
      <c r="F680">
        <v>24</v>
      </c>
      <c r="G680" t="s">
        <v>48</v>
      </c>
      <c r="H680" t="s">
        <v>42</v>
      </c>
      <c r="I680" t="s">
        <v>96</v>
      </c>
      <c r="J680" t="s">
        <v>54</v>
      </c>
      <c r="K680" t="s">
        <v>5971</v>
      </c>
      <c r="L680" t="s">
        <v>65</v>
      </c>
      <c r="M680" t="b">
        <v>0</v>
      </c>
      <c r="N680" t="s">
        <v>6370</v>
      </c>
      <c r="O680" t="b">
        <v>0</v>
      </c>
      <c r="P680" t="b">
        <v>0</v>
      </c>
      <c r="Q680" t="b">
        <v>0</v>
      </c>
      <c r="R680" t="b">
        <v>0</v>
      </c>
      <c r="S680" t="b">
        <v>1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1</v>
      </c>
      <c r="AA680" t="b">
        <v>0</v>
      </c>
      <c r="AB680" t="s">
        <v>7288</v>
      </c>
      <c r="AC680" t="s">
        <v>9211</v>
      </c>
    </row>
    <row r="681" spans="1:29" x14ac:dyDescent="0.3">
      <c r="A681">
        <v>-73.953949789999996</v>
      </c>
      <c r="B681">
        <v>40.789378399999997</v>
      </c>
      <c r="C681" t="s">
        <v>483</v>
      </c>
      <c r="D681" t="s">
        <v>33</v>
      </c>
      <c r="E681" s="58">
        <v>43388</v>
      </c>
      <c r="F681">
        <v>1</v>
      </c>
      <c r="G681" t="s">
        <v>105</v>
      </c>
      <c r="H681" t="s">
        <v>53</v>
      </c>
      <c r="I681" t="s">
        <v>53</v>
      </c>
      <c r="J681" t="s">
        <v>43</v>
      </c>
      <c r="K681" t="s">
        <v>3942</v>
      </c>
      <c r="L681" t="s">
        <v>65</v>
      </c>
      <c r="M681" t="b">
        <v>0</v>
      </c>
      <c r="N681" t="s">
        <v>7135</v>
      </c>
      <c r="O681" t="b">
        <v>0</v>
      </c>
      <c r="P681" t="b">
        <v>0</v>
      </c>
      <c r="Q681" t="b">
        <v>1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1</v>
      </c>
      <c r="AA681" t="b">
        <v>0</v>
      </c>
      <c r="AB681" t="s">
        <v>5960</v>
      </c>
      <c r="AC681" t="s">
        <v>9212</v>
      </c>
    </row>
    <row r="682" spans="1:29" x14ac:dyDescent="0.3">
      <c r="A682">
        <v>-73.955472439999994</v>
      </c>
      <c r="B682">
        <v>40.777096100000001</v>
      </c>
      <c r="C682" t="s">
        <v>402</v>
      </c>
      <c r="D682" t="s">
        <v>38</v>
      </c>
      <c r="E682" s="58">
        <v>43383</v>
      </c>
      <c r="F682">
        <v>17</v>
      </c>
      <c r="G682" t="s">
        <v>48</v>
      </c>
      <c r="H682" t="s">
        <v>42</v>
      </c>
      <c r="I682" t="s">
        <v>59</v>
      </c>
      <c r="J682" t="s">
        <v>54</v>
      </c>
      <c r="K682" t="s">
        <v>809</v>
      </c>
      <c r="L682" t="s">
        <v>65</v>
      </c>
      <c r="M682" t="b">
        <v>0</v>
      </c>
      <c r="N682" t="s">
        <v>5571</v>
      </c>
      <c r="O682" t="b">
        <v>0</v>
      </c>
      <c r="P682" t="b">
        <v>0</v>
      </c>
      <c r="Q682" t="b">
        <v>0</v>
      </c>
      <c r="R682" t="b">
        <v>0</v>
      </c>
      <c r="S682" t="b">
        <v>1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s">
        <v>2459</v>
      </c>
      <c r="AC682" t="s">
        <v>9213</v>
      </c>
    </row>
    <row r="683" spans="1:29" x14ac:dyDescent="0.3">
      <c r="A683">
        <v>-73.973050939999993</v>
      </c>
      <c r="B683">
        <v>40.799259810000002</v>
      </c>
      <c r="C683" t="s">
        <v>154</v>
      </c>
      <c r="D683" t="s">
        <v>33</v>
      </c>
      <c r="E683" s="58">
        <v>43389</v>
      </c>
      <c r="F683">
        <v>24</v>
      </c>
      <c r="G683" t="s">
        <v>48</v>
      </c>
      <c r="H683" t="s">
        <v>176</v>
      </c>
      <c r="I683" t="s">
        <v>59</v>
      </c>
      <c r="J683" t="s">
        <v>54</v>
      </c>
      <c r="K683" t="s">
        <v>4020</v>
      </c>
      <c r="L683" t="s">
        <v>65</v>
      </c>
      <c r="M683" t="b">
        <v>0</v>
      </c>
      <c r="N683" t="s">
        <v>7258</v>
      </c>
      <c r="O683" t="b">
        <v>0</v>
      </c>
      <c r="P683" t="b">
        <v>0</v>
      </c>
      <c r="Q683" t="b">
        <v>0</v>
      </c>
      <c r="R683" t="b">
        <v>0</v>
      </c>
      <c r="S683" t="b">
        <v>1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s">
        <v>1727</v>
      </c>
      <c r="AC683" t="s">
        <v>9214</v>
      </c>
    </row>
    <row r="684" spans="1:29" x14ac:dyDescent="0.3">
      <c r="A684">
        <v>-73.975786420000006</v>
      </c>
      <c r="B684">
        <v>40.787477920000001</v>
      </c>
      <c r="C684" t="s">
        <v>47</v>
      </c>
      <c r="D684" t="s">
        <v>38</v>
      </c>
      <c r="E684" s="58">
        <v>43388</v>
      </c>
      <c r="F684">
        <v>5</v>
      </c>
      <c r="G684" t="s">
        <v>48</v>
      </c>
      <c r="H684" t="s">
        <v>42</v>
      </c>
      <c r="I684" t="s">
        <v>53</v>
      </c>
      <c r="J684" t="s">
        <v>43</v>
      </c>
      <c r="K684" t="s">
        <v>5168</v>
      </c>
      <c r="L684" t="s">
        <v>44</v>
      </c>
      <c r="M684">
        <v>10</v>
      </c>
      <c r="N684" t="s">
        <v>701</v>
      </c>
      <c r="O684" t="b">
        <v>1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1</v>
      </c>
      <c r="AA684" t="b">
        <v>0</v>
      </c>
      <c r="AB684" t="s">
        <v>7371</v>
      </c>
      <c r="AC684" t="s">
        <v>9215</v>
      </c>
    </row>
    <row r="685" spans="1:29" x14ac:dyDescent="0.3">
      <c r="A685">
        <v>-73.960138569999998</v>
      </c>
      <c r="B685">
        <v>40.793868439999997</v>
      </c>
      <c r="C685" t="s">
        <v>428</v>
      </c>
      <c r="D685" t="s">
        <v>33</v>
      </c>
      <c r="E685" s="58">
        <v>43389</v>
      </c>
      <c r="F685">
        <v>25</v>
      </c>
      <c r="G685" t="s">
        <v>105</v>
      </c>
      <c r="H685" t="s">
        <v>42</v>
      </c>
      <c r="I685" t="s">
        <v>96</v>
      </c>
      <c r="J685" t="s">
        <v>43</v>
      </c>
      <c r="K685" t="s">
        <v>1259</v>
      </c>
      <c r="L685" t="s">
        <v>44</v>
      </c>
      <c r="M685">
        <v>10</v>
      </c>
      <c r="N685" t="s">
        <v>5039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s">
        <v>1849</v>
      </c>
      <c r="AC685" t="s">
        <v>9216</v>
      </c>
    </row>
    <row r="686" spans="1:29" x14ac:dyDescent="0.3">
      <c r="A686">
        <v>-73.951941959999999</v>
      </c>
      <c r="B686">
        <v>40.769576579999999</v>
      </c>
      <c r="C686" t="s">
        <v>870</v>
      </c>
      <c r="D686" t="s">
        <v>38</v>
      </c>
      <c r="E686" s="58">
        <v>43385</v>
      </c>
      <c r="F686">
        <v>2</v>
      </c>
      <c r="G686" t="s">
        <v>105</v>
      </c>
      <c r="H686" t="s">
        <v>176</v>
      </c>
      <c r="I686" t="s">
        <v>53</v>
      </c>
      <c r="J686" t="s">
        <v>43</v>
      </c>
      <c r="K686" t="s">
        <v>1381</v>
      </c>
      <c r="L686" t="s">
        <v>65</v>
      </c>
      <c r="M686" t="b">
        <v>0</v>
      </c>
      <c r="N686" t="s">
        <v>4786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s">
        <v>290</v>
      </c>
      <c r="AC686" t="s">
        <v>9217</v>
      </c>
    </row>
    <row r="687" spans="1:29" x14ac:dyDescent="0.3">
      <c r="A687">
        <v>-73.963655729999999</v>
      </c>
      <c r="B687">
        <v>40.795260339999999</v>
      </c>
      <c r="C687" t="s">
        <v>47</v>
      </c>
      <c r="D687" t="s">
        <v>38</v>
      </c>
      <c r="E687" s="58">
        <v>43388</v>
      </c>
      <c r="F687">
        <v>25</v>
      </c>
      <c r="G687" t="s">
        <v>48</v>
      </c>
      <c r="H687" t="s">
        <v>42</v>
      </c>
      <c r="I687" t="s">
        <v>59</v>
      </c>
      <c r="J687" t="s">
        <v>43</v>
      </c>
      <c r="K687" t="s">
        <v>6764</v>
      </c>
      <c r="L687" t="s">
        <v>65</v>
      </c>
      <c r="M687" t="b">
        <v>0</v>
      </c>
      <c r="N687" t="s">
        <v>1311</v>
      </c>
      <c r="O687" t="b">
        <v>1</v>
      </c>
      <c r="P687" t="b">
        <v>1</v>
      </c>
      <c r="Q687" t="b">
        <v>0</v>
      </c>
      <c r="R687" t="b">
        <v>0</v>
      </c>
      <c r="S687" t="b">
        <v>1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1</v>
      </c>
      <c r="AA687" t="b">
        <v>0</v>
      </c>
      <c r="AB687" t="s">
        <v>6253</v>
      </c>
      <c r="AC687" t="s">
        <v>9218</v>
      </c>
    </row>
    <row r="688" spans="1:29" x14ac:dyDescent="0.3">
      <c r="A688">
        <v>-73.963188900000006</v>
      </c>
      <c r="B688">
        <v>40.797398970000003</v>
      </c>
      <c r="C688" t="s">
        <v>908</v>
      </c>
      <c r="D688" t="s">
        <v>38</v>
      </c>
      <c r="E688" s="58">
        <v>43393</v>
      </c>
      <c r="F688">
        <v>28</v>
      </c>
      <c r="G688" t="s">
        <v>48</v>
      </c>
      <c r="H688" t="s">
        <v>42</v>
      </c>
      <c r="I688" t="s">
        <v>53</v>
      </c>
      <c r="J688" t="s">
        <v>79</v>
      </c>
      <c r="K688" t="s">
        <v>3152</v>
      </c>
      <c r="L688" t="s">
        <v>65</v>
      </c>
      <c r="M688" t="b">
        <v>0</v>
      </c>
      <c r="N688" t="s">
        <v>456</v>
      </c>
      <c r="O688" t="b">
        <v>0</v>
      </c>
      <c r="P688" t="b">
        <v>0</v>
      </c>
      <c r="Q688" t="b">
        <v>0</v>
      </c>
      <c r="R688" t="b">
        <v>1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1</v>
      </c>
      <c r="AA688" t="b">
        <v>1</v>
      </c>
      <c r="AB688" t="s">
        <v>1029</v>
      </c>
      <c r="AC688" t="s">
        <v>9219</v>
      </c>
    </row>
    <row r="689" spans="1:29" x14ac:dyDescent="0.3">
      <c r="A689">
        <v>-73.972356930000004</v>
      </c>
      <c r="B689">
        <v>40.782059070000003</v>
      </c>
      <c r="C689" t="s">
        <v>111</v>
      </c>
      <c r="D689" t="s">
        <v>33</v>
      </c>
      <c r="E689" s="58">
        <v>43385</v>
      </c>
      <c r="F689">
        <v>30</v>
      </c>
      <c r="G689" t="s">
        <v>48</v>
      </c>
      <c r="H689" t="s">
        <v>42</v>
      </c>
      <c r="I689" t="s">
        <v>59</v>
      </c>
      <c r="J689" t="s">
        <v>43</v>
      </c>
      <c r="K689" t="s">
        <v>1896</v>
      </c>
      <c r="L689" t="s">
        <v>65</v>
      </c>
      <c r="M689" t="b">
        <v>0</v>
      </c>
      <c r="N689" t="s">
        <v>6948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1</v>
      </c>
      <c r="Y689" t="b">
        <v>0</v>
      </c>
      <c r="Z689" t="b">
        <v>0</v>
      </c>
      <c r="AA689" t="b">
        <v>0</v>
      </c>
      <c r="AB689" t="s">
        <v>101</v>
      </c>
      <c r="AC689" t="s">
        <v>9220</v>
      </c>
    </row>
    <row r="690" spans="1:29" x14ac:dyDescent="0.3">
      <c r="A690">
        <v>-73.956968180000004</v>
      </c>
      <c r="B690">
        <v>40.786255529999998</v>
      </c>
      <c r="C690" t="s">
        <v>2798</v>
      </c>
      <c r="D690" t="s">
        <v>33</v>
      </c>
      <c r="E690" s="58">
        <v>43391</v>
      </c>
      <c r="F690">
        <v>24</v>
      </c>
      <c r="G690" t="s">
        <v>48</v>
      </c>
      <c r="H690" t="s">
        <v>42</v>
      </c>
      <c r="I690" t="s">
        <v>53</v>
      </c>
      <c r="J690" t="s">
        <v>43</v>
      </c>
      <c r="K690" t="s">
        <v>1813</v>
      </c>
      <c r="L690" t="s">
        <v>65</v>
      </c>
      <c r="M690" t="b">
        <v>0</v>
      </c>
      <c r="N690" t="s">
        <v>2101</v>
      </c>
      <c r="O690" t="b">
        <v>0</v>
      </c>
      <c r="P690" t="b">
        <v>0</v>
      </c>
      <c r="Q690" t="b">
        <v>0</v>
      </c>
      <c r="R690" t="b">
        <v>1</v>
      </c>
      <c r="S690" t="b">
        <v>1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1</v>
      </c>
      <c r="AB690" t="s">
        <v>2916</v>
      </c>
      <c r="AC690" t="s">
        <v>9221</v>
      </c>
    </row>
    <row r="691" spans="1:29" x14ac:dyDescent="0.3">
      <c r="A691">
        <v>-73.975278520000003</v>
      </c>
      <c r="B691">
        <v>40.791837979999997</v>
      </c>
      <c r="C691" t="s">
        <v>74</v>
      </c>
      <c r="D691" t="s">
        <v>33</v>
      </c>
      <c r="E691" s="58">
        <v>43389</v>
      </c>
      <c r="F691">
        <v>9</v>
      </c>
      <c r="G691" t="s">
        <v>48</v>
      </c>
      <c r="H691" t="s">
        <v>42</v>
      </c>
      <c r="I691" t="s">
        <v>59</v>
      </c>
      <c r="J691" t="s">
        <v>43</v>
      </c>
      <c r="K691" t="s">
        <v>4742</v>
      </c>
      <c r="L691" t="s">
        <v>65</v>
      </c>
      <c r="M691" t="b">
        <v>0</v>
      </c>
      <c r="N691" t="s">
        <v>5529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1</v>
      </c>
      <c r="AA691" t="b">
        <v>0</v>
      </c>
      <c r="AB691" t="s">
        <v>101</v>
      </c>
      <c r="AC691" t="s">
        <v>9222</v>
      </c>
    </row>
    <row r="692" spans="1:29" x14ac:dyDescent="0.3">
      <c r="A692">
        <v>-73.970983140000001</v>
      </c>
      <c r="B692">
        <v>40.771066359999999</v>
      </c>
      <c r="C692" t="s">
        <v>622</v>
      </c>
      <c r="D692" t="s">
        <v>38</v>
      </c>
      <c r="E692" s="58">
        <v>43393</v>
      </c>
      <c r="F692">
        <v>4</v>
      </c>
      <c r="G692" t="s">
        <v>105</v>
      </c>
      <c r="H692" t="s">
        <v>42</v>
      </c>
      <c r="I692" t="s">
        <v>53</v>
      </c>
      <c r="J692" t="s">
        <v>34</v>
      </c>
      <c r="K692" t="s">
        <v>442</v>
      </c>
      <c r="L692" t="s">
        <v>65</v>
      </c>
      <c r="M692" t="b">
        <v>0</v>
      </c>
      <c r="N692" t="s">
        <v>190</v>
      </c>
      <c r="O692" t="b">
        <v>0</v>
      </c>
      <c r="P692" t="b">
        <v>1</v>
      </c>
      <c r="Q692" t="b">
        <v>0</v>
      </c>
      <c r="R692" t="b">
        <v>1</v>
      </c>
      <c r="S692" t="b">
        <v>1</v>
      </c>
      <c r="T692" t="b">
        <v>0</v>
      </c>
      <c r="U692" t="b">
        <v>0</v>
      </c>
      <c r="V692" t="b">
        <v>0</v>
      </c>
      <c r="W692" t="b">
        <v>0</v>
      </c>
      <c r="X692" t="b">
        <v>1</v>
      </c>
      <c r="Y692" t="b">
        <v>0</v>
      </c>
      <c r="Z692" t="b">
        <v>1</v>
      </c>
      <c r="AA692" t="b">
        <v>0</v>
      </c>
      <c r="AB692" t="s">
        <v>4327</v>
      </c>
      <c r="AC692" t="s">
        <v>9223</v>
      </c>
    </row>
    <row r="693" spans="1:29" x14ac:dyDescent="0.3">
      <c r="A693">
        <v>-73.967784210000005</v>
      </c>
      <c r="B693">
        <v>40.782604939999999</v>
      </c>
      <c r="C693" t="s">
        <v>571</v>
      </c>
      <c r="D693" t="s">
        <v>33</v>
      </c>
      <c r="E693" s="58">
        <v>43381</v>
      </c>
      <c r="F693">
        <v>17</v>
      </c>
      <c r="G693" t="s">
        <v>48</v>
      </c>
      <c r="H693" t="s">
        <v>42</v>
      </c>
      <c r="I693" t="s">
        <v>96</v>
      </c>
      <c r="J693" t="s">
        <v>60</v>
      </c>
      <c r="K693" t="s">
        <v>809</v>
      </c>
      <c r="L693" t="s">
        <v>65</v>
      </c>
      <c r="M693" t="b">
        <v>0</v>
      </c>
      <c r="N693" t="s">
        <v>190</v>
      </c>
      <c r="O693" t="b">
        <v>0</v>
      </c>
      <c r="P693" t="b">
        <v>1</v>
      </c>
      <c r="Q693" t="b">
        <v>0</v>
      </c>
      <c r="R693" t="b">
        <v>0</v>
      </c>
      <c r="S693" t="b">
        <v>1</v>
      </c>
      <c r="T693" t="b">
        <v>0</v>
      </c>
      <c r="U693" t="b">
        <v>0</v>
      </c>
      <c r="V693" t="b">
        <v>0</v>
      </c>
      <c r="W693" t="b">
        <v>1</v>
      </c>
      <c r="X693" t="b">
        <v>0</v>
      </c>
      <c r="Y693" t="b">
        <v>0</v>
      </c>
      <c r="Z693" t="b">
        <v>1</v>
      </c>
      <c r="AA693" t="b">
        <v>0</v>
      </c>
      <c r="AB693" t="s">
        <v>360</v>
      </c>
      <c r="AC693" t="s">
        <v>9224</v>
      </c>
    </row>
    <row r="694" spans="1:29" x14ac:dyDescent="0.3">
      <c r="A694">
        <v>-73.965200929999995</v>
      </c>
      <c r="B694">
        <v>40.778946740000002</v>
      </c>
      <c r="C694" t="s">
        <v>729</v>
      </c>
      <c r="D694" t="s">
        <v>38</v>
      </c>
      <c r="E694" s="58">
        <v>43381</v>
      </c>
      <c r="F694">
        <v>17</v>
      </c>
      <c r="G694" t="s">
        <v>48</v>
      </c>
      <c r="H694" t="s">
        <v>53</v>
      </c>
      <c r="I694" t="s">
        <v>53</v>
      </c>
      <c r="J694" t="s">
        <v>43</v>
      </c>
      <c r="K694" t="s">
        <v>565</v>
      </c>
      <c r="L694" t="s">
        <v>65</v>
      </c>
      <c r="M694" t="b">
        <v>0</v>
      </c>
      <c r="N694" t="s">
        <v>4635</v>
      </c>
      <c r="O694" t="b">
        <v>0</v>
      </c>
      <c r="P694" t="b">
        <v>0</v>
      </c>
      <c r="Q694" t="b">
        <v>1</v>
      </c>
      <c r="R694" t="b">
        <v>0</v>
      </c>
      <c r="S694" t="b">
        <v>1</v>
      </c>
      <c r="T694" t="b">
        <v>0</v>
      </c>
      <c r="U694" t="b">
        <v>0</v>
      </c>
      <c r="V694" t="b">
        <v>0</v>
      </c>
      <c r="W694" t="b">
        <v>1</v>
      </c>
      <c r="X694" t="b">
        <v>0</v>
      </c>
      <c r="Y694" t="b">
        <v>0</v>
      </c>
      <c r="Z694" t="b">
        <v>1</v>
      </c>
      <c r="AA694" t="b">
        <v>0</v>
      </c>
      <c r="AB694" t="s">
        <v>1849</v>
      </c>
      <c r="AC694" t="s">
        <v>9225</v>
      </c>
    </row>
    <row r="695" spans="1:29" x14ac:dyDescent="0.3">
      <c r="A695">
        <v>-73.973537989999997</v>
      </c>
      <c r="B695">
        <v>40.770064179999999</v>
      </c>
      <c r="C695" t="s">
        <v>879</v>
      </c>
      <c r="D695" t="s">
        <v>33</v>
      </c>
      <c r="E695" s="58">
        <v>43388</v>
      </c>
      <c r="F695">
        <v>21</v>
      </c>
      <c r="G695" t="s">
        <v>48</v>
      </c>
      <c r="H695" t="s">
        <v>42</v>
      </c>
      <c r="I695" t="s">
        <v>42</v>
      </c>
      <c r="J695" t="s">
        <v>54</v>
      </c>
      <c r="K695" t="s">
        <v>7365</v>
      </c>
      <c r="L695" t="s">
        <v>44</v>
      </c>
      <c r="M695">
        <v>10</v>
      </c>
      <c r="N695" t="s">
        <v>424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s">
        <v>7288</v>
      </c>
      <c r="AC695" t="s">
        <v>9226</v>
      </c>
    </row>
    <row r="696" spans="1:29" x14ac:dyDescent="0.3">
      <c r="A696">
        <v>-73.977548479999996</v>
      </c>
      <c r="B696">
        <v>40.77785076</v>
      </c>
      <c r="C696" t="s">
        <v>943</v>
      </c>
      <c r="D696" t="s">
        <v>33</v>
      </c>
      <c r="E696" s="58">
        <v>43390</v>
      </c>
      <c r="F696">
        <v>18</v>
      </c>
      <c r="G696" t="s">
        <v>48</v>
      </c>
      <c r="H696" t="s">
        <v>176</v>
      </c>
      <c r="I696" t="s">
        <v>42</v>
      </c>
      <c r="J696" t="s">
        <v>43</v>
      </c>
      <c r="K696" t="s">
        <v>5957</v>
      </c>
      <c r="L696" t="s">
        <v>65</v>
      </c>
      <c r="M696" t="b">
        <v>0</v>
      </c>
      <c r="N696" t="s">
        <v>2988</v>
      </c>
      <c r="O696" t="b">
        <v>0</v>
      </c>
      <c r="P696" t="b">
        <v>0</v>
      </c>
      <c r="Q696" t="b">
        <v>1</v>
      </c>
      <c r="R696" t="b">
        <v>1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1</v>
      </c>
      <c r="AA696" t="b">
        <v>0</v>
      </c>
      <c r="AB696" t="s">
        <v>3061</v>
      </c>
      <c r="AC696" t="s">
        <v>9227</v>
      </c>
    </row>
    <row r="697" spans="1:29" x14ac:dyDescent="0.3">
      <c r="A697">
        <v>-73.961962630000002</v>
      </c>
      <c r="B697">
        <v>40.767310870000003</v>
      </c>
      <c r="C697" t="s">
        <v>505</v>
      </c>
      <c r="D697" t="s">
        <v>33</v>
      </c>
      <c r="E697" s="58">
        <v>43391</v>
      </c>
      <c r="F697">
        <v>16</v>
      </c>
      <c r="G697" t="s">
        <v>48</v>
      </c>
      <c r="H697" t="s">
        <v>42</v>
      </c>
      <c r="I697" t="s">
        <v>53</v>
      </c>
      <c r="J697" t="s">
        <v>54</v>
      </c>
      <c r="K697" t="s">
        <v>2927</v>
      </c>
      <c r="L697" t="s">
        <v>65</v>
      </c>
      <c r="M697" t="b">
        <v>0</v>
      </c>
      <c r="N697" t="s">
        <v>1241</v>
      </c>
      <c r="O697" t="b">
        <v>0</v>
      </c>
      <c r="P697" t="b">
        <v>0</v>
      </c>
      <c r="Q697" t="b">
        <v>0</v>
      </c>
      <c r="R697" t="b">
        <v>0</v>
      </c>
      <c r="S697" t="b">
        <v>1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1</v>
      </c>
      <c r="AA697" t="b">
        <v>0</v>
      </c>
      <c r="AB697" t="s">
        <v>4327</v>
      </c>
      <c r="AC697" t="s">
        <v>9228</v>
      </c>
    </row>
    <row r="698" spans="1:29" x14ac:dyDescent="0.3">
      <c r="A698">
        <v>-73.972084960000004</v>
      </c>
      <c r="B698">
        <v>40.765819450000002</v>
      </c>
      <c r="C698" t="s">
        <v>873</v>
      </c>
      <c r="D698" t="s">
        <v>38</v>
      </c>
      <c r="E698" s="58">
        <v>43393</v>
      </c>
      <c r="F698">
        <v>30</v>
      </c>
      <c r="G698" t="s">
        <v>48</v>
      </c>
      <c r="H698" t="s">
        <v>42</v>
      </c>
      <c r="I698" t="s">
        <v>59</v>
      </c>
      <c r="J698" t="s">
        <v>43</v>
      </c>
      <c r="K698" t="s">
        <v>6737</v>
      </c>
      <c r="L698" t="s">
        <v>65</v>
      </c>
      <c r="M698" t="b">
        <v>0</v>
      </c>
      <c r="N698" t="s">
        <v>190</v>
      </c>
      <c r="O698" t="b">
        <v>0</v>
      </c>
      <c r="P698" t="b">
        <v>1</v>
      </c>
      <c r="Q698" t="b">
        <v>0</v>
      </c>
      <c r="R698" t="b">
        <v>0</v>
      </c>
      <c r="S698" t="b">
        <v>1</v>
      </c>
      <c r="T698" t="b">
        <v>0</v>
      </c>
      <c r="U698" t="b">
        <v>0</v>
      </c>
      <c r="V698" t="b">
        <v>0</v>
      </c>
      <c r="W698" t="b">
        <v>0</v>
      </c>
      <c r="X698" t="b">
        <v>1</v>
      </c>
      <c r="Y698" t="b">
        <v>0</v>
      </c>
      <c r="Z698" t="b">
        <v>1</v>
      </c>
      <c r="AA698" t="b">
        <v>0</v>
      </c>
      <c r="AB698" t="s">
        <v>511</v>
      </c>
      <c r="AC698" t="s">
        <v>9229</v>
      </c>
    </row>
    <row r="699" spans="1:29" x14ac:dyDescent="0.3">
      <c r="A699">
        <v>-73.962886299999994</v>
      </c>
      <c r="B699">
        <v>40.769669579999999</v>
      </c>
      <c r="C699" t="s">
        <v>183</v>
      </c>
      <c r="D699" t="s">
        <v>38</v>
      </c>
      <c r="E699" s="58">
        <v>43381</v>
      </c>
      <c r="F699">
        <v>8</v>
      </c>
      <c r="G699" t="s">
        <v>105</v>
      </c>
      <c r="H699" t="s">
        <v>42</v>
      </c>
      <c r="I699" t="s">
        <v>53</v>
      </c>
      <c r="J699" t="s">
        <v>79</v>
      </c>
      <c r="K699" t="s">
        <v>49</v>
      </c>
      <c r="L699" t="s">
        <v>65</v>
      </c>
      <c r="M699" t="b">
        <v>0</v>
      </c>
      <c r="N699" t="s">
        <v>748</v>
      </c>
      <c r="O699" t="b">
        <v>0</v>
      </c>
      <c r="P699" t="b">
        <v>0</v>
      </c>
      <c r="Q699" t="b">
        <v>0</v>
      </c>
      <c r="R699" t="b">
        <v>1</v>
      </c>
      <c r="S699" t="b">
        <v>1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s">
        <v>2671</v>
      </c>
      <c r="AC699" t="s">
        <v>9230</v>
      </c>
    </row>
    <row r="700" spans="1:29" x14ac:dyDescent="0.3">
      <c r="A700">
        <v>-73.976305909999994</v>
      </c>
      <c r="B700">
        <v>40.798819880000003</v>
      </c>
      <c r="C700" t="s">
        <v>2662</v>
      </c>
      <c r="D700" t="s">
        <v>38</v>
      </c>
      <c r="E700" s="58">
        <v>43384</v>
      </c>
      <c r="F700">
        <v>26</v>
      </c>
      <c r="G700" t="s">
        <v>105</v>
      </c>
      <c r="H700" t="s">
        <v>42</v>
      </c>
      <c r="I700" t="s">
        <v>53</v>
      </c>
      <c r="J700" t="s">
        <v>54</v>
      </c>
      <c r="K700" t="s">
        <v>7072</v>
      </c>
      <c r="L700" t="s">
        <v>65</v>
      </c>
      <c r="M700" t="b">
        <v>0</v>
      </c>
      <c r="N700" t="s">
        <v>1642</v>
      </c>
      <c r="O700" t="b">
        <v>0</v>
      </c>
      <c r="P700" t="b">
        <v>0</v>
      </c>
      <c r="Q700" t="b">
        <v>1</v>
      </c>
      <c r="R700" t="b">
        <v>0</v>
      </c>
      <c r="S700" t="b">
        <v>1</v>
      </c>
      <c r="T700" t="b">
        <v>0</v>
      </c>
      <c r="U700" t="b">
        <v>0</v>
      </c>
      <c r="V700" t="b">
        <v>0</v>
      </c>
      <c r="W700" t="b">
        <v>1</v>
      </c>
      <c r="X700" t="b">
        <v>0</v>
      </c>
      <c r="Y700" t="b">
        <v>0</v>
      </c>
      <c r="Z700" t="b">
        <v>1</v>
      </c>
      <c r="AA700" t="b">
        <v>0</v>
      </c>
      <c r="AB700" t="s">
        <v>4013</v>
      </c>
      <c r="AC700" t="s">
        <v>9231</v>
      </c>
    </row>
    <row r="701" spans="1:29" x14ac:dyDescent="0.3">
      <c r="A701">
        <v>-73.966033069999995</v>
      </c>
      <c r="B701">
        <v>40.78425842</v>
      </c>
      <c r="C701" t="s">
        <v>2662</v>
      </c>
      <c r="D701" t="s">
        <v>33</v>
      </c>
      <c r="E701" s="58">
        <v>43390</v>
      </c>
      <c r="F701">
        <v>11</v>
      </c>
      <c r="G701" t="s">
        <v>48</v>
      </c>
      <c r="H701" t="s">
        <v>42</v>
      </c>
      <c r="I701" t="s">
        <v>96</v>
      </c>
      <c r="J701" t="s">
        <v>177</v>
      </c>
      <c r="K701" t="s">
        <v>6869</v>
      </c>
      <c r="L701" t="s">
        <v>65</v>
      </c>
      <c r="M701" t="b">
        <v>0</v>
      </c>
      <c r="N701" t="s">
        <v>2865</v>
      </c>
      <c r="O701" t="b">
        <v>0</v>
      </c>
      <c r="P701" t="b">
        <v>0</v>
      </c>
      <c r="Q701" t="b">
        <v>0</v>
      </c>
      <c r="R701" t="b">
        <v>1</v>
      </c>
      <c r="S701" t="b">
        <v>1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1</v>
      </c>
      <c r="AA701" t="b">
        <v>0</v>
      </c>
      <c r="AB701" t="s">
        <v>845</v>
      </c>
      <c r="AC701" t="s">
        <v>9232</v>
      </c>
    </row>
    <row r="702" spans="1:29" x14ac:dyDescent="0.3">
      <c r="A702">
        <v>-73.964415669999994</v>
      </c>
      <c r="B702">
        <v>40.798915190000002</v>
      </c>
      <c r="C702" t="s">
        <v>505</v>
      </c>
      <c r="D702" t="s">
        <v>38</v>
      </c>
      <c r="E702" s="58">
        <v>43393</v>
      </c>
      <c r="F702">
        <v>21</v>
      </c>
      <c r="G702" t="s">
        <v>48</v>
      </c>
      <c r="H702" t="s">
        <v>42</v>
      </c>
      <c r="I702" t="s">
        <v>59</v>
      </c>
      <c r="J702" t="s">
        <v>43</v>
      </c>
      <c r="K702" t="s">
        <v>6245</v>
      </c>
      <c r="L702" t="s">
        <v>44</v>
      </c>
      <c r="M702">
        <v>4</v>
      </c>
      <c r="N702" t="s">
        <v>4406</v>
      </c>
      <c r="O702" t="b">
        <v>0</v>
      </c>
      <c r="P702" t="b">
        <v>0</v>
      </c>
      <c r="Q702" t="b">
        <v>0</v>
      </c>
      <c r="R702" t="b">
        <v>0</v>
      </c>
      <c r="S702" t="b">
        <v>1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s">
        <v>1222</v>
      </c>
      <c r="AC702" t="s">
        <v>9233</v>
      </c>
    </row>
    <row r="703" spans="1:29" x14ac:dyDescent="0.3">
      <c r="A703">
        <v>-73.979529409999998</v>
      </c>
      <c r="B703">
        <v>40.78013799</v>
      </c>
      <c r="C703" t="s">
        <v>2577</v>
      </c>
      <c r="D703" t="s">
        <v>38</v>
      </c>
      <c r="E703" s="58">
        <v>43384</v>
      </c>
      <c r="F703">
        <v>21</v>
      </c>
      <c r="G703" t="s">
        <v>48</v>
      </c>
      <c r="H703" t="s">
        <v>53</v>
      </c>
      <c r="I703" t="s">
        <v>59</v>
      </c>
      <c r="J703" t="s">
        <v>89</v>
      </c>
      <c r="K703" t="s">
        <v>242</v>
      </c>
      <c r="L703" t="s">
        <v>65</v>
      </c>
      <c r="M703" t="b">
        <v>0</v>
      </c>
      <c r="N703" t="s">
        <v>2304</v>
      </c>
      <c r="O703" t="b">
        <v>1</v>
      </c>
      <c r="P703" t="b">
        <v>0</v>
      </c>
      <c r="Q703" t="b">
        <v>0</v>
      </c>
      <c r="R703" t="b">
        <v>1</v>
      </c>
      <c r="S703" t="b">
        <v>1</v>
      </c>
      <c r="T703" t="b">
        <v>0</v>
      </c>
      <c r="U703" t="b">
        <v>0</v>
      </c>
      <c r="V703" t="b">
        <v>0</v>
      </c>
      <c r="W703" t="b">
        <v>0</v>
      </c>
      <c r="X703" t="b">
        <v>1</v>
      </c>
      <c r="Y703" t="b">
        <v>0</v>
      </c>
      <c r="Z703" t="b">
        <v>1</v>
      </c>
      <c r="AA703" t="b">
        <v>0</v>
      </c>
      <c r="AB703" t="s">
        <v>2778</v>
      </c>
      <c r="AC703" t="s">
        <v>9234</v>
      </c>
    </row>
    <row r="704" spans="1:29" x14ac:dyDescent="0.3">
      <c r="A704">
        <v>-73.970576809999997</v>
      </c>
      <c r="B704">
        <v>40.775889040000003</v>
      </c>
      <c r="C704" t="s">
        <v>908</v>
      </c>
      <c r="D704" t="s">
        <v>33</v>
      </c>
      <c r="E704" s="58">
        <v>43391</v>
      </c>
      <c r="F704">
        <v>18</v>
      </c>
      <c r="G704" t="s">
        <v>48</v>
      </c>
      <c r="H704" t="s">
        <v>176</v>
      </c>
      <c r="I704" t="s">
        <v>53</v>
      </c>
      <c r="J704" t="s">
        <v>97</v>
      </c>
      <c r="K704" t="s">
        <v>3433</v>
      </c>
      <c r="L704" t="s">
        <v>65</v>
      </c>
      <c r="M704" t="b">
        <v>0</v>
      </c>
      <c r="N704" t="s">
        <v>456</v>
      </c>
      <c r="O704" t="b">
        <v>1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1</v>
      </c>
      <c r="AA704" t="b">
        <v>1</v>
      </c>
      <c r="AB704" t="s">
        <v>1727</v>
      </c>
      <c r="AC704" t="s">
        <v>9235</v>
      </c>
    </row>
    <row r="705" spans="1:29" x14ac:dyDescent="0.3">
      <c r="A705">
        <v>-73.976933009999996</v>
      </c>
      <c r="B705">
        <v>40.782730829999998</v>
      </c>
      <c r="C705" t="s">
        <v>47</v>
      </c>
      <c r="D705" t="s">
        <v>38</v>
      </c>
      <c r="E705" s="58">
        <v>43391</v>
      </c>
      <c r="F705">
        <v>23</v>
      </c>
      <c r="G705" t="s">
        <v>48</v>
      </c>
      <c r="H705" t="s">
        <v>42</v>
      </c>
      <c r="I705" t="s">
        <v>53</v>
      </c>
      <c r="J705" t="s">
        <v>43</v>
      </c>
      <c r="K705" t="s">
        <v>4660</v>
      </c>
      <c r="L705" t="s">
        <v>65</v>
      </c>
      <c r="M705" t="b">
        <v>0</v>
      </c>
      <c r="N705" t="s">
        <v>6024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1</v>
      </c>
      <c r="AA705" t="b">
        <v>1</v>
      </c>
      <c r="AB705" t="s">
        <v>685</v>
      </c>
      <c r="AC705" t="s">
        <v>9236</v>
      </c>
    </row>
    <row r="706" spans="1:29" x14ac:dyDescent="0.3">
      <c r="A706">
        <v>-73.979166269999993</v>
      </c>
      <c r="B706">
        <v>40.780384929999997</v>
      </c>
      <c r="C706" t="s">
        <v>2593</v>
      </c>
      <c r="D706" t="s">
        <v>38</v>
      </c>
      <c r="E706" s="58">
        <v>43381</v>
      </c>
      <c r="F706">
        <v>29</v>
      </c>
      <c r="G706" t="s">
        <v>48</v>
      </c>
      <c r="H706" t="s">
        <v>53</v>
      </c>
      <c r="I706" t="s">
        <v>53</v>
      </c>
      <c r="J706" t="s">
        <v>54</v>
      </c>
      <c r="K706" t="s">
        <v>7359</v>
      </c>
      <c r="L706" t="s">
        <v>65</v>
      </c>
      <c r="M706" t="b">
        <v>0</v>
      </c>
      <c r="N706" t="s">
        <v>456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1</v>
      </c>
      <c r="Y706" t="b">
        <v>0</v>
      </c>
      <c r="Z706" t="b">
        <v>0</v>
      </c>
      <c r="AA706" t="b">
        <v>1</v>
      </c>
      <c r="AB706" t="s">
        <v>167</v>
      </c>
      <c r="AC706" t="s">
        <v>9237</v>
      </c>
    </row>
    <row r="707" spans="1:29" x14ac:dyDescent="0.3">
      <c r="A707">
        <v>-73.950037390000006</v>
      </c>
      <c r="B707">
        <v>40.768630889999997</v>
      </c>
      <c r="C707" t="s">
        <v>1133</v>
      </c>
      <c r="D707" t="s">
        <v>38</v>
      </c>
      <c r="E707" s="58">
        <v>43381</v>
      </c>
      <c r="F707">
        <v>24</v>
      </c>
      <c r="G707" t="s">
        <v>105</v>
      </c>
      <c r="H707" t="s">
        <v>42</v>
      </c>
      <c r="I707" t="s">
        <v>96</v>
      </c>
      <c r="J707" t="s">
        <v>43</v>
      </c>
      <c r="K707" t="s">
        <v>4308</v>
      </c>
      <c r="L707" t="s">
        <v>65</v>
      </c>
      <c r="M707" t="b">
        <v>0</v>
      </c>
      <c r="N707" t="s">
        <v>456</v>
      </c>
      <c r="O707" t="b">
        <v>0</v>
      </c>
      <c r="P707" t="b">
        <v>0</v>
      </c>
      <c r="Q707" t="b">
        <v>1</v>
      </c>
      <c r="R707" t="b">
        <v>0</v>
      </c>
      <c r="S707" t="b">
        <v>1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1</v>
      </c>
      <c r="AB707" t="s">
        <v>399</v>
      </c>
      <c r="AC707" t="s">
        <v>9238</v>
      </c>
    </row>
    <row r="708" spans="1:29" x14ac:dyDescent="0.3">
      <c r="A708">
        <v>-73.971024799999995</v>
      </c>
      <c r="B708">
        <v>40.787472780000002</v>
      </c>
      <c r="C708" t="s">
        <v>908</v>
      </c>
      <c r="D708" t="s">
        <v>38</v>
      </c>
      <c r="E708" s="58">
        <v>43386</v>
      </c>
      <c r="F708">
        <v>10</v>
      </c>
      <c r="G708" t="s">
        <v>48</v>
      </c>
      <c r="H708" t="s">
        <v>42</v>
      </c>
      <c r="I708" t="s">
        <v>59</v>
      </c>
      <c r="J708" t="s">
        <v>43</v>
      </c>
      <c r="K708" t="s">
        <v>4742</v>
      </c>
      <c r="L708" t="s">
        <v>65</v>
      </c>
      <c r="M708" t="b">
        <v>0</v>
      </c>
      <c r="N708" t="s">
        <v>424</v>
      </c>
      <c r="O708" t="b">
        <v>1</v>
      </c>
      <c r="P708" t="b">
        <v>0</v>
      </c>
      <c r="Q708" t="b">
        <v>1</v>
      </c>
      <c r="R708" t="b">
        <v>0</v>
      </c>
      <c r="S708" t="b">
        <v>1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1</v>
      </c>
      <c r="AA708" t="b">
        <v>0</v>
      </c>
      <c r="AB708" t="s">
        <v>7261</v>
      </c>
      <c r="AC708" t="s">
        <v>9239</v>
      </c>
    </row>
    <row r="709" spans="1:29" x14ac:dyDescent="0.3">
      <c r="A709">
        <v>-73.955698709999993</v>
      </c>
      <c r="B709">
        <v>40.77251691</v>
      </c>
      <c r="C709" t="s">
        <v>367</v>
      </c>
      <c r="D709" t="s">
        <v>33</v>
      </c>
      <c r="E709" s="58">
        <v>43386</v>
      </c>
      <c r="F709">
        <v>13</v>
      </c>
      <c r="G709" t="s">
        <v>48</v>
      </c>
      <c r="H709" t="s">
        <v>53</v>
      </c>
      <c r="I709" t="s">
        <v>96</v>
      </c>
      <c r="J709" t="s">
        <v>43</v>
      </c>
      <c r="K709" t="s">
        <v>3028</v>
      </c>
      <c r="L709" t="s">
        <v>65</v>
      </c>
      <c r="M709" t="b">
        <v>0</v>
      </c>
      <c r="N709" t="s">
        <v>5371</v>
      </c>
      <c r="O709" t="b">
        <v>0</v>
      </c>
      <c r="P709" t="b">
        <v>0</v>
      </c>
      <c r="Q709" t="b">
        <v>0</v>
      </c>
      <c r="R709" t="b">
        <v>1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1</v>
      </c>
      <c r="AA709" t="b">
        <v>0</v>
      </c>
      <c r="AB709" t="s">
        <v>5699</v>
      </c>
      <c r="AC709" t="s">
        <v>9240</v>
      </c>
    </row>
    <row r="710" spans="1:29" x14ac:dyDescent="0.3">
      <c r="A710">
        <v>-73.973153490000001</v>
      </c>
      <c r="B710">
        <v>40.786725029999999</v>
      </c>
      <c r="C710" t="s">
        <v>47</v>
      </c>
      <c r="D710" t="s">
        <v>33</v>
      </c>
      <c r="E710" s="58">
        <v>43385</v>
      </c>
      <c r="F710">
        <v>17</v>
      </c>
      <c r="G710" t="s">
        <v>48</v>
      </c>
      <c r="H710" t="s">
        <v>42</v>
      </c>
      <c r="I710" t="s">
        <v>53</v>
      </c>
      <c r="J710" t="s">
        <v>79</v>
      </c>
      <c r="K710" t="s">
        <v>1666</v>
      </c>
      <c r="L710" t="s">
        <v>65</v>
      </c>
      <c r="M710" t="b">
        <v>0</v>
      </c>
      <c r="N710" t="s">
        <v>6476</v>
      </c>
      <c r="O710" t="b">
        <v>0</v>
      </c>
      <c r="P710" t="b">
        <v>0</v>
      </c>
      <c r="Q710" t="b">
        <v>1</v>
      </c>
      <c r="R710" t="b">
        <v>0</v>
      </c>
      <c r="S710" t="b">
        <v>1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1</v>
      </c>
      <c r="AA710" t="b">
        <v>0</v>
      </c>
      <c r="AB710" t="s">
        <v>4073</v>
      </c>
      <c r="AC710" t="s">
        <v>9241</v>
      </c>
    </row>
    <row r="711" spans="1:29" x14ac:dyDescent="0.3">
      <c r="A711">
        <v>-73.959734310000002</v>
      </c>
      <c r="B711">
        <v>40.787802849999999</v>
      </c>
      <c r="C711" t="s">
        <v>1780</v>
      </c>
      <c r="D711" t="s">
        <v>38</v>
      </c>
      <c r="E711" s="58">
        <v>43388</v>
      </c>
      <c r="F711">
        <v>18</v>
      </c>
      <c r="G711" t="s">
        <v>48</v>
      </c>
      <c r="H711" t="s">
        <v>42</v>
      </c>
      <c r="I711" t="s">
        <v>53</v>
      </c>
      <c r="J711" t="s">
        <v>54</v>
      </c>
      <c r="K711" t="s">
        <v>672</v>
      </c>
      <c r="L711" t="s">
        <v>65</v>
      </c>
      <c r="M711" t="b">
        <v>0</v>
      </c>
      <c r="N711" t="s">
        <v>4829</v>
      </c>
      <c r="O711" t="b">
        <v>0</v>
      </c>
      <c r="P711" t="b">
        <v>0</v>
      </c>
      <c r="Q711" t="b">
        <v>0</v>
      </c>
      <c r="R711" t="b">
        <v>0</v>
      </c>
      <c r="S711" t="b">
        <v>1</v>
      </c>
      <c r="T711" t="b">
        <v>0</v>
      </c>
      <c r="U711" t="b">
        <v>0</v>
      </c>
      <c r="V711" t="b">
        <v>0</v>
      </c>
      <c r="W711" t="b">
        <v>0</v>
      </c>
      <c r="X711" t="b">
        <v>1</v>
      </c>
      <c r="Y711" t="b">
        <v>0</v>
      </c>
      <c r="Z711" t="b">
        <v>0</v>
      </c>
      <c r="AA711" t="b">
        <v>0</v>
      </c>
      <c r="AB711" t="s">
        <v>5951</v>
      </c>
      <c r="AC711" t="s">
        <v>9242</v>
      </c>
    </row>
    <row r="712" spans="1:29" x14ac:dyDescent="0.3">
      <c r="A712">
        <v>-73.957259440000001</v>
      </c>
      <c r="B712">
        <v>40.770263139999997</v>
      </c>
      <c r="C712" t="s">
        <v>2662</v>
      </c>
      <c r="D712" t="s">
        <v>33</v>
      </c>
      <c r="E712" s="58">
        <v>43382</v>
      </c>
      <c r="F712">
        <v>10</v>
      </c>
      <c r="G712" t="s">
        <v>48</v>
      </c>
      <c r="H712" t="s">
        <v>42</v>
      </c>
      <c r="I712" t="s">
        <v>53</v>
      </c>
      <c r="J712" t="s">
        <v>34</v>
      </c>
      <c r="K712" t="s">
        <v>5168</v>
      </c>
      <c r="L712" t="s">
        <v>65</v>
      </c>
      <c r="M712" t="b">
        <v>0</v>
      </c>
      <c r="N712" t="s">
        <v>3132</v>
      </c>
      <c r="O712" t="b">
        <v>0</v>
      </c>
      <c r="P712" t="b">
        <v>1</v>
      </c>
      <c r="Q712" t="b">
        <v>1</v>
      </c>
      <c r="R712" t="b">
        <v>1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1</v>
      </c>
      <c r="AB712" t="s">
        <v>1432</v>
      </c>
      <c r="AC712" t="s">
        <v>9243</v>
      </c>
    </row>
    <row r="713" spans="1:29" x14ac:dyDescent="0.3">
      <c r="A713">
        <v>-73.962433599999997</v>
      </c>
      <c r="B713">
        <v>40.767070660000002</v>
      </c>
      <c r="C713" t="s">
        <v>483</v>
      </c>
      <c r="D713" t="s">
        <v>38</v>
      </c>
      <c r="E713" s="58">
        <v>43393</v>
      </c>
      <c r="F713">
        <v>16</v>
      </c>
      <c r="G713" t="s">
        <v>48</v>
      </c>
      <c r="H713" t="s">
        <v>42</v>
      </c>
      <c r="I713" t="s">
        <v>53</v>
      </c>
      <c r="J713" t="s">
        <v>43</v>
      </c>
      <c r="K713" t="s">
        <v>1636</v>
      </c>
      <c r="L713" t="s">
        <v>65</v>
      </c>
      <c r="M713" t="b">
        <v>0</v>
      </c>
      <c r="N713" t="s">
        <v>1359</v>
      </c>
      <c r="O713" t="b">
        <v>1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s">
        <v>6161</v>
      </c>
      <c r="AC713" t="s">
        <v>9244</v>
      </c>
    </row>
    <row r="714" spans="1:29" x14ac:dyDescent="0.3">
      <c r="A714">
        <v>-73.966333730000002</v>
      </c>
      <c r="B714">
        <v>40.792399609999997</v>
      </c>
      <c r="C714" t="s">
        <v>1906</v>
      </c>
      <c r="D714" t="s">
        <v>38</v>
      </c>
      <c r="E714" s="58">
        <v>43382</v>
      </c>
      <c r="F714">
        <v>20</v>
      </c>
      <c r="G714" t="s">
        <v>48</v>
      </c>
      <c r="H714" t="s">
        <v>42</v>
      </c>
      <c r="I714" t="s">
        <v>53</v>
      </c>
      <c r="J714" t="s">
        <v>339</v>
      </c>
      <c r="K714" t="s">
        <v>2311</v>
      </c>
      <c r="L714" t="s">
        <v>65</v>
      </c>
      <c r="M714" t="b">
        <v>0</v>
      </c>
      <c r="N714" t="s">
        <v>978</v>
      </c>
      <c r="O714" t="b">
        <v>0</v>
      </c>
      <c r="P714" t="b">
        <v>0</v>
      </c>
      <c r="Q714" t="b">
        <v>0</v>
      </c>
      <c r="R714" t="b">
        <v>0</v>
      </c>
      <c r="S714" t="b">
        <v>1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1</v>
      </c>
      <c r="AB714" t="s">
        <v>121</v>
      </c>
      <c r="AC714" t="s">
        <v>9245</v>
      </c>
    </row>
    <row r="715" spans="1:29" x14ac:dyDescent="0.3">
      <c r="A715">
        <v>-73.968211609999997</v>
      </c>
      <c r="B715">
        <v>40.781099249999997</v>
      </c>
      <c r="C715" t="s">
        <v>200</v>
      </c>
      <c r="D715" t="s">
        <v>38</v>
      </c>
      <c r="E715" s="58">
        <v>43381</v>
      </c>
      <c r="F715">
        <v>5</v>
      </c>
      <c r="G715" t="s">
        <v>48</v>
      </c>
      <c r="H715" t="s">
        <v>42</v>
      </c>
      <c r="I715" t="s">
        <v>96</v>
      </c>
      <c r="J715" t="s">
        <v>43</v>
      </c>
      <c r="K715" t="s">
        <v>7370</v>
      </c>
      <c r="L715" t="s">
        <v>44</v>
      </c>
      <c r="M715">
        <v>40</v>
      </c>
      <c r="N715" t="s">
        <v>3328</v>
      </c>
      <c r="O715" t="b">
        <v>1</v>
      </c>
      <c r="P715" t="b">
        <v>0</v>
      </c>
      <c r="Q715" t="b">
        <v>0</v>
      </c>
      <c r="R715" t="b">
        <v>0</v>
      </c>
      <c r="S715" t="b">
        <v>1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s">
        <v>601</v>
      </c>
      <c r="AC715" t="s">
        <v>9246</v>
      </c>
    </row>
    <row r="716" spans="1:29" x14ac:dyDescent="0.3">
      <c r="A716">
        <v>-73.970191270000001</v>
      </c>
      <c r="B716">
        <v>40.76695849</v>
      </c>
      <c r="C716" t="s">
        <v>729</v>
      </c>
      <c r="D716" t="s">
        <v>38</v>
      </c>
      <c r="E716" s="58">
        <v>43383</v>
      </c>
      <c r="F716">
        <v>13</v>
      </c>
      <c r="G716" t="s">
        <v>48</v>
      </c>
      <c r="H716" t="s">
        <v>176</v>
      </c>
      <c r="I716" t="s">
        <v>42</v>
      </c>
      <c r="J716" t="s">
        <v>97</v>
      </c>
      <c r="K716" t="s">
        <v>5180</v>
      </c>
      <c r="L716" t="s">
        <v>44</v>
      </c>
      <c r="M716">
        <v>15</v>
      </c>
      <c r="N716" t="s">
        <v>7250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1</v>
      </c>
      <c r="AB716" t="s">
        <v>4172</v>
      </c>
      <c r="AC716" t="s">
        <v>9247</v>
      </c>
    </row>
    <row r="717" spans="1:29" x14ac:dyDescent="0.3">
      <c r="A717">
        <v>-73.951937150000006</v>
      </c>
      <c r="B717">
        <v>40.79993777</v>
      </c>
      <c r="C717" t="s">
        <v>124</v>
      </c>
      <c r="D717" t="s">
        <v>33</v>
      </c>
      <c r="E717" s="58">
        <v>43381</v>
      </c>
      <c r="F717">
        <v>18</v>
      </c>
      <c r="G717" t="s">
        <v>48</v>
      </c>
      <c r="H717" t="s">
        <v>42</v>
      </c>
      <c r="I717" t="s">
        <v>59</v>
      </c>
      <c r="J717" t="s">
        <v>54</v>
      </c>
      <c r="K717" t="s">
        <v>3341</v>
      </c>
      <c r="L717" t="s">
        <v>65</v>
      </c>
      <c r="M717" t="b">
        <v>0</v>
      </c>
      <c r="N717" t="s">
        <v>456</v>
      </c>
      <c r="O717" t="b">
        <v>0</v>
      </c>
      <c r="P717" t="b">
        <v>0</v>
      </c>
      <c r="Q717" t="b">
        <v>1</v>
      </c>
      <c r="R717" t="b">
        <v>1</v>
      </c>
      <c r="S717" t="b">
        <v>1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s">
        <v>2338</v>
      </c>
      <c r="AC717" t="s">
        <v>9248</v>
      </c>
    </row>
    <row r="718" spans="1:29" x14ac:dyDescent="0.3">
      <c r="A718">
        <v>-73.955046550000006</v>
      </c>
      <c r="B718">
        <v>40.766945</v>
      </c>
      <c r="C718" t="s">
        <v>133</v>
      </c>
      <c r="D718" t="s">
        <v>33</v>
      </c>
      <c r="E718" s="58">
        <v>43391</v>
      </c>
      <c r="F718">
        <v>17</v>
      </c>
      <c r="G718" t="s">
        <v>48</v>
      </c>
      <c r="H718" t="s">
        <v>42</v>
      </c>
      <c r="I718" t="s">
        <v>59</v>
      </c>
      <c r="J718" t="s">
        <v>43</v>
      </c>
      <c r="K718" t="s">
        <v>3351</v>
      </c>
      <c r="L718" t="s">
        <v>44</v>
      </c>
      <c r="M718">
        <v>7</v>
      </c>
      <c r="N718" t="s">
        <v>190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1</v>
      </c>
      <c r="AA718" t="b">
        <v>1</v>
      </c>
      <c r="AB718" t="s">
        <v>685</v>
      </c>
      <c r="AC718" t="s">
        <v>9249</v>
      </c>
    </row>
    <row r="719" spans="1:29" x14ac:dyDescent="0.3">
      <c r="A719">
        <v>-73.950821210000001</v>
      </c>
      <c r="B719">
        <v>40.78938136</v>
      </c>
      <c r="C719" t="s">
        <v>2077</v>
      </c>
      <c r="D719" t="s">
        <v>33</v>
      </c>
      <c r="E719" s="58">
        <v>43386</v>
      </c>
      <c r="F719">
        <v>9</v>
      </c>
      <c r="G719" t="s">
        <v>48</v>
      </c>
      <c r="H719" t="s">
        <v>42</v>
      </c>
      <c r="I719" t="s">
        <v>53</v>
      </c>
      <c r="J719" t="s">
        <v>60</v>
      </c>
      <c r="K719" t="s">
        <v>4791</v>
      </c>
      <c r="L719" t="s">
        <v>65</v>
      </c>
      <c r="M719" t="b">
        <v>0</v>
      </c>
      <c r="N719" t="s">
        <v>3040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1</v>
      </c>
      <c r="AA719" t="b">
        <v>0</v>
      </c>
      <c r="AB719" t="s">
        <v>3374</v>
      </c>
      <c r="AC719" t="s">
        <v>9250</v>
      </c>
    </row>
    <row r="720" spans="1:29" x14ac:dyDescent="0.3">
      <c r="A720">
        <v>-73.977251069999994</v>
      </c>
      <c r="B720">
        <v>40.799543890000002</v>
      </c>
      <c r="C720" t="s">
        <v>660</v>
      </c>
      <c r="D720" t="s">
        <v>33</v>
      </c>
      <c r="E720" s="58">
        <v>43385</v>
      </c>
      <c r="F720">
        <v>14</v>
      </c>
      <c r="G720" t="s">
        <v>48</v>
      </c>
      <c r="H720" t="s">
        <v>42</v>
      </c>
      <c r="I720" t="s">
        <v>42</v>
      </c>
      <c r="J720" t="s">
        <v>54</v>
      </c>
      <c r="K720" t="s">
        <v>4069</v>
      </c>
      <c r="L720" t="s">
        <v>44</v>
      </c>
      <c r="M720">
        <v>8</v>
      </c>
      <c r="N720" t="s">
        <v>4948</v>
      </c>
      <c r="O720" t="b">
        <v>0</v>
      </c>
      <c r="P720" t="b">
        <v>0</v>
      </c>
      <c r="Q720" t="b">
        <v>0</v>
      </c>
      <c r="R720" t="b">
        <v>1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s">
        <v>1497</v>
      </c>
      <c r="AC720" t="s">
        <v>9251</v>
      </c>
    </row>
    <row r="721" spans="1:29" x14ac:dyDescent="0.3">
      <c r="A721">
        <v>-73.958182440000002</v>
      </c>
      <c r="B721">
        <v>40.773331689999999</v>
      </c>
      <c r="C721" t="s">
        <v>100</v>
      </c>
      <c r="D721" t="s">
        <v>33</v>
      </c>
      <c r="E721" s="58">
        <v>43391</v>
      </c>
      <c r="F721">
        <v>17</v>
      </c>
      <c r="G721" t="s">
        <v>48</v>
      </c>
      <c r="H721" t="s">
        <v>42</v>
      </c>
      <c r="I721" t="s">
        <v>53</v>
      </c>
      <c r="J721" t="s">
        <v>79</v>
      </c>
      <c r="K721" t="s">
        <v>6800</v>
      </c>
      <c r="L721" t="s">
        <v>65</v>
      </c>
      <c r="M721" t="b">
        <v>0</v>
      </c>
      <c r="N721" t="s">
        <v>5123</v>
      </c>
      <c r="O721" t="b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s">
        <v>1893</v>
      </c>
      <c r="AC721" t="s">
        <v>9252</v>
      </c>
    </row>
    <row r="722" spans="1:29" x14ac:dyDescent="0.3">
      <c r="A722">
        <v>-73.951660149999995</v>
      </c>
      <c r="B722">
        <v>40.769918959999998</v>
      </c>
      <c r="C722" t="s">
        <v>539</v>
      </c>
      <c r="D722" t="s">
        <v>33</v>
      </c>
      <c r="E722" s="58">
        <v>43381</v>
      </c>
      <c r="F722">
        <v>29</v>
      </c>
      <c r="G722" t="s">
        <v>48</v>
      </c>
      <c r="H722" t="s">
        <v>42</v>
      </c>
      <c r="I722" t="s">
        <v>115</v>
      </c>
      <c r="J722" t="s">
        <v>79</v>
      </c>
      <c r="K722" t="s">
        <v>2362</v>
      </c>
      <c r="L722" t="s">
        <v>44</v>
      </c>
      <c r="M722">
        <v>12</v>
      </c>
      <c r="N722" t="s">
        <v>2810</v>
      </c>
      <c r="O722" t="b">
        <v>0</v>
      </c>
      <c r="P722" t="b">
        <v>1</v>
      </c>
      <c r="Q722" t="b">
        <v>0</v>
      </c>
      <c r="R722" t="b">
        <v>0</v>
      </c>
      <c r="S722" t="b">
        <v>1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s">
        <v>3564</v>
      </c>
      <c r="AC722" t="s">
        <v>9253</v>
      </c>
    </row>
    <row r="723" spans="1:29" x14ac:dyDescent="0.3">
      <c r="A723">
        <v>-73.975461190000004</v>
      </c>
      <c r="B723">
        <v>40.769184369999998</v>
      </c>
      <c r="C723" t="s">
        <v>468</v>
      </c>
      <c r="D723" t="s">
        <v>38</v>
      </c>
      <c r="E723" s="58">
        <v>43387</v>
      </c>
      <c r="F723">
        <v>4</v>
      </c>
      <c r="G723" t="s">
        <v>105</v>
      </c>
      <c r="H723" t="s">
        <v>53</v>
      </c>
      <c r="I723" t="s">
        <v>59</v>
      </c>
      <c r="J723" t="s">
        <v>54</v>
      </c>
      <c r="K723" t="s">
        <v>4742</v>
      </c>
      <c r="L723" t="s">
        <v>65</v>
      </c>
      <c r="M723" t="b">
        <v>0</v>
      </c>
      <c r="N723" t="s">
        <v>6706</v>
      </c>
      <c r="O723" t="b">
        <v>0</v>
      </c>
      <c r="P723" t="b">
        <v>0</v>
      </c>
      <c r="Q723" t="b">
        <v>0</v>
      </c>
      <c r="R723" t="b">
        <v>0</v>
      </c>
      <c r="S723" t="b">
        <v>1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1</v>
      </c>
      <c r="AA723" t="b">
        <v>0</v>
      </c>
      <c r="AB723" t="s">
        <v>1264</v>
      </c>
      <c r="AC723" t="s">
        <v>9254</v>
      </c>
    </row>
    <row r="724" spans="1:29" x14ac:dyDescent="0.3">
      <c r="A724">
        <v>-73.979068150000003</v>
      </c>
      <c r="B724">
        <v>40.775588329999998</v>
      </c>
      <c r="C724" t="s">
        <v>431</v>
      </c>
      <c r="D724" t="s">
        <v>38</v>
      </c>
      <c r="E724" s="58">
        <v>43390</v>
      </c>
      <c r="F724">
        <v>18</v>
      </c>
      <c r="G724" t="s">
        <v>48</v>
      </c>
      <c r="H724" t="s">
        <v>53</v>
      </c>
      <c r="I724" t="s">
        <v>53</v>
      </c>
      <c r="J724" t="s">
        <v>54</v>
      </c>
      <c r="K724" t="s">
        <v>1012</v>
      </c>
      <c r="L724" t="s">
        <v>65</v>
      </c>
      <c r="M724" t="b">
        <v>0</v>
      </c>
      <c r="N724" t="s">
        <v>356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s">
        <v>5720</v>
      </c>
      <c r="AC724" t="s">
        <v>9255</v>
      </c>
    </row>
    <row r="725" spans="1:29" x14ac:dyDescent="0.3">
      <c r="A725">
        <v>-73.957860109999999</v>
      </c>
      <c r="B725">
        <v>40.76846827</v>
      </c>
      <c r="C725" t="s">
        <v>782</v>
      </c>
      <c r="D725" t="s">
        <v>33</v>
      </c>
      <c r="E725" s="58">
        <v>43392</v>
      </c>
      <c r="F725">
        <v>27</v>
      </c>
      <c r="G725" t="s">
        <v>48</v>
      </c>
      <c r="H725" t="s">
        <v>42</v>
      </c>
      <c r="I725" t="s">
        <v>115</v>
      </c>
      <c r="J725" t="s">
        <v>97</v>
      </c>
      <c r="K725" t="s">
        <v>242</v>
      </c>
      <c r="L725" t="s">
        <v>65</v>
      </c>
      <c r="M725" t="b">
        <v>0</v>
      </c>
      <c r="N725" t="s">
        <v>6335</v>
      </c>
      <c r="O725" t="b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1</v>
      </c>
      <c r="AA725" t="b">
        <v>0</v>
      </c>
      <c r="AB725" t="s">
        <v>4147</v>
      </c>
      <c r="AC725" t="s">
        <v>9256</v>
      </c>
    </row>
    <row r="726" spans="1:29" x14ac:dyDescent="0.3">
      <c r="A726">
        <v>-73.963098979999998</v>
      </c>
      <c r="B726">
        <v>40.789280179999999</v>
      </c>
      <c r="C726" t="s">
        <v>41</v>
      </c>
      <c r="D726" t="s">
        <v>33</v>
      </c>
      <c r="E726" s="58">
        <v>43391</v>
      </c>
      <c r="F726">
        <v>20</v>
      </c>
      <c r="G726" t="s">
        <v>3842</v>
      </c>
      <c r="H726" t="s">
        <v>53</v>
      </c>
      <c r="I726" t="s">
        <v>53</v>
      </c>
      <c r="J726" t="s">
        <v>43</v>
      </c>
      <c r="K726" t="s">
        <v>1843</v>
      </c>
      <c r="L726" t="s">
        <v>44</v>
      </c>
      <c r="M726">
        <v>15</v>
      </c>
      <c r="N726" t="s">
        <v>6806</v>
      </c>
      <c r="O726" t="b">
        <v>1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1</v>
      </c>
      <c r="Y726" t="b">
        <v>0</v>
      </c>
      <c r="Z726" t="b">
        <v>0</v>
      </c>
      <c r="AA726" t="b">
        <v>1</v>
      </c>
      <c r="AB726" t="s">
        <v>5410</v>
      </c>
      <c r="AC726" t="s">
        <v>9257</v>
      </c>
    </row>
    <row r="727" spans="1:29" x14ac:dyDescent="0.3">
      <c r="A727">
        <v>-73.954694169999996</v>
      </c>
      <c r="B727">
        <v>40.767103830000003</v>
      </c>
      <c r="C727" t="s">
        <v>124</v>
      </c>
      <c r="D727" t="s">
        <v>38</v>
      </c>
      <c r="E727" s="58">
        <v>43383</v>
      </c>
      <c r="F727">
        <v>24</v>
      </c>
      <c r="G727" t="s">
        <v>48</v>
      </c>
      <c r="H727" t="s">
        <v>42</v>
      </c>
      <c r="I727" t="s">
        <v>59</v>
      </c>
      <c r="J727" t="s">
        <v>79</v>
      </c>
      <c r="K727" t="s">
        <v>1381</v>
      </c>
      <c r="L727" t="s">
        <v>65</v>
      </c>
      <c r="M727" t="b">
        <v>0</v>
      </c>
      <c r="N727" t="s">
        <v>5149</v>
      </c>
      <c r="O727" t="b">
        <v>1</v>
      </c>
      <c r="P727" t="b">
        <v>0</v>
      </c>
      <c r="Q727" t="b">
        <v>0</v>
      </c>
      <c r="R727" t="b">
        <v>0</v>
      </c>
      <c r="S727" t="b">
        <v>0</v>
      </c>
      <c r="T727" t="b">
        <v>1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1</v>
      </c>
      <c r="AA727" t="b">
        <v>0</v>
      </c>
      <c r="AB727" t="s">
        <v>5921</v>
      </c>
      <c r="AC727" t="s">
        <v>9258</v>
      </c>
    </row>
    <row r="728" spans="1:29" x14ac:dyDescent="0.3">
      <c r="A728">
        <v>-73.976764579999994</v>
      </c>
      <c r="B728">
        <v>40.782846329999998</v>
      </c>
      <c r="C728" t="s">
        <v>502</v>
      </c>
      <c r="D728" t="s">
        <v>33</v>
      </c>
      <c r="E728" s="58">
        <v>43387</v>
      </c>
      <c r="F728">
        <v>24</v>
      </c>
      <c r="G728" t="s">
        <v>48</v>
      </c>
      <c r="H728" t="s">
        <v>42</v>
      </c>
      <c r="I728" t="s">
        <v>59</v>
      </c>
      <c r="J728" t="s">
        <v>177</v>
      </c>
      <c r="K728" t="s">
        <v>700</v>
      </c>
      <c r="L728" t="s">
        <v>44</v>
      </c>
      <c r="M728">
        <v>15</v>
      </c>
      <c r="N728" t="s">
        <v>2877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1</v>
      </c>
      <c r="AA728" t="b">
        <v>0</v>
      </c>
      <c r="AB728" t="s">
        <v>263</v>
      </c>
      <c r="AC728" t="s">
        <v>9259</v>
      </c>
    </row>
    <row r="729" spans="1:29" x14ac:dyDescent="0.3">
      <c r="A729">
        <v>-73.956157910000002</v>
      </c>
      <c r="B729">
        <v>40.800002220000003</v>
      </c>
      <c r="C729" t="s">
        <v>212</v>
      </c>
      <c r="D729" t="s">
        <v>33</v>
      </c>
      <c r="E729" s="58">
        <v>43385</v>
      </c>
      <c r="F729">
        <v>15</v>
      </c>
      <c r="G729" t="s">
        <v>48</v>
      </c>
      <c r="H729" t="s">
        <v>42</v>
      </c>
      <c r="I729" t="s">
        <v>53</v>
      </c>
      <c r="J729" t="s">
        <v>43</v>
      </c>
      <c r="K729" t="s">
        <v>2136</v>
      </c>
      <c r="L729" t="s">
        <v>65</v>
      </c>
      <c r="M729" t="b">
        <v>0</v>
      </c>
      <c r="N729" t="s">
        <v>815</v>
      </c>
      <c r="O729" t="b">
        <v>1</v>
      </c>
      <c r="P729" t="b">
        <v>1</v>
      </c>
      <c r="Q729" t="b">
        <v>1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1</v>
      </c>
      <c r="AA729" t="b">
        <v>0</v>
      </c>
      <c r="AB729" t="s">
        <v>3820</v>
      </c>
      <c r="AC729" t="s">
        <v>9260</v>
      </c>
    </row>
    <row r="730" spans="1:29" x14ac:dyDescent="0.3">
      <c r="A730">
        <v>-73.974820059999999</v>
      </c>
      <c r="B730">
        <v>40.793568809999996</v>
      </c>
      <c r="C730" t="s">
        <v>520</v>
      </c>
      <c r="D730" t="s">
        <v>33</v>
      </c>
      <c r="E730" s="58">
        <v>43393</v>
      </c>
      <c r="F730">
        <v>11</v>
      </c>
      <c r="G730" t="s">
        <v>105</v>
      </c>
      <c r="H730" t="s">
        <v>42</v>
      </c>
      <c r="I730" t="s">
        <v>59</v>
      </c>
      <c r="J730" t="s">
        <v>43</v>
      </c>
      <c r="K730" t="s">
        <v>1381</v>
      </c>
      <c r="L730" t="s">
        <v>44</v>
      </c>
      <c r="M730">
        <v>40</v>
      </c>
      <c r="N730" t="s">
        <v>922</v>
      </c>
      <c r="O730" t="b">
        <v>1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1</v>
      </c>
      <c r="Z730" t="b">
        <v>0</v>
      </c>
      <c r="AA730" t="b">
        <v>0</v>
      </c>
      <c r="AB730" t="s">
        <v>121</v>
      </c>
      <c r="AC730" t="s">
        <v>9261</v>
      </c>
    </row>
    <row r="731" spans="1:29" x14ac:dyDescent="0.3">
      <c r="A731">
        <v>-73.976013760000001</v>
      </c>
      <c r="B731">
        <v>40.786571219999999</v>
      </c>
      <c r="C731" t="s">
        <v>1320</v>
      </c>
      <c r="D731" t="s">
        <v>38</v>
      </c>
      <c r="E731" s="58">
        <v>43385</v>
      </c>
      <c r="F731">
        <v>12</v>
      </c>
      <c r="G731" t="s">
        <v>105</v>
      </c>
      <c r="H731" t="s">
        <v>42</v>
      </c>
      <c r="I731" t="s">
        <v>59</v>
      </c>
      <c r="J731" t="s">
        <v>97</v>
      </c>
      <c r="K731" t="s">
        <v>809</v>
      </c>
      <c r="L731" t="s">
        <v>65</v>
      </c>
      <c r="M731" t="b">
        <v>0</v>
      </c>
      <c r="N731" t="s">
        <v>3931</v>
      </c>
      <c r="O731" t="b">
        <v>1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s">
        <v>6531</v>
      </c>
      <c r="AC731" t="s">
        <v>9262</v>
      </c>
    </row>
    <row r="732" spans="1:29" x14ac:dyDescent="0.3">
      <c r="A732">
        <v>-73.975994589999999</v>
      </c>
      <c r="B732">
        <v>40.775693199999999</v>
      </c>
      <c r="C732" t="s">
        <v>1251</v>
      </c>
      <c r="D732" t="s">
        <v>33</v>
      </c>
      <c r="E732" s="58">
        <v>43384</v>
      </c>
      <c r="F732">
        <v>9</v>
      </c>
      <c r="G732" t="s">
        <v>48</v>
      </c>
      <c r="H732" t="s">
        <v>42</v>
      </c>
      <c r="I732" t="s">
        <v>96</v>
      </c>
      <c r="J732" t="s">
        <v>54</v>
      </c>
      <c r="K732" t="s">
        <v>2037</v>
      </c>
      <c r="L732" t="s">
        <v>65</v>
      </c>
      <c r="M732" t="b">
        <v>0</v>
      </c>
      <c r="N732" t="s">
        <v>5606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1</v>
      </c>
      <c r="AA732" t="b">
        <v>0</v>
      </c>
      <c r="AB732" t="s">
        <v>121</v>
      </c>
      <c r="AC732" t="s">
        <v>9263</v>
      </c>
    </row>
    <row r="733" spans="1:29" x14ac:dyDescent="0.3">
      <c r="A733">
        <v>-73.955550950000003</v>
      </c>
      <c r="B733">
        <v>40.786876700000001</v>
      </c>
      <c r="C733" t="s">
        <v>1202</v>
      </c>
      <c r="D733" t="s">
        <v>38</v>
      </c>
      <c r="E733" s="58">
        <v>43380</v>
      </c>
      <c r="F733">
        <v>13</v>
      </c>
      <c r="G733" t="s">
        <v>48</v>
      </c>
      <c r="H733" t="s">
        <v>42</v>
      </c>
      <c r="I733" t="s">
        <v>53</v>
      </c>
      <c r="J733" t="s">
        <v>54</v>
      </c>
      <c r="K733" t="s">
        <v>2927</v>
      </c>
      <c r="L733" t="s">
        <v>65</v>
      </c>
      <c r="M733" t="b">
        <v>0</v>
      </c>
      <c r="N733" t="s">
        <v>456</v>
      </c>
      <c r="O733" t="b">
        <v>0</v>
      </c>
      <c r="P733" t="b">
        <v>0</v>
      </c>
      <c r="Q733" t="b">
        <v>0</v>
      </c>
      <c r="R733" t="b">
        <v>0</v>
      </c>
      <c r="S733" t="b">
        <v>1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1</v>
      </c>
      <c r="AA733" t="b">
        <v>0</v>
      </c>
      <c r="AB733" t="s">
        <v>4117</v>
      </c>
      <c r="AC733" t="s">
        <v>9264</v>
      </c>
    </row>
    <row r="734" spans="1:29" x14ac:dyDescent="0.3">
      <c r="A734">
        <v>-73.960246900000001</v>
      </c>
      <c r="B734">
        <v>40.783466660000002</v>
      </c>
      <c r="C734" t="s">
        <v>52</v>
      </c>
      <c r="D734" t="s">
        <v>33</v>
      </c>
      <c r="E734" s="58">
        <v>43387</v>
      </c>
      <c r="F734">
        <v>15</v>
      </c>
      <c r="G734" t="s">
        <v>48</v>
      </c>
      <c r="H734" t="s">
        <v>53</v>
      </c>
      <c r="I734" t="s">
        <v>115</v>
      </c>
      <c r="J734" t="s">
        <v>43</v>
      </c>
      <c r="K734" t="s">
        <v>6737</v>
      </c>
      <c r="L734" t="s">
        <v>65</v>
      </c>
      <c r="M734" t="b">
        <v>0</v>
      </c>
      <c r="N734" t="s">
        <v>1072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s">
        <v>4998</v>
      </c>
      <c r="AC734" t="s">
        <v>9265</v>
      </c>
    </row>
    <row r="735" spans="1:29" x14ac:dyDescent="0.3">
      <c r="A735">
        <v>-73.964715069999997</v>
      </c>
      <c r="B735">
        <v>40.779912150000001</v>
      </c>
      <c r="C735" t="s">
        <v>4236</v>
      </c>
      <c r="D735" t="s">
        <v>33</v>
      </c>
      <c r="E735" s="58">
        <v>43384</v>
      </c>
      <c r="F735">
        <v>27</v>
      </c>
      <c r="G735" t="s">
        <v>105</v>
      </c>
      <c r="H735" t="s">
        <v>42</v>
      </c>
      <c r="I735" t="s">
        <v>53</v>
      </c>
      <c r="J735" t="s">
        <v>54</v>
      </c>
      <c r="K735" t="s">
        <v>3461</v>
      </c>
      <c r="L735" t="s">
        <v>65</v>
      </c>
      <c r="M735" t="b">
        <v>0</v>
      </c>
      <c r="N735" t="s">
        <v>3781</v>
      </c>
      <c r="O735" t="b">
        <v>1</v>
      </c>
      <c r="P735" t="b">
        <v>0</v>
      </c>
      <c r="Q735" t="b">
        <v>0</v>
      </c>
      <c r="R735" t="b">
        <v>0</v>
      </c>
      <c r="S735" t="b">
        <v>1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1</v>
      </c>
      <c r="AA735" t="b">
        <v>0</v>
      </c>
      <c r="AB735" t="s">
        <v>6801</v>
      </c>
      <c r="AC735" t="s">
        <v>9266</v>
      </c>
    </row>
    <row r="736" spans="1:29" x14ac:dyDescent="0.3">
      <c r="A736">
        <v>-73.969878089999995</v>
      </c>
      <c r="B736">
        <v>40.7695127</v>
      </c>
      <c r="C736" t="s">
        <v>1874</v>
      </c>
      <c r="D736" t="s">
        <v>33</v>
      </c>
      <c r="E736" s="58">
        <v>43386</v>
      </c>
      <c r="F736">
        <v>15</v>
      </c>
      <c r="G736" t="s">
        <v>105</v>
      </c>
      <c r="H736" t="s">
        <v>42</v>
      </c>
      <c r="I736" t="s">
        <v>53</v>
      </c>
      <c r="J736" t="s">
        <v>43</v>
      </c>
      <c r="K736" t="s">
        <v>150</v>
      </c>
      <c r="L736" t="s">
        <v>44</v>
      </c>
      <c r="M736">
        <v>25</v>
      </c>
      <c r="N736" t="s">
        <v>456</v>
      </c>
      <c r="O736" t="b">
        <v>0</v>
      </c>
      <c r="P736" t="b">
        <v>0</v>
      </c>
      <c r="Q736" t="b">
        <v>0</v>
      </c>
      <c r="R736" t="b">
        <v>0</v>
      </c>
      <c r="S736" t="b">
        <v>1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s">
        <v>290</v>
      </c>
      <c r="AC736" t="s">
        <v>9267</v>
      </c>
    </row>
    <row r="737" spans="1:29" x14ac:dyDescent="0.3">
      <c r="A737">
        <v>-73.953582190000006</v>
      </c>
      <c r="B737">
        <v>40.796126100000002</v>
      </c>
      <c r="C737" t="s">
        <v>510</v>
      </c>
      <c r="D737" t="s">
        <v>33</v>
      </c>
      <c r="E737" s="58">
        <v>43379</v>
      </c>
      <c r="F737">
        <v>28</v>
      </c>
      <c r="G737" t="s">
        <v>48</v>
      </c>
      <c r="H737" t="s">
        <v>42</v>
      </c>
      <c r="I737" t="s">
        <v>53</v>
      </c>
      <c r="J737" t="s">
        <v>54</v>
      </c>
      <c r="K737" t="s">
        <v>6764</v>
      </c>
      <c r="L737" t="s">
        <v>65</v>
      </c>
      <c r="M737" t="b">
        <v>0</v>
      </c>
      <c r="N737" t="s">
        <v>3013</v>
      </c>
      <c r="O737" t="b">
        <v>0</v>
      </c>
      <c r="P737" t="b">
        <v>0</v>
      </c>
      <c r="Q737" t="b">
        <v>0</v>
      </c>
      <c r="R737" t="b">
        <v>1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1</v>
      </c>
      <c r="AB737" t="s">
        <v>5150</v>
      </c>
      <c r="AC737" t="s">
        <v>9268</v>
      </c>
    </row>
    <row r="738" spans="1:29" x14ac:dyDescent="0.3">
      <c r="A738">
        <v>-73.968821360000007</v>
      </c>
      <c r="B738">
        <v>40.780746620000002</v>
      </c>
      <c r="C738" t="s">
        <v>3400</v>
      </c>
      <c r="D738" t="s">
        <v>38</v>
      </c>
      <c r="E738" s="58">
        <v>43383</v>
      </c>
      <c r="F738">
        <v>5</v>
      </c>
      <c r="G738" t="s">
        <v>48</v>
      </c>
      <c r="H738" t="s">
        <v>42</v>
      </c>
      <c r="I738" t="s">
        <v>53</v>
      </c>
      <c r="J738" t="s">
        <v>97</v>
      </c>
      <c r="K738" t="s">
        <v>4939</v>
      </c>
      <c r="L738" t="s">
        <v>65</v>
      </c>
      <c r="M738" t="b">
        <v>0</v>
      </c>
      <c r="N738" t="s">
        <v>1642</v>
      </c>
      <c r="O738" t="b">
        <v>0</v>
      </c>
      <c r="P738" t="b">
        <v>0</v>
      </c>
      <c r="Q738" t="b">
        <v>1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1</v>
      </c>
      <c r="AA738" t="b">
        <v>0</v>
      </c>
      <c r="AB738" t="s">
        <v>369</v>
      </c>
      <c r="AC738" t="s">
        <v>9269</v>
      </c>
    </row>
    <row r="739" spans="1:29" x14ac:dyDescent="0.3">
      <c r="A739">
        <v>-73.955487300000001</v>
      </c>
      <c r="B739">
        <v>40.77176291</v>
      </c>
      <c r="C739" t="s">
        <v>1112</v>
      </c>
      <c r="D739" t="s">
        <v>38</v>
      </c>
      <c r="E739" s="58">
        <v>43390</v>
      </c>
      <c r="F739">
        <v>23</v>
      </c>
      <c r="G739" t="s">
        <v>48</v>
      </c>
      <c r="H739" t="s">
        <v>42</v>
      </c>
      <c r="I739" t="s">
        <v>53</v>
      </c>
      <c r="J739" t="s">
        <v>43</v>
      </c>
      <c r="K739" t="s">
        <v>5957</v>
      </c>
      <c r="L739" t="s">
        <v>44</v>
      </c>
      <c r="M739">
        <v>5</v>
      </c>
      <c r="N739" t="s">
        <v>2022</v>
      </c>
      <c r="O739" t="b">
        <v>0</v>
      </c>
      <c r="P739" t="b">
        <v>0</v>
      </c>
      <c r="Q739" t="b">
        <v>1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1</v>
      </c>
      <c r="AB739" t="s">
        <v>630</v>
      </c>
      <c r="AC739" t="s">
        <v>9270</v>
      </c>
    </row>
    <row r="740" spans="1:29" x14ac:dyDescent="0.3">
      <c r="A740">
        <v>-73.967353579999994</v>
      </c>
      <c r="B740">
        <v>40.777858680000001</v>
      </c>
      <c r="C740" t="s">
        <v>486</v>
      </c>
      <c r="D740" t="s">
        <v>38</v>
      </c>
      <c r="E740" s="58">
        <v>43379</v>
      </c>
      <c r="F740">
        <v>19</v>
      </c>
      <c r="G740" t="s">
        <v>48</v>
      </c>
      <c r="H740" t="s">
        <v>42</v>
      </c>
      <c r="I740" t="s">
        <v>148</v>
      </c>
      <c r="J740" t="s">
        <v>54</v>
      </c>
      <c r="K740" t="s">
        <v>3050</v>
      </c>
      <c r="L740" t="s">
        <v>65</v>
      </c>
      <c r="M740" t="b">
        <v>0</v>
      </c>
      <c r="N740" t="s">
        <v>748</v>
      </c>
      <c r="O740" t="b">
        <v>0</v>
      </c>
      <c r="P740" t="b">
        <v>0</v>
      </c>
      <c r="Q740" t="b">
        <v>1</v>
      </c>
      <c r="R740" t="b">
        <v>0</v>
      </c>
      <c r="S740" t="b">
        <v>1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1</v>
      </c>
      <c r="AA740" t="b">
        <v>0</v>
      </c>
      <c r="AB740" t="s">
        <v>2514</v>
      </c>
      <c r="AC740" t="s">
        <v>9271</v>
      </c>
    </row>
    <row r="741" spans="1:29" x14ac:dyDescent="0.3">
      <c r="A741">
        <v>-73.969308650000002</v>
      </c>
      <c r="B741">
        <v>40.779491290000003</v>
      </c>
      <c r="C741" t="s">
        <v>1211</v>
      </c>
      <c r="D741" t="s">
        <v>38</v>
      </c>
      <c r="E741" s="58">
        <v>43388</v>
      </c>
      <c r="F741">
        <v>26</v>
      </c>
      <c r="G741" t="s">
        <v>48</v>
      </c>
      <c r="H741" t="s">
        <v>42</v>
      </c>
      <c r="I741" t="s">
        <v>53</v>
      </c>
      <c r="J741" t="s">
        <v>1233</v>
      </c>
      <c r="K741" t="s">
        <v>3883</v>
      </c>
      <c r="L741" t="s">
        <v>44</v>
      </c>
      <c r="M741">
        <v>6</v>
      </c>
      <c r="N741" t="s">
        <v>5371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1</v>
      </c>
      <c r="AB741" t="s">
        <v>7371</v>
      </c>
      <c r="AC741" t="s">
        <v>9272</v>
      </c>
    </row>
    <row r="742" spans="1:29" x14ac:dyDescent="0.3">
      <c r="A742">
        <v>-73.9666134</v>
      </c>
      <c r="B742">
        <v>40.7940465</v>
      </c>
      <c r="C742" t="s">
        <v>195</v>
      </c>
      <c r="D742" t="s">
        <v>38</v>
      </c>
      <c r="E742" s="58">
        <v>43389</v>
      </c>
      <c r="F742">
        <v>20</v>
      </c>
      <c r="G742" t="s">
        <v>48</v>
      </c>
      <c r="H742" t="s">
        <v>42</v>
      </c>
      <c r="I742" t="s">
        <v>53</v>
      </c>
      <c r="J742" t="s">
        <v>79</v>
      </c>
      <c r="K742" t="s">
        <v>2517</v>
      </c>
      <c r="L742" t="s">
        <v>44</v>
      </c>
      <c r="M742">
        <v>10</v>
      </c>
      <c r="N742" t="s">
        <v>3542</v>
      </c>
      <c r="O742" t="b">
        <v>1</v>
      </c>
      <c r="P742" t="b">
        <v>0</v>
      </c>
      <c r="Q742" t="b">
        <v>0</v>
      </c>
      <c r="R742" t="b">
        <v>0</v>
      </c>
      <c r="S742" t="b">
        <v>1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1</v>
      </c>
      <c r="AA742" t="b">
        <v>1</v>
      </c>
      <c r="AB742" t="s">
        <v>1284</v>
      </c>
      <c r="AC742" t="s">
        <v>9273</v>
      </c>
    </row>
    <row r="743" spans="1:29" x14ac:dyDescent="0.3">
      <c r="A743">
        <v>-73.97168422</v>
      </c>
      <c r="B743">
        <v>40.790739649999999</v>
      </c>
      <c r="C743" t="s">
        <v>212</v>
      </c>
      <c r="D743" t="s">
        <v>38</v>
      </c>
      <c r="E743" s="58">
        <v>43392</v>
      </c>
      <c r="F743">
        <v>26</v>
      </c>
      <c r="G743" t="s">
        <v>48</v>
      </c>
      <c r="H743" t="s">
        <v>42</v>
      </c>
      <c r="I743" t="s">
        <v>53</v>
      </c>
      <c r="J743" t="s">
        <v>89</v>
      </c>
      <c r="K743" t="s">
        <v>5038</v>
      </c>
      <c r="L743" t="s">
        <v>65</v>
      </c>
      <c r="M743" t="b">
        <v>0</v>
      </c>
      <c r="N743" t="s">
        <v>6373</v>
      </c>
      <c r="O743" t="b">
        <v>1</v>
      </c>
      <c r="P743" t="b">
        <v>0</v>
      </c>
      <c r="Q743" t="b">
        <v>1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s">
        <v>6610</v>
      </c>
      <c r="AC743" t="s">
        <v>9274</v>
      </c>
    </row>
    <row r="744" spans="1:29" x14ac:dyDescent="0.3">
      <c r="A744">
        <v>-73.957656119999996</v>
      </c>
      <c r="B744">
        <v>40.791996240000003</v>
      </c>
      <c r="C744" t="s">
        <v>235</v>
      </c>
      <c r="D744" t="s">
        <v>38</v>
      </c>
      <c r="E744" s="58">
        <v>43386</v>
      </c>
      <c r="F744">
        <v>25</v>
      </c>
      <c r="G744" t="s">
        <v>48</v>
      </c>
      <c r="H744" t="s">
        <v>42</v>
      </c>
      <c r="I744" t="s">
        <v>96</v>
      </c>
      <c r="J744" t="s">
        <v>54</v>
      </c>
      <c r="K744" t="s">
        <v>4463</v>
      </c>
      <c r="L744" t="s">
        <v>65</v>
      </c>
      <c r="M744" t="b">
        <v>0</v>
      </c>
      <c r="N744" t="s">
        <v>4712</v>
      </c>
      <c r="O744" t="b">
        <v>1</v>
      </c>
      <c r="P744" t="b">
        <v>1</v>
      </c>
      <c r="Q744" t="b">
        <v>0</v>
      </c>
      <c r="R744" t="b">
        <v>1</v>
      </c>
      <c r="S744" t="b">
        <v>1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s">
        <v>4683</v>
      </c>
      <c r="AC744" t="s">
        <v>9275</v>
      </c>
    </row>
    <row r="745" spans="1:29" x14ac:dyDescent="0.3">
      <c r="A745">
        <v>-73.965354649999995</v>
      </c>
      <c r="B745">
        <v>40.765299050000003</v>
      </c>
      <c r="C745" t="s">
        <v>1326</v>
      </c>
      <c r="D745" t="s">
        <v>33</v>
      </c>
      <c r="E745" s="58">
        <v>43386</v>
      </c>
      <c r="F745">
        <v>26</v>
      </c>
      <c r="G745" t="s">
        <v>105</v>
      </c>
      <c r="H745" t="s">
        <v>42</v>
      </c>
      <c r="I745" t="s">
        <v>42</v>
      </c>
      <c r="J745" t="s">
        <v>97</v>
      </c>
      <c r="K745" t="s">
        <v>3347</v>
      </c>
      <c r="L745" t="s">
        <v>65</v>
      </c>
      <c r="M745" t="b">
        <v>0</v>
      </c>
      <c r="N745" t="s">
        <v>1359</v>
      </c>
      <c r="O745" t="b">
        <v>0</v>
      </c>
      <c r="P745" t="b">
        <v>0</v>
      </c>
      <c r="Q745" t="b">
        <v>0</v>
      </c>
      <c r="R745" t="b">
        <v>1</v>
      </c>
      <c r="S745" t="b">
        <v>0</v>
      </c>
      <c r="T745" t="b">
        <v>0</v>
      </c>
      <c r="U745" t="b">
        <v>1</v>
      </c>
      <c r="V745" t="b">
        <v>0</v>
      </c>
      <c r="W745" t="b">
        <v>0</v>
      </c>
      <c r="X745" t="b">
        <v>1</v>
      </c>
      <c r="Y745" t="b">
        <v>0</v>
      </c>
      <c r="Z745" t="b">
        <v>0</v>
      </c>
      <c r="AA745" t="b">
        <v>0</v>
      </c>
      <c r="AB745" t="s">
        <v>4781</v>
      </c>
      <c r="AC745" t="s">
        <v>9276</v>
      </c>
    </row>
    <row r="746" spans="1:29" x14ac:dyDescent="0.3">
      <c r="A746">
        <v>-73.973858550000003</v>
      </c>
      <c r="B746">
        <v>40.779562560000002</v>
      </c>
      <c r="C746" t="s">
        <v>863</v>
      </c>
      <c r="D746" t="s">
        <v>33</v>
      </c>
      <c r="E746" s="58">
        <v>43379</v>
      </c>
      <c r="F746">
        <v>26</v>
      </c>
      <c r="G746" t="s">
        <v>48</v>
      </c>
      <c r="H746" t="s">
        <v>42</v>
      </c>
      <c r="I746" t="s">
        <v>53</v>
      </c>
      <c r="J746" t="s">
        <v>43</v>
      </c>
      <c r="K746" t="s">
        <v>7359</v>
      </c>
      <c r="L746" t="s">
        <v>44</v>
      </c>
      <c r="M746">
        <v>2</v>
      </c>
      <c r="N746" t="s">
        <v>456</v>
      </c>
      <c r="O746" t="b">
        <v>1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1</v>
      </c>
      <c r="AA746" t="b">
        <v>0</v>
      </c>
      <c r="AB746" t="s">
        <v>399</v>
      </c>
      <c r="AC746" t="s">
        <v>9277</v>
      </c>
    </row>
    <row r="747" spans="1:29" x14ac:dyDescent="0.3">
      <c r="A747">
        <v>-73.952878819999995</v>
      </c>
      <c r="B747">
        <v>40.781857760000001</v>
      </c>
      <c r="C747" t="s">
        <v>431</v>
      </c>
      <c r="D747" t="s">
        <v>33</v>
      </c>
      <c r="E747" s="58">
        <v>43387</v>
      </c>
      <c r="F747">
        <v>14</v>
      </c>
      <c r="G747" t="s">
        <v>48</v>
      </c>
      <c r="H747" t="s">
        <v>42</v>
      </c>
      <c r="I747" t="s">
        <v>53</v>
      </c>
      <c r="J747" t="s">
        <v>43</v>
      </c>
      <c r="K747" t="s">
        <v>2311</v>
      </c>
      <c r="L747" t="s">
        <v>65</v>
      </c>
      <c r="M747" t="b">
        <v>0</v>
      </c>
      <c r="N747" t="s">
        <v>190</v>
      </c>
      <c r="O747" t="b">
        <v>0</v>
      </c>
      <c r="P747" t="b">
        <v>0</v>
      </c>
      <c r="Q747" t="b">
        <v>0</v>
      </c>
      <c r="R747" t="b">
        <v>0</v>
      </c>
      <c r="S747" t="b">
        <v>1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1</v>
      </c>
      <c r="AA747" t="b">
        <v>0</v>
      </c>
      <c r="AB747" t="s">
        <v>5110</v>
      </c>
      <c r="AC747" t="s">
        <v>9278</v>
      </c>
    </row>
    <row r="748" spans="1:29" x14ac:dyDescent="0.3">
      <c r="A748">
        <v>-73.969090260000002</v>
      </c>
      <c r="B748">
        <v>40.765586390000003</v>
      </c>
      <c r="C748" t="s">
        <v>221</v>
      </c>
      <c r="D748" t="s">
        <v>38</v>
      </c>
      <c r="E748" s="58">
        <v>43380</v>
      </c>
      <c r="F748">
        <v>28</v>
      </c>
      <c r="G748" t="s">
        <v>48</v>
      </c>
      <c r="H748" t="s">
        <v>42</v>
      </c>
      <c r="I748" t="s">
        <v>53</v>
      </c>
      <c r="J748" t="s">
        <v>43</v>
      </c>
      <c r="K748" t="s">
        <v>1896</v>
      </c>
      <c r="L748" t="s">
        <v>65</v>
      </c>
      <c r="M748" t="b">
        <v>0</v>
      </c>
      <c r="N748" t="s">
        <v>664</v>
      </c>
      <c r="O748" t="b">
        <v>1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s">
        <v>1428</v>
      </c>
      <c r="AC748" t="s">
        <v>9279</v>
      </c>
    </row>
    <row r="749" spans="1:29" x14ac:dyDescent="0.3">
      <c r="A749">
        <v>-73.964071009999998</v>
      </c>
      <c r="B749">
        <v>40.77405813</v>
      </c>
      <c r="C749" t="s">
        <v>1701</v>
      </c>
      <c r="D749" t="s">
        <v>33</v>
      </c>
      <c r="E749" s="58">
        <v>43390</v>
      </c>
      <c r="F749">
        <v>17</v>
      </c>
      <c r="G749" t="s">
        <v>105</v>
      </c>
      <c r="H749" t="s">
        <v>42</v>
      </c>
      <c r="I749" t="s">
        <v>53</v>
      </c>
      <c r="J749" t="s">
        <v>54</v>
      </c>
      <c r="K749" t="s">
        <v>5558</v>
      </c>
      <c r="L749" t="s">
        <v>44</v>
      </c>
      <c r="M749">
        <v>25</v>
      </c>
      <c r="N749" t="s">
        <v>456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s">
        <v>7073</v>
      </c>
      <c r="AC749" t="s">
        <v>9280</v>
      </c>
    </row>
    <row r="750" spans="1:29" x14ac:dyDescent="0.3">
      <c r="A750">
        <v>-73.952661989999996</v>
      </c>
      <c r="B750">
        <v>40.791678840000003</v>
      </c>
      <c r="C750" t="s">
        <v>1424</v>
      </c>
      <c r="D750" t="s">
        <v>33</v>
      </c>
      <c r="E750" s="58">
        <v>43387</v>
      </c>
      <c r="F750">
        <v>18</v>
      </c>
      <c r="G750" t="s">
        <v>48</v>
      </c>
      <c r="H750" t="s">
        <v>42</v>
      </c>
      <c r="I750" t="s">
        <v>53</v>
      </c>
      <c r="J750" t="s">
        <v>89</v>
      </c>
      <c r="K750" t="s">
        <v>565</v>
      </c>
      <c r="L750" t="s">
        <v>65</v>
      </c>
      <c r="M750" t="b">
        <v>0</v>
      </c>
      <c r="N750" t="s">
        <v>1689</v>
      </c>
      <c r="O750" t="b">
        <v>0</v>
      </c>
      <c r="P750" t="b">
        <v>0</v>
      </c>
      <c r="Q750" t="b">
        <v>0</v>
      </c>
      <c r="R750" t="b">
        <v>0</v>
      </c>
      <c r="S750" t="b">
        <v>1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1</v>
      </c>
      <c r="AA750" t="b">
        <v>0</v>
      </c>
      <c r="AB750" t="s">
        <v>7000</v>
      </c>
      <c r="AC750" t="s">
        <v>9281</v>
      </c>
    </row>
    <row r="751" spans="1:29" x14ac:dyDescent="0.3">
      <c r="A751">
        <v>-73.961534529999994</v>
      </c>
      <c r="B751">
        <v>40.769738009999998</v>
      </c>
      <c r="C751" t="s">
        <v>1407</v>
      </c>
      <c r="D751" t="s">
        <v>38</v>
      </c>
      <c r="E751" s="58">
        <v>43379</v>
      </c>
      <c r="F751">
        <v>21</v>
      </c>
      <c r="G751" t="s">
        <v>48</v>
      </c>
      <c r="H751" t="s">
        <v>42</v>
      </c>
      <c r="I751" t="s">
        <v>59</v>
      </c>
      <c r="J751" t="s">
        <v>54</v>
      </c>
      <c r="K751" t="s">
        <v>4814</v>
      </c>
      <c r="L751" t="s">
        <v>44</v>
      </c>
      <c r="M751">
        <v>7</v>
      </c>
      <c r="N751" t="s">
        <v>1582</v>
      </c>
      <c r="O751" t="b">
        <v>0</v>
      </c>
      <c r="P751" t="b">
        <v>0</v>
      </c>
      <c r="Q751" t="b">
        <v>0</v>
      </c>
      <c r="R751" t="b">
        <v>0</v>
      </c>
      <c r="S751" t="b">
        <v>1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1</v>
      </c>
      <c r="AA751" t="b">
        <v>0</v>
      </c>
      <c r="AB751" t="s">
        <v>4172</v>
      </c>
      <c r="AC751" t="s">
        <v>9282</v>
      </c>
    </row>
    <row r="752" spans="1:29" x14ac:dyDescent="0.3">
      <c r="A752">
        <v>-73.977483680000006</v>
      </c>
      <c r="B752">
        <v>40.783757790000003</v>
      </c>
      <c r="C752" t="s">
        <v>726</v>
      </c>
      <c r="D752" t="s">
        <v>38</v>
      </c>
      <c r="E752" s="58">
        <v>43390</v>
      </c>
      <c r="F752">
        <v>3</v>
      </c>
      <c r="G752" t="s">
        <v>48</v>
      </c>
      <c r="H752" t="s">
        <v>42</v>
      </c>
      <c r="I752" t="s">
        <v>53</v>
      </c>
      <c r="J752" t="s">
        <v>79</v>
      </c>
      <c r="K752" t="s">
        <v>7046</v>
      </c>
      <c r="L752" t="s">
        <v>65</v>
      </c>
      <c r="M752" t="b">
        <v>0</v>
      </c>
      <c r="N752" t="s">
        <v>1408</v>
      </c>
      <c r="O752" t="b">
        <v>0</v>
      </c>
      <c r="P752" t="b">
        <v>1</v>
      </c>
      <c r="Q752" t="b">
        <v>0</v>
      </c>
      <c r="R752" t="b">
        <v>0</v>
      </c>
      <c r="S752" t="b">
        <v>1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1</v>
      </c>
      <c r="AA752" t="b">
        <v>0</v>
      </c>
      <c r="AB752" t="s">
        <v>630</v>
      </c>
      <c r="AC752" t="s">
        <v>9283</v>
      </c>
    </row>
    <row r="753" spans="1:29" x14ac:dyDescent="0.3">
      <c r="A753">
        <v>-73.951613249999994</v>
      </c>
      <c r="B753">
        <v>40.772487460000001</v>
      </c>
      <c r="C753" t="s">
        <v>796</v>
      </c>
      <c r="D753" t="s">
        <v>38</v>
      </c>
      <c r="E753" s="58">
        <v>43388</v>
      </c>
      <c r="F753">
        <v>2</v>
      </c>
      <c r="G753" t="s">
        <v>48</v>
      </c>
      <c r="H753" t="s">
        <v>42</v>
      </c>
      <c r="I753" t="s">
        <v>59</v>
      </c>
      <c r="J753" t="s">
        <v>97</v>
      </c>
      <c r="K753" t="s">
        <v>4069</v>
      </c>
      <c r="L753" t="s">
        <v>65</v>
      </c>
      <c r="M753" t="b">
        <v>0</v>
      </c>
      <c r="N753" t="s">
        <v>2865</v>
      </c>
      <c r="O753" t="b">
        <v>1</v>
      </c>
      <c r="P753" t="b">
        <v>0</v>
      </c>
      <c r="Q753" t="b">
        <v>0</v>
      </c>
      <c r="R753" t="b">
        <v>0</v>
      </c>
      <c r="S753" t="b">
        <v>1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1</v>
      </c>
      <c r="Z753" t="b">
        <v>0</v>
      </c>
      <c r="AA753" t="b">
        <v>0</v>
      </c>
      <c r="AB753" t="s">
        <v>1222</v>
      </c>
      <c r="AC753" t="s">
        <v>9284</v>
      </c>
    </row>
    <row r="754" spans="1:29" x14ac:dyDescent="0.3">
      <c r="A754">
        <v>-73.961425439999999</v>
      </c>
      <c r="B754">
        <v>40.765337410000001</v>
      </c>
      <c r="C754" t="s">
        <v>245</v>
      </c>
      <c r="D754" t="s">
        <v>33</v>
      </c>
      <c r="E754" s="58">
        <v>43392</v>
      </c>
      <c r="F754">
        <v>1</v>
      </c>
      <c r="G754" t="s">
        <v>48</v>
      </c>
      <c r="H754" t="s">
        <v>42</v>
      </c>
      <c r="I754" t="s">
        <v>53</v>
      </c>
      <c r="J754" t="s">
        <v>79</v>
      </c>
      <c r="K754" t="s">
        <v>3208</v>
      </c>
      <c r="L754" t="s">
        <v>44</v>
      </c>
      <c r="M754">
        <v>5</v>
      </c>
      <c r="N754" t="s">
        <v>4142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1</v>
      </c>
      <c r="AA754" t="b">
        <v>0</v>
      </c>
      <c r="AB754" t="s">
        <v>7285</v>
      </c>
      <c r="AC754" t="s">
        <v>9285</v>
      </c>
    </row>
    <row r="755" spans="1:29" x14ac:dyDescent="0.3">
      <c r="A755">
        <v>-73.970630220000004</v>
      </c>
      <c r="B755">
        <v>40.773402849999997</v>
      </c>
      <c r="C755" t="s">
        <v>1245</v>
      </c>
      <c r="D755" t="s">
        <v>38</v>
      </c>
      <c r="E755" s="58">
        <v>43392</v>
      </c>
      <c r="F755">
        <v>10</v>
      </c>
      <c r="G755" t="s">
        <v>48</v>
      </c>
      <c r="H755" t="s">
        <v>53</v>
      </c>
      <c r="I755" t="s">
        <v>115</v>
      </c>
      <c r="J755" t="s">
        <v>54</v>
      </c>
      <c r="K755" t="s">
        <v>1558</v>
      </c>
      <c r="L755" t="s">
        <v>65</v>
      </c>
      <c r="M755" t="b">
        <v>0</v>
      </c>
      <c r="N755" t="s">
        <v>6641</v>
      </c>
      <c r="O755" t="b">
        <v>1</v>
      </c>
      <c r="P755" t="b">
        <v>0</v>
      </c>
      <c r="Q755" t="b">
        <v>0</v>
      </c>
      <c r="R755" t="b">
        <v>0</v>
      </c>
      <c r="S755" t="b">
        <v>0</v>
      </c>
      <c r="T755" t="b">
        <v>1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1</v>
      </c>
      <c r="AA755" t="b">
        <v>0</v>
      </c>
      <c r="AB755" t="s">
        <v>121</v>
      </c>
      <c r="AC755" t="s">
        <v>9286</v>
      </c>
    </row>
    <row r="756" spans="1:29" x14ac:dyDescent="0.3">
      <c r="A756">
        <v>-73.976780309999995</v>
      </c>
      <c r="B756">
        <v>40.799269090000003</v>
      </c>
      <c r="C756" t="s">
        <v>2217</v>
      </c>
      <c r="D756" t="s">
        <v>33</v>
      </c>
      <c r="E756" s="58">
        <v>43387</v>
      </c>
      <c r="F756">
        <v>19</v>
      </c>
      <c r="G756" t="s">
        <v>105</v>
      </c>
      <c r="H756" t="s">
        <v>53</v>
      </c>
      <c r="I756" t="s">
        <v>42</v>
      </c>
      <c r="J756" t="s">
        <v>79</v>
      </c>
      <c r="K756" t="s">
        <v>3351</v>
      </c>
      <c r="L756" t="s">
        <v>65</v>
      </c>
      <c r="M756" t="b">
        <v>0</v>
      </c>
      <c r="N756" t="s">
        <v>456</v>
      </c>
      <c r="O756" t="b">
        <v>0</v>
      </c>
      <c r="P756" t="b">
        <v>1</v>
      </c>
      <c r="Q756" t="b">
        <v>0</v>
      </c>
      <c r="R756" t="b">
        <v>0</v>
      </c>
      <c r="S756" t="b">
        <v>1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1</v>
      </c>
      <c r="AA756" t="b">
        <v>0</v>
      </c>
      <c r="AB756" t="s">
        <v>5499</v>
      </c>
      <c r="AC756" t="s">
        <v>9287</v>
      </c>
    </row>
    <row r="757" spans="1:29" x14ac:dyDescent="0.3">
      <c r="A757">
        <v>-73.95619696</v>
      </c>
      <c r="B757">
        <v>40.793131070000001</v>
      </c>
      <c r="C757" t="s">
        <v>1780</v>
      </c>
      <c r="D757" t="s">
        <v>33</v>
      </c>
      <c r="E757" s="58">
        <v>43382</v>
      </c>
      <c r="F757">
        <v>17</v>
      </c>
      <c r="G757" t="s">
        <v>48</v>
      </c>
      <c r="H757" t="s">
        <v>42</v>
      </c>
      <c r="I757" t="s">
        <v>59</v>
      </c>
      <c r="J757" t="s">
        <v>54</v>
      </c>
      <c r="K757" t="s">
        <v>3182</v>
      </c>
      <c r="L757" t="s">
        <v>65</v>
      </c>
      <c r="M757" t="b">
        <v>0</v>
      </c>
      <c r="N757" t="s">
        <v>456</v>
      </c>
      <c r="O757" t="b">
        <v>0</v>
      </c>
      <c r="P757" t="b">
        <v>0</v>
      </c>
      <c r="Q757" t="b">
        <v>0</v>
      </c>
      <c r="R757" t="b">
        <v>0</v>
      </c>
      <c r="S757" t="b">
        <v>1</v>
      </c>
      <c r="T757" t="b">
        <v>0</v>
      </c>
      <c r="U757" t="b">
        <v>1</v>
      </c>
      <c r="V757" t="b">
        <v>0</v>
      </c>
      <c r="W757" t="b">
        <v>1</v>
      </c>
      <c r="X757" t="b">
        <v>0</v>
      </c>
      <c r="Y757" t="b">
        <v>0</v>
      </c>
      <c r="Z757" t="b">
        <v>1</v>
      </c>
      <c r="AA757" t="b">
        <v>1</v>
      </c>
      <c r="AB757" t="s">
        <v>3888</v>
      </c>
      <c r="AC757" t="s">
        <v>9288</v>
      </c>
    </row>
    <row r="758" spans="1:29" x14ac:dyDescent="0.3">
      <c r="A758">
        <v>-73.96166547</v>
      </c>
      <c r="B758">
        <v>40.798695299999999</v>
      </c>
      <c r="C758" t="s">
        <v>1141</v>
      </c>
      <c r="D758" t="s">
        <v>33</v>
      </c>
      <c r="E758" s="58">
        <v>43387</v>
      </c>
      <c r="F758">
        <v>12</v>
      </c>
      <c r="G758" t="s">
        <v>48</v>
      </c>
      <c r="H758" t="s">
        <v>42</v>
      </c>
      <c r="I758" t="s">
        <v>53</v>
      </c>
      <c r="J758" t="s">
        <v>43</v>
      </c>
      <c r="K758" t="s">
        <v>3433</v>
      </c>
      <c r="L758" t="s">
        <v>65</v>
      </c>
      <c r="M758" t="b">
        <v>0</v>
      </c>
      <c r="N758" t="s">
        <v>6728</v>
      </c>
      <c r="O758" t="b">
        <v>1</v>
      </c>
      <c r="P758" t="b">
        <v>0</v>
      </c>
      <c r="Q758" t="b">
        <v>0</v>
      </c>
      <c r="R758" t="b">
        <v>0</v>
      </c>
      <c r="S758" t="b">
        <v>0</v>
      </c>
      <c r="T758" t="b">
        <v>1</v>
      </c>
      <c r="U758" t="b">
        <v>0</v>
      </c>
      <c r="V758" t="b">
        <v>0</v>
      </c>
      <c r="W758" t="b">
        <v>0</v>
      </c>
      <c r="X758" t="b">
        <v>0</v>
      </c>
      <c r="Y758" t="b">
        <v>1</v>
      </c>
      <c r="Z758" t="b">
        <v>1</v>
      </c>
      <c r="AA758" t="b">
        <v>0</v>
      </c>
      <c r="AB758" t="s">
        <v>290</v>
      </c>
      <c r="AC758" t="s">
        <v>9289</v>
      </c>
    </row>
    <row r="759" spans="1:29" x14ac:dyDescent="0.3">
      <c r="A759">
        <v>-73.964388260000007</v>
      </c>
      <c r="B759">
        <v>40.782086960000001</v>
      </c>
      <c r="C759" t="s">
        <v>208</v>
      </c>
      <c r="D759" t="s">
        <v>33</v>
      </c>
      <c r="E759" s="58">
        <v>43385</v>
      </c>
      <c r="F759">
        <v>1</v>
      </c>
      <c r="G759" t="s">
        <v>48</v>
      </c>
      <c r="H759" t="s">
        <v>42</v>
      </c>
      <c r="I759" t="s">
        <v>53</v>
      </c>
      <c r="J759" t="s">
        <v>1233</v>
      </c>
      <c r="K759" t="s">
        <v>4572</v>
      </c>
      <c r="L759" t="s">
        <v>65</v>
      </c>
      <c r="M759" t="b">
        <v>0</v>
      </c>
      <c r="N759" t="s">
        <v>190</v>
      </c>
      <c r="O759" t="b">
        <v>1</v>
      </c>
      <c r="P759" t="b">
        <v>0</v>
      </c>
      <c r="Q759" t="b">
        <v>0</v>
      </c>
      <c r="R759" t="b">
        <v>0</v>
      </c>
      <c r="S759" t="b">
        <v>1</v>
      </c>
      <c r="T759" t="b">
        <v>0</v>
      </c>
      <c r="U759" t="b">
        <v>0</v>
      </c>
      <c r="V759" t="b">
        <v>0</v>
      </c>
      <c r="W759" t="b">
        <v>1</v>
      </c>
      <c r="X759" t="b">
        <v>0</v>
      </c>
      <c r="Y759" t="b">
        <v>0</v>
      </c>
      <c r="Z759" t="b">
        <v>0</v>
      </c>
      <c r="AA759" t="b">
        <v>1</v>
      </c>
      <c r="AB759" t="s">
        <v>5356</v>
      </c>
      <c r="AC759" t="s">
        <v>9290</v>
      </c>
    </row>
    <row r="760" spans="1:29" x14ac:dyDescent="0.3">
      <c r="A760">
        <v>-73.953057450000003</v>
      </c>
      <c r="B760">
        <v>40.768774239999999</v>
      </c>
      <c r="C760" t="s">
        <v>2803</v>
      </c>
      <c r="D760" t="s">
        <v>33</v>
      </c>
      <c r="E760" s="58">
        <v>43389</v>
      </c>
      <c r="F760">
        <v>12</v>
      </c>
      <c r="G760" t="s">
        <v>48</v>
      </c>
      <c r="H760" t="s">
        <v>176</v>
      </c>
      <c r="I760" t="s">
        <v>59</v>
      </c>
      <c r="J760" t="s">
        <v>43</v>
      </c>
      <c r="K760" t="s">
        <v>3887</v>
      </c>
      <c r="L760" t="s">
        <v>44</v>
      </c>
      <c r="M760">
        <v>6</v>
      </c>
      <c r="N760" t="s">
        <v>6925</v>
      </c>
      <c r="O760" t="b">
        <v>0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1</v>
      </c>
      <c r="AA760" t="b">
        <v>1</v>
      </c>
      <c r="AB760" t="s">
        <v>101</v>
      </c>
      <c r="AC760" t="s">
        <v>9291</v>
      </c>
    </row>
    <row r="761" spans="1:29" x14ac:dyDescent="0.3">
      <c r="A761">
        <v>-73.956367599999993</v>
      </c>
      <c r="B761">
        <v>40.784203140000002</v>
      </c>
      <c r="C761" t="s">
        <v>52</v>
      </c>
      <c r="D761" t="s">
        <v>38</v>
      </c>
      <c r="E761" s="58">
        <v>43384</v>
      </c>
      <c r="F761">
        <v>17</v>
      </c>
      <c r="G761" t="s">
        <v>48</v>
      </c>
      <c r="H761" t="s">
        <v>176</v>
      </c>
      <c r="I761" t="s">
        <v>96</v>
      </c>
      <c r="J761" t="s">
        <v>43</v>
      </c>
      <c r="K761" t="s">
        <v>5957</v>
      </c>
      <c r="L761" t="s">
        <v>65</v>
      </c>
      <c r="M761" t="b">
        <v>0</v>
      </c>
      <c r="N761" t="s">
        <v>190</v>
      </c>
      <c r="O761" t="b">
        <v>0</v>
      </c>
      <c r="P761" t="b">
        <v>0</v>
      </c>
      <c r="Q761" t="b">
        <v>0</v>
      </c>
      <c r="R761" t="b">
        <v>1</v>
      </c>
      <c r="S761" t="b">
        <v>1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s">
        <v>3884</v>
      </c>
      <c r="AC761" t="s">
        <v>9292</v>
      </c>
    </row>
    <row r="762" spans="1:29" x14ac:dyDescent="0.3">
      <c r="A762">
        <v>-73.976390409999993</v>
      </c>
      <c r="B762">
        <v>40.780908320000002</v>
      </c>
      <c r="C762" t="s">
        <v>1701</v>
      </c>
      <c r="D762" t="s">
        <v>33</v>
      </c>
      <c r="E762" s="58">
        <v>43393</v>
      </c>
      <c r="F762">
        <v>24</v>
      </c>
      <c r="G762" t="s">
        <v>48</v>
      </c>
      <c r="H762" t="s">
        <v>42</v>
      </c>
      <c r="I762" t="s">
        <v>59</v>
      </c>
      <c r="J762" t="s">
        <v>60</v>
      </c>
      <c r="K762" t="s">
        <v>1813</v>
      </c>
      <c r="L762" t="s">
        <v>65</v>
      </c>
      <c r="M762" t="b">
        <v>0</v>
      </c>
      <c r="N762" t="s">
        <v>5548</v>
      </c>
      <c r="O762" t="b">
        <v>0</v>
      </c>
      <c r="P762" t="b">
        <v>0</v>
      </c>
      <c r="Q762" t="b">
        <v>1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1</v>
      </c>
      <c r="AA762" t="b">
        <v>0</v>
      </c>
      <c r="AB762" t="s">
        <v>6914</v>
      </c>
      <c r="AC762" t="s">
        <v>9293</v>
      </c>
    </row>
    <row r="763" spans="1:29" x14ac:dyDescent="0.3">
      <c r="A763">
        <v>-73.971359030000002</v>
      </c>
      <c r="B763">
        <v>40.794638669999998</v>
      </c>
      <c r="C763" t="s">
        <v>729</v>
      </c>
      <c r="D763" t="s">
        <v>38</v>
      </c>
      <c r="E763" s="58">
        <v>43383</v>
      </c>
      <c r="F763">
        <v>3</v>
      </c>
      <c r="G763" t="s">
        <v>48</v>
      </c>
      <c r="H763" t="s">
        <v>42</v>
      </c>
      <c r="I763" t="s">
        <v>42</v>
      </c>
      <c r="J763" t="s">
        <v>54</v>
      </c>
      <c r="K763" t="s">
        <v>5168</v>
      </c>
      <c r="L763" t="s">
        <v>65</v>
      </c>
      <c r="M763" t="b">
        <v>0</v>
      </c>
      <c r="N763" t="s">
        <v>2877</v>
      </c>
      <c r="O763" t="b">
        <v>0</v>
      </c>
      <c r="P763" t="b">
        <v>0</v>
      </c>
      <c r="Q763" t="b">
        <v>1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1</v>
      </c>
      <c r="AA763" t="b">
        <v>0</v>
      </c>
      <c r="AB763" t="s">
        <v>3679</v>
      </c>
      <c r="AC763" t="s">
        <v>9294</v>
      </c>
    </row>
    <row r="764" spans="1:29" x14ac:dyDescent="0.3">
      <c r="A764">
        <v>-73.97334687</v>
      </c>
      <c r="B764">
        <v>40.76836394</v>
      </c>
      <c r="C764" t="s">
        <v>1262</v>
      </c>
      <c r="D764" t="s">
        <v>33</v>
      </c>
      <c r="E764" s="58">
        <v>43389</v>
      </c>
      <c r="F764">
        <v>11</v>
      </c>
      <c r="G764" t="s">
        <v>48</v>
      </c>
      <c r="H764" t="s">
        <v>42</v>
      </c>
      <c r="I764" t="s">
        <v>115</v>
      </c>
      <c r="J764" t="s">
        <v>79</v>
      </c>
      <c r="K764" t="s">
        <v>1696</v>
      </c>
      <c r="L764" t="s">
        <v>65</v>
      </c>
      <c r="M764" t="b">
        <v>0</v>
      </c>
      <c r="N764" t="s">
        <v>6557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1</v>
      </c>
      <c r="AA764" t="b">
        <v>0</v>
      </c>
      <c r="AB764" t="s">
        <v>4197</v>
      </c>
      <c r="AC764" t="s">
        <v>9295</v>
      </c>
    </row>
    <row r="765" spans="1:29" x14ac:dyDescent="0.3">
      <c r="A765">
        <v>-73.957771280000003</v>
      </c>
      <c r="B765">
        <v>40.782100589999999</v>
      </c>
      <c r="C765" t="s">
        <v>459</v>
      </c>
      <c r="D765" t="s">
        <v>33</v>
      </c>
      <c r="E765" s="58">
        <v>43387</v>
      </c>
      <c r="F765">
        <v>17</v>
      </c>
      <c r="G765" t="s">
        <v>48</v>
      </c>
      <c r="H765" t="s">
        <v>42</v>
      </c>
      <c r="I765" t="s">
        <v>53</v>
      </c>
      <c r="J765" t="s">
        <v>54</v>
      </c>
      <c r="K765" t="s">
        <v>2311</v>
      </c>
      <c r="L765" t="s">
        <v>44</v>
      </c>
      <c r="M765">
        <v>20</v>
      </c>
      <c r="N765" t="s">
        <v>2996</v>
      </c>
      <c r="O765" t="b">
        <v>1</v>
      </c>
      <c r="P765" t="b">
        <v>0</v>
      </c>
      <c r="Q765" t="b">
        <v>0</v>
      </c>
      <c r="R765" t="b">
        <v>0</v>
      </c>
      <c r="S765" t="b">
        <v>1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s">
        <v>4305</v>
      </c>
      <c r="AC765" t="s">
        <v>9296</v>
      </c>
    </row>
    <row r="766" spans="1:29" x14ac:dyDescent="0.3">
      <c r="A766">
        <v>-73.980104429999997</v>
      </c>
      <c r="B766">
        <v>40.770193560000003</v>
      </c>
      <c r="C766" t="s">
        <v>1326</v>
      </c>
      <c r="D766" t="s">
        <v>33</v>
      </c>
      <c r="E766" s="58">
        <v>43380</v>
      </c>
      <c r="F766">
        <v>23</v>
      </c>
      <c r="G766" t="s">
        <v>48</v>
      </c>
      <c r="H766" t="s">
        <v>42</v>
      </c>
      <c r="I766" t="s">
        <v>59</v>
      </c>
      <c r="J766" t="s">
        <v>54</v>
      </c>
      <c r="K766" t="s">
        <v>4785</v>
      </c>
      <c r="L766" t="s">
        <v>44</v>
      </c>
      <c r="M766">
        <v>6</v>
      </c>
      <c r="N766" t="s">
        <v>2563</v>
      </c>
      <c r="O766" t="b">
        <v>0</v>
      </c>
      <c r="P766" t="b">
        <v>1</v>
      </c>
      <c r="Q766" t="b">
        <v>0</v>
      </c>
      <c r="R766" t="b">
        <v>1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1</v>
      </c>
      <c r="AB766" t="s">
        <v>121</v>
      </c>
      <c r="AC766" t="s">
        <v>9297</v>
      </c>
    </row>
    <row r="767" spans="1:29" x14ac:dyDescent="0.3">
      <c r="A767">
        <v>-73.963243070000004</v>
      </c>
      <c r="B767">
        <v>40.776341809999998</v>
      </c>
      <c r="C767" t="s">
        <v>4236</v>
      </c>
      <c r="D767" t="s">
        <v>33</v>
      </c>
      <c r="E767" s="58">
        <v>43392</v>
      </c>
      <c r="F767">
        <v>26</v>
      </c>
      <c r="G767" t="s">
        <v>48</v>
      </c>
      <c r="H767" t="s">
        <v>42</v>
      </c>
      <c r="I767" t="s">
        <v>53</v>
      </c>
      <c r="J767" t="s">
        <v>43</v>
      </c>
      <c r="K767" t="s">
        <v>3843</v>
      </c>
      <c r="L767" t="s">
        <v>65</v>
      </c>
      <c r="M767" t="b">
        <v>0</v>
      </c>
      <c r="N767" t="s">
        <v>190</v>
      </c>
      <c r="O767" t="b">
        <v>1</v>
      </c>
      <c r="P767" t="b">
        <v>1</v>
      </c>
      <c r="Q767" t="b">
        <v>0</v>
      </c>
      <c r="R767" t="b">
        <v>1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1</v>
      </c>
      <c r="Y767" t="b">
        <v>0</v>
      </c>
      <c r="Z767" t="b">
        <v>1</v>
      </c>
      <c r="AA767" t="b">
        <v>1</v>
      </c>
      <c r="AB767" t="s">
        <v>2131</v>
      </c>
      <c r="AC767" t="s">
        <v>9298</v>
      </c>
    </row>
    <row r="768" spans="1:29" x14ac:dyDescent="0.3">
      <c r="A768">
        <v>-73.957189310000004</v>
      </c>
      <c r="B768">
        <v>40.790871430000003</v>
      </c>
      <c r="C768" t="s">
        <v>622</v>
      </c>
      <c r="D768" t="s">
        <v>38</v>
      </c>
      <c r="E768" s="58">
        <v>43391</v>
      </c>
      <c r="F768">
        <v>3</v>
      </c>
      <c r="G768" t="s">
        <v>105</v>
      </c>
      <c r="H768" t="s">
        <v>53</v>
      </c>
      <c r="I768" t="s">
        <v>53</v>
      </c>
      <c r="J768" t="s">
        <v>54</v>
      </c>
      <c r="K768" t="s">
        <v>64</v>
      </c>
      <c r="L768" t="s">
        <v>65</v>
      </c>
      <c r="M768" t="b">
        <v>0</v>
      </c>
      <c r="N768" t="s">
        <v>424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1</v>
      </c>
      <c r="AA768" t="b">
        <v>0</v>
      </c>
      <c r="AB768" t="s">
        <v>947</v>
      </c>
      <c r="AC768" t="s">
        <v>9299</v>
      </c>
    </row>
    <row r="769" spans="1:29" x14ac:dyDescent="0.3">
      <c r="A769">
        <v>-73.953595859999993</v>
      </c>
      <c r="B769">
        <v>40.781670239999997</v>
      </c>
      <c r="C769" t="s">
        <v>471</v>
      </c>
      <c r="D769" t="s">
        <v>33</v>
      </c>
      <c r="E769" s="58">
        <v>43389</v>
      </c>
      <c r="F769">
        <v>8</v>
      </c>
      <c r="G769" t="s">
        <v>48</v>
      </c>
      <c r="H769" t="s">
        <v>42</v>
      </c>
      <c r="I769" t="s">
        <v>59</v>
      </c>
      <c r="J769" t="s">
        <v>54</v>
      </c>
      <c r="K769" t="s">
        <v>6367</v>
      </c>
      <c r="L769" t="s">
        <v>65</v>
      </c>
      <c r="M769" t="b">
        <v>0</v>
      </c>
      <c r="N769" t="s">
        <v>4142</v>
      </c>
      <c r="O769" t="b">
        <v>0</v>
      </c>
      <c r="P769" t="b">
        <v>0</v>
      </c>
      <c r="Q769" t="b">
        <v>1</v>
      </c>
      <c r="R769" t="b">
        <v>1</v>
      </c>
      <c r="S769" t="b">
        <v>1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s">
        <v>4139</v>
      </c>
      <c r="AC769" t="s">
        <v>9300</v>
      </c>
    </row>
    <row r="770" spans="1:29" x14ac:dyDescent="0.3">
      <c r="A770">
        <v>-73.970404619999996</v>
      </c>
      <c r="B770">
        <v>40.77814489</v>
      </c>
      <c r="C770" t="s">
        <v>278</v>
      </c>
      <c r="D770" t="s">
        <v>33</v>
      </c>
      <c r="E770" s="58">
        <v>43392</v>
      </c>
      <c r="F770">
        <v>20</v>
      </c>
      <c r="G770" t="s">
        <v>48</v>
      </c>
      <c r="H770" t="s">
        <v>42</v>
      </c>
      <c r="I770" t="s">
        <v>53</v>
      </c>
      <c r="J770" t="s">
        <v>97</v>
      </c>
      <c r="K770" t="s">
        <v>1666</v>
      </c>
      <c r="L770" t="s">
        <v>65</v>
      </c>
      <c r="M770" t="b">
        <v>0</v>
      </c>
      <c r="N770" t="s">
        <v>561</v>
      </c>
      <c r="O770" t="b">
        <v>1</v>
      </c>
      <c r="P770" t="b">
        <v>0</v>
      </c>
      <c r="Q770" t="b">
        <v>1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s">
        <v>229</v>
      </c>
      <c r="AC770" t="s">
        <v>9301</v>
      </c>
    </row>
    <row r="771" spans="1:29" x14ac:dyDescent="0.3">
      <c r="A771">
        <v>-73.955340870000001</v>
      </c>
      <c r="B771">
        <v>40.778799329999998</v>
      </c>
      <c r="C771" t="s">
        <v>925</v>
      </c>
      <c r="D771" t="s">
        <v>33</v>
      </c>
      <c r="E771" s="58">
        <v>43390</v>
      </c>
      <c r="F771">
        <v>4</v>
      </c>
      <c r="G771" t="s">
        <v>48</v>
      </c>
      <c r="H771" t="s">
        <v>53</v>
      </c>
      <c r="I771" t="s">
        <v>42</v>
      </c>
      <c r="J771" t="s">
        <v>54</v>
      </c>
      <c r="K771" t="s">
        <v>7370</v>
      </c>
      <c r="L771" t="s">
        <v>65</v>
      </c>
      <c r="M771" t="b">
        <v>0</v>
      </c>
      <c r="N771" t="s">
        <v>6499</v>
      </c>
      <c r="O771" t="b">
        <v>0</v>
      </c>
      <c r="P771" t="b">
        <v>0</v>
      </c>
      <c r="Q771" t="b">
        <v>0</v>
      </c>
      <c r="R771" t="b">
        <v>1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1</v>
      </c>
      <c r="AA771" t="b">
        <v>1</v>
      </c>
      <c r="AB771" t="s">
        <v>4636</v>
      </c>
      <c r="AC771" t="s">
        <v>9302</v>
      </c>
    </row>
    <row r="772" spans="1:29" x14ac:dyDescent="0.3">
      <c r="A772">
        <v>-73.977680669999998</v>
      </c>
      <c r="B772">
        <v>40.781086799999997</v>
      </c>
      <c r="C772" t="s">
        <v>1211</v>
      </c>
      <c r="D772" t="s">
        <v>33</v>
      </c>
      <c r="E772" s="58">
        <v>43380</v>
      </c>
      <c r="F772">
        <v>21</v>
      </c>
      <c r="G772" t="s">
        <v>48</v>
      </c>
      <c r="H772" t="s">
        <v>53</v>
      </c>
      <c r="I772" t="s">
        <v>53</v>
      </c>
      <c r="J772" t="s">
        <v>34</v>
      </c>
      <c r="K772" t="s">
        <v>1896</v>
      </c>
      <c r="L772" t="s">
        <v>65</v>
      </c>
      <c r="M772" t="b">
        <v>0</v>
      </c>
      <c r="N772" t="s">
        <v>2737</v>
      </c>
      <c r="O772" t="b">
        <v>0</v>
      </c>
      <c r="P772" t="b">
        <v>0</v>
      </c>
      <c r="Q772" t="b">
        <v>0</v>
      </c>
      <c r="R772" t="b">
        <v>0</v>
      </c>
      <c r="S772" t="b">
        <v>1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1</v>
      </c>
      <c r="AB772" t="s">
        <v>340</v>
      </c>
      <c r="AC772" t="s">
        <v>9303</v>
      </c>
    </row>
    <row r="773" spans="1:29" x14ac:dyDescent="0.3">
      <c r="A773">
        <v>-73.954548819999999</v>
      </c>
      <c r="B773">
        <v>40.792549409999999</v>
      </c>
      <c r="C773" t="s">
        <v>689</v>
      </c>
      <c r="D773" t="s">
        <v>38</v>
      </c>
      <c r="E773" s="58">
        <v>43389</v>
      </c>
      <c r="F773">
        <v>22</v>
      </c>
      <c r="G773" t="s">
        <v>48</v>
      </c>
      <c r="H773" t="s">
        <v>42</v>
      </c>
      <c r="I773" t="s">
        <v>59</v>
      </c>
      <c r="J773" t="s">
        <v>43</v>
      </c>
      <c r="K773" t="s">
        <v>1381</v>
      </c>
      <c r="L773" t="s">
        <v>44</v>
      </c>
      <c r="M773">
        <v>3</v>
      </c>
      <c r="N773" t="s">
        <v>5529</v>
      </c>
      <c r="O773" t="b">
        <v>0</v>
      </c>
      <c r="P773" t="b">
        <v>0</v>
      </c>
      <c r="Q773" t="b">
        <v>0</v>
      </c>
      <c r="R773" t="b">
        <v>1</v>
      </c>
      <c r="S773" t="b">
        <v>1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1</v>
      </c>
      <c r="AA773" t="b">
        <v>0</v>
      </c>
      <c r="AB773" t="s">
        <v>3201</v>
      </c>
      <c r="AC773" t="s">
        <v>9304</v>
      </c>
    </row>
    <row r="774" spans="1:29" x14ac:dyDescent="0.3">
      <c r="A774">
        <v>-73.977150739999999</v>
      </c>
      <c r="B774">
        <v>40.796319050000001</v>
      </c>
      <c r="C774" t="s">
        <v>1133</v>
      </c>
      <c r="D774" t="s">
        <v>33</v>
      </c>
      <c r="E774" s="58">
        <v>43390</v>
      </c>
      <c r="F774">
        <v>7</v>
      </c>
      <c r="G774" t="s">
        <v>105</v>
      </c>
      <c r="H774" t="s">
        <v>42</v>
      </c>
      <c r="I774" t="s">
        <v>59</v>
      </c>
      <c r="J774" t="s">
        <v>54</v>
      </c>
      <c r="K774" t="s">
        <v>6299</v>
      </c>
      <c r="L774" t="s">
        <v>65</v>
      </c>
      <c r="M774" t="b">
        <v>0</v>
      </c>
      <c r="N774" t="s">
        <v>3542</v>
      </c>
      <c r="O774" t="b">
        <v>1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1</v>
      </c>
      <c r="X774" t="b">
        <v>0</v>
      </c>
      <c r="Y774" t="b">
        <v>0</v>
      </c>
      <c r="Z774" t="b">
        <v>1</v>
      </c>
      <c r="AA774" t="b">
        <v>0</v>
      </c>
      <c r="AB774" t="s">
        <v>340</v>
      </c>
      <c r="AC774" t="s">
        <v>9305</v>
      </c>
    </row>
    <row r="775" spans="1:29" x14ac:dyDescent="0.3">
      <c r="A775">
        <v>-73.968669129999995</v>
      </c>
      <c r="B775">
        <v>40.798545949999998</v>
      </c>
      <c r="C775" t="s">
        <v>782</v>
      </c>
      <c r="D775" t="s">
        <v>38</v>
      </c>
      <c r="E775" s="58">
        <v>43393</v>
      </c>
      <c r="F775">
        <v>14</v>
      </c>
      <c r="G775" t="s">
        <v>48</v>
      </c>
      <c r="H775" t="s">
        <v>42</v>
      </c>
      <c r="I775" t="s">
        <v>59</v>
      </c>
      <c r="J775" t="s">
        <v>79</v>
      </c>
      <c r="K775" t="s">
        <v>565</v>
      </c>
      <c r="L775" t="s">
        <v>44</v>
      </c>
      <c r="M775">
        <v>10</v>
      </c>
      <c r="N775" t="s">
        <v>6948</v>
      </c>
      <c r="O775" t="b">
        <v>1</v>
      </c>
      <c r="P775" t="b">
        <v>0</v>
      </c>
      <c r="Q775" t="b">
        <v>1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1</v>
      </c>
      <c r="AA775" t="b">
        <v>1</v>
      </c>
      <c r="AB775" t="s">
        <v>121</v>
      </c>
      <c r="AC775" t="s">
        <v>9306</v>
      </c>
    </row>
    <row r="776" spans="1:29" x14ac:dyDescent="0.3">
      <c r="A776">
        <v>-73.956094160000006</v>
      </c>
      <c r="B776">
        <v>40.792615840000003</v>
      </c>
      <c r="C776" t="s">
        <v>1112</v>
      </c>
      <c r="D776" t="s">
        <v>38</v>
      </c>
      <c r="E776" s="58">
        <v>43387</v>
      </c>
      <c r="F776">
        <v>14</v>
      </c>
      <c r="G776" t="s">
        <v>48</v>
      </c>
      <c r="H776" t="s">
        <v>42</v>
      </c>
      <c r="I776" t="s">
        <v>53</v>
      </c>
      <c r="J776" t="s">
        <v>155</v>
      </c>
      <c r="K776" t="s">
        <v>4317</v>
      </c>
      <c r="L776" t="s">
        <v>65</v>
      </c>
      <c r="M776" t="b">
        <v>0</v>
      </c>
      <c r="N776" t="s">
        <v>6728</v>
      </c>
      <c r="O776" t="b">
        <v>0</v>
      </c>
      <c r="P776" t="b">
        <v>0</v>
      </c>
      <c r="Q776" t="b">
        <v>1</v>
      </c>
      <c r="R776" t="b">
        <v>1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1</v>
      </c>
      <c r="AA776" t="b">
        <v>0</v>
      </c>
      <c r="AB776" t="s">
        <v>205</v>
      </c>
      <c r="AC776" t="s">
        <v>9307</v>
      </c>
    </row>
    <row r="777" spans="1:29" x14ac:dyDescent="0.3">
      <c r="A777">
        <v>-73.976445650000002</v>
      </c>
      <c r="B777">
        <v>40.776015469999997</v>
      </c>
      <c r="C777" t="s">
        <v>37</v>
      </c>
      <c r="D777" t="s">
        <v>38</v>
      </c>
      <c r="E777" s="58">
        <v>43390</v>
      </c>
      <c r="F777">
        <v>4</v>
      </c>
      <c r="G777" t="s">
        <v>48</v>
      </c>
      <c r="H777" t="s">
        <v>176</v>
      </c>
      <c r="I777" t="s">
        <v>42</v>
      </c>
      <c r="J777" t="s">
        <v>43</v>
      </c>
      <c r="K777" t="s">
        <v>5413</v>
      </c>
      <c r="L777" t="s">
        <v>65</v>
      </c>
      <c r="M777" t="b">
        <v>0</v>
      </c>
      <c r="N777" t="s">
        <v>3098</v>
      </c>
      <c r="O777" t="b">
        <v>0</v>
      </c>
      <c r="P777" t="b">
        <v>0</v>
      </c>
      <c r="Q777" t="b">
        <v>1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s">
        <v>5478</v>
      </c>
      <c r="AC777" t="s">
        <v>9308</v>
      </c>
    </row>
    <row r="778" spans="1:29" x14ac:dyDescent="0.3">
      <c r="A778">
        <v>-73.973951650000004</v>
      </c>
      <c r="B778">
        <v>40.78913841</v>
      </c>
      <c r="C778" t="s">
        <v>92</v>
      </c>
      <c r="D778" t="s">
        <v>38</v>
      </c>
      <c r="E778" s="58">
        <v>43381</v>
      </c>
      <c r="F778">
        <v>16</v>
      </c>
      <c r="G778" t="s">
        <v>48</v>
      </c>
      <c r="H778" t="s">
        <v>53</v>
      </c>
      <c r="I778" t="s">
        <v>59</v>
      </c>
      <c r="J778" t="s">
        <v>79</v>
      </c>
      <c r="K778" t="s">
        <v>5976</v>
      </c>
      <c r="L778" t="s">
        <v>44</v>
      </c>
      <c r="M778">
        <v>3</v>
      </c>
      <c r="N778" t="s">
        <v>5687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1</v>
      </c>
      <c r="AA778" t="b">
        <v>0</v>
      </c>
      <c r="AB778" t="s">
        <v>1367</v>
      </c>
      <c r="AC778" t="s">
        <v>9309</v>
      </c>
    </row>
    <row r="779" spans="1:29" x14ac:dyDescent="0.3">
      <c r="A779">
        <v>-73.958453259999999</v>
      </c>
      <c r="B779">
        <v>40.78031773</v>
      </c>
      <c r="C779" t="s">
        <v>286</v>
      </c>
      <c r="D779" t="s">
        <v>38</v>
      </c>
      <c r="E779" s="58">
        <v>43386</v>
      </c>
      <c r="F779">
        <v>24</v>
      </c>
      <c r="G779" t="s">
        <v>48</v>
      </c>
      <c r="H779" t="s">
        <v>42</v>
      </c>
      <c r="I779" t="s">
        <v>59</v>
      </c>
      <c r="J779" t="s">
        <v>60</v>
      </c>
      <c r="K779" t="s">
        <v>7365</v>
      </c>
      <c r="L779" t="s">
        <v>65</v>
      </c>
      <c r="M779" t="b">
        <v>0</v>
      </c>
      <c r="N779" t="s">
        <v>5149</v>
      </c>
      <c r="O779" t="b">
        <v>1</v>
      </c>
      <c r="P779" t="b">
        <v>0</v>
      </c>
      <c r="Q779" t="b">
        <v>0</v>
      </c>
      <c r="R779" t="b">
        <v>0</v>
      </c>
      <c r="S779" t="b">
        <v>1</v>
      </c>
      <c r="T779" t="b">
        <v>0</v>
      </c>
      <c r="U779" t="b">
        <v>0</v>
      </c>
      <c r="V779" t="b">
        <v>0</v>
      </c>
      <c r="W779" t="b">
        <v>0</v>
      </c>
      <c r="X779" t="b">
        <v>1</v>
      </c>
      <c r="Y779" t="b">
        <v>0</v>
      </c>
      <c r="Z779" t="b">
        <v>0</v>
      </c>
      <c r="AA779" t="b">
        <v>1</v>
      </c>
      <c r="AB779" t="s">
        <v>2004</v>
      </c>
      <c r="AC779" t="s">
        <v>9310</v>
      </c>
    </row>
    <row r="780" spans="1:29" x14ac:dyDescent="0.3">
      <c r="A780">
        <v>-73.958522930000001</v>
      </c>
      <c r="B780">
        <v>40.773877069999998</v>
      </c>
      <c r="C780" t="s">
        <v>459</v>
      </c>
      <c r="D780" t="s">
        <v>38</v>
      </c>
      <c r="E780" s="58">
        <v>43389</v>
      </c>
      <c r="F780">
        <v>29</v>
      </c>
      <c r="G780" t="s">
        <v>48</v>
      </c>
      <c r="H780" t="s">
        <v>42</v>
      </c>
      <c r="I780" t="s">
        <v>53</v>
      </c>
      <c r="J780" t="s">
        <v>43</v>
      </c>
      <c r="K780" t="s">
        <v>1181</v>
      </c>
      <c r="L780" t="s">
        <v>44</v>
      </c>
      <c r="M780">
        <v>5</v>
      </c>
      <c r="N780" t="s">
        <v>742</v>
      </c>
      <c r="O780" t="b">
        <v>0</v>
      </c>
      <c r="P780" t="b">
        <v>0</v>
      </c>
      <c r="Q780" t="b">
        <v>0</v>
      </c>
      <c r="R780" t="b">
        <v>1</v>
      </c>
      <c r="S780" t="b">
        <v>1</v>
      </c>
      <c r="T780" t="b">
        <v>0</v>
      </c>
      <c r="U780" t="b">
        <v>1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1</v>
      </c>
      <c r="AB780" t="s">
        <v>3468</v>
      </c>
      <c r="AC780" t="s">
        <v>9311</v>
      </c>
    </row>
    <row r="781" spans="1:29" x14ac:dyDescent="0.3">
      <c r="A781">
        <v>-73.96100294</v>
      </c>
      <c r="B781">
        <v>40.794515949999997</v>
      </c>
      <c r="C781" t="s">
        <v>534</v>
      </c>
      <c r="D781" t="s">
        <v>38</v>
      </c>
      <c r="E781" s="58">
        <v>43393</v>
      </c>
      <c r="F781">
        <v>22</v>
      </c>
      <c r="G781" t="s">
        <v>48</v>
      </c>
      <c r="H781" t="s">
        <v>42</v>
      </c>
      <c r="I781" t="s">
        <v>59</v>
      </c>
      <c r="J781" t="s">
        <v>60</v>
      </c>
      <c r="K781" t="s">
        <v>4177</v>
      </c>
      <c r="L781" t="s">
        <v>65</v>
      </c>
      <c r="M781" t="b">
        <v>0</v>
      </c>
      <c r="N781" t="s">
        <v>2071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1</v>
      </c>
      <c r="AA781" t="b">
        <v>0</v>
      </c>
      <c r="AB781" t="s">
        <v>432</v>
      </c>
      <c r="AC781" t="s">
        <v>9312</v>
      </c>
    </row>
    <row r="782" spans="1:29" x14ac:dyDescent="0.3">
      <c r="A782">
        <v>-73.959343050000001</v>
      </c>
      <c r="B782">
        <v>40.76626358</v>
      </c>
      <c r="C782" t="s">
        <v>415</v>
      </c>
      <c r="D782" t="s">
        <v>33</v>
      </c>
      <c r="E782" s="58">
        <v>43387</v>
      </c>
      <c r="F782">
        <v>30</v>
      </c>
      <c r="G782" t="s">
        <v>48</v>
      </c>
      <c r="H782" t="s">
        <v>53</v>
      </c>
      <c r="I782" t="s">
        <v>96</v>
      </c>
      <c r="J782" t="s">
        <v>43</v>
      </c>
      <c r="K782" t="s">
        <v>1896</v>
      </c>
      <c r="L782" t="s">
        <v>65</v>
      </c>
      <c r="M782" t="b">
        <v>0</v>
      </c>
      <c r="N782" t="s">
        <v>190</v>
      </c>
      <c r="O782" t="b">
        <v>0</v>
      </c>
      <c r="P782" t="b">
        <v>0</v>
      </c>
      <c r="Q782" t="b">
        <v>0</v>
      </c>
      <c r="R782" t="b">
        <v>0</v>
      </c>
      <c r="S782" t="b">
        <v>1</v>
      </c>
      <c r="T782" t="b">
        <v>0</v>
      </c>
      <c r="U782" t="b">
        <v>1</v>
      </c>
      <c r="V782" t="b">
        <v>0</v>
      </c>
      <c r="W782" t="b">
        <v>0</v>
      </c>
      <c r="X782" t="b">
        <v>0</v>
      </c>
      <c r="Y782" t="b">
        <v>0</v>
      </c>
      <c r="Z782" t="b">
        <v>1</v>
      </c>
      <c r="AA782" t="b">
        <v>0</v>
      </c>
      <c r="AB782" t="s">
        <v>1242</v>
      </c>
      <c r="AC782" t="s">
        <v>9313</v>
      </c>
    </row>
    <row r="783" spans="1:29" x14ac:dyDescent="0.3">
      <c r="A783">
        <v>-73.964097050000007</v>
      </c>
      <c r="B783">
        <v>40.796659769999998</v>
      </c>
      <c r="C783" t="s">
        <v>386</v>
      </c>
      <c r="D783" t="s">
        <v>33</v>
      </c>
      <c r="E783" s="58">
        <v>43386</v>
      </c>
      <c r="F783">
        <v>1</v>
      </c>
      <c r="G783" t="s">
        <v>48</v>
      </c>
      <c r="H783" t="s">
        <v>42</v>
      </c>
      <c r="I783" t="s">
        <v>59</v>
      </c>
      <c r="J783" t="s">
        <v>97</v>
      </c>
      <c r="K783" t="s">
        <v>64</v>
      </c>
      <c r="L783" t="s">
        <v>44</v>
      </c>
      <c r="M783">
        <v>25</v>
      </c>
      <c r="N783" t="s">
        <v>4958</v>
      </c>
      <c r="O783" t="b">
        <v>0</v>
      </c>
      <c r="P783" t="b">
        <v>1</v>
      </c>
      <c r="Q783" t="b">
        <v>0</v>
      </c>
      <c r="R783" t="b">
        <v>0</v>
      </c>
      <c r="S783" t="b">
        <v>1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s">
        <v>6268</v>
      </c>
      <c r="AC783" t="s">
        <v>9314</v>
      </c>
    </row>
    <row r="784" spans="1:29" x14ac:dyDescent="0.3">
      <c r="A784">
        <v>-73.973242819999996</v>
      </c>
      <c r="B784">
        <v>40.781158300000001</v>
      </c>
      <c r="C784" t="s">
        <v>186</v>
      </c>
      <c r="D784" t="s">
        <v>33</v>
      </c>
      <c r="E784" s="58">
        <v>43382</v>
      </c>
      <c r="F784">
        <v>17</v>
      </c>
      <c r="G784" t="s">
        <v>48</v>
      </c>
      <c r="H784" t="s">
        <v>42</v>
      </c>
      <c r="I784" t="s">
        <v>96</v>
      </c>
      <c r="J784" t="s">
        <v>116</v>
      </c>
      <c r="K784" t="s">
        <v>5933</v>
      </c>
      <c r="L784" t="s">
        <v>65</v>
      </c>
      <c r="M784" t="b">
        <v>0</v>
      </c>
      <c r="N784" t="s">
        <v>2865</v>
      </c>
      <c r="O784" t="b">
        <v>0</v>
      </c>
      <c r="P784" t="b">
        <v>0</v>
      </c>
      <c r="Q784" t="b">
        <v>1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1</v>
      </c>
      <c r="AA784" t="b">
        <v>0</v>
      </c>
      <c r="AB784" t="s">
        <v>1242</v>
      </c>
      <c r="AC784" t="s">
        <v>9315</v>
      </c>
    </row>
    <row r="785" spans="1:29" x14ac:dyDescent="0.3">
      <c r="A785">
        <v>-73.970291000000003</v>
      </c>
      <c r="B785">
        <v>40.787345160000001</v>
      </c>
      <c r="C785" t="s">
        <v>677</v>
      </c>
      <c r="D785" t="s">
        <v>38</v>
      </c>
      <c r="E785" s="58">
        <v>43390</v>
      </c>
      <c r="F785">
        <v>25</v>
      </c>
      <c r="G785" t="s">
        <v>48</v>
      </c>
      <c r="H785" t="s">
        <v>42</v>
      </c>
      <c r="I785" t="s">
        <v>59</v>
      </c>
      <c r="J785" t="s">
        <v>79</v>
      </c>
      <c r="K785" t="s">
        <v>3351</v>
      </c>
      <c r="L785" t="s">
        <v>44</v>
      </c>
      <c r="M785">
        <v>30</v>
      </c>
      <c r="N785" t="s">
        <v>190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1</v>
      </c>
      <c r="AA785" t="b">
        <v>0</v>
      </c>
      <c r="AB785" t="s">
        <v>1367</v>
      </c>
      <c r="AC785" t="s">
        <v>9316</v>
      </c>
    </row>
    <row r="786" spans="1:29" x14ac:dyDescent="0.3">
      <c r="A786">
        <v>-73.975449729999994</v>
      </c>
      <c r="B786">
        <v>40.788125100000002</v>
      </c>
      <c r="C786" t="s">
        <v>1015</v>
      </c>
      <c r="D786" t="s">
        <v>38</v>
      </c>
      <c r="E786" s="58">
        <v>43379</v>
      </c>
      <c r="F786">
        <v>10</v>
      </c>
      <c r="G786" t="s">
        <v>48</v>
      </c>
      <c r="H786" t="s">
        <v>42</v>
      </c>
      <c r="I786" t="s">
        <v>53</v>
      </c>
      <c r="J786" t="s">
        <v>54</v>
      </c>
      <c r="K786" t="s">
        <v>3157</v>
      </c>
      <c r="L786" t="s">
        <v>44</v>
      </c>
      <c r="M786">
        <v>6</v>
      </c>
      <c r="N786" t="s">
        <v>1766</v>
      </c>
      <c r="O786" t="b">
        <v>0</v>
      </c>
      <c r="P786" t="b">
        <v>0</v>
      </c>
      <c r="Q786" t="b">
        <v>0</v>
      </c>
      <c r="R786" t="b">
        <v>0</v>
      </c>
      <c r="S786" t="b">
        <v>1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1</v>
      </c>
      <c r="AA786" t="b">
        <v>1</v>
      </c>
      <c r="AB786" t="s">
        <v>2824</v>
      </c>
      <c r="AC786" t="s">
        <v>9317</v>
      </c>
    </row>
    <row r="787" spans="1:29" x14ac:dyDescent="0.3">
      <c r="A787">
        <v>-73.952599789999994</v>
      </c>
      <c r="B787">
        <v>40.796425839999998</v>
      </c>
      <c r="C787" t="s">
        <v>471</v>
      </c>
      <c r="D787" t="s">
        <v>33</v>
      </c>
      <c r="E787" s="58">
        <v>43382</v>
      </c>
      <c r="F787">
        <v>22</v>
      </c>
      <c r="G787" t="s">
        <v>48</v>
      </c>
      <c r="H787" t="s">
        <v>42</v>
      </c>
      <c r="I787" t="s">
        <v>53</v>
      </c>
      <c r="J787" t="s">
        <v>43</v>
      </c>
      <c r="K787" t="s">
        <v>1843</v>
      </c>
      <c r="L787" t="s">
        <v>65</v>
      </c>
      <c r="M787" t="b">
        <v>0</v>
      </c>
      <c r="N787" t="s">
        <v>1363</v>
      </c>
      <c r="O787" t="b">
        <v>0</v>
      </c>
      <c r="P787" t="b">
        <v>0</v>
      </c>
      <c r="Q787" t="b">
        <v>0</v>
      </c>
      <c r="R787" t="b">
        <v>0</v>
      </c>
      <c r="S787" t="b">
        <v>1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1</v>
      </c>
      <c r="AA787" t="b">
        <v>1</v>
      </c>
      <c r="AB787" t="s">
        <v>2407</v>
      </c>
      <c r="AC787" t="s">
        <v>9318</v>
      </c>
    </row>
    <row r="788" spans="1:29" x14ac:dyDescent="0.3">
      <c r="A788">
        <v>-73.962818600000006</v>
      </c>
      <c r="B788">
        <v>40.787326440000001</v>
      </c>
      <c r="C788" t="s">
        <v>163</v>
      </c>
      <c r="D788" t="s">
        <v>38</v>
      </c>
      <c r="E788" s="58">
        <v>43392</v>
      </c>
      <c r="F788">
        <v>16</v>
      </c>
      <c r="G788" t="s">
        <v>48</v>
      </c>
      <c r="H788" t="s">
        <v>42</v>
      </c>
      <c r="I788" t="s">
        <v>53</v>
      </c>
      <c r="J788" t="s">
        <v>155</v>
      </c>
      <c r="K788" t="s">
        <v>3461</v>
      </c>
      <c r="L788" t="s">
        <v>65</v>
      </c>
      <c r="M788" t="b">
        <v>0</v>
      </c>
      <c r="N788" t="s">
        <v>5283</v>
      </c>
      <c r="O788" t="b">
        <v>0</v>
      </c>
      <c r="P788" t="b">
        <v>0</v>
      </c>
      <c r="Q788" t="b">
        <v>1</v>
      </c>
      <c r="R788" t="b">
        <v>1</v>
      </c>
      <c r="S788" t="b">
        <v>1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s">
        <v>340</v>
      </c>
      <c r="AC788" t="s">
        <v>9319</v>
      </c>
    </row>
    <row r="789" spans="1:29" x14ac:dyDescent="0.3">
      <c r="A789">
        <v>-73.968557090000004</v>
      </c>
      <c r="B789">
        <v>40.786525949999998</v>
      </c>
      <c r="C789" t="s">
        <v>235</v>
      </c>
      <c r="D789" t="s">
        <v>33</v>
      </c>
      <c r="E789" s="58">
        <v>43387</v>
      </c>
      <c r="F789">
        <v>16</v>
      </c>
      <c r="G789" t="s">
        <v>105</v>
      </c>
      <c r="H789" t="s">
        <v>53</v>
      </c>
      <c r="I789" t="s">
        <v>96</v>
      </c>
      <c r="J789" t="s">
        <v>54</v>
      </c>
      <c r="K789" t="s">
        <v>7178</v>
      </c>
      <c r="L789" t="s">
        <v>65</v>
      </c>
      <c r="M789" t="b">
        <v>0</v>
      </c>
      <c r="N789" t="s">
        <v>6841</v>
      </c>
      <c r="O789" t="b">
        <v>0</v>
      </c>
      <c r="P789" t="b">
        <v>0</v>
      </c>
      <c r="Q789" t="b">
        <v>0</v>
      </c>
      <c r="R789" t="b">
        <v>0</v>
      </c>
      <c r="S789" t="b">
        <v>1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s">
        <v>101</v>
      </c>
      <c r="AC789" t="s">
        <v>9320</v>
      </c>
    </row>
    <row r="790" spans="1:29" x14ac:dyDescent="0.3">
      <c r="A790">
        <v>-73.966634589999998</v>
      </c>
      <c r="B790">
        <v>40.76725734</v>
      </c>
      <c r="C790" t="s">
        <v>3073</v>
      </c>
      <c r="D790" t="s">
        <v>33</v>
      </c>
      <c r="E790" s="58">
        <v>43380</v>
      </c>
      <c r="F790">
        <v>26</v>
      </c>
      <c r="G790" t="s">
        <v>48</v>
      </c>
      <c r="H790" t="s">
        <v>53</v>
      </c>
      <c r="I790" t="s">
        <v>96</v>
      </c>
      <c r="J790" t="s">
        <v>43</v>
      </c>
      <c r="K790" t="s">
        <v>2637</v>
      </c>
      <c r="L790" t="s">
        <v>65</v>
      </c>
      <c r="M790" t="b">
        <v>0</v>
      </c>
      <c r="N790" t="s">
        <v>3334</v>
      </c>
      <c r="O790" t="b">
        <v>0</v>
      </c>
      <c r="P790" t="b">
        <v>0</v>
      </c>
      <c r="Q790" t="b">
        <v>1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1</v>
      </c>
      <c r="AA790" t="b">
        <v>0</v>
      </c>
      <c r="AB790" t="s">
        <v>1367</v>
      </c>
      <c r="AC790" t="s">
        <v>9321</v>
      </c>
    </row>
    <row r="791" spans="1:29" x14ac:dyDescent="0.3">
      <c r="A791">
        <v>-73.951379009999997</v>
      </c>
      <c r="B791">
        <v>40.783162699999998</v>
      </c>
      <c r="C791" t="s">
        <v>6895</v>
      </c>
      <c r="D791" t="s">
        <v>38</v>
      </c>
      <c r="E791" s="58">
        <v>43381</v>
      </c>
      <c r="F791">
        <v>8</v>
      </c>
      <c r="G791" t="s">
        <v>48</v>
      </c>
      <c r="H791" t="s">
        <v>42</v>
      </c>
      <c r="I791" t="s">
        <v>53</v>
      </c>
      <c r="J791" t="s">
        <v>79</v>
      </c>
      <c r="K791" t="s">
        <v>2927</v>
      </c>
      <c r="L791" t="s">
        <v>44</v>
      </c>
      <c r="M791">
        <v>40</v>
      </c>
      <c r="N791" t="s">
        <v>190</v>
      </c>
      <c r="O791" t="b">
        <v>1</v>
      </c>
      <c r="P791" t="b">
        <v>0</v>
      </c>
      <c r="Q791" t="b">
        <v>0</v>
      </c>
      <c r="R791" t="b">
        <v>0</v>
      </c>
      <c r="S791" t="b">
        <v>1</v>
      </c>
      <c r="T791" t="b">
        <v>0</v>
      </c>
      <c r="U791" t="b">
        <v>0</v>
      </c>
      <c r="V791" t="b">
        <v>0</v>
      </c>
      <c r="W791" t="b">
        <v>0</v>
      </c>
      <c r="X791" t="b">
        <v>1</v>
      </c>
      <c r="Y791" t="b">
        <v>0</v>
      </c>
      <c r="Z791" t="b">
        <v>0</v>
      </c>
      <c r="AA791" t="b">
        <v>0</v>
      </c>
      <c r="AB791" t="s">
        <v>511</v>
      </c>
      <c r="AC791" t="s">
        <v>9322</v>
      </c>
    </row>
    <row r="792" spans="1:29" x14ac:dyDescent="0.3">
      <c r="A792">
        <v>-73.976337700000002</v>
      </c>
      <c r="B792">
        <v>40.770197799999998</v>
      </c>
      <c r="C792" t="s">
        <v>147</v>
      </c>
      <c r="D792" t="s">
        <v>33</v>
      </c>
      <c r="E792" s="58">
        <v>43388</v>
      </c>
      <c r="F792">
        <v>29</v>
      </c>
      <c r="G792" t="s">
        <v>48</v>
      </c>
      <c r="H792" t="s">
        <v>42</v>
      </c>
      <c r="I792" t="s">
        <v>59</v>
      </c>
      <c r="J792" t="s">
        <v>54</v>
      </c>
      <c r="K792" t="s">
        <v>6109</v>
      </c>
      <c r="L792" t="s">
        <v>65</v>
      </c>
      <c r="M792" t="b">
        <v>0</v>
      </c>
      <c r="N792" t="s">
        <v>3773</v>
      </c>
      <c r="O792" t="b">
        <v>1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s">
        <v>1660</v>
      </c>
      <c r="AC792" t="s">
        <v>9323</v>
      </c>
    </row>
    <row r="793" spans="1:29" x14ac:dyDescent="0.3">
      <c r="A793">
        <v>-73.962729379999999</v>
      </c>
      <c r="B793">
        <v>40.790874129999999</v>
      </c>
      <c r="C793" t="s">
        <v>186</v>
      </c>
      <c r="D793" t="s">
        <v>33</v>
      </c>
      <c r="E793" s="58">
        <v>43386</v>
      </c>
      <c r="F793">
        <v>7</v>
      </c>
      <c r="G793" t="s">
        <v>48</v>
      </c>
      <c r="H793" t="s">
        <v>42</v>
      </c>
      <c r="I793" t="s">
        <v>59</v>
      </c>
      <c r="J793" t="s">
        <v>43</v>
      </c>
      <c r="K793" t="s">
        <v>1754</v>
      </c>
      <c r="L793" t="s">
        <v>65</v>
      </c>
      <c r="M793" t="b">
        <v>0</v>
      </c>
      <c r="N793" t="s">
        <v>1241</v>
      </c>
      <c r="O793" t="b">
        <v>1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1</v>
      </c>
      <c r="AA793" t="b">
        <v>0</v>
      </c>
      <c r="AB793" t="s">
        <v>536</v>
      </c>
      <c r="AC793" t="s">
        <v>9324</v>
      </c>
    </row>
    <row r="794" spans="1:29" x14ac:dyDescent="0.3">
      <c r="A794">
        <v>-73.965255049999996</v>
      </c>
      <c r="B794">
        <v>40.782944899999997</v>
      </c>
      <c r="C794" t="s">
        <v>2573</v>
      </c>
      <c r="D794" t="s">
        <v>38</v>
      </c>
      <c r="E794" s="58">
        <v>43384</v>
      </c>
      <c r="F794">
        <v>28</v>
      </c>
      <c r="G794" t="s">
        <v>48</v>
      </c>
      <c r="H794" t="s">
        <v>42</v>
      </c>
      <c r="I794" t="s">
        <v>59</v>
      </c>
      <c r="J794" t="s">
        <v>43</v>
      </c>
      <c r="K794" t="s">
        <v>1012</v>
      </c>
      <c r="L794" t="s">
        <v>65</v>
      </c>
      <c r="M794" t="b">
        <v>0</v>
      </c>
      <c r="N794" t="s">
        <v>3542</v>
      </c>
      <c r="O794" t="b">
        <v>1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1</v>
      </c>
      <c r="Z794" t="b">
        <v>1</v>
      </c>
      <c r="AA794" t="b">
        <v>1</v>
      </c>
      <c r="AB794" t="s">
        <v>4201</v>
      </c>
      <c r="AC794" t="s">
        <v>9325</v>
      </c>
    </row>
    <row r="795" spans="1:29" x14ac:dyDescent="0.3">
      <c r="A795">
        <v>-73.961936410000007</v>
      </c>
      <c r="B795">
        <v>40.788860030000002</v>
      </c>
      <c r="C795" t="s">
        <v>245</v>
      </c>
      <c r="D795" t="s">
        <v>38</v>
      </c>
      <c r="E795" s="58">
        <v>43386</v>
      </c>
      <c r="F795">
        <v>6</v>
      </c>
      <c r="G795" t="s">
        <v>48</v>
      </c>
      <c r="H795" t="s">
        <v>42</v>
      </c>
      <c r="I795" t="s">
        <v>53</v>
      </c>
      <c r="J795" t="s">
        <v>43</v>
      </c>
      <c r="K795" t="s">
        <v>2685</v>
      </c>
      <c r="L795" t="s">
        <v>65</v>
      </c>
      <c r="M795" t="b">
        <v>0</v>
      </c>
      <c r="N795" t="s">
        <v>2877</v>
      </c>
      <c r="O795" t="b">
        <v>0</v>
      </c>
      <c r="P795" t="b">
        <v>0</v>
      </c>
      <c r="Q795" t="b">
        <v>0</v>
      </c>
      <c r="R795" t="b">
        <v>0</v>
      </c>
      <c r="S795" t="b">
        <v>1</v>
      </c>
      <c r="T795" t="b">
        <v>0</v>
      </c>
      <c r="U795" t="b">
        <v>1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s">
        <v>5960</v>
      </c>
      <c r="AC795" t="s">
        <v>9326</v>
      </c>
    </row>
    <row r="796" spans="1:29" x14ac:dyDescent="0.3">
      <c r="A796">
        <v>-73.980589249999994</v>
      </c>
      <c r="B796">
        <v>40.76637788</v>
      </c>
      <c r="C796" t="s">
        <v>250</v>
      </c>
      <c r="D796" t="s">
        <v>33</v>
      </c>
      <c r="E796" s="58">
        <v>43385</v>
      </c>
      <c r="F796">
        <v>16</v>
      </c>
      <c r="G796" t="s">
        <v>48</v>
      </c>
      <c r="H796" t="s">
        <v>53</v>
      </c>
      <c r="I796" t="s">
        <v>53</v>
      </c>
      <c r="J796" t="s">
        <v>79</v>
      </c>
      <c r="K796" t="s">
        <v>3028</v>
      </c>
      <c r="L796" t="s">
        <v>44</v>
      </c>
      <c r="M796">
        <v>2</v>
      </c>
      <c r="N796" t="s">
        <v>321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1</v>
      </c>
      <c r="Y796" t="b">
        <v>0</v>
      </c>
      <c r="Z796" t="b">
        <v>0</v>
      </c>
      <c r="AA796" t="b">
        <v>0</v>
      </c>
      <c r="AB796" t="s">
        <v>2742</v>
      </c>
      <c r="AC796" t="s">
        <v>9327</v>
      </c>
    </row>
    <row r="797" spans="1:29" x14ac:dyDescent="0.3">
      <c r="A797">
        <v>-73.953741780000001</v>
      </c>
      <c r="B797">
        <v>40.767896010000001</v>
      </c>
      <c r="C797" t="s">
        <v>571</v>
      </c>
      <c r="D797" t="s">
        <v>38</v>
      </c>
      <c r="E797" s="58">
        <v>43392</v>
      </c>
      <c r="F797">
        <v>20</v>
      </c>
      <c r="G797" t="s">
        <v>48</v>
      </c>
      <c r="H797" t="s">
        <v>42</v>
      </c>
      <c r="I797" t="s">
        <v>53</v>
      </c>
      <c r="J797" t="s">
        <v>79</v>
      </c>
      <c r="K797" t="s">
        <v>49</v>
      </c>
      <c r="L797" t="s">
        <v>65</v>
      </c>
      <c r="M797" t="b">
        <v>0</v>
      </c>
      <c r="N797" t="s">
        <v>3424</v>
      </c>
      <c r="O797" t="b">
        <v>0</v>
      </c>
      <c r="P797" t="b">
        <v>0</v>
      </c>
      <c r="Q797" t="b">
        <v>0</v>
      </c>
      <c r="R797" t="b">
        <v>1</v>
      </c>
      <c r="S797" t="b">
        <v>1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1</v>
      </c>
      <c r="AA797" t="b">
        <v>0</v>
      </c>
      <c r="AB797" t="s">
        <v>5887</v>
      </c>
      <c r="AC797" t="s">
        <v>9328</v>
      </c>
    </row>
    <row r="798" spans="1:29" x14ac:dyDescent="0.3">
      <c r="A798">
        <v>-73.951855749999993</v>
      </c>
      <c r="B798">
        <v>40.790130869999999</v>
      </c>
      <c r="C798" t="s">
        <v>1211</v>
      </c>
      <c r="D798" t="s">
        <v>33</v>
      </c>
      <c r="E798" s="58">
        <v>43391</v>
      </c>
      <c r="F798">
        <v>16</v>
      </c>
      <c r="G798" t="s">
        <v>48</v>
      </c>
      <c r="H798" t="s">
        <v>42</v>
      </c>
      <c r="I798" t="s">
        <v>53</v>
      </c>
      <c r="J798" t="s">
        <v>54</v>
      </c>
      <c r="K798" t="s">
        <v>5933</v>
      </c>
      <c r="L798" t="s">
        <v>44</v>
      </c>
      <c r="M798">
        <v>7</v>
      </c>
      <c r="N798" t="s">
        <v>3957</v>
      </c>
      <c r="O798" t="b">
        <v>0</v>
      </c>
      <c r="P798" t="b">
        <v>0</v>
      </c>
      <c r="Q798" t="b">
        <v>1</v>
      </c>
      <c r="R798" t="b">
        <v>0</v>
      </c>
      <c r="S798" t="b">
        <v>1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1</v>
      </c>
      <c r="AA798" t="b">
        <v>0</v>
      </c>
      <c r="AB798" t="s">
        <v>1455</v>
      </c>
      <c r="AC798" t="s">
        <v>9329</v>
      </c>
    </row>
    <row r="799" spans="1:29" x14ac:dyDescent="0.3">
      <c r="A799">
        <v>-73.963392589999998</v>
      </c>
      <c r="B799">
        <v>40.767448600000002</v>
      </c>
      <c r="C799" t="s">
        <v>863</v>
      </c>
      <c r="D799" t="s">
        <v>33</v>
      </c>
      <c r="E799" s="58">
        <v>43391</v>
      </c>
      <c r="F799">
        <v>7</v>
      </c>
      <c r="G799" t="s">
        <v>48</v>
      </c>
      <c r="H799" t="s">
        <v>53</v>
      </c>
      <c r="I799" t="s">
        <v>53</v>
      </c>
      <c r="J799" t="s">
        <v>89</v>
      </c>
      <c r="K799" t="s">
        <v>2136</v>
      </c>
      <c r="L799" t="s">
        <v>65</v>
      </c>
      <c r="M799" t="b">
        <v>0</v>
      </c>
      <c r="N799" t="s">
        <v>858</v>
      </c>
      <c r="O799" t="b">
        <v>1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1</v>
      </c>
      <c r="X799" t="b">
        <v>0</v>
      </c>
      <c r="Y799" t="b">
        <v>0</v>
      </c>
      <c r="Z799" t="b">
        <v>1</v>
      </c>
      <c r="AA799" t="b">
        <v>0</v>
      </c>
      <c r="AB799" t="s">
        <v>101</v>
      </c>
      <c r="AC799" t="s">
        <v>9330</v>
      </c>
    </row>
    <row r="800" spans="1:29" x14ac:dyDescent="0.3">
      <c r="A800">
        <v>-73.9592581</v>
      </c>
      <c r="B800">
        <v>40.767419459999999</v>
      </c>
      <c r="C800" t="s">
        <v>186</v>
      </c>
      <c r="D800" t="s">
        <v>33</v>
      </c>
      <c r="E800" s="58">
        <v>43383</v>
      </c>
      <c r="F800">
        <v>9</v>
      </c>
      <c r="G800" t="s">
        <v>48</v>
      </c>
      <c r="H800" t="s">
        <v>53</v>
      </c>
      <c r="I800" t="s">
        <v>53</v>
      </c>
      <c r="J800" t="s">
        <v>60</v>
      </c>
      <c r="K800" t="s">
        <v>6764</v>
      </c>
      <c r="L800" t="s">
        <v>65</v>
      </c>
      <c r="M800" t="b">
        <v>0</v>
      </c>
      <c r="N800" t="s">
        <v>5606</v>
      </c>
      <c r="O800" t="b">
        <v>1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1</v>
      </c>
      <c r="AA800" t="b">
        <v>0</v>
      </c>
      <c r="AB800" t="s">
        <v>665</v>
      </c>
      <c r="AC800" t="s">
        <v>9331</v>
      </c>
    </row>
    <row r="801" spans="1:29" x14ac:dyDescent="0.3">
      <c r="A801">
        <v>-73.952158139999995</v>
      </c>
      <c r="B801">
        <v>40.765336980000001</v>
      </c>
      <c r="C801" t="s">
        <v>790</v>
      </c>
      <c r="D801" t="s">
        <v>38</v>
      </c>
      <c r="E801" s="58">
        <v>43387</v>
      </c>
      <c r="F801">
        <v>14</v>
      </c>
      <c r="G801" t="s">
        <v>48</v>
      </c>
      <c r="H801" t="s">
        <v>42</v>
      </c>
      <c r="I801" t="s">
        <v>59</v>
      </c>
      <c r="J801" t="s">
        <v>79</v>
      </c>
      <c r="K801" t="s">
        <v>5323</v>
      </c>
      <c r="L801" t="s">
        <v>65</v>
      </c>
      <c r="M801" t="b">
        <v>0</v>
      </c>
      <c r="N801" t="s">
        <v>858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s">
        <v>5241</v>
      </c>
      <c r="AC801" t="s">
        <v>9332</v>
      </c>
    </row>
    <row r="802" spans="1:29" x14ac:dyDescent="0.3">
      <c r="A802">
        <v>-73.958925249999993</v>
      </c>
      <c r="B802">
        <v>40.79858703</v>
      </c>
      <c r="C802" t="s">
        <v>627</v>
      </c>
      <c r="D802" t="s">
        <v>33</v>
      </c>
      <c r="E802" s="58">
        <v>43382</v>
      </c>
      <c r="F802">
        <v>11</v>
      </c>
      <c r="G802" t="s">
        <v>48</v>
      </c>
      <c r="H802" t="s">
        <v>42</v>
      </c>
      <c r="I802" t="s">
        <v>53</v>
      </c>
      <c r="J802" t="s">
        <v>43</v>
      </c>
      <c r="K802" t="s">
        <v>4069</v>
      </c>
      <c r="L802" t="s">
        <v>65</v>
      </c>
      <c r="M802" t="b">
        <v>0</v>
      </c>
      <c r="N802" t="s">
        <v>424</v>
      </c>
      <c r="O802" t="b">
        <v>0</v>
      </c>
      <c r="P802" t="b">
        <v>0</v>
      </c>
      <c r="Q802" t="b">
        <v>0</v>
      </c>
      <c r="R802" t="b">
        <v>0</v>
      </c>
      <c r="S802" t="b">
        <v>1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1</v>
      </c>
      <c r="AA802" t="b">
        <v>1</v>
      </c>
      <c r="AB802" t="s">
        <v>1428</v>
      </c>
      <c r="AC802" t="s">
        <v>9333</v>
      </c>
    </row>
    <row r="803" spans="1:29" x14ac:dyDescent="0.3">
      <c r="A803">
        <v>-73.976363239999998</v>
      </c>
      <c r="B803">
        <v>40.790876750000002</v>
      </c>
      <c r="C803" t="s">
        <v>1076</v>
      </c>
      <c r="D803" t="s">
        <v>38</v>
      </c>
      <c r="E803" s="58">
        <v>43384</v>
      </c>
      <c r="F803">
        <v>26</v>
      </c>
      <c r="G803" t="s">
        <v>48</v>
      </c>
      <c r="H803" t="s">
        <v>42</v>
      </c>
      <c r="I803" t="s">
        <v>148</v>
      </c>
      <c r="J803" t="s">
        <v>79</v>
      </c>
      <c r="K803" t="s">
        <v>1381</v>
      </c>
      <c r="L803" t="s">
        <v>44</v>
      </c>
      <c r="M803">
        <v>3</v>
      </c>
      <c r="N803" t="s">
        <v>5262</v>
      </c>
      <c r="O803" t="b">
        <v>0</v>
      </c>
      <c r="P803" t="b">
        <v>0</v>
      </c>
      <c r="Q803" t="b">
        <v>0</v>
      </c>
      <c r="R803" t="b">
        <v>0</v>
      </c>
      <c r="S803" t="b">
        <v>1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1</v>
      </c>
      <c r="AA803" t="b">
        <v>0</v>
      </c>
      <c r="AB803" t="s">
        <v>101</v>
      </c>
      <c r="AC803" t="s">
        <v>9334</v>
      </c>
    </row>
    <row r="804" spans="1:29" x14ac:dyDescent="0.3">
      <c r="A804">
        <v>-73.963041910000001</v>
      </c>
      <c r="B804">
        <v>40.777347890000001</v>
      </c>
      <c r="C804" t="s">
        <v>1882</v>
      </c>
      <c r="D804" t="s">
        <v>38</v>
      </c>
      <c r="E804" s="58">
        <v>43380</v>
      </c>
      <c r="F804">
        <v>26</v>
      </c>
      <c r="G804" t="s">
        <v>48</v>
      </c>
      <c r="H804" t="s">
        <v>42</v>
      </c>
      <c r="I804" t="s">
        <v>53</v>
      </c>
      <c r="J804" t="s">
        <v>54</v>
      </c>
      <c r="K804" t="s">
        <v>820</v>
      </c>
      <c r="L804" t="s">
        <v>65</v>
      </c>
      <c r="M804" t="b">
        <v>0</v>
      </c>
      <c r="N804" t="s">
        <v>1068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s">
        <v>2182</v>
      </c>
      <c r="AC804" t="s">
        <v>9335</v>
      </c>
    </row>
    <row r="805" spans="1:29" x14ac:dyDescent="0.3">
      <c r="A805">
        <v>-73.962085389999999</v>
      </c>
      <c r="B805">
        <v>40.775351049999998</v>
      </c>
      <c r="C805" t="s">
        <v>160</v>
      </c>
      <c r="D805" t="s">
        <v>38</v>
      </c>
      <c r="E805" s="58">
        <v>43393</v>
      </c>
      <c r="F805">
        <v>14</v>
      </c>
      <c r="G805" t="s">
        <v>48</v>
      </c>
      <c r="H805" t="s">
        <v>42</v>
      </c>
      <c r="I805" t="s">
        <v>53</v>
      </c>
      <c r="J805" t="s">
        <v>79</v>
      </c>
      <c r="K805" t="s">
        <v>5957</v>
      </c>
      <c r="L805" t="s">
        <v>44</v>
      </c>
      <c r="M805">
        <v>40</v>
      </c>
      <c r="N805" t="s">
        <v>742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s">
        <v>5392</v>
      </c>
      <c r="AC805" t="s">
        <v>9336</v>
      </c>
    </row>
    <row r="806" spans="1:29" x14ac:dyDescent="0.3">
      <c r="A806">
        <v>-73.967825259999998</v>
      </c>
      <c r="B806">
        <v>40.777222969999997</v>
      </c>
      <c r="C806" t="s">
        <v>505</v>
      </c>
      <c r="D806" t="s">
        <v>33</v>
      </c>
      <c r="E806" s="58">
        <v>43380</v>
      </c>
      <c r="F806">
        <v>7</v>
      </c>
      <c r="G806" t="s">
        <v>48</v>
      </c>
      <c r="H806" t="s">
        <v>42</v>
      </c>
      <c r="I806" t="s">
        <v>53</v>
      </c>
      <c r="J806" t="s">
        <v>79</v>
      </c>
      <c r="K806" t="s">
        <v>6623</v>
      </c>
      <c r="L806" t="s">
        <v>65</v>
      </c>
      <c r="M806" t="b">
        <v>0</v>
      </c>
      <c r="N806" t="s">
        <v>2022</v>
      </c>
      <c r="O806" t="b">
        <v>0</v>
      </c>
      <c r="P806" t="b">
        <v>1</v>
      </c>
      <c r="Q806" t="b">
        <v>0</v>
      </c>
      <c r="R806" t="b">
        <v>1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1</v>
      </c>
      <c r="AA806" t="b">
        <v>0</v>
      </c>
      <c r="AB806" t="s">
        <v>743</v>
      </c>
      <c r="AC806" t="s">
        <v>9337</v>
      </c>
    </row>
    <row r="807" spans="1:29" x14ac:dyDescent="0.3">
      <c r="A807">
        <v>-73.958007120000005</v>
      </c>
      <c r="B807">
        <v>40.792184550000002</v>
      </c>
      <c r="C807" t="s">
        <v>3750</v>
      </c>
      <c r="D807" t="s">
        <v>38</v>
      </c>
      <c r="E807" s="58">
        <v>43380</v>
      </c>
      <c r="F807">
        <v>1</v>
      </c>
      <c r="G807" t="s">
        <v>48</v>
      </c>
      <c r="H807" t="s">
        <v>53</v>
      </c>
      <c r="I807" t="s">
        <v>53</v>
      </c>
      <c r="J807" t="s">
        <v>54</v>
      </c>
      <c r="K807" t="s">
        <v>1666</v>
      </c>
      <c r="L807" t="s">
        <v>65</v>
      </c>
      <c r="M807" t="b">
        <v>0</v>
      </c>
      <c r="N807" t="s">
        <v>752</v>
      </c>
      <c r="O807" t="b">
        <v>0</v>
      </c>
      <c r="P807" t="b">
        <v>0</v>
      </c>
      <c r="Q807" t="b">
        <v>1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1</v>
      </c>
      <c r="AA807" t="b">
        <v>0</v>
      </c>
      <c r="AB807" t="s">
        <v>511</v>
      </c>
      <c r="AC807" t="s">
        <v>9338</v>
      </c>
    </row>
    <row r="808" spans="1:29" x14ac:dyDescent="0.3">
      <c r="A808">
        <v>-73.951785060000006</v>
      </c>
      <c r="B808">
        <v>40.788196110000001</v>
      </c>
      <c r="C808" t="s">
        <v>1352</v>
      </c>
      <c r="D808" t="s">
        <v>33</v>
      </c>
      <c r="E808" s="58">
        <v>43388</v>
      </c>
      <c r="F808">
        <v>26</v>
      </c>
      <c r="G808" t="s">
        <v>48</v>
      </c>
      <c r="H808" t="s">
        <v>42</v>
      </c>
      <c r="I808" t="s">
        <v>42</v>
      </c>
      <c r="J808" t="s">
        <v>155</v>
      </c>
      <c r="K808" t="s">
        <v>1181</v>
      </c>
      <c r="L808" t="s">
        <v>65</v>
      </c>
      <c r="M808" t="b">
        <v>0</v>
      </c>
      <c r="N808" t="s">
        <v>5109</v>
      </c>
      <c r="O808" t="b">
        <v>0</v>
      </c>
      <c r="P808" t="b">
        <v>0</v>
      </c>
      <c r="Q808" t="b">
        <v>1</v>
      </c>
      <c r="R808" t="b">
        <v>1</v>
      </c>
      <c r="S808" t="b">
        <v>1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s">
        <v>1288</v>
      </c>
      <c r="AC808" t="s">
        <v>9339</v>
      </c>
    </row>
    <row r="809" spans="1:29" x14ac:dyDescent="0.3">
      <c r="A809">
        <v>-73.952061659999998</v>
      </c>
      <c r="B809">
        <v>40.771431010000001</v>
      </c>
      <c r="C809" t="s">
        <v>286</v>
      </c>
      <c r="D809" t="s">
        <v>33</v>
      </c>
      <c r="E809" s="58">
        <v>43385</v>
      </c>
      <c r="F809">
        <v>25</v>
      </c>
      <c r="G809" t="s">
        <v>48</v>
      </c>
      <c r="H809" t="s">
        <v>42</v>
      </c>
      <c r="I809" t="s">
        <v>53</v>
      </c>
      <c r="J809" t="s">
        <v>43</v>
      </c>
      <c r="K809" t="s">
        <v>2136</v>
      </c>
      <c r="L809" t="s">
        <v>65</v>
      </c>
      <c r="M809" t="b">
        <v>0</v>
      </c>
      <c r="N809" t="s">
        <v>3931</v>
      </c>
      <c r="O809" t="b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1</v>
      </c>
      <c r="AB809" t="s">
        <v>3519</v>
      </c>
      <c r="AC809" t="s">
        <v>9340</v>
      </c>
    </row>
    <row r="810" spans="1:29" x14ac:dyDescent="0.3">
      <c r="A810">
        <v>-73.966985629999996</v>
      </c>
      <c r="B810">
        <v>40.771040679999999</v>
      </c>
      <c r="C810" t="s">
        <v>1202</v>
      </c>
      <c r="D810" t="s">
        <v>33</v>
      </c>
      <c r="E810" s="58">
        <v>43391</v>
      </c>
      <c r="F810">
        <v>13</v>
      </c>
      <c r="G810" t="s">
        <v>48</v>
      </c>
      <c r="H810" t="s">
        <v>42</v>
      </c>
      <c r="I810" t="s">
        <v>115</v>
      </c>
      <c r="J810" t="s">
        <v>79</v>
      </c>
      <c r="K810" t="s">
        <v>700</v>
      </c>
      <c r="L810" t="s">
        <v>65</v>
      </c>
      <c r="M810" t="b">
        <v>0</v>
      </c>
      <c r="N810" t="s">
        <v>3389</v>
      </c>
      <c r="O810" t="b">
        <v>0</v>
      </c>
      <c r="P810" t="b">
        <v>0</v>
      </c>
      <c r="Q810" t="b">
        <v>0</v>
      </c>
      <c r="R810" t="b">
        <v>0</v>
      </c>
      <c r="S810" t="b">
        <v>1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1</v>
      </c>
      <c r="AA810" t="b">
        <v>1</v>
      </c>
      <c r="AB810" t="s">
        <v>5110</v>
      </c>
      <c r="AC810" t="s">
        <v>9341</v>
      </c>
    </row>
    <row r="811" spans="1:29" x14ac:dyDescent="0.3">
      <c r="A811">
        <v>-73.977598740000005</v>
      </c>
      <c r="B811">
        <v>40.768374970000004</v>
      </c>
      <c r="C811" t="s">
        <v>218</v>
      </c>
      <c r="D811" t="s">
        <v>33</v>
      </c>
      <c r="E811" s="58">
        <v>43380</v>
      </c>
      <c r="F811">
        <v>20</v>
      </c>
      <c r="G811" t="s">
        <v>48</v>
      </c>
      <c r="H811" t="s">
        <v>42</v>
      </c>
      <c r="I811" t="s">
        <v>42</v>
      </c>
      <c r="J811" t="s">
        <v>43</v>
      </c>
      <c r="K811" t="s">
        <v>242</v>
      </c>
      <c r="L811" t="s">
        <v>65</v>
      </c>
      <c r="M811" t="b">
        <v>0</v>
      </c>
      <c r="N811" t="s">
        <v>456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1</v>
      </c>
      <c r="AA811" t="b">
        <v>1</v>
      </c>
      <c r="AB811" t="s">
        <v>2884</v>
      </c>
      <c r="AC811" t="s">
        <v>9342</v>
      </c>
    </row>
    <row r="812" spans="1:29" x14ac:dyDescent="0.3">
      <c r="A812">
        <v>-73.950198310000005</v>
      </c>
      <c r="B812">
        <v>40.788158510000002</v>
      </c>
      <c r="C812" t="s">
        <v>520</v>
      </c>
      <c r="D812" t="s">
        <v>38</v>
      </c>
      <c r="E812" s="58">
        <v>43393</v>
      </c>
      <c r="F812">
        <v>3</v>
      </c>
      <c r="G812" t="s">
        <v>48</v>
      </c>
      <c r="H812" t="s">
        <v>53</v>
      </c>
      <c r="I812" t="s">
        <v>59</v>
      </c>
      <c r="J812" t="s">
        <v>116</v>
      </c>
      <c r="K812" t="s">
        <v>3248</v>
      </c>
      <c r="L812" t="s">
        <v>44</v>
      </c>
      <c r="M812">
        <v>6</v>
      </c>
      <c r="N812" t="s">
        <v>1730</v>
      </c>
      <c r="O812" t="b">
        <v>1</v>
      </c>
      <c r="P812" t="b">
        <v>1</v>
      </c>
      <c r="Q812" t="b">
        <v>1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1</v>
      </c>
      <c r="AA812" t="b">
        <v>1</v>
      </c>
      <c r="AB812" t="s">
        <v>1649</v>
      </c>
      <c r="AC812" t="s">
        <v>9343</v>
      </c>
    </row>
    <row r="813" spans="1:29" x14ac:dyDescent="0.3">
      <c r="A813">
        <v>-73.954786299999995</v>
      </c>
      <c r="B813">
        <v>40.791822590000002</v>
      </c>
      <c r="C813" t="s">
        <v>1945</v>
      </c>
      <c r="D813" t="s">
        <v>33</v>
      </c>
      <c r="E813" s="58">
        <v>43393</v>
      </c>
      <c r="F813">
        <v>20</v>
      </c>
      <c r="G813" t="s">
        <v>48</v>
      </c>
      <c r="H813" t="s">
        <v>42</v>
      </c>
      <c r="I813" t="s">
        <v>59</v>
      </c>
      <c r="J813" t="s">
        <v>43</v>
      </c>
      <c r="K813" t="s">
        <v>1012</v>
      </c>
      <c r="L813" t="s">
        <v>65</v>
      </c>
      <c r="M813" t="b">
        <v>0</v>
      </c>
      <c r="N813" t="s">
        <v>7063</v>
      </c>
      <c r="O813" t="b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s">
        <v>1849</v>
      </c>
      <c r="AC813" t="s">
        <v>9344</v>
      </c>
    </row>
    <row r="814" spans="1:29" x14ac:dyDescent="0.3">
      <c r="A814">
        <v>-73.977239580000003</v>
      </c>
      <c r="B814">
        <v>40.774242379999997</v>
      </c>
      <c r="C814" t="s">
        <v>604</v>
      </c>
      <c r="D814" t="s">
        <v>33</v>
      </c>
      <c r="E814" s="58">
        <v>43390</v>
      </c>
      <c r="F814">
        <v>4</v>
      </c>
      <c r="G814" t="s">
        <v>48</v>
      </c>
      <c r="H814" t="s">
        <v>42</v>
      </c>
      <c r="I814" t="s">
        <v>59</v>
      </c>
      <c r="J814" t="s">
        <v>43</v>
      </c>
      <c r="K814" t="s">
        <v>2637</v>
      </c>
      <c r="L814" t="s">
        <v>65</v>
      </c>
      <c r="M814" t="b">
        <v>0</v>
      </c>
      <c r="N814" t="s">
        <v>4510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1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1</v>
      </c>
      <c r="AA814" t="b">
        <v>0</v>
      </c>
      <c r="AB814" t="s">
        <v>1288</v>
      </c>
      <c r="AC814" t="s">
        <v>9345</v>
      </c>
    </row>
    <row r="815" spans="1:29" x14ac:dyDescent="0.3">
      <c r="A815">
        <v>-73.952210249999993</v>
      </c>
      <c r="B815">
        <v>40.765648089999999</v>
      </c>
      <c r="C815" t="s">
        <v>286</v>
      </c>
      <c r="D815" t="s">
        <v>38</v>
      </c>
      <c r="E815" s="58">
        <v>43393</v>
      </c>
      <c r="F815">
        <v>29</v>
      </c>
      <c r="G815" t="s">
        <v>48</v>
      </c>
      <c r="H815" t="s">
        <v>42</v>
      </c>
      <c r="I815" t="s">
        <v>53</v>
      </c>
      <c r="J815" t="s">
        <v>54</v>
      </c>
      <c r="K815" t="s">
        <v>3351</v>
      </c>
      <c r="L815" t="s">
        <v>65</v>
      </c>
      <c r="M815" t="b">
        <v>0</v>
      </c>
      <c r="N815" t="s">
        <v>748</v>
      </c>
      <c r="O815" t="b">
        <v>0</v>
      </c>
      <c r="P815" t="b">
        <v>1</v>
      </c>
      <c r="Q815" t="b">
        <v>0</v>
      </c>
      <c r="R815" t="b">
        <v>0</v>
      </c>
      <c r="S815" t="b">
        <v>1</v>
      </c>
      <c r="T815" t="b">
        <v>0</v>
      </c>
      <c r="U815" t="b">
        <v>0</v>
      </c>
      <c r="V815" t="b">
        <v>0</v>
      </c>
      <c r="W815" t="b">
        <v>1</v>
      </c>
      <c r="X815" t="b">
        <v>1</v>
      </c>
      <c r="Y815" t="b">
        <v>0</v>
      </c>
      <c r="Z815" t="b">
        <v>1</v>
      </c>
      <c r="AA815" t="b">
        <v>0</v>
      </c>
      <c r="AB815" t="s">
        <v>1293</v>
      </c>
      <c r="AC815" t="s">
        <v>9346</v>
      </c>
    </row>
    <row r="816" spans="1:29" x14ac:dyDescent="0.3">
      <c r="A816">
        <v>-73.953811810000005</v>
      </c>
      <c r="B816">
        <v>40.76780376</v>
      </c>
      <c r="C816" t="s">
        <v>1759</v>
      </c>
      <c r="D816" t="s">
        <v>33</v>
      </c>
      <c r="E816" s="58">
        <v>43391</v>
      </c>
      <c r="F816">
        <v>26</v>
      </c>
      <c r="G816" t="s">
        <v>48</v>
      </c>
      <c r="H816" t="s">
        <v>42</v>
      </c>
      <c r="I816" t="s">
        <v>59</v>
      </c>
      <c r="J816" t="s">
        <v>54</v>
      </c>
      <c r="K816" t="s">
        <v>4243</v>
      </c>
      <c r="L816" t="s">
        <v>65</v>
      </c>
      <c r="M816" t="b">
        <v>0</v>
      </c>
      <c r="N816" t="s">
        <v>1408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1</v>
      </c>
      <c r="AA816" t="b">
        <v>0</v>
      </c>
      <c r="AB816" t="s">
        <v>340</v>
      </c>
      <c r="AC816" t="s">
        <v>9347</v>
      </c>
    </row>
    <row r="817" spans="1:29" x14ac:dyDescent="0.3">
      <c r="A817">
        <v>-73.964847969999994</v>
      </c>
      <c r="B817">
        <v>40.798986939999999</v>
      </c>
      <c r="C817" t="s">
        <v>2593</v>
      </c>
      <c r="D817" t="s">
        <v>38</v>
      </c>
      <c r="E817" s="58">
        <v>43380</v>
      </c>
      <c r="F817">
        <v>11</v>
      </c>
      <c r="G817" t="s">
        <v>48</v>
      </c>
      <c r="H817" t="s">
        <v>42</v>
      </c>
      <c r="I817" t="s">
        <v>53</v>
      </c>
      <c r="J817" t="s">
        <v>43</v>
      </c>
      <c r="K817" t="s">
        <v>2503</v>
      </c>
      <c r="L817" t="s">
        <v>44</v>
      </c>
      <c r="M817">
        <v>7</v>
      </c>
      <c r="N817" t="s">
        <v>3098</v>
      </c>
      <c r="O817" t="b">
        <v>0</v>
      </c>
      <c r="P817" t="b">
        <v>0</v>
      </c>
      <c r="Q817" t="b">
        <v>0</v>
      </c>
      <c r="R817" t="b">
        <v>0</v>
      </c>
      <c r="S817" t="b">
        <v>1</v>
      </c>
      <c r="T817" t="b">
        <v>0</v>
      </c>
      <c r="U817" t="b">
        <v>1</v>
      </c>
      <c r="V817" t="b">
        <v>0</v>
      </c>
      <c r="W817" t="b">
        <v>0</v>
      </c>
      <c r="X817" t="b">
        <v>0</v>
      </c>
      <c r="Y817" t="b">
        <v>0</v>
      </c>
      <c r="Z817" t="b">
        <v>1</v>
      </c>
      <c r="AA817" t="b">
        <v>0</v>
      </c>
      <c r="AB817" t="s">
        <v>387</v>
      </c>
      <c r="AC817" t="s">
        <v>9348</v>
      </c>
    </row>
    <row r="818" spans="1:29" x14ac:dyDescent="0.3">
      <c r="A818">
        <v>-73.962570769999999</v>
      </c>
      <c r="B818">
        <v>40.775312640000003</v>
      </c>
      <c r="C818" t="s">
        <v>239</v>
      </c>
      <c r="D818" t="s">
        <v>33</v>
      </c>
      <c r="E818" s="58">
        <v>43393</v>
      </c>
      <c r="F818">
        <v>2</v>
      </c>
      <c r="G818" t="s">
        <v>48</v>
      </c>
      <c r="H818" t="s">
        <v>42</v>
      </c>
      <c r="I818" t="s">
        <v>53</v>
      </c>
      <c r="J818" t="s">
        <v>79</v>
      </c>
      <c r="K818" t="s">
        <v>672</v>
      </c>
      <c r="L818" t="s">
        <v>65</v>
      </c>
      <c r="M818" t="b">
        <v>0</v>
      </c>
      <c r="N818" t="s">
        <v>2488</v>
      </c>
      <c r="O818" t="b">
        <v>0</v>
      </c>
      <c r="P818" t="b">
        <v>0</v>
      </c>
      <c r="Q818" t="b">
        <v>1</v>
      </c>
      <c r="R818" t="b">
        <v>0</v>
      </c>
      <c r="S818" t="b">
        <v>1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s">
        <v>2233</v>
      </c>
      <c r="AC818" t="s">
        <v>9349</v>
      </c>
    </row>
    <row r="819" spans="1:29" x14ac:dyDescent="0.3">
      <c r="A819">
        <v>-73.968615209999996</v>
      </c>
      <c r="B819">
        <v>40.791993359999999</v>
      </c>
      <c r="C819" t="s">
        <v>47</v>
      </c>
      <c r="D819" t="s">
        <v>38</v>
      </c>
      <c r="E819" s="58">
        <v>43387</v>
      </c>
      <c r="F819">
        <v>14</v>
      </c>
      <c r="G819" t="s">
        <v>48</v>
      </c>
      <c r="H819" t="s">
        <v>42</v>
      </c>
      <c r="I819" t="s">
        <v>59</v>
      </c>
      <c r="J819" t="s">
        <v>54</v>
      </c>
      <c r="K819" t="s">
        <v>2685</v>
      </c>
      <c r="L819" t="s">
        <v>65</v>
      </c>
      <c r="M819" t="b">
        <v>0</v>
      </c>
      <c r="N819" t="s">
        <v>3957</v>
      </c>
      <c r="O819" t="b">
        <v>0</v>
      </c>
      <c r="P819" t="b">
        <v>0</v>
      </c>
      <c r="Q819" t="b">
        <v>0</v>
      </c>
      <c r="R819" t="b">
        <v>0</v>
      </c>
      <c r="S819" t="b">
        <v>1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1</v>
      </c>
      <c r="AA819" t="b">
        <v>0</v>
      </c>
      <c r="AB819" t="s">
        <v>75</v>
      </c>
      <c r="AC819" t="s">
        <v>9350</v>
      </c>
    </row>
    <row r="820" spans="1:29" x14ac:dyDescent="0.3">
      <c r="A820">
        <v>-73.979437050000001</v>
      </c>
      <c r="B820">
        <v>40.786903729999999</v>
      </c>
      <c r="C820" t="s">
        <v>729</v>
      </c>
      <c r="D820" t="s">
        <v>38</v>
      </c>
      <c r="E820" s="58">
        <v>43385</v>
      </c>
      <c r="F820">
        <v>12</v>
      </c>
      <c r="G820" t="s">
        <v>48</v>
      </c>
      <c r="H820" t="s">
        <v>42</v>
      </c>
      <c r="I820" t="s">
        <v>59</v>
      </c>
      <c r="J820" t="s">
        <v>43</v>
      </c>
      <c r="K820" t="s">
        <v>3351</v>
      </c>
      <c r="L820" t="s">
        <v>65</v>
      </c>
      <c r="M820" t="b">
        <v>0</v>
      </c>
      <c r="N820" t="s">
        <v>3773</v>
      </c>
      <c r="O820" t="b">
        <v>1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1</v>
      </c>
      <c r="AA820" t="b">
        <v>0</v>
      </c>
      <c r="AB820" t="s">
        <v>1660</v>
      </c>
      <c r="AC820" t="s">
        <v>9351</v>
      </c>
    </row>
    <row r="821" spans="1:29" x14ac:dyDescent="0.3">
      <c r="A821">
        <v>-73.970621050000005</v>
      </c>
      <c r="B821">
        <v>40.778357939999999</v>
      </c>
      <c r="C821" t="s">
        <v>2056</v>
      </c>
      <c r="D821" t="s">
        <v>33</v>
      </c>
      <c r="E821" s="58">
        <v>43389</v>
      </c>
      <c r="F821">
        <v>30</v>
      </c>
      <c r="G821" t="s">
        <v>105</v>
      </c>
      <c r="H821" t="s">
        <v>42</v>
      </c>
      <c r="I821" t="s">
        <v>42</v>
      </c>
      <c r="J821" t="s">
        <v>54</v>
      </c>
      <c r="K821" t="s">
        <v>6800</v>
      </c>
      <c r="L821" t="s">
        <v>65</v>
      </c>
      <c r="M821" t="b">
        <v>0</v>
      </c>
      <c r="N821" t="s">
        <v>348</v>
      </c>
      <c r="O821" t="b">
        <v>0</v>
      </c>
      <c r="P821" t="b">
        <v>0</v>
      </c>
      <c r="Q821" t="b">
        <v>0</v>
      </c>
      <c r="R821" t="b">
        <v>0</v>
      </c>
      <c r="S821" t="b">
        <v>1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1</v>
      </c>
      <c r="AB821" t="s">
        <v>3061</v>
      </c>
      <c r="AC821" t="s">
        <v>9352</v>
      </c>
    </row>
    <row r="822" spans="1:29" x14ac:dyDescent="0.3">
      <c r="A822">
        <v>-73.955919429999994</v>
      </c>
      <c r="B822">
        <v>40.772152470000002</v>
      </c>
      <c r="C822" t="s">
        <v>63</v>
      </c>
      <c r="D822" t="s">
        <v>33</v>
      </c>
      <c r="E822" s="58">
        <v>43381</v>
      </c>
      <c r="F822">
        <v>17</v>
      </c>
      <c r="G822" t="s">
        <v>48</v>
      </c>
      <c r="H822" t="s">
        <v>53</v>
      </c>
      <c r="I822" t="s">
        <v>53</v>
      </c>
      <c r="J822" t="s">
        <v>89</v>
      </c>
      <c r="K822" t="s">
        <v>2637</v>
      </c>
      <c r="L822" t="s">
        <v>65</v>
      </c>
      <c r="M822" t="b">
        <v>0</v>
      </c>
      <c r="N822" t="s">
        <v>4541</v>
      </c>
      <c r="O822" t="b">
        <v>0</v>
      </c>
      <c r="P822" t="b">
        <v>0</v>
      </c>
      <c r="Q822" t="b">
        <v>1</v>
      </c>
      <c r="R822" t="b">
        <v>0</v>
      </c>
      <c r="S822" t="b">
        <v>1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s">
        <v>121</v>
      </c>
      <c r="AC822" t="s">
        <v>9353</v>
      </c>
    </row>
    <row r="823" spans="1:29" x14ac:dyDescent="0.3">
      <c r="A823">
        <v>-73.981012960000001</v>
      </c>
      <c r="B823">
        <v>40.769184420000002</v>
      </c>
      <c r="C823" t="s">
        <v>215</v>
      </c>
      <c r="D823" t="s">
        <v>33</v>
      </c>
      <c r="E823" s="58">
        <v>43381</v>
      </c>
      <c r="F823">
        <v>12</v>
      </c>
      <c r="G823" t="s">
        <v>48</v>
      </c>
      <c r="H823" t="s">
        <v>53</v>
      </c>
      <c r="I823" t="s">
        <v>96</v>
      </c>
      <c r="J823" t="s">
        <v>79</v>
      </c>
      <c r="K823" t="s">
        <v>3883</v>
      </c>
      <c r="L823" t="s">
        <v>65</v>
      </c>
      <c r="M823" t="b">
        <v>0</v>
      </c>
      <c r="N823" t="s">
        <v>3334</v>
      </c>
      <c r="O823" t="b">
        <v>1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1</v>
      </c>
      <c r="AA823" t="b">
        <v>0</v>
      </c>
      <c r="AB823" t="s">
        <v>3820</v>
      </c>
      <c r="AC823" t="s">
        <v>9354</v>
      </c>
    </row>
    <row r="824" spans="1:29" x14ac:dyDescent="0.3">
      <c r="A824">
        <v>-73.970674430000003</v>
      </c>
      <c r="B824">
        <v>40.786563950000001</v>
      </c>
      <c r="C824" t="s">
        <v>1401</v>
      </c>
      <c r="D824" t="s">
        <v>38</v>
      </c>
      <c r="E824" s="58">
        <v>43385</v>
      </c>
      <c r="F824">
        <v>26</v>
      </c>
      <c r="G824" t="s">
        <v>48</v>
      </c>
      <c r="H824" t="s">
        <v>42</v>
      </c>
      <c r="I824" t="s">
        <v>53</v>
      </c>
      <c r="J824" t="s">
        <v>97</v>
      </c>
      <c r="K824" t="s">
        <v>6367</v>
      </c>
      <c r="L824" t="s">
        <v>65</v>
      </c>
      <c r="M824" t="b">
        <v>0</v>
      </c>
      <c r="N824" t="s">
        <v>456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s">
        <v>7224</v>
      </c>
      <c r="AC824" t="s">
        <v>9355</v>
      </c>
    </row>
    <row r="825" spans="1:29" x14ac:dyDescent="0.3">
      <c r="A825">
        <v>-73.968641430000005</v>
      </c>
      <c r="B825">
        <v>40.792183860000002</v>
      </c>
      <c r="C825" t="s">
        <v>204</v>
      </c>
      <c r="D825" t="s">
        <v>33</v>
      </c>
      <c r="E825" s="58">
        <v>43383</v>
      </c>
      <c r="F825">
        <v>12</v>
      </c>
      <c r="G825" t="s">
        <v>105</v>
      </c>
      <c r="H825" t="s">
        <v>42</v>
      </c>
      <c r="I825" t="s">
        <v>53</v>
      </c>
      <c r="J825" t="s">
        <v>79</v>
      </c>
      <c r="K825" t="s">
        <v>5323</v>
      </c>
      <c r="L825" t="s">
        <v>65</v>
      </c>
      <c r="M825" t="b">
        <v>0</v>
      </c>
      <c r="N825" t="s">
        <v>1207</v>
      </c>
      <c r="O825" t="b">
        <v>0</v>
      </c>
      <c r="P825" t="b">
        <v>0</v>
      </c>
      <c r="Q825" t="b">
        <v>0</v>
      </c>
      <c r="R825" t="b">
        <v>1</v>
      </c>
      <c r="S825" t="b">
        <v>1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1</v>
      </c>
      <c r="AA825" t="b">
        <v>1</v>
      </c>
      <c r="AB825" t="s">
        <v>3884</v>
      </c>
      <c r="AC825" t="s">
        <v>9356</v>
      </c>
    </row>
    <row r="826" spans="1:29" x14ac:dyDescent="0.3">
      <c r="A826">
        <v>-73.964264580000005</v>
      </c>
      <c r="B826">
        <v>40.787581150000001</v>
      </c>
      <c r="C826" t="s">
        <v>294</v>
      </c>
      <c r="D826" t="s">
        <v>33</v>
      </c>
      <c r="E826" s="58">
        <v>43388</v>
      </c>
      <c r="F826">
        <v>1</v>
      </c>
      <c r="G826" t="s">
        <v>48</v>
      </c>
      <c r="H826" t="s">
        <v>42</v>
      </c>
      <c r="I826" t="s">
        <v>53</v>
      </c>
      <c r="J826" t="s">
        <v>54</v>
      </c>
      <c r="K826" t="s">
        <v>4308</v>
      </c>
      <c r="L826" t="s">
        <v>44</v>
      </c>
      <c r="M826">
        <v>20</v>
      </c>
      <c r="N826" t="s">
        <v>6675</v>
      </c>
      <c r="O826" t="b">
        <v>0</v>
      </c>
      <c r="P826" t="b">
        <v>0</v>
      </c>
      <c r="Q826" t="b">
        <v>1</v>
      </c>
      <c r="R826" t="b">
        <v>0</v>
      </c>
      <c r="S826" t="b">
        <v>1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1</v>
      </c>
      <c r="AB826" t="s">
        <v>650</v>
      </c>
      <c r="AC826" t="s">
        <v>9357</v>
      </c>
    </row>
    <row r="827" spans="1:29" x14ac:dyDescent="0.3">
      <c r="A827">
        <v>-73.95224125</v>
      </c>
      <c r="B827">
        <v>40.783581470000001</v>
      </c>
      <c r="C827" t="s">
        <v>767</v>
      </c>
      <c r="D827" t="s">
        <v>33</v>
      </c>
      <c r="E827" s="58">
        <v>43392</v>
      </c>
      <c r="F827">
        <v>13</v>
      </c>
      <c r="G827" t="s">
        <v>48</v>
      </c>
      <c r="H827" t="s">
        <v>42</v>
      </c>
      <c r="I827" t="s">
        <v>59</v>
      </c>
      <c r="J827" t="s">
        <v>43</v>
      </c>
      <c r="K827" t="s">
        <v>1181</v>
      </c>
      <c r="L827" t="s">
        <v>65</v>
      </c>
      <c r="M827" t="b">
        <v>0</v>
      </c>
      <c r="N827" t="s">
        <v>4406</v>
      </c>
      <c r="O827" t="b">
        <v>0</v>
      </c>
      <c r="P827" t="b">
        <v>0</v>
      </c>
      <c r="Q827" t="b">
        <v>1</v>
      </c>
      <c r="R827" t="b">
        <v>1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s">
        <v>3158</v>
      </c>
      <c r="AC827" t="s">
        <v>9358</v>
      </c>
    </row>
    <row r="828" spans="1:29" x14ac:dyDescent="0.3">
      <c r="A828">
        <v>-73.970270569999997</v>
      </c>
      <c r="B828">
        <v>40.766387680000001</v>
      </c>
      <c r="C828" t="s">
        <v>704</v>
      </c>
      <c r="D828" t="s">
        <v>33</v>
      </c>
      <c r="E828" s="58">
        <v>43392</v>
      </c>
      <c r="F828">
        <v>14</v>
      </c>
      <c r="G828" t="s">
        <v>48</v>
      </c>
      <c r="H828" t="s">
        <v>42</v>
      </c>
      <c r="I828" t="s">
        <v>53</v>
      </c>
      <c r="J828" t="s">
        <v>43</v>
      </c>
      <c r="K828" t="s">
        <v>4180</v>
      </c>
      <c r="L828" t="s">
        <v>44</v>
      </c>
      <c r="M828">
        <v>10</v>
      </c>
      <c r="N828" t="s">
        <v>1421</v>
      </c>
      <c r="O828" t="b">
        <v>1</v>
      </c>
      <c r="P828" t="b">
        <v>0</v>
      </c>
      <c r="Q828" t="b">
        <v>1</v>
      </c>
      <c r="R828" t="b">
        <v>1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s">
        <v>3104</v>
      </c>
      <c r="AC828" t="s">
        <v>9359</v>
      </c>
    </row>
    <row r="829" spans="1:29" x14ac:dyDescent="0.3">
      <c r="A829">
        <v>-73.970251480000002</v>
      </c>
      <c r="B829">
        <v>40.799009079999998</v>
      </c>
      <c r="C829" t="s">
        <v>175</v>
      </c>
      <c r="D829" t="s">
        <v>33</v>
      </c>
      <c r="E829" s="58">
        <v>43384</v>
      </c>
      <c r="F829">
        <v>24</v>
      </c>
      <c r="G829" t="s">
        <v>48</v>
      </c>
      <c r="H829" t="s">
        <v>53</v>
      </c>
      <c r="I829" t="s">
        <v>59</v>
      </c>
      <c r="J829" t="s">
        <v>89</v>
      </c>
      <c r="K829" t="s">
        <v>1012</v>
      </c>
      <c r="L829" t="s">
        <v>65</v>
      </c>
      <c r="M829" t="b">
        <v>0</v>
      </c>
      <c r="N829" t="s">
        <v>2349</v>
      </c>
      <c r="O829" t="b">
        <v>0</v>
      </c>
      <c r="P829" t="b">
        <v>0</v>
      </c>
      <c r="Q829" t="b">
        <v>0</v>
      </c>
      <c r="R829" t="b">
        <v>0</v>
      </c>
      <c r="S829" t="b">
        <v>1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s">
        <v>6884</v>
      </c>
      <c r="AC829" t="s">
        <v>9360</v>
      </c>
    </row>
    <row r="830" spans="1:29" x14ac:dyDescent="0.3">
      <c r="A830">
        <v>-73.957973890000005</v>
      </c>
      <c r="B830">
        <v>40.793031679999999</v>
      </c>
      <c r="C830" t="s">
        <v>1899</v>
      </c>
      <c r="D830" t="s">
        <v>38</v>
      </c>
      <c r="E830" s="58">
        <v>43391</v>
      </c>
      <c r="F830">
        <v>30</v>
      </c>
      <c r="G830" t="s">
        <v>48</v>
      </c>
      <c r="H830" t="s">
        <v>53</v>
      </c>
      <c r="I830" t="s">
        <v>96</v>
      </c>
      <c r="J830" t="s">
        <v>705</v>
      </c>
      <c r="K830" t="s">
        <v>5413</v>
      </c>
      <c r="L830" t="s">
        <v>44</v>
      </c>
      <c r="M830">
        <v>12</v>
      </c>
      <c r="N830" t="s">
        <v>6508</v>
      </c>
      <c r="O830" t="b">
        <v>0</v>
      </c>
      <c r="P830" t="b">
        <v>0</v>
      </c>
      <c r="Q830" t="b">
        <v>1</v>
      </c>
      <c r="R830" t="b">
        <v>1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1</v>
      </c>
      <c r="AA830" t="b">
        <v>0</v>
      </c>
      <c r="AB830" t="s">
        <v>5733</v>
      </c>
      <c r="AC830" t="s">
        <v>9361</v>
      </c>
    </row>
    <row r="831" spans="1:29" x14ac:dyDescent="0.3">
      <c r="A831">
        <v>-73.966942290000006</v>
      </c>
      <c r="B831">
        <v>40.775220300000001</v>
      </c>
      <c r="C831" t="s">
        <v>100</v>
      </c>
      <c r="D831" t="s">
        <v>33</v>
      </c>
      <c r="E831" s="58">
        <v>43390</v>
      </c>
      <c r="F831">
        <v>2</v>
      </c>
      <c r="G831" t="s">
        <v>48</v>
      </c>
      <c r="H831" t="s">
        <v>42</v>
      </c>
      <c r="I831" t="s">
        <v>59</v>
      </c>
      <c r="J831" t="s">
        <v>54</v>
      </c>
      <c r="K831" t="s">
        <v>4180</v>
      </c>
      <c r="L831" t="s">
        <v>65</v>
      </c>
      <c r="M831" t="b">
        <v>0</v>
      </c>
      <c r="N831" t="s">
        <v>2700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s">
        <v>4778</v>
      </c>
      <c r="AC831" t="s">
        <v>9362</v>
      </c>
    </row>
    <row r="832" spans="1:29" x14ac:dyDescent="0.3">
      <c r="A832">
        <v>-73.974097720000003</v>
      </c>
      <c r="B832">
        <v>40.799413319999999</v>
      </c>
      <c r="C832" t="s">
        <v>1301</v>
      </c>
      <c r="D832" t="s">
        <v>33</v>
      </c>
      <c r="E832" s="58">
        <v>43386</v>
      </c>
      <c r="F832">
        <v>12</v>
      </c>
      <c r="G832" t="s">
        <v>48</v>
      </c>
      <c r="H832" t="s">
        <v>42</v>
      </c>
      <c r="I832" t="s">
        <v>59</v>
      </c>
      <c r="J832" t="s">
        <v>43</v>
      </c>
      <c r="K832" t="s">
        <v>4317</v>
      </c>
      <c r="L832" t="s">
        <v>65</v>
      </c>
      <c r="M832" t="b">
        <v>0</v>
      </c>
      <c r="N832" t="s">
        <v>3098</v>
      </c>
      <c r="O832" t="b">
        <v>0</v>
      </c>
      <c r="P832" t="b">
        <v>0</v>
      </c>
      <c r="Q832" t="b">
        <v>1</v>
      </c>
      <c r="R832" t="b">
        <v>1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1</v>
      </c>
      <c r="AA832" t="b">
        <v>0</v>
      </c>
      <c r="AB832" t="s">
        <v>6884</v>
      </c>
      <c r="AC832" t="s">
        <v>9363</v>
      </c>
    </row>
    <row r="833" spans="1:29" x14ac:dyDescent="0.3">
      <c r="A833">
        <v>-73.966935320000005</v>
      </c>
      <c r="B833">
        <v>40.786101619999997</v>
      </c>
      <c r="C833" t="s">
        <v>462</v>
      </c>
      <c r="D833" t="s">
        <v>38</v>
      </c>
      <c r="E833" s="58">
        <v>43387</v>
      </c>
      <c r="F833">
        <v>26</v>
      </c>
      <c r="G833" t="s">
        <v>48</v>
      </c>
      <c r="H833" t="s">
        <v>53</v>
      </c>
      <c r="I833" t="s">
        <v>42</v>
      </c>
      <c r="J833" t="s">
        <v>43</v>
      </c>
      <c r="K833" t="s">
        <v>1896</v>
      </c>
      <c r="L833" t="s">
        <v>65</v>
      </c>
      <c r="M833" t="b">
        <v>0</v>
      </c>
      <c r="N833" t="s">
        <v>6925</v>
      </c>
      <c r="O833" t="b">
        <v>0</v>
      </c>
      <c r="P833" t="b">
        <v>0</v>
      </c>
      <c r="Q833" t="b">
        <v>0</v>
      </c>
      <c r="R833" t="b">
        <v>1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1</v>
      </c>
      <c r="AA833" t="b">
        <v>0</v>
      </c>
      <c r="AB833" t="s">
        <v>432</v>
      </c>
      <c r="AC833" t="s">
        <v>9364</v>
      </c>
    </row>
    <row r="834" spans="1:29" x14ac:dyDescent="0.3">
      <c r="A834">
        <v>-73.976730480000001</v>
      </c>
      <c r="B834">
        <v>40.785416519999998</v>
      </c>
      <c r="C834" t="s">
        <v>646</v>
      </c>
      <c r="D834" t="s">
        <v>38</v>
      </c>
      <c r="E834" s="58">
        <v>43379</v>
      </c>
      <c r="F834">
        <v>21</v>
      </c>
      <c r="G834" t="s">
        <v>105</v>
      </c>
      <c r="H834" t="s">
        <v>42</v>
      </c>
      <c r="I834" t="s">
        <v>96</v>
      </c>
      <c r="J834" t="s">
        <v>54</v>
      </c>
      <c r="K834" t="s">
        <v>4180</v>
      </c>
      <c r="L834" t="s">
        <v>65</v>
      </c>
      <c r="M834" t="b">
        <v>0</v>
      </c>
      <c r="N834" t="s">
        <v>5420</v>
      </c>
      <c r="O834" t="b">
        <v>0</v>
      </c>
      <c r="P834" t="b">
        <v>0</v>
      </c>
      <c r="Q834" t="b">
        <v>1</v>
      </c>
      <c r="R834" t="b">
        <v>1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s">
        <v>2751</v>
      </c>
      <c r="AC834" t="s">
        <v>9365</v>
      </c>
    </row>
    <row r="835" spans="1:29" x14ac:dyDescent="0.3">
      <c r="A835">
        <v>-73.975613539999998</v>
      </c>
      <c r="B835">
        <v>40.791248719999999</v>
      </c>
      <c r="C835" t="s">
        <v>1780</v>
      </c>
      <c r="D835" t="s">
        <v>33</v>
      </c>
      <c r="E835" s="58">
        <v>43381</v>
      </c>
      <c r="F835">
        <v>28</v>
      </c>
      <c r="G835" t="s">
        <v>48</v>
      </c>
      <c r="H835" t="s">
        <v>42</v>
      </c>
      <c r="I835" t="s">
        <v>59</v>
      </c>
      <c r="J835" t="s">
        <v>79</v>
      </c>
      <c r="K835" t="s">
        <v>3887</v>
      </c>
      <c r="L835" t="s">
        <v>65</v>
      </c>
      <c r="M835" t="b">
        <v>0</v>
      </c>
      <c r="N835" t="s">
        <v>3013</v>
      </c>
      <c r="O835" t="b">
        <v>0</v>
      </c>
      <c r="P835" t="b">
        <v>0</v>
      </c>
      <c r="Q835" t="b">
        <v>0</v>
      </c>
      <c r="R835" t="b">
        <v>1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s">
        <v>5924</v>
      </c>
      <c r="AC835" t="s">
        <v>9366</v>
      </c>
    </row>
    <row r="836" spans="1:29" x14ac:dyDescent="0.3">
      <c r="A836">
        <v>-73.965491490000005</v>
      </c>
      <c r="B836">
        <v>40.793491340000003</v>
      </c>
      <c r="C836" t="s">
        <v>41</v>
      </c>
      <c r="D836" t="s">
        <v>33</v>
      </c>
      <c r="E836" s="58">
        <v>43389</v>
      </c>
      <c r="F836">
        <v>16</v>
      </c>
      <c r="G836" t="s">
        <v>105</v>
      </c>
      <c r="H836" t="s">
        <v>42</v>
      </c>
      <c r="I836" t="s">
        <v>53</v>
      </c>
      <c r="J836" t="s">
        <v>43</v>
      </c>
      <c r="K836" t="s">
        <v>5649</v>
      </c>
      <c r="L836" t="s">
        <v>65</v>
      </c>
      <c r="M836" t="b">
        <v>0</v>
      </c>
      <c r="N836" t="s">
        <v>4635</v>
      </c>
      <c r="O836" t="b">
        <v>0</v>
      </c>
      <c r="P836" t="b">
        <v>0</v>
      </c>
      <c r="Q836" t="b">
        <v>0</v>
      </c>
      <c r="R836" t="b">
        <v>0</v>
      </c>
      <c r="S836" t="b">
        <v>1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s">
        <v>2792</v>
      </c>
      <c r="AC836" t="s">
        <v>9367</v>
      </c>
    </row>
    <row r="837" spans="1:29" x14ac:dyDescent="0.3">
      <c r="A837">
        <v>-73.967988899999995</v>
      </c>
      <c r="B837">
        <v>40.788023870000004</v>
      </c>
      <c r="C837" t="s">
        <v>2372</v>
      </c>
      <c r="D837" t="s">
        <v>33</v>
      </c>
      <c r="E837" s="58">
        <v>43385</v>
      </c>
      <c r="F837">
        <v>4</v>
      </c>
      <c r="G837" t="s">
        <v>48</v>
      </c>
      <c r="H837" t="s">
        <v>42</v>
      </c>
      <c r="I837" t="s">
        <v>42</v>
      </c>
      <c r="J837" t="s">
        <v>34</v>
      </c>
      <c r="K837" t="s">
        <v>1381</v>
      </c>
      <c r="L837" t="s">
        <v>65</v>
      </c>
      <c r="M837" t="b">
        <v>0</v>
      </c>
      <c r="N837" t="s">
        <v>1879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1</v>
      </c>
      <c r="AA837" t="b">
        <v>1</v>
      </c>
      <c r="AB837" t="s">
        <v>7224</v>
      </c>
      <c r="AC837" t="s">
        <v>9368</v>
      </c>
    </row>
    <row r="838" spans="1:29" x14ac:dyDescent="0.3">
      <c r="A838">
        <v>-73.952398740000007</v>
      </c>
      <c r="B838">
        <v>40.76942064</v>
      </c>
      <c r="C838" t="s">
        <v>4588</v>
      </c>
      <c r="D838" t="s">
        <v>38</v>
      </c>
      <c r="E838" s="58">
        <v>43384</v>
      </c>
      <c r="F838">
        <v>8</v>
      </c>
      <c r="G838" t="s">
        <v>48</v>
      </c>
      <c r="H838" t="s">
        <v>42</v>
      </c>
      <c r="I838" t="s">
        <v>59</v>
      </c>
      <c r="J838" t="s">
        <v>54</v>
      </c>
      <c r="K838" t="s">
        <v>1381</v>
      </c>
      <c r="L838" t="s">
        <v>65</v>
      </c>
      <c r="M838" t="b">
        <v>0</v>
      </c>
      <c r="N838" t="s">
        <v>456</v>
      </c>
      <c r="O838" t="b">
        <v>1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1</v>
      </c>
      <c r="X838" t="b">
        <v>0</v>
      </c>
      <c r="Y838" t="b">
        <v>0</v>
      </c>
      <c r="Z838" t="b">
        <v>1</v>
      </c>
      <c r="AA838" t="b">
        <v>0</v>
      </c>
      <c r="AB838" t="s">
        <v>101</v>
      </c>
      <c r="AC838" t="s">
        <v>9369</v>
      </c>
    </row>
    <row r="839" spans="1:29" x14ac:dyDescent="0.3">
      <c r="A839">
        <v>-73.969766070000006</v>
      </c>
      <c r="B839">
        <v>40.77682034</v>
      </c>
      <c r="C839" t="s">
        <v>92</v>
      </c>
      <c r="D839" t="s">
        <v>33</v>
      </c>
      <c r="E839" s="58">
        <v>43385</v>
      </c>
      <c r="F839">
        <v>2</v>
      </c>
      <c r="G839" t="s">
        <v>48</v>
      </c>
      <c r="H839" t="s">
        <v>42</v>
      </c>
      <c r="I839" t="s">
        <v>53</v>
      </c>
      <c r="J839" t="s">
        <v>155</v>
      </c>
      <c r="K839" t="s">
        <v>3351</v>
      </c>
      <c r="L839" t="s">
        <v>65</v>
      </c>
      <c r="M839" t="b">
        <v>0</v>
      </c>
      <c r="N839" t="s">
        <v>6718</v>
      </c>
      <c r="O839" t="b">
        <v>0</v>
      </c>
      <c r="P839" t="b">
        <v>0</v>
      </c>
      <c r="Q839" t="b">
        <v>1</v>
      </c>
      <c r="R839" t="b">
        <v>0</v>
      </c>
      <c r="S839" t="b">
        <v>1</v>
      </c>
      <c r="T839" t="b">
        <v>0</v>
      </c>
      <c r="U839" t="b">
        <v>0</v>
      </c>
      <c r="V839" t="b">
        <v>0</v>
      </c>
      <c r="W839" t="b">
        <v>0</v>
      </c>
      <c r="X839" t="b">
        <v>1</v>
      </c>
      <c r="Y839" t="b">
        <v>0</v>
      </c>
      <c r="Z839" t="b">
        <v>1</v>
      </c>
      <c r="AA839" t="b">
        <v>1</v>
      </c>
      <c r="AB839" t="s">
        <v>412</v>
      </c>
      <c r="AC839" t="s">
        <v>9370</v>
      </c>
    </row>
    <row r="840" spans="1:29" x14ac:dyDescent="0.3">
      <c r="A840">
        <v>-73.96290673</v>
      </c>
      <c r="B840">
        <v>40.797586500000001</v>
      </c>
      <c r="C840" t="s">
        <v>1389</v>
      </c>
      <c r="D840" t="s">
        <v>38</v>
      </c>
      <c r="E840" s="58">
        <v>43386</v>
      </c>
      <c r="F840">
        <v>10</v>
      </c>
      <c r="G840" t="s">
        <v>48</v>
      </c>
      <c r="H840" t="s">
        <v>42</v>
      </c>
      <c r="I840" t="s">
        <v>53</v>
      </c>
      <c r="J840" t="s">
        <v>97</v>
      </c>
      <c r="K840" t="s">
        <v>49</v>
      </c>
      <c r="L840" t="s">
        <v>44</v>
      </c>
      <c r="M840">
        <v>30</v>
      </c>
      <c r="N840" t="s">
        <v>1800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s">
        <v>7224</v>
      </c>
      <c r="AC840" t="s">
        <v>9371</v>
      </c>
    </row>
    <row r="841" spans="1:29" x14ac:dyDescent="0.3">
      <c r="A841">
        <v>-73.961282209999993</v>
      </c>
      <c r="B841">
        <v>40.772818899999997</v>
      </c>
      <c r="C841" t="s">
        <v>200</v>
      </c>
      <c r="D841" t="s">
        <v>38</v>
      </c>
      <c r="E841" s="58">
        <v>43384</v>
      </c>
      <c r="F841">
        <v>9</v>
      </c>
      <c r="G841" t="s">
        <v>48</v>
      </c>
      <c r="H841" t="s">
        <v>42</v>
      </c>
      <c r="I841" t="s">
        <v>96</v>
      </c>
      <c r="J841" t="s">
        <v>97</v>
      </c>
      <c r="K841" t="s">
        <v>2517</v>
      </c>
      <c r="L841" t="s">
        <v>65</v>
      </c>
      <c r="M841" t="b">
        <v>0</v>
      </c>
      <c r="N841" t="s">
        <v>5571</v>
      </c>
      <c r="O841" t="b">
        <v>0</v>
      </c>
      <c r="P841" t="b">
        <v>0</v>
      </c>
      <c r="Q841" t="b">
        <v>0</v>
      </c>
      <c r="R841" t="b">
        <v>1</v>
      </c>
      <c r="S841" t="b">
        <v>1</v>
      </c>
      <c r="T841" t="b">
        <v>0</v>
      </c>
      <c r="U841" t="b">
        <v>0</v>
      </c>
      <c r="V841" t="b">
        <v>0</v>
      </c>
      <c r="W841" t="b">
        <v>1</v>
      </c>
      <c r="X841" t="b">
        <v>0</v>
      </c>
      <c r="Y841" t="b">
        <v>0</v>
      </c>
      <c r="Z841" t="b">
        <v>1</v>
      </c>
      <c r="AA841" t="b">
        <v>0</v>
      </c>
      <c r="AB841" t="s">
        <v>4998</v>
      </c>
      <c r="AC841" t="s">
        <v>9372</v>
      </c>
    </row>
    <row r="842" spans="1:29" x14ac:dyDescent="0.3">
      <c r="A842">
        <v>-73.980746929999995</v>
      </c>
      <c r="B842">
        <v>40.778013870000002</v>
      </c>
      <c r="C842" t="s">
        <v>921</v>
      </c>
      <c r="D842" t="s">
        <v>33</v>
      </c>
      <c r="E842" s="58">
        <v>43381</v>
      </c>
      <c r="F842">
        <v>23</v>
      </c>
      <c r="G842" t="s">
        <v>48</v>
      </c>
      <c r="H842" t="s">
        <v>42</v>
      </c>
      <c r="I842" t="s">
        <v>53</v>
      </c>
      <c r="J842" t="s">
        <v>79</v>
      </c>
      <c r="K842" t="s">
        <v>6633</v>
      </c>
      <c r="L842" t="s">
        <v>65</v>
      </c>
      <c r="M842" t="b">
        <v>0</v>
      </c>
      <c r="N842" t="s">
        <v>815</v>
      </c>
      <c r="O842" t="b">
        <v>0</v>
      </c>
      <c r="P842" t="b">
        <v>0</v>
      </c>
      <c r="Q842" t="b">
        <v>1</v>
      </c>
      <c r="R842" t="b">
        <v>0</v>
      </c>
      <c r="S842" t="b">
        <v>1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1</v>
      </c>
      <c r="AA842" t="b">
        <v>0</v>
      </c>
      <c r="AB842" t="s">
        <v>4117</v>
      </c>
      <c r="AC842" t="s">
        <v>9373</v>
      </c>
    </row>
    <row r="843" spans="1:29" x14ac:dyDescent="0.3">
      <c r="A843">
        <v>-73.960299079999999</v>
      </c>
      <c r="B843">
        <v>40.780123170000003</v>
      </c>
      <c r="C843" t="s">
        <v>1310</v>
      </c>
      <c r="D843" t="s">
        <v>33</v>
      </c>
      <c r="E843" s="58">
        <v>43380</v>
      </c>
      <c r="F843">
        <v>15</v>
      </c>
      <c r="G843" t="s">
        <v>48</v>
      </c>
      <c r="H843" t="s">
        <v>42</v>
      </c>
      <c r="I843" t="s">
        <v>737</v>
      </c>
      <c r="J843" t="s">
        <v>79</v>
      </c>
      <c r="K843" t="s">
        <v>4791</v>
      </c>
      <c r="L843" t="s">
        <v>65</v>
      </c>
      <c r="M843" t="b">
        <v>0</v>
      </c>
      <c r="N843" t="s">
        <v>922</v>
      </c>
      <c r="O843" t="b">
        <v>0</v>
      </c>
      <c r="P843" t="b">
        <v>0</v>
      </c>
      <c r="Q843" t="b">
        <v>0</v>
      </c>
      <c r="R843" t="b">
        <v>1</v>
      </c>
      <c r="S843" t="b">
        <v>1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1</v>
      </c>
      <c r="AA843" t="b">
        <v>0</v>
      </c>
      <c r="AB843" t="s">
        <v>340</v>
      </c>
      <c r="AC843" t="s">
        <v>9374</v>
      </c>
    </row>
    <row r="844" spans="1:29" x14ac:dyDescent="0.3">
      <c r="A844">
        <v>-73.9755617</v>
      </c>
      <c r="B844">
        <v>40.780381169999998</v>
      </c>
      <c r="C844" t="s">
        <v>2217</v>
      </c>
      <c r="D844" t="s">
        <v>33</v>
      </c>
      <c r="E844" s="58">
        <v>43390</v>
      </c>
      <c r="F844">
        <v>13</v>
      </c>
      <c r="G844" t="s">
        <v>48</v>
      </c>
      <c r="H844" t="s">
        <v>42</v>
      </c>
      <c r="I844" t="s">
        <v>53</v>
      </c>
      <c r="J844" t="s">
        <v>79</v>
      </c>
      <c r="K844" t="s">
        <v>5787</v>
      </c>
      <c r="L844" t="s">
        <v>65</v>
      </c>
      <c r="M844" t="b">
        <v>0</v>
      </c>
      <c r="N844" t="s">
        <v>190</v>
      </c>
      <c r="O844" t="b">
        <v>0</v>
      </c>
      <c r="P844" t="b">
        <v>0</v>
      </c>
      <c r="Q844" t="b">
        <v>1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s">
        <v>3663</v>
      </c>
      <c r="AC844" t="s">
        <v>9375</v>
      </c>
    </row>
    <row r="845" spans="1:29" x14ac:dyDescent="0.3">
      <c r="A845">
        <v>-73.950945590000003</v>
      </c>
      <c r="B845">
        <v>40.786490950000001</v>
      </c>
      <c r="C845" t="s">
        <v>2654</v>
      </c>
      <c r="D845" t="s">
        <v>33</v>
      </c>
      <c r="E845" s="58">
        <v>43385</v>
      </c>
      <c r="F845">
        <v>23</v>
      </c>
      <c r="G845" t="s">
        <v>48</v>
      </c>
      <c r="H845" t="s">
        <v>42</v>
      </c>
      <c r="I845" t="s">
        <v>96</v>
      </c>
      <c r="J845" t="s">
        <v>79</v>
      </c>
      <c r="K845" t="s">
        <v>1381</v>
      </c>
      <c r="L845" t="s">
        <v>65</v>
      </c>
      <c r="M845" t="b">
        <v>0</v>
      </c>
      <c r="N845" t="s">
        <v>4030</v>
      </c>
      <c r="O845" t="b">
        <v>0</v>
      </c>
      <c r="P845" t="b">
        <v>0</v>
      </c>
      <c r="Q845" t="b">
        <v>0</v>
      </c>
      <c r="R845" t="b">
        <v>1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1</v>
      </c>
      <c r="AA845" t="b">
        <v>0</v>
      </c>
      <c r="AB845" t="s">
        <v>6579</v>
      </c>
      <c r="AC845" t="s">
        <v>9376</v>
      </c>
    </row>
    <row r="846" spans="1:29" x14ac:dyDescent="0.3">
      <c r="A846">
        <v>-73.976485100000005</v>
      </c>
      <c r="B846">
        <v>40.798114339999998</v>
      </c>
      <c r="C846" t="s">
        <v>221</v>
      </c>
      <c r="D846" t="s">
        <v>33</v>
      </c>
      <c r="E846" s="58">
        <v>43390</v>
      </c>
      <c r="F846">
        <v>17</v>
      </c>
      <c r="G846" t="s">
        <v>48</v>
      </c>
      <c r="H846" t="s">
        <v>53</v>
      </c>
      <c r="I846" t="s">
        <v>53</v>
      </c>
      <c r="J846" t="s">
        <v>79</v>
      </c>
      <c r="K846" t="s">
        <v>1666</v>
      </c>
      <c r="L846" t="s">
        <v>44</v>
      </c>
      <c r="M846">
        <v>25</v>
      </c>
      <c r="N846" t="s">
        <v>1494</v>
      </c>
      <c r="O846" t="b">
        <v>0</v>
      </c>
      <c r="P846" t="b">
        <v>0</v>
      </c>
      <c r="Q846" t="b">
        <v>0</v>
      </c>
      <c r="R846" t="b">
        <v>0</v>
      </c>
      <c r="S846" t="b">
        <v>1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s">
        <v>5110</v>
      </c>
      <c r="AC846" t="s">
        <v>9377</v>
      </c>
    </row>
    <row r="847" spans="1:29" x14ac:dyDescent="0.3">
      <c r="A847">
        <v>-73.968124119999999</v>
      </c>
      <c r="B847">
        <v>40.77338494</v>
      </c>
      <c r="C847" t="s">
        <v>2056</v>
      </c>
      <c r="D847" t="s">
        <v>38</v>
      </c>
      <c r="E847" s="58">
        <v>43390</v>
      </c>
      <c r="F847">
        <v>30</v>
      </c>
      <c r="G847" t="s">
        <v>48</v>
      </c>
      <c r="H847" t="s">
        <v>42</v>
      </c>
      <c r="I847" t="s">
        <v>59</v>
      </c>
      <c r="J847" t="s">
        <v>1142</v>
      </c>
      <c r="K847" t="s">
        <v>1381</v>
      </c>
      <c r="L847" t="s">
        <v>65</v>
      </c>
      <c r="M847" t="b">
        <v>0</v>
      </c>
      <c r="N847" t="s">
        <v>2071</v>
      </c>
      <c r="O847" t="b">
        <v>1</v>
      </c>
      <c r="P847" t="b">
        <v>0</v>
      </c>
      <c r="Q847" t="b">
        <v>0</v>
      </c>
      <c r="R847" t="b">
        <v>1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1</v>
      </c>
      <c r="AA847" t="b">
        <v>0</v>
      </c>
      <c r="AB847" t="s">
        <v>340</v>
      </c>
      <c r="AC847" t="s">
        <v>9378</v>
      </c>
    </row>
    <row r="848" spans="1:29" x14ac:dyDescent="0.3">
      <c r="A848">
        <v>-73.978475459999999</v>
      </c>
      <c r="B848">
        <v>40.769188470000003</v>
      </c>
      <c r="C848" t="s">
        <v>514</v>
      </c>
      <c r="D848" t="s">
        <v>38</v>
      </c>
      <c r="E848" s="58">
        <v>43390</v>
      </c>
      <c r="F848">
        <v>16</v>
      </c>
      <c r="G848" t="s">
        <v>48</v>
      </c>
      <c r="H848" t="s">
        <v>42</v>
      </c>
      <c r="I848" t="s">
        <v>42</v>
      </c>
      <c r="J848" t="s">
        <v>97</v>
      </c>
      <c r="K848" t="s">
        <v>2382</v>
      </c>
      <c r="L848" t="s">
        <v>65</v>
      </c>
      <c r="M848" t="b">
        <v>0</v>
      </c>
      <c r="N848" t="s">
        <v>190</v>
      </c>
      <c r="O848" t="b">
        <v>0</v>
      </c>
      <c r="P848" t="b">
        <v>0</v>
      </c>
      <c r="Q848" t="b">
        <v>0</v>
      </c>
      <c r="R848" t="b">
        <v>1</v>
      </c>
      <c r="S848" t="b">
        <v>1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1</v>
      </c>
      <c r="AA848" t="b">
        <v>0</v>
      </c>
      <c r="AB848" t="s">
        <v>340</v>
      </c>
      <c r="AC848" t="s">
        <v>9379</v>
      </c>
    </row>
    <row r="849" spans="1:29" x14ac:dyDescent="0.3">
      <c r="A849">
        <v>-73.949820029999998</v>
      </c>
      <c r="B849">
        <v>40.771863179999997</v>
      </c>
      <c r="C849" t="s">
        <v>564</v>
      </c>
      <c r="D849" t="s">
        <v>38</v>
      </c>
      <c r="E849" s="58">
        <v>43389</v>
      </c>
      <c r="F849">
        <v>28</v>
      </c>
      <c r="G849" t="s">
        <v>105</v>
      </c>
      <c r="H849" t="s">
        <v>176</v>
      </c>
      <c r="I849" t="s">
        <v>59</v>
      </c>
      <c r="J849" t="s">
        <v>97</v>
      </c>
      <c r="K849" t="s">
        <v>6623</v>
      </c>
      <c r="L849" t="s">
        <v>65</v>
      </c>
      <c r="M849" t="b">
        <v>0</v>
      </c>
      <c r="N849" t="s">
        <v>742</v>
      </c>
      <c r="O849" t="b">
        <v>0</v>
      </c>
      <c r="P849" t="b">
        <v>0</v>
      </c>
      <c r="Q849" t="b">
        <v>1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1</v>
      </c>
      <c r="AA849" t="b">
        <v>0</v>
      </c>
      <c r="AB849" t="s">
        <v>5960</v>
      </c>
      <c r="AC849" t="s">
        <v>9380</v>
      </c>
    </row>
    <row r="850" spans="1:29" x14ac:dyDescent="0.3">
      <c r="A850">
        <v>-73.965371169999997</v>
      </c>
      <c r="B850">
        <v>40.796137389999998</v>
      </c>
      <c r="C850" t="s">
        <v>1759</v>
      </c>
      <c r="D850" t="s">
        <v>38</v>
      </c>
      <c r="E850" s="58">
        <v>43379</v>
      </c>
      <c r="F850">
        <v>2</v>
      </c>
      <c r="G850" t="s">
        <v>48</v>
      </c>
      <c r="H850" t="s">
        <v>42</v>
      </c>
      <c r="I850" t="s">
        <v>59</v>
      </c>
      <c r="J850" t="s">
        <v>60</v>
      </c>
      <c r="K850" t="s">
        <v>1012</v>
      </c>
      <c r="L850" t="s">
        <v>65</v>
      </c>
      <c r="M850" t="b">
        <v>0</v>
      </c>
      <c r="N850" t="s">
        <v>190</v>
      </c>
      <c r="O850" t="b">
        <v>1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s">
        <v>3975</v>
      </c>
      <c r="AC850" t="s">
        <v>9381</v>
      </c>
    </row>
    <row r="851" spans="1:29" x14ac:dyDescent="0.3">
      <c r="A851">
        <v>-73.962441569999996</v>
      </c>
      <c r="B851">
        <v>40.787648279999999</v>
      </c>
      <c r="C851" t="s">
        <v>104</v>
      </c>
      <c r="D851" t="s">
        <v>33</v>
      </c>
      <c r="E851" s="58">
        <v>43381</v>
      </c>
      <c r="F851">
        <v>20</v>
      </c>
      <c r="G851" t="s">
        <v>48</v>
      </c>
      <c r="H851" t="s">
        <v>42</v>
      </c>
      <c r="I851" t="s">
        <v>53</v>
      </c>
      <c r="J851" t="s">
        <v>43</v>
      </c>
      <c r="K851" t="s">
        <v>3261</v>
      </c>
      <c r="L851" t="s">
        <v>44</v>
      </c>
      <c r="M851">
        <v>7</v>
      </c>
      <c r="N851" t="s">
        <v>2032</v>
      </c>
      <c r="O851" t="b">
        <v>1</v>
      </c>
      <c r="P851" t="b">
        <v>0</v>
      </c>
      <c r="Q851" t="b">
        <v>1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1</v>
      </c>
      <c r="AA851" t="b">
        <v>0</v>
      </c>
      <c r="AB851" t="s">
        <v>101</v>
      </c>
      <c r="AC851" t="s">
        <v>9382</v>
      </c>
    </row>
    <row r="852" spans="1:29" x14ac:dyDescent="0.3">
      <c r="A852">
        <v>-73.979049910000001</v>
      </c>
      <c r="B852">
        <v>40.77497683</v>
      </c>
      <c r="C852" t="s">
        <v>327</v>
      </c>
      <c r="D852" t="s">
        <v>33</v>
      </c>
      <c r="E852" s="58">
        <v>43390</v>
      </c>
      <c r="F852">
        <v>20</v>
      </c>
      <c r="G852" t="s">
        <v>48</v>
      </c>
      <c r="H852" t="s">
        <v>42</v>
      </c>
      <c r="I852" t="s">
        <v>53</v>
      </c>
      <c r="J852" t="s">
        <v>43</v>
      </c>
      <c r="K852" t="s">
        <v>1472</v>
      </c>
      <c r="L852" t="s">
        <v>44</v>
      </c>
      <c r="M852">
        <v>6</v>
      </c>
      <c r="N852" t="s">
        <v>2074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1</v>
      </c>
      <c r="AA852" t="b">
        <v>0</v>
      </c>
      <c r="AB852" t="s">
        <v>121</v>
      </c>
      <c r="AC852" t="s">
        <v>9383</v>
      </c>
    </row>
    <row r="853" spans="1:29" x14ac:dyDescent="0.3">
      <c r="A853">
        <v>-73.957582209999998</v>
      </c>
      <c r="B853">
        <v>40.79363841</v>
      </c>
      <c r="C853" t="s">
        <v>471</v>
      </c>
      <c r="D853" t="s">
        <v>33</v>
      </c>
      <c r="E853" s="58">
        <v>43389</v>
      </c>
      <c r="F853">
        <v>27</v>
      </c>
      <c r="G853" t="s">
        <v>48</v>
      </c>
      <c r="H853" t="s">
        <v>42</v>
      </c>
      <c r="I853" t="s">
        <v>53</v>
      </c>
      <c r="J853" t="s">
        <v>54</v>
      </c>
      <c r="K853" t="s">
        <v>6800</v>
      </c>
      <c r="L853" t="s">
        <v>65</v>
      </c>
      <c r="M853" t="b">
        <v>0</v>
      </c>
      <c r="N853" t="s">
        <v>1241</v>
      </c>
      <c r="O853" t="b">
        <v>0</v>
      </c>
      <c r="P853" t="b">
        <v>0</v>
      </c>
      <c r="Q853" t="b">
        <v>1</v>
      </c>
      <c r="R853" t="b">
        <v>0</v>
      </c>
      <c r="S853" t="b">
        <v>1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s">
        <v>4979</v>
      </c>
      <c r="AC853" t="s">
        <v>9384</v>
      </c>
    </row>
    <row r="854" spans="1:29" x14ac:dyDescent="0.3">
      <c r="A854">
        <v>-73.974559819999996</v>
      </c>
      <c r="B854">
        <v>40.795237649999997</v>
      </c>
      <c r="C854" t="s">
        <v>790</v>
      </c>
      <c r="D854" t="s">
        <v>38</v>
      </c>
      <c r="E854" s="58">
        <v>43382</v>
      </c>
      <c r="F854">
        <v>14</v>
      </c>
      <c r="G854" t="s">
        <v>105</v>
      </c>
      <c r="H854" t="s">
        <v>42</v>
      </c>
      <c r="I854" t="s">
        <v>59</v>
      </c>
      <c r="J854" t="s">
        <v>54</v>
      </c>
      <c r="K854" t="s">
        <v>3050</v>
      </c>
      <c r="L854" t="s">
        <v>65</v>
      </c>
      <c r="M854" t="b">
        <v>0</v>
      </c>
      <c r="N854" t="s">
        <v>1929</v>
      </c>
      <c r="O854" t="b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1</v>
      </c>
      <c r="AA854" t="b">
        <v>0</v>
      </c>
      <c r="AB854" t="s">
        <v>5062</v>
      </c>
      <c r="AC854" t="s">
        <v>9385</v>
      </c>
    </row>
    <row r="855" spans="1:29" x14ac:dyDescent="0.3">
      <c r="A855">
        <v>-73.95292662</v>
      </c>
      <c r="B855">
        <v>40.794714620000001</v>
      </c>
      <c r="C855" t="s">
        <v>2217</v>
      </c>
      <c r="D855" t="s">
        <v>38</v>
      </c>
      <c r="E855" s="58">
        <v>43391</v>
      </c>
      <c r="F855">
        <v>3</v>
      </c>
      <c r="G855" t="s">
        <v>48</v>
      </c>
      <c r="H855" t="s">
        <v>53</v>
      </c>
      <c r="I855" t="s">
        <v>53</v>
      </c>
      <c r="J855" t="s">
        <v>89</v>
      </c>
      <c r="K855" t="s">
        <v>242</v>
      </c>
      <c r="L855" t="s">
        <v>65</v>
      </c>
      <c r="M855" t="b">
        <v>0</v>
      </c>
      <c r="N855" t="s">
        <v>978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s">
        <v>511</v>
      </c>
      <c r="AC855" t="s">
        <v>9386</v>
      </c>
    </row>
    <row r="856" spans="1:29" x14ac:dyDescent="0.3">
      <c r="A856">
        <v>-73.97470964</v>
      </c>
      <c r="B856">
        <v>40.7972641</v>
      </c>
      <c r="C856" t="s">
        <v>455</v>
      </c>
      <c r="D856" t="s">
        <v>38</v>
      </c>
      <c r="E856" s="58">
        <v>43392</v>
      </c>
      <c r="F856">
        <v>23</v>
      </c>
      <c r="G856" t="s">
        <v>48</v>
      </c>
      <c r="H856" t="s">
        <v>42</v>
      </c>
      <c r="I856" t="s">
        <v>53</v>
      </c>
      <c r="J856" t="s">
        <v>54</v>
      </c>
      <c r="K856" t="s">
        <v>1381</v>
      </c>
      <c r="L856" t="s">
        <v>65</v>
      </c>
      <c r="M856" t="b">
        <v>0</v>
      </c>
      <c r="N856" t="s">
        <v>1359</v>
      </c>
      <c r="O856" t="b">
        <v>1</v>
      </c>
      <c r="P856" t="b">
        <v>0</v>
      </c>
      <c r="Q856" t="b">
        <v>0</v>
      </c>
      <c r="R856" t="b">
        <v>0</v>
      </c>
      <c r="S856" t="b">
        <v>1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1</v>
      </c>
      <c r="AA856" t="b">
        <v>0</v>
      </c>
      <c r="AB856" t="s">
        <v>643</v>
      </c>
      <c r="AC856" t="s">
        <v>9387</v>
      </c>
    </row>
    <row r="857" spans="1:29" x14ac:dyDescent="0.3">
      <c r="A857">
        <v>-73.975163969999997</v>
      </c>
      <c r="B857">
        <v>40.773791529999997</v>
      </c>
      <c r="C857" t="s">
        <v>343</v>
      </c>
      <c r="D857" t="s">
        <v>33</v>
      </c>
      <c r="E857" s="58">
        <v>43379</v>
      </c>
      <c r="F857">
        <v>12</v>
      </c>
      <c r="G857" t="s">
        <v>48</v>
      </c>
      <c r="H857" t="s">
        <v>42</v>
      </c>
      <c r="I857" t="s">
        <v>59</v>
      </c>
      <c r="J857" t="s">
        <v>79</v>
      </c>
      <c r="K857" t="s">
        <v>894</v>
      </c>
      <c r="L857" t="s">
        <v>65</v>
      </c>
      <c r="M857" t="b">
        <v>0</v>
      </c>
      <c r="N857" t="s">
        <v>701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1</v>
      </c>
      <c r="Z857" t="b">
        <v>1</v>
      </c>
      <c r="AA857" t="b">
        <v>0</v>
      </c>
      <c r="AB857" t="s">
        <v>4589</v>
      </c>
      <c r="AC857" t="s">
        <v>9388</v>
      </c>
    </row>
    <row r="858" spans="1:29" x14ac:dyDescent="0.3">
      <c r="A858">
        <v>-73.980009580000001</v>
      </c>
      <c r="B858">
        <v>40.791494069999999</v>
      </c>
      <c r="C858" t="s">
        <v>204</v>
      </c>
      <c r="D858" t="s">
        <v>33</v>
      </c>
      <c r="E858" s="58">
        <v>43383</v>
      </c>
      <c r="F858">
        <v>8</v>
      </c>
      <c r="G858" t="s">
        <v>48</v>
      </c>
      <c r="H858" t="s">
        <v>53</v>
      </c>
      <c r="I858" t="s">
        <v>59</v>
      </c>
      <c r="J858" t="s">
        <v>54</v>
      </c>
      <c r="K858" t="s">
        <v>1005</v>
      </c>
      <c r="L858" t="s">
        <v>44</v>
      </c>
      <c r="M858">
        <v>25</v>
      </c>
      <c r="N858" t="s">
        <v>456</v>
      </c>
      <c r="O858" t="b">
        <v>1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1</v>
      </c>
      <c r="AA858" t="b">
        <v>0</v>
      </c>
      <c r="AB858" t="s">
        <v>1390</v>
      </c>
      <c r="AC858" t="s">
        <v>9389</v>
      </c>
    </row>
    <row r="859" spans="1:29" x14ac:dyDescent="0.3">
      <c r="A859">
        <v>-73.966318299999998</v>
      </c>
      <c r="B859">
        <v>40.781125269999997</v>
      </c>
      <c r="C859" t="s">
        <v>92</v>
      </c>
      <c r="D859" t="s">
        <v>33</v>
      </c>
      <c r="E859" s="58">
        <v>43388</v>
      </c>
      <c r="F859">
        <v>2</v>
      </c>
      <c r="G859" t="s">
        <v>105</v>
      </c>
      <c r="H859" t="s">
        <v>42</v>
      </c>
      <c r="I859" t="s">
        <v>96</v>
      </c>
      <c r="J859" t="s">
        <v>43</v>
      </c>
      <c r="K859" t="s">
        <v>6166</v>
      </c>
      <c r="L859" t="s">
        <v>65</v>
      </c>
      <c r="M859" t="b">
        <v>0</v>
      </c>
      <c r="N859" t="s">
        <v>5247</v>
      </c>
      <c r="O859" t="b">
        <v>1</v>
      </c>
      <c r="P859" t="b">
        <v>0</v>
      </c>
      <c r="Q859" t="b">
        <v>0</v>
      </c>
      <c r="R859" t="b">
        <v>0</v>
      </c>
      <c r="S859" t="b">
        <v>1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1</v>
      </c>
      <c r="AA859" t="b">
        <v>1</v>
      </c>
      <c r="AB859" t="s">
        <v>6963</v>
      </c>
      <c r="AC859" t="s">
        <v>9390</v>
      </c>
    </row>
    <row r="860" spans="1:29" x14ac:dyDescent="0.3">
      <c r="A860">
        <v>-73.963401779999998</v>
      </c>
      <c r="B860">
        <v>40.794555629999998</v>
      </c>
      <c r="C860" t="s">
        <v>851</v>
      </c>
      <c r="D860" t="s">
        <v>33</v>
      </c>
      <c r="E860" s="58">
        <v>43381</v>
      </c>
      <c r="F860">
        <v>4</v>
      </c>
      <c r="G860" t="s">
        <v>48</v>
      </c>
      <c r="H860" t="s">
        <v>42</v>
      </c>
      <c r="I860" t="s">
        <v>53</v>
      </c>
      <c r="J860" t="s">
        <v>79</v>
      </c>
      <c r="K860" t="s">
        <v>3261</v>
      </c>
      <c r="L860" t="s">
        <v>65</v>
      </c>
      <c r="M860" t="b">
        <v>0</v>
      </c>
      <c r="N860" t="s">
        <v>1996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s">
        <v>845</v>
      </c>
      <c r="AC860" t="s">
        <v>9391</v>
      </c>
    </row>
    <row r="861" spans="1:29" x14ac:dyDescent="0.3">
      <c r="A861">
        <v>-73.979092910000006</v>
      </c>
      <c r="B861">
        <v>40.790559260000002</v>
      </c>
      <c r="C861" t="s">
        <v>607</v>
      </c>
      <c r="D861" t="s">
        <v>38</v>
      </c>
      <c r="E861" s="58">
        <v>43380</v>
      </c>
      <c r="F861">
        <v>14</v>
      </c>
      <c r="G861" t="s">
        <v>48</v>
      </c>
      <c r="H861" t="s">
        <v>42</v>
      </c>
      <c r="I861" t="s">
        <v>53</v>
      </c>
      <c r="J861" t="s">
        <v>89</v>
      </c>
      <c r="K861" t="s">
        <v>3318</v>
      </c>
      <c r="L861" t="s">
        <v>65</v>
      </c>
      <c r="M861" t="b">
        <v>0</v>
      </c>
      <c r="N861" t="s">
        <v>2865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1</v>
      </c>
      <c r="X861" t="b">
        <v>0</v>
      </c>
      <c r="Y861" t="b">
        <v>1</v>
      </c>
      <c r="Z861" t="b">
        <v>0</v>
      </c>
      <c r="AA861" t="b">
        <v>1</v>
      </c>
      <c r="AB861" t="s">
        <v>3446</v>
      </c>
      <c r="AC861" t="s">
        <v>9392</v>
      </c>
    </row>
    <row r="862" spans="1:29" x14ac:dyDescent="0.3">
      <c r="A862">
        <v>-73.956778459999995</v>
      </c>
      <c r="B862">
        <v>40.792247709999998</v>
      </c>
      <c r="C862" t="s">
        <v>1657</v>
      </c>
      <c r="D862" t="s">
        <v>38</v>
      </c>
      <c r="E862" s="58">
        <v>43393</v>
      </c>
      <c r="F862">
        <v>16</v>
      </c>
      <c r="G862" t="s">
        <v>48</v>
      </c>
      <c r="H862" t="s">
        <v>42</v>
      </c>
      <c r="I862" t="s">
        <v>115</v>
      </c>
      <c r="J862" t="s">
        <v>43</v>
      </c>
      <c r="K862" t="s">
        <v>2282</v>
      </c>
      <c r="L862" t="s">
        <v>44</v>
      </c>
      <c r="M862">
        <v>5</v>
      </c>
      <c r="N862" t="s">
        <v>2865</v>
      </c>
      <c r="O862" t="b">
        <v>1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s">
        <v>1182</v>
      </c>
      <c r="AC862" t="s">
        <v>9393</v>
      </c>
    </row>
    <row r="863" spans="1:29" x14ac:dyDescent="0.3">
      <c r="A863">
        <v>-73.966908619999998</v>
      </c>
      <c r="B863">
        <v>40.788012719999998</v>
      </c>
      <c r="C863" t="s">
        <v>855</v>
      </c>
      <c r="D863" t="s">
        <v>38</v>
      </c>
      <c r="E863" s="58">
        <v>43381</v>
      </c>
      <c r="F863">
        <v>19</v>
      </c>
      <c r="G863" t="s">
        <v>48</v>
      </c>
      <c r="H863" t="s">
        <v>42</v>
      </c>
      <c r="I863" t="s">
        <v>53</v>
      </c>
      <c r="J863" t="s">
        <v>79</v>
      </c>
      <c r="K863" t="s">
        <v>1012</v>
      </c>
      <c r="L863" t="s">
        <v>65</v>
      </c>
      <c r="M863" t="b">
        <v>0</v>
      </c>
      <c r="N863" t="s">
        <v>5548</v>
      </c>
      <c r="O863" t="b">
        <v>1</v>
      </c>
      <c r="P863" t="b">
        <v>0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s">
        <v>6686</v>
      </c>
      <c r="AC863" t="s">
        <v>9394</v>
      </c>
    </row>
    <row r="864" spans="1:29" x14ac:dyDescent="0.3">
      <c r="A864">
        <v>-73.964673419999997</v>
      </c>
      <c r="B864">
        <v>40.771157549999998</v>
      </c>
      <c r="C864" t="s">
        <v>2654</v>
      </c>
      <c r="D864" t="s">
        <v>33</v>
      </c>
      <c r="E864" s="58">
        <v>43386</v>
      </c>
      <c r="F864">
        <v>2</v>
      </c>
      <c r="G864" t="s">
        <v>48</v>
      </c>
      <c r="H864" t="s">
        <v>42</v>
      </c>
      <c r="I864" t="s">
        <v>42</v>
      </c>
      <c r="J864" t="s">
        <v>79</v>
      </c>
      <c r="K864" t="s">
        <v>981</v>
      </c>
      <c r="L864" t="s">
        <v>44</v>
      </c>
      <c r="M864">
        <v>3</v>
      </c>
      <c r="N864" t="s">
        <v>3697</v>
      </c>
      <c r="O864" t="b">
        <v>0</v>
      </c>
      <c r="P864" t="b">
        <v>0</v>
      </c>
      <c r="Q864" t="b">
        <v>0</v>
      </c>
      <c r="R864" t="b">
        <v>0</v>
      </c>
      <c r="S864" t="b">
        <v>1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1</v>
      </c>
      <c r="AA864" t="b">
        <v>0</v>
      </c>
      <c r="AB864" t="s">
        <v>6346</v>
      </c>
      <c r="AC864" t="s">
        <v>9395</v>
      </c>
    </row>
    <row r="865" spans="1:29" x14ac:dyDescent="0.3">
      <c r="A865">
        <v>-73.967302399999994</v>
      </c>
      <c r="B865">
        <v>40.78409989</v>
      </c>
      <c r="C865" t="s">
        <v>335</v>
      </c>
      <c r="D865" t="s">
        <v>33</v>
      </c>
      <c r="E865" s="58">
        <v>43384</v>
      </c>
      <c r="F865">
        <v>12</v>
      </c>
      <c r="G865" t="s">
        <v>48</v>
      </c>
      <c r="H865" t="s">
        <v>42</v>
      </c>
      <c r="I865" t="s">
        <v>42</v>
      </c>
      <c r="J865" t="s">
        <v>43</v>
      </c>
      <c r="K865" t="s">
        <v>7370</v>
      </c>
      <c r="L865" t="s">
        <v>65</v>
      </c>
      <c r="M865" t="b">
        <v>0</v>
      </c>
      <c r="N865" t="s">
        <v>2584</v>
      </c>
      <c r="O865" t="b">
        <v>0</v>
      </c>
      <c r="P865" t="b">
        <v>0</v>
      </c>
      <c r="Q865" t="b">
        <v>1</v>
      </c>
      <c r="R865" t="b">
        <v>0</v>
      </c>
      <c r="S865" t="b">
        <v>1</v>
      </c>
      <c r="T865" t="b">
        <v>1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1</v>
      </c>
      <c r="AA865" t="b">
        <v>0</v>
      </c>
      <c r="AB865" t="s">
        <v>432</v>
      </c>
      <c r="AC865" t="s">
        <v>9396</v>
      </c>
    </row>
    <row r="866" spans="1:29" x14ac:dyDescent="0.3">
      <c r="A866">
        <v>-73.968559870000007</v>
      </c>
      <c r="B866">
        <v>40.799578769999997</v>
      </c>
      <c r="C866" t="s">
        <v>250</v>
      </c>
      <c r="D866" t="s">
        <v>33</v>
      </c>
      <c r="E866" s="58">
        <v>43391</v>
      </c>
      <c r="F866">
        <v>29</v>
      </c>
      <c r="G866" t="s">
        <v>48</v>
      </c>
      <c r="H866" t="s">
        <v>42</v>
      </c>
      <c r="I866" t="s">
        <v>96</v>
      </c>
      <c r="J866" t="s">
        <v>43</v>
      </c>
      <c r="K866" t="s">
        <v>5682</v>
      </c>
      <c r="L866" t="s">
        <v>65</v>
      </c>
      <c r="M866" t="b">
        <v>0</v>
      </c>
      <c r="N866" t="s">
        <v>1800</v>
      </c>
      <c r="O866" t="b">
        <v>1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1</v>
      </c>
      <c r="Y866" t="b">
        <v>0</v>
      </c>
      <c r="Z866" t="b">
        <v>0</v>
      </c>
      <c r="AA866" t="b">
        <v>1</v>
      </c>
      <c r="AB866" t="s">
        <v>488</v>
      </c>
      <c r="AC866" t="s">
        <v>9397</v>
      </c>
    </row>
    <row r="867" spans="1:29" x14ac:dyDescent="0.3">
      <c r="A867">
        <v>-73.963565270000004</v>
      </c>
      <c r="B867">
        <v>40.797914089999999</v>
      </c>
      <c r="C867" t="s">
        <v>335</v>
      </c>
      <c r="D867" t="s">
        <v>33</v>
      </c>
      <c r="E867" s="58">
        <v>43392</v>
      </c>
      <c r="F867">
        <v>14</v>
      </c>
      <c r="G867" t="s">
        <v>105</v>
      </c>
      <c r="H867" t="s">
        <v>42</v>
      </c>
      <c r="I867" t="s">
        <v>53</v>
      </c>
      <c r="J867" t="s">
        <v>705</v>
      </c>
      <c r="K867" t="s">
        <v>6367</v>
      </c>
      <c r="L867" t="s">
        <v>44</v>
      </c>
      <c r="M867">
        <v>3</v>
      </c>
      <c r="N867" t="s">
        <v>1072</v>
      </c>
      <c r="O867" t="b">
        <v>0</v>
      </c>
      <c r="P867" t="b">
        <v>0</v>
      </c>
      <c r="Q867" t="b">
        <v>1</v>
      </c>
      <c r="R867" t="b">
        <v>1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s">
        <v>5702</v>
      </c>
      <c r="AC867" t="s">
        <v>9398</v>
      </c>
    </row>
    <row r="868" spans="1:29" x14ac:dyDescent="0.3">
      <c r="A868">
        <v>-73.976278320000006</v>
      </c>
      <c r="B868">
        <v>40.766430720000002</v>
      </c>
      <c r="C868" t="s">
        <v>483</v>
      </c>
      <c r="D868" t="s">
        <v>33</v>
      </c>
      <c r="E868" s="58">
        <v>43385</v>
      </c>
      <c r="F868">
        <v>6</v>
      </c>
      <c r="G868" t="s">
        <v>48</v>
      </c>
      <c r="H868" t="s">
        <v>42</v>
      </c>
      <c r="I868" t="s">
        <v>96</v>
      </c>
      <c r="J868" t="s">
        <v>54</v>
      </c>
      <c r="K868" t="s">
        <v>5481</v>
      </c>
      <c r="L868" t="s">
        <v>44</v>
      </c>
      <c r="M868">
        <v>8</v>
      </c>
      <c r="N868" t="s">
        <v>6948</v>
      </c>
      <c r="O868" t="b">
        <v>1</v>
      </c>
      <c r="P868" t="b">
        <v>0</v>
      </c>
      <c r="Q868" t="b">
        <v>1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1</v>
      </c>
      <c r="Y868" t="b">
        <v>0</v>
      </c>
      <c r="Z868" t="b">
        <v>1</v>
      </c>
      <c r="AA868" t="b">
        <v>0</v>
      </c>
      <c r="AB868" t="s">
        <v>991</v>
      </c>
      <c r="AC868" t="s">
        <v>9399</v>
      </c>
    </row>
    <row r="869" spans="1:29" x14ac:dyDescent="0.3">
      <c r="A869">
        <v>-73.975439339999994</v>
      </c>
      <c r="B869">
        <v>40.770713440000002</v>
      </c>
      <c r="C869" t="s">
        <v>1389</v>
      </c>
      <c r="D869" t="s">
        <v>38</v>
      </c>
      <c r="E869" s="58">
        <v>43390</v>
      </c>
      <c r="F869">
        <v>13</v>
      </c>
      <c r="G869" t="s">
        <v>48</v>
      </c>
      <c r="H869" t="s">
        <v>42</v>
      </c>
      <c r="I869" t="s">
        <v>96</v>
      </c>
      <c r="J869" t="s">
        <v>43</v>
      </c>
      <c r="K869" t="s">
        <v>1896</v>
      </c>
      <c r="L869" t="s">
        <v>65</v>
      </c>
      <c r="M869" t="b">
        <v>0</v>
      </c>
      <c r="N869" t="s">
        <v>4445</v>
      </c>
      <c r="O869" t="b">
        <v>0</v>
      </c>
      <c r="P869" t="b">
        <v>0</v>
      </c>
      <c r="Q869" t="b">
        <v>0</v>
      </c>
      <c r="R869" t="b">
        <v>1</v>
      </c>
      <c r="S869" t="b">
        <v>1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1</v>
      </c>
      <c r="AB869" t="s">
        <v>3884</v>
      </c>
      <c r="AC869" t="s">
        <v>9400</v>
      </c>
    </row>
    <row r="870" spans="1:29" x14ac:dyDescent="0.3">
      <c r="A870">
        <v>-73.954066789999999</v>
      </c>
      <c r="B870">
        <v>40.769548550000003</v>
      </c>
      <c r="C870" t="s">
        <v>855</v>
      </c>
      <c r="D870" t="s">
        <v>38</v>
      </c>
      <c r="E870" s="58">
        <v>43384</v>
      </c>
      <c r="F870">
        <v>4</v>
      </c>
      <c r="G870" t="s">
        <v>48</v>
      </c>
      <c r="H870" t="s">
        <v>42</v>
      </c>
      <c r="I870" t="s">
        <v>59</v>
      </c>
      <c r="J870" t="s">
        <v>43</v>
      </c>
      <c r="K870" t="s">
        <v>442</v>
      </c>
      <c r="L870" t="s">
        <v>65</v>
      </c>
      <c r="M870" t="b">
        <v>0</v>
      </c>
      <c r="N870" t="s">
        <v>2451</v>
      </c>
      <c r="O870" t="b">
        <v>0</v>
      </c>
      <c r="P870" t="b">
        <v>0</v>
      </c>
      <c r="Q870" t="b">
        <v>0</v>
      </c>
      <c r="R870" t="b">
        <v>0</v>
      </c>
      <c r="S870" t="b">
        <v>1</v>
      </c>
      <c r="T870" t="b">
        <v>0</v>
      </c>
      <c r="U870" t="b">
        <v>0</v>
      </c>
      <c r="V870" t="b">
        <v>0</v>
      </c>
      <c r="W870" t="b">
        <v>0</v>
      </c>
      <c r="X870" t="b">
        <v>1</v>
      </c>
      <c r="Y870" t="b">
        <v>0</v>
      </c>
      <c r="Z870" t="b">
        <v>1</v>
      </c>
      <c r="AA870" t="b">
        <v>0</v>
      </c>
      <c r="AB870" t="s">
        <v>1801</v>
      </c>
      <c r="AC870" t="s">
        <v>9401</v>
      </c>
    </row>
    <row r="871" spans="1:29" x14ac:dyDescent="0.3">
      <c r="A871">
        <v>-73.951415729999994</v>
      </c>
      <c r="B871">
        <v>40.790470859999999</v>
      </c>
      <c r="C871" t="s">
        <v>2056</v>
      </c>
      <c r="D871" t="s">
        <v>33</v>
      </c>
      <c r="E871" s="58">
        <v>43384</v>
      </c>
      <c r="F871">
        <v>22</v>
      </c>
      <c r="G871" t="s">
        <v>105</v>
      </c>
      <c r="H871" t="s">
        <v>42</v>
      </c>
      <c r="I871" t="s">
        <v>53</v>
      </c>
      <c r="J871" t="s">
        <v>79</v>
      </c>
      <c r="K871" t="s">
        <v>1381</v>
      </c>
      <c r="L871" t="s">
        <v>44</v>
      </c>
      <c r="M871">
        <v>6</v>
      </c>
      <c r="N871" t="s">
        <v>5149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s">
        <v>511</v>
      </c>
      <c r="AC871" t="s">
        <v>9402</v>
      </c>
    </row>
    <row r="872" spans="1:29" x14ac:dyDescent="0.3">
      <c r="A872">
        <v>-73.969422929999993</v>
      </c>
      <c r="B872">
        <v>40.793703129999997</v>
      </c>
      <c r="C872" t="s">
        <v>523</v>
      </c>
      <c r="D872" t="s">
        <v>33</v>
      </c>
      <c r="E872" s="58">
        <v>43390</v>
      </c>
      <c r="F872">
        <v>18</v>
      </c>
      <c r="G872" t="s">
        <v>48</v>
      </c>
      <c r="H872" t="s">
        <v>53</v>
      </c>
      <c r="I872" t="s">
        <v>53</v>
      </c>
      <c r="J872" t="s">
        <v>79</v>
      </c>
      <c r="K872" t="s">
        <v>1259</v>
      </c>
      <c r="L872" t="s">
        <v>65</v>
      </c>
      <c r="M872" t="b">
        <v>0</v>
      </c>
      <c r="N872" t="s">
        <v>3990</v>
      </c>
      <c r="O872" t="b">
        <v>0</v>
      </c>
      <c r="P872" t="b">
        <v>0</v>
      </c>
      <c r="Q872" t="b">
        <v>1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1</v>
      </c>
      <c r="Y872" t="b">
        <v>0</v>
      </c>
      <c r="Z872" t="b">
        <v>0</v>
      </c>
      <c r="AA872" t="b">
        <v>1</v>
      </c>
      <c r="AB872" t="s">
        <v>340</v>
      </c>
      <c r="AC872" t="s">
        <v>9403</v>
      </c>
    </row>
    <row r="873" spans="1:29" x14ac:dyDescent="0.3">
      <c r="A873">
        <v>-73.972647230000007</v>
      </c>
      <c r="B873">
        <v>40.77242794</v>
      </c>
      <c r="C873" t="s">
        <v>2046</v>
      </c>
      <c r="D873" t="s">
        <v>33</v>
      </c>
      <c r="E873" s="58">
        <v>43381</v>
      </c>
      <c r="F873">
        <v>12</v>
      </c>
      <c r="G873" t="s">
        <v>48</v>
      </c>
      <c r="H873" t="s">
        <v>42</v>
      </c>
      <c r="I873" t="s">
        <v>53</v>
      </c>
      <c r="J873" t="s">
        <v>79</v>
      </c>
      <c r="K873" t="s">
        <v>1896</v>
      </c>
      <c r="L873" t="s">
        <v>65</v>
      </c>
      <c r="M873" t="b">
        <v>0</v>
      </c>
      <c r="N873" t="s">
        <v>2101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s">
        <v>669</v>
      </c>
      <c r="AC873" t="s">
        <v>9404</v>
      </c>
    </row>
    <row r="874" spans="1:29" x14ac:dyDescent="0.3">
      <c r="A874">
        <v>-73.960913289999993</v>
      </c>
      <c r="B874">
        <v>40.782720650000002</v>
      </c>
      <c r="C874" t="s">
        <v>493</v>
      </c>
      <c r="D874" t="s">
        <v>33</v>
      </c>
      <c r="E874" s="58">
        <v>43390</v>
      </c>
      <c r="F874">
        <v>20</v>
      </c>
      <c r="G874" t="s">
        <v>48</v>
      </c>
      <c r="H874" t="s">
        <v>42</v>
      </c>
      <c r="I874" t="s">
        <v>59</v>
      </c>
      <c r="J874" t="s">
        <v>43</v>
      </c>
      <c r="K874" t="s">
        <v>1696</v>
      </c>
      <c r="L874" t="s">
        <v>44</v>
      </c>
      <c r="M874">
        <v>8</v>
      </c>
      <c r="N874" t="s">
        <v>2700</v>
      </c>
      <c r="O874" t="b">
        <v>0</v>
      </c>
      <c r="P874" t="b">
        <v>0</v>
      </c>
      <c r="Q874" t="b">
        <v>0</v>
      </c>
      <c r="R874" t="b">
        <v>1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1</v>
      </c>
      <c r="AA874" t="b">
        <v>0</v>
      </c>
      <c r="AB874" t="s">
        <v>2668</v>
      </c>
      <c r="AC874" t="s">
        <v>9405</v>
      </c>
    </row>
    <row r="875" spans="1:29" x14ac:dyDescent="0.3">
      <c r="A875">
        <v>-73.96830928</v>
      </c>
      <c r="B875">
        <v>40.794510010000003</v>
      </c>
      <c r="C875" t="s">
        <v>408</v>
      </c>
      <c r="D875" t="s">
        <v>38</v>
      </c>
      <c r="E875" s="58">
        <v>43391</v>
      </c>
      <c r="F875">
        <v>27</v>
      </c>
      <c r="G875" t="s">
        <v>48</v>
      </c>
      <c r="H875" t="s">
        <v>42</v>
      </c>
      <c r="I875" t="s">
        <v>59</v>
      </c>
      <c r="J875" t="s">
        <v>177</v>
      </c>
      <c r="K875" t="s">
        <v>3887</v>
      </c>
      <c r="L875" t="s">
        <v>65</v>
      </c>
      <c r="M875" t="b">
        <v>0</v>
      </c>
      <c r="N875" t="s">
        <v>2865</v>
      </c>
      <c r="O875" t="b">
        <v>1</v>
      </c>
      <c r="P875" t="b">
        <v>0</v>
      </c>
      <c r="Q875" t="b">
        <v>1</v>
      </c>
      <c r="R875" t="b">
        <v>1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1</v>
      </c>
      <c r="AB875" t="s">
        <v>3835</v>
      </c>
      <c r="AC875" t="s">
        <v>9406</v>
      </c>
    </row>
    <row r="876" spans="1:29" x14ac:dyDescent="0.3">
      <c r="A876">
        <v>-73.980360509999997</v>
      </c>
      <c r="B876">
        <v>40.790711039999998</v>
      </c>
      <c r="C876" t="s">
        <v>431</v>
      </c>
      <c r="D876" t="s">
        <v>33</v>
      </c>
      <c r="E876" s="58">
        <v>43392</v>
      </c>
      <c r="F876">
        <v>22</v>
      </c>
      <c r="G876" t="s">
        <v>48</v>
      </c>
      <c r="H876" t="s">
        <v>42</v>
      </c>
      <c r="I876" t="s">
        <v>53</v>
      </c>
      <c r="J876" t="s">
        <v>54</v>
      </c>
      <c r="K876" t="s">
        <v>6214</v>
      </c>
      <c r="L876" t="s">
        <v>65</v>
      </c>
      <c r="M876" t="b">
        <v>0</v>
      </c>
      <c r="N876" t="s">
        <v>456</v>
      </c>
      <c r="O876" t="b">
        <v>1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s">
        <v>5284</v>
      </c>
      <c r="AC876" t="s">
        <v>9407</v>
      </c>
    </row>
    <row r="877" spans="1:29" x14ac:dyDescent="0.3">
      <c r="A877">
        <v>-73.976249640000006</v>
      </c>
      <c r="B877">
        <v>40.784001670000002</v>
      </c>
      <c r="C877" t="s">
        <v>1202</v>
      </c>
      <c r="D877" t="s">
        <v>33</v>
      </c>
      <c r="E877" s="58">
        <v>43386</v>
      </c>
      <c r="F877">
        <v>30</v>
      </c>
      <c r="G877" t="s">
        <v>48</v>
      </c>
      <c r="H877" t="s">
        <v>42</v>
      </c>
      <c r="I877" t="s">
        <v>59</v>
      </c>
      <c r="J877" t="s">
        <v>54</v>
      </c>
      <c r="K877" t="s">
        <v>4572</v>
      </c>
      <c r="L877" t="s">
        <v>65</v>
      </c>
      <c r="M877" t="b">
        <v>0</v>
      </c>
      <c r="N877" t="s">
        <v>3342</v>
      </c>
      <c r="O877" t="b">
        <v>0</v>
      </c>
      <c r="P877" t="b">
        <v>0</v>
      </c>
      <c r="Q877" t="b">
        <v>0</v>
      </c>
      <c r="R877" t="b">
        <v>1</v>
      </c>
      <c r="S877" t="b">
        <v>0</v>
      </c>
      <c r="T877" t="b">
        <v>0</v>
      </c>
      <c r="U877" t="b">
        <v>0</v>
      </c>
      <c r="V877" t="b">
        <v>0</v>
      </c>
      <c r="W877" t="b">
        <v>1</v>
      </c>
      <c r="X877" t="b">
        <v>0</v>
      </c>
      <c r="Y877" t="b">
        <v>0</v>
      </c>
      <c r="Z877" t="b">
        <v>1</v>
      </c>
      <c r="AA877" t="b">
        <v>0</v>
      </c>
      <c r="AB877" t="s">
        <v>6511</v>
      </c>
      <c r="AC877" t="s">
        <v>9408</v>
      </c>
    </row>
    <row r="878" spans="1:29" x14ac:dyDescent="0.3">
      <c r="A878">
        <v>-73.958650700000007</v>
      </c>
      <c r="B878">
        <v>40.785695539999999</v>
      </c>
      <c r="C878" t="s">
        <v>239</v>
      </c>
      <c r="D878" t="s">
        <v>33</v>
      </c>
      <c r="E878" s="58">
        <v>43390</v>
      </c>
      <c r="F878">
        <v>21</v>
      </c>
      <c r="G878" t="s">
        <v>48</v>
      </c>
      <c r="H878" t="s">
        <v>42</v>
      </c>
      <c r="I878" t="s">
        <v>53</v>
      </c>
      <c r="J878" t="s">
        <v>54</v>
      </c>
      <c r="K878" t="s">
        <v>6800</v>
      </c>
      <c r="L878" t="s">
        <v>65</v>
      </c>
      <c r="M878" t="b">
        <v>0</v>
      </c>
      <c r="N878" t="s">
        <v>1084</v>
      </c>
      <c r="O878" t="b">
        <v>1</v>
      </c>
      <c r="P878" t="b">
        <v>0</v>
      </c>
      <c r="Q878" t="b">
        <v>0</v>
      </c>
      <c r="R878" t="b">
        <v>0</v>
      </c>
      <c r="S878" t="b">
        <v>1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1</v>
      </c>
      <c r="AA878" t="b">
        <v>0</v>
      </c>
      <c r="AB878" t="s">
        <v>251</v>
      </c>
      <c r="AC878" t="s">
        <v>9409</v>
      </c>
    </row>
    <row r="879" spans="1:29" x14ac:dyDescent="0.3">
      <c r="A879">
        <v>-73.960444109999997</v>
      </c>
      <c r="B879">
        <v>40.782808950000003</v>
      </c>
      <c r="C879" t="s">
        <v>311</v>
      </c>
      <c r="D879" t="s">
        <v>38</v>
      </c>
      <c r="E879" s="58">
        <v>43385</v>
      </c>
      <c r="F879">
        <v>19</v>
      </c>
      <c r="G879" t="s">
        <v>48</v>
      </c>
      <c r="H879" t="s">
        <v>53</v>
      </c>
      <c r="I879" t="s">
        <v>59</v>
      </c>
      <c r="J879" t="s">
        <v>54</v>
      </c>
      <c r="K879" t="s">
        <v>2637</v>
      </c>
      <c r="L879" t="s">
        <v>65</v>
      </c>
      <c r="M879" t="b">
        <v>0</v>
      </c>
      <c r="N879" t="s">
        <v>4757</v>
      </c>
      <c r="O879" t="b">
        <v>0</v>
      </c>
      <c r="P879" t="b">
        <v>0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s">
        <v>4117</v>
      </c>
      <c r="AC879" t="s">
        <v>9410</v>
      </c>
    </row>
    <row r="880" spans="1:29" x14ac:dyDescent="0.3">
      <c r="A880">
        <v>-73.980306769999999</v>
      </c>
      <c r="B880">
        <v>40.775386709999999</v>
      </c>
      <c r="C880" t="s">
        <v>448</v>
      </c>
      <c r="D880" t="s">
        <v>38</v>
      </c>
      <c r="E880" s="58">
        <v>43385</v>
      </c>
      <c r="F880">
        <v>8</v>
      </c>
      <c r="G880" t="s">
        <v>48</v>
      </c>
      <c r="H880" t="s">
        <v>42</v>
      </c>
      <c r="I880" t="s">
        <v>42</v>
      </c>
      <c r="J880" t="s">
        <v>60</v>
      </c>
      <c r="K880" t="s">
        <v>1381</v>
      </c>
      <c r="L880" t="s">
        <v>65</v>
      </c>
      <c r="M880" t="b">
        <v>0</v>
      </c>
      <c r="N880" t="s">
        <v>7253</v>
      </c>
      <c r="O880" t="b">
        <v>0</v>
      </c>
      <c r="P880" t="b">
        <v>0</v>
      </c>
      <c r="Q880" t="b">
        <v>1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1</v>
      </c>
      <c r="X880" t="b">
        <v>0</v>
      </c>
      <c r="Y880" t="b">
        <v>0</v>
      </c>
      <c r="Z880" t="b">
        <v>1</v>
      </c>
      <c r="AA880" t="b">
        <v>1</v>
      </c>
      <c r="AB880" t="s">
        <v>121</v>
      </c>
      <c r="AC880" t="s">
        <v>9411</v>
      </c>
    </row>
    <row r="881" spans="1:29" x14ac:dyDescent="0.3">
      <c r="A881">
        <v>-73.974180480000001</v>
      </c>
      <c r="B881">
        <v>40.784803879999998</v>
      </c>
      <c r="C881" t="s">
        <v>709</v>
      </c>
      <c r="D881" t="s">
        <v>33</v>
      </c>
      <c r="E881" s="58">
        <v>43384</v>
      </c>
      <c r="F881">
        <v>7</v>
      </c>
      <c r="G881" t="s">
        <v>48</v>
      </c>
      <c r="H881" t="s">
        <v>42</v>
      </c>
      <c r="I881" t="s">
        <v>53</v>
      </c>
      <c r="J881" t="s">
        <v>116</v>
      </c>
      <c r="K881" t="s">
        <v>3843</v>
      </c>
      <c r="L881" t="s">
        <v>65</v>
      </c>
      <c r="M881" t="b">
        <v>0</v>
      </c>
      <c r="N881" t="s">
        <v>190</v>
      </c>
      <c r="O881" t="b">
        <v>0</v>
      </c>
      <c r="P881" t="b">
        <v>0</v>
      </c>
      <c r="Q881" t="b">
        <v>0</v>
      </c>
      <c r="R881" t="b">
        <v>0</v>
      </c>
      <c r="S881" t="b">
        <v>1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1</v>
      </c>
      <c r="AA881" t="b">
        <v>0</v>
      </c>
      <c r="AB881" t="s">
        <v>121</v>
      </c>
      <c r="AC881" t="s">
        <v>9412</v>
      </c>
    </row>
    <row r="882" spans="1:29" x14ac:dyDescent="0.3">
      <c r="A882">
        <v>-73.973894329999993</v>
      </c>
      <c r="B882">
        <v>40.789164839999998</v>
      </c>
      <c r="C882" t="s">
        <v>439</v>
      </c>
      <c r="D882" t="s">
        <v>33</v>
      </c>
      <c r="E882" s="58">
        <v>43383</v>
      </c>
      <c r="F882">
        <v>16</v>
      </c>
      <c r="G882" t="s">
        <v>105</v>
      </c>
      <c r="H882" t="s">
        <v>42</v>
      </c>
      <c r="I882" t="s">
        <v>53</v>
      </c>
      <c r="J882" t="s">
        <v>54</v>
      </c>
      <c r="K882" t="s">
        <v>1181</v>
      </c>
      <c r="L882" t="s">
        <v>65</v>
      </c>
      <c r="M882" t="b">
        <v>0</v>
      </c>
      <c r="N882" t="s">
        <v>4876</v>
      </c>
      <c r="O882" t="b">
        <v>0</v>
      </c>
      <c r="P882" t="b">
        <v>0</v>
      </c>
      <c r="Q882" t="b">
        <v>0</v>
      </c>
      <c r="R882" t="b">
        <v>0</v>
      </c>
      <c r="S882" t="b">
        <v>1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1</v>
      </c>
      <c r="AA882" t="b">
        <v>1</v>
      </c>
      <c r="AB882" t="s">
        <v>511</v>
      </c>
      <c r="AC882" t="s">
        <v>9413</v>
      </c>
    </row>
    <row r="883" spans="1:29" x14ac:dyDescent="0.3">
      <c r="A883">
        <v>-73.960036410000001</v>
      </c>
      <c r="B883">
        <v>40.795658490000001</v>
      </c>
      <c r="C883" t="s">
        <v>1028</v>
      </c>
      <c r="D883" t="s">
        <v>38</v>
      </c>
      <c r="E883" s="58">
        <v>43388</v>
      </c>
      <c r="F883">
        <v>19</v>
      </c>
      <c r="G883" t="s">
        <v>48</v>
      </c>
      <c r="H883" t="s">
        <v>42</v>
      </c>
      <c r="I883" t="s">
        <v>53</v>
      </c>
      <c r="J883" t="s">
        <v>60</v>
      </c>
      <c r="K883" t="s">
        <v>700</v>
      </c>
      <c r="L883" t="s">
        <v>65</v>
      </c>
      <c r="M883" t="b">
        <v>0</v>
      </c>
      <c r="N883" t="s">
        <v>4494</v>
      </c>
      <c r="O883" t="b">
        <v>0</v>
      </c>
      <c r="P883" t="b">
        <v>1</v>
      </c>
      <c r="Q883" t="b">
        <v>0</v>
      </c>
      <c r="R883" t="b">
        <v>0</v>
      </c>
      <c r="S883" t="b">
        <v>1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s">
        <v>475</v>
      </c>
      <c r="AC883" t="s">
        <v>9414</v>
      </c>
    </row>
    <row r="884" spans="1:29" x14ac:dyDescent="0.3">
      <c r="A884">
        <v>-73.980538940000002</v>
      </c>
      <c r="B884">
        <v>40.78731312</v>
      </c>
      <c r="C884" t="s">
        <v>534</v>
      </c>
      <c r="D884" t="s">
        <v>38</v>
      </c>
      <c r="E884" s="58">
        <v>43386</v>
      </c>
      <c r="F884">
        <v>6</v>
      </c>
      <c r="G884" t="s">
        <v>48</v>
      </c>
      <c r="H884" t="s">
        <v>42</v>
      </c>
      <c r="I884" t="s">
        <v>59</v>
      </c>
      <c r="J884" t="s">
        <v>97</v>
      </c>
      <c r="K884" t="s">
        <v>3028</v>
      </c>
      <c r="L884" t="s">
        <v>65</v>
      </c>
      <c r="M884" t="b">
        <v>0</v>
      </c>
      <c r="N884" t="s">
        <v>4326</v>
      </c>
      <c r="O884" t="b">
        <v>0</v>
      </c>
      <c r="P884" t="b">
        <v>0</v>
      </c>
      <c r="Q884" t="b">
        <v>1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s">
        <v>2552</v>
      </c>
      <c r="AC884" t="s">
        <v>9415</v>
      </c>
    </row>
    <row r="885" spans="1:29" x14ac:dyDescent="0.3">
      <c r="A885">
        <v>-73.977885740000005</v>
      </c>
      <c r="B885">
        <v>40.791708120000003</v>
      </c>
      <c r="C885" t="s">
        <v>1211</v>
      </c>
      <c r="D885" t="s">
        <v>33</v>
      </c>
      <c r="E885" s="58">
        <v>43383</v>
      </c>
      <c r="F885">
        <v>20</v>
      </c>
      <c r="G885" t="s">
        <v>48</v>
      </c>
      <c r="H885" t="s">
        <v>42</v>
      </c>
      <c r="I885" t="s">
        <v>96</v>
      </c>
      <c r="J885" t="s">
        <v>116</v>
      </c>
      <c r="K885" t="s">
        <v>809</v>
      </c>
      <c r="L885" t="s">
        <v>44</v>
      </c>
      <c r="M885">
        <v>30</v>
      </c>
      <c r="N885" t="s">
        <v>3990</v>
      </c>
      <c r="O885" t="b">
        <v>1</v>
      </c>
      <c r="P885" t="b">
        <v>1</v>
      </c>
      <c r="Q885" t="b">
        <v>0</v>
      </c>
      <c r="R885" t="b">
        <v>1</v>
      </c>
      <c r="S885" t="b">
        <v>1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s">
        <v>374</v>
      </c>
      <c r="AC885" t="s">
        <v>9416</v>
      </c>
    </row>
    <row r="886" spans="1:29" x14ac:dyDescent="0.3">
      <c r="A886">
        <v>-73.956011770000003</v>
      </c>
      <c r="B886">
        <v>40.770546449999998</v>
      </c>
      <c r="C886" t="s">
        <v>502</v>
      </c>
      <c r="D886" t="s">
        <v>38</v>
      </c>
      <c r="E886" s="58">
        <v>43387</v>
      </c>
      <c r="F886">
        <v>27</v>
      </c>
      <c r="G886" t="s">
        <v>48</v>
      </c>
      <c r="H886" t="s">
        <v>53</v>
      </c>
      <c r="I886" t="s">
        <v>115</v>
      </c>
      <c r="J886" t="s">
        <v>43</v>
      </c>
      <c r="K886" t="s">
        <v>2037</v>
      </c>
      <c r="L886" t="s">
        <v>65</v>
      </c>
      <c r="M886" t="b">
        <v>0</v>
      </c>
      <c r="N886" t="s">
        <v>449</v>
      </c>
      <c r="O886" t="b">
        <v>0</v>
      </c>
      <c r="P886" t="b">
        <v>0</v>
      </c>
      <c r="Q886" t="b">
        <v>0</v>
      </c>
      <c r="R886" t="b">
        <v>0</v>
      </c>
      <c r="S886" t="b">
        <v>1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1</v>
      </c>
      <c r="AA886" t="b">
        <v>0</v>
      </c>
      <c r="AB886" t="s">
        <v>3104</v>
      </c>
      <c r="AC886" t="s">
        <v>9417</v>
      </c>
    </row>
    <row r="887" spans="1:29" x14ac:dyDescent="0.3">
      <c r="A887">
        <v>-73.975545710000006</v>
      </c>
      <c r="B887">
        <v>40.781161109999999</v>
      </c>
      <c r="C887" t="s">
        <v>1544</v>
      </c>
      <c r="D887" t="s">
        <v>38</v>
      </c>
      <c r="E887" s="58">
        <v>43387</v>
      </c>
      <c r="F887">
        <v>21</v>
      </c>
      <c r="G887" t="s">
        <v>48</v>
      </c>
      <c r="H887" t="s">
        <v>42</v>
      </c>
      <c r="I887" t="s">
        <v>53</v>
      </c>
      <c r="J887" t="s">
        <v>79</v>
      </c>
      <c r="K887" t="s">
        <v>981</v>
      </c>
      <c r="L887" t="s">
        <v>44</v>
      </c>
      <c r="M887">
        <v>20</v>
      </c>
      <c r="N887" t="s">
        <v>4120</v>
      </c>
      <c r="O887" t="b">
        <v>1</v>
      </c>
      <c r="P887" t="b">
        <v>0</v>
      </c>
      <c r="Q887" t="b">
        <v>1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1</v>
      </c>
      <c r="Y887" t="b">
        <v>0</v>
      </c>
      <c r="Z887" t="b">
        <v>0</v>
      </c>
      <c r="AA887" t="b">
        <v>0</v>
      </c>
      <c r="AB887" t="s">
        <v>3888</v>
      </c>
      <c r="AC887" t="s">
        <v>9418</v>
      </c>
    </row>
    <row r="888" spans="1:29" x14ac:dyDescent="0.3">
      <c r="A888">
        <v>-73.960638320000001</v>
      </c>
      <c r="B888">
        <v>40.765239209999997</v>
      </c>
      <c r="C888" t="s">
        <v>343</v>
      </c>
      <c r="D888" t="s">
        <v>38</v>
      </c>
      <c r="E888" s="58">
        <v>43379</v>
      </c>
      <c r="F888">
        <v>11</v>
      </c>
      <c r="G888" t="s">
        <v>48</v>
      </c>
      <c r="H888" t="s">
        <v>42</v>
      </c>
      <c r="I888" t="s">
        <v>115</v>
      </c>
      <c r="J888" t="s">
        <v>43</v>
      </c>
      <c r="K888" t="s">
        <v>2037</v>
      </c>
      <c r="L888" t="s">
        <v>65</v>
      </c>
      <c r="M888" t="b">
        <v>0</v>
      </c>
      <c r="N888" t="s">
        <v>1763</v>
      </c>
      <c r="O888" t="b">
        <v>1</v>
      </c>
      <c r="P888" t="b">
        <v>0</v>
      </c>
      <c r="Q888" t="b">
        <v>0</v>
      </c>
      <c r="R888" t="b">
        <v>1</v>
      </c>
      <c r="S888" t="b">
        <v>1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s">
        <v>2025</v>
      </c>
      <c r="AC888" t="s">
        <v>9419</v>
      </c>
    </row>
    <row r="889" spans="1:29" x14ac:dyDescent="0.3">
      <c r="A889">
        <v>-73.973670870000007</v>
      </c>
      <c r="B889">
        <v>40.773595700000001</v>
      </c>
      <c r="C889" t="s">
        <v>78</v>
      </c>
      <c r="D889" t="s">
        <v>38</v>
      </c>
      <c r="E889" s="58">
        <v>43384</v>
      </c>
      <c r="F889">
        <v>5</v>
      </c>
      <c r="G889" t="s">
        <v>48</v>
      </c>
      <c r="H889" t="s">
        <v>42</v>
      </c>
      <c r="I889" t="s">
        <v>53</v>
      </c>
      <c r="J889" t="s">
        <v>89</v>
      </c>
      <c r="K889" t="s">
        <v>3883</v>
      </c>
      <c r="L889" t="s">
        <v>44</v>
      </c>
      <c r="M889">
        <v>2</v>
      </c>
      <c r="N889" t="s">
        <v>6841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s">
        <v>251</v>
      </c>
      <c r="AC889" t="s">
        <v>9420</v>
      </c>
    </row>
    <row r="890" spans="1:29" x14ac:dyDescent="0.3">
      <c r="A890">
        <v>-73.978032459999994</v>
      </c>
      <c r="B890">
        <v>40.790487820000003</v>
      </c>
      <c r="C890" t="s">
        <v>1424</v>
      </c>
      <c r="D890" t="s">
        <v>38</v>
      </c>
      <c r="E890" s="58">
        <v>43385</v>
      </c>
      <c r="F890">
        <v>16</v>
      </c>
      <c r="G890" t="s">
        <v>48</v>
      </c>
      <c r="H890" t="s">
        <v>42</v>
      </c>
      <c r="I890" t="s">
        <v>59</v>
      </c>
      <c r="J890" t="s">
        <v>43</v>
      </c>
      <c r="K890" t="s">
        <v>4791</v>
      </c>
      <c r="L890" t="s">
        <v>65</v>
      </c>
      <c r="M890" t="b">
        <v>0</v>
      </c>
      <c r="N890" t="s">
        <v>3098</v>
      </c>
      <c r="O890" t="b">
        <v>1</v>
      </c>
      <c r="P890" t="b">
        <v>0</v>
      </c>
      <c r="Q890" t="b">
        <v>1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1</v>
      </c>
      <c r="Z890" t="b">
        <v>1</v>
      </c>
      <c r="AA890" t="b">
        <v>0</v>
      </c>
      <c r="AB890" t="s">
        <v>685</v>
      </c>
      <c r="AC890" t="s">
        <v>9421</v>
      </c>
    </row>
    <row r="891" spans="1:29" x14ac:dyDescent="0.3">
      <c r="A891">
        <v>-73.973514019999996</v>
      </c>
      <c r="B891">
        <v>40.799830159999999</v>
      </c>
      <c r="C891" t="s">
        <v>154</v>
      </c>
      <c r="D891" t="s">
        <v>33</v>
      </c>
      <c r="E891" s="58">
        <v>43381</v>
      </c>
      <c r="F891">
        <v>7</v>
      </c>
      <c r="G891" t="s">
        <v>48</v>
      </c>
      <c r="H891" t="s">
        <v>42</v>
      </c>
      <c r="I891" t="s">
        <v>53</v>
      </c>
      <c r="J891" t="s">
        <v>79</v>
      </c>
      <c r="K891" t="s">
        <v>565</v>
      </c>
      <c r="L891" t="s">
        <v>65</v>
      </c>
      <c r="M891" t="b">
        <v>0</v>
      </c>
      <c r="N891" t="s">
        <v>6452</v>
      </c>
      <c r="O891" t="b">
        <v>1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1</v>
      </c>
      <c r="Y891" t="b">
        <v>0</v>
      </c>
      <c r="Z891" t="b">
        <v>0</v>
      </c>
      <c r="AA891" t="b">
        <v>0</v>
      </c>
      <c r="AB891" t="s">
        <v>121</v>
      </c>
      <c r="AC891" t="s">
        <v>9422</v>
      </c>
    </row>
    <row r="892" spans="1:29" x14ac:dyDescent="0.3">
      <c r="A892">
        <v>-73.958452809999997</v>
      </c>
      <c r="B892">
        <v>40.768402520000002</v>
      </c>
      <c r="C892" t="s">
        <v>439</v>
      </c>
      <c r="D892" t="s">
        <v>38</v>
      </c>
      <c r="E892" s="58">
        <v>43385</v>
      </c>
      <c r="F892">
        <v>27</v>
      </c>
      <c r="G892" t="s">
        <v>48</v>
      </c>
      <c r="H892" t="s">
        <v>42</v>
      </c>
      <c r="I892" t="s">
        <v>42</v>
      </c>
      <c r="J892" t="s">
        <v>54</v>
      </c>
      <c r="K892" t="s">
        <v>1666</v>
      </c>
      <c r="L892" t="s">
        <v>44</v>
      </c>
      <c r="M892">
        <v>2</v>
      </c>
      <c r="N892" t="s">
        <v>1359</v>
      </c>
      <c r="O892" t="b">
        <v>1</v>
      </c>
      <c r="P892" t="b">
        <v>0</v>
      </c>
      <c r="Q892" t="b">
        <v>0</v>
      </c>
      <c r="R892" t="b">
        <v>0</v>
      </c>
      <c r="S892" t="b">
        <v>1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1</v>
      </c>
      <c r="AA892" t="b">
        <v>0</v>
      </c>
      <c r="AB892" t="s">
        <v>1029</v>
      </c>
      <c r="AC892" t="s">
        <v>9423</v>
      </c>
    </row>
    <row r="893" spans="1:29" x14ac:dyDescent="0.3">
      <c r="A893">
        <v>-73.954258210000006</v>
      </c>
      <c r="B893">
        <v>40.77904642</v>
      </c>
      <c r="C893" t="s">
        <v>1103</v>
      </c>
      <c r="D893" t="s">
        <v>33</v>
      </c>
      <c r="E893" s="58">
        <v>43389</v>
      </c>
      <c r="F893">
        <v>5</v>
      </c>
      <c r="G893" t="s">
        <v>48</v>
      </c>
      <c r="H893" t="s">
        <v>42</v>
      </c>
      <c r="I893" t="s">
        <v>59</v>
      </c>
      <c r="J893" t="s">
        <v>54</v>
      </c>
      <c r="K893" t="s">
        <v>3152</v>
      </c>
      <c r="L893" t="s">
        <v>44</v>
      </c>
      <c r="M893">
        <v>6</v>
      </c>
      <c r="N893" t="s">
        <v>7135</v>
      </c>
      <c r="O893" t="b">
        <v>0</v>
      </c>
      <c r="P893" t="b">
        <v>0</v>
      </c>
      <c r="Q893" t="b">
        <v>0</v>
      </c>
      <c r="R893" t="b">
        <v>0</v>
      </c>
      <c r="S893" t="b">
        <v>1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1</v>
      </c>
      <c r="AA893" t="b">
        <v>0</v>
      </c>
      <c r="AB893" t="s">
        <v>121</v>
      </c>
      <c r="AC893" t="s">
        <v>9424</v>
      </c>
    </row>
    <row r="894" spans="1:29" x14ac:dyDescent="0.3">
      <c r="A894">
        <v>-73.955059109999993</v>
      </c>
      <c r="B894">
        <v>40.79307945</v>
      </c>
      <c r="C894" t="s">
        <v>2593</v>
      </c>
      <c r="D894" t="s">
        <v>38</v>
      </c>
      <c r="E894" s="58">
        <v>43389</v>
      </c>
      <c r="F894">
        <v>11</v>
      </c>
      <c r="G894" t="s">
        <v>48</v>
      </c>
      <c r="H894" t="s">
        <v>42</v>
      </c>
      <c r="I894" t="s">
        <v>59</v>
      </c>
      <c r="J894" t="s">
        <v>79</v>
      </c>
      <c r="K894" t="s">
        <v>4477</v>
      </c>
      <c r="L894" t="s">
        <v>65</v>
      </c>
      <c r="M894" t="b">
        <v>0</v>
      </c>
      <c r="N894" t="s">
        <v>2760</v>
      </c>
      <c r="O894" t="b">
        <v>0</v>
      </c>
      <c r="P894" t="b">
        <v>0</v>
      </c>
      <c r="Q894" t="b">
        <v>0</v>
      </c>
      <c r="R894" t="b">
        <v>0</v>
      </c>
      <c r="S894" t="b">
        <v>1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s">
        <v>2768</v>
      </c>
      <c r="AC894" t="s">
        <v>9425</v>
      </c>
    </row>
    <row r="895" spans="1:29" x14ac:dyDescent="0.3">
      <c r="A895">
        <v>-73.968672400000003</v>
      </c>
      <c r="B895">
        <v>40.772094320000001</v>
      </c>
      <c r="C895" t="s">
        <v>327</v>
      </c>
      <c r="D895" t="s">
        <v>33</v>
      </c>
      <c r="E895" s="58">
        <v>43385</v>
      </c>
      <c r="F895">
        <v>15</v>
      </c>
      <c r="G895" t="s">
        <v>48</v>
      </c>
      <c r="H895" t="s">
        <v>42</v>
      </c>
      <c r="I895" t="s">
        <v>96</v>
      </c>
      <c r="J895" t="s">
        <v>60</v>
      </c>
      <c r="K895" t="s">
        <v>4594</v>
      </c>
      <c r="L895" t="s">
        <v>65</v>
      </c>
      <c r="M895" t="b">
        <v>0</v>
      </c>
      <c r="N895" t="s">
        <v>4635</v>
      </c>
      <c r="O895" t="b">
        <v>1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1</v>
      </c>
      <c r="AB895" t="s">
        <v>4781</v>
      </c>
      <c r="AC895" t="s">
        <v>9426</v>
      </c>
    </row>
    <row r="896" spans="1:29" x14ac:dyDescent="0.3">
      <c r="A896">
        <v>-73.96015611</v>
      </c>
      <c r="B896">
        <v>40.784454019999998</v>
      </c>
      <c r="C896" t="s">
        <v>88</v>
      </c>
      <c r="D896" t="s">
        <v>38</v>
      </c>
      <c r="E896" s="58">
        <v>43392</v>
      </c>
      <c r="F896">
        <v>3</v>
      </c>
      <c r="G896" t="s">
        <v>48</v>
      </c>
      <c r="H896" t="s">
        <v>42</v>
      </c>
      <c r="I896" t="s">
        <v>53</v>
      </c>
      <c r="J896" t="s">
        <v>79</v>
      </c>
      <c r="K896" t="s">
        <v>3859</v>
      </c>
      <c r="L896" t="s">
        <v>65</v>
      </c>
      <c r="M896" t="b">
        <v>0</v>
      </c>
      <c r="N896" t="s">
        <v>1929</v>
      </c>
      <c r="O896" t="b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1</v>
      </c>
      <c r="AA896" t="b">
        <v>0</v>
      </c>
      <c r="AB896" t="s">
        <v>3374</v>
      </c>
      <c r="AC896" t="s">
        <v>9427</v>
      </c>
    </row>
    <row r="897" spans="1:29" x14ac:dyDescent="0.3">
      <c r="A897">
        <v>-73.97471453</v>
      </c>
      <c r="B897">
        <v>40.790720530000002</v>
      </c>
      <c r="C897" t="s">
        <v>2255</v>
      </c>
      <c r="D897" t="s">
        <v>38</v>
      </c>
      <c r="E897" s="58">
        <v>43391</v>
      </c>
      <c r="F897">
        <v>26</v>
      </c>
      <c r="G897" t="s">
        <v>48</v>
      </c>
      <c r="H897" t="s">
        <v>53</v>
      </c>
      <c r="I897" t="s">
        <v>53</v>
      </c>
      <c r="J897" t="s">
        <v>60</v>
      </c>
      <c r="K897" t="s">
        <v>531</v>
      </c>
      <c r="L897" t="s">
        <v>44</v>
      </c>
      <c r="M897">
        <v>3</v>
      </c>
      <c r="N897" t="s">
        <v>1359</v>
      </c>
      <c r="O897" t="b">
        <v>1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  <c r="U897" t="b">
        <v>0</v>
      </c>
      <c r="V897" t="b">
        <v>0</v>
      </c>
      <c r="W897" t="b">
        <v>1</v>
      </c>
      <c r="X897" t="b">
        <v>1</v>
      </c>
      <c r="Y897" t="b">
        <v>0</v>
      </c>
      <c r="Z897" t="b">
        <v>0</v>
      </c>
      <c r="AA897" t="b">
        <v>0</v>
      </c>
      <c r="AB897" t="s">
        <v>5392</v>
      </c>
      <c r="AC897" t="s">
        <v>9428</v>
      </c>
    </row>
    <row r="898" spans="1:29" x14ac:dyDescent="0.3">
      <c r="A898">
        <v>-73.971942949999999</v>
      </c>
      <c r="B898">
        <v>40.786598189999999</v>
      </c>
      <c r="C898" t="s">
        <v>969</v>
      </c>
      <c r="D898" t="s">
        <v>33</v>
      </c>
      <c r="E898" s="58">
        <v>43389</v>
      </c>
      <c r="F898">
        <v>5</v>
      </c>
      <c r="G898" t="s">
        <v>48</v>
      </c>
      <c r="H898" t="s">
        <v>42</v>
      </c>
      <c r="I898" t="s">
        <v>42</v>
      </c>
      <c r="J898" t="s">
        <v>43</v>
      </c>
      <c r="K898" t="s">
        <v>3157</v>
      </c>
      <c r="L898" t="s">
        <v>65</v>
      </c>
      <c r="M898" t="b">
        <v>0</v>
      </c>
      <c r="N898" t="s">
        <v>1359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1</v>
      </c>
      <c r="AA898" t="b">
        <v>0</v>
      </c>
      <c r="AB898" t="s">
        <v>5150</v>
      </c>
      <c r="AC898" t="s">
        <v>9429</v>
      </c>
    </row>
    <row r="899" spans="1:29" x14ac:dyDescent="0.3">
      <c r="A899">
        <v>-73.952980640000007</v>
      </c>
      <c r="B899">
        <v>40.771530609999999</v>
      </c>
      <c r="C899" t="s">
        <v>855</v>
      </c>
      <c r="D899" t="s">
        <v>38</v>
      </c>
      <c r="E899" s="58">
        <v>43380</v>
      </c>
      <c r="F899">
        <v>23</v>
      </c>
      <c r="G899" t="s">
        <v>105</v>
      </c>
      <c r="H899" t="s">
        <v>42</v>
      </c>
      <c r="I899" t="s">
        <v>53</v>
      </c>
      <c r="J899" t="s">
        <v>54</v>
      </c>
      <c r="K899" t="s">
        <v>2823</v>
      </c>
      <c r="L899" t="s">
        <v>65</v>
      </c>
      <c r="M899" t="b">
        <v>0</v>
      </c>
      <c r="N899" t="s">
        <v>456</v>
      </c>
      <c r="O899" t="b">
        <v>0</v>
      </c>
      <c r="P899" t="b">
        <v>0</v>
      </c>
      <c r="Q899" t="b">
        <v>1</v>
      </c>
      <c r="R899" t="b">
        <v>1</v>
      </c>
      <c r="S899" t="b">
        <v>1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s">
        <v>3061</v>
      </c>
      <c r="AC899" t="s">
        <v>9430</v>
      </c>
    </row>
    <row r="900" spans="1:29" x14ac:dyDescent="0.3">
      <c r="A900">
        <v>-73.980749840000001</v>
      </c>
      <c r="B900">
        <v>40.777422989999998</v>
      </c>
      <c r="C900" t="s">
        <v>1899</v>
      </c>
      <c r="D900" t="s">
        <v>33</v>
      </c>
      <c r="E900" s="58">
        <v>43385</v>
      </c>
      <c r="F900">
        <v>21</v>
      </c>
      <c r="G900" t="s">
        <v>48</v>
      </c>
      <c r="H900" t="s">
        <v>53</v>
      </c>
      <c r="I900" t="s">
        <v>53</v>
      </c>
      <c r="J900" t="s">
        <v>54</v>
      </c>
      <c r="K900" t="s">
        <v>1785</v>
      </c>
      <c r="L900" t="s">
        <v>65</v>
      </c>
      <c r="M900" t="b">
        <v>0</v>
      </c>
      <c r="N900" t="s">
        <v>456</v>
      </c>
      <c r="O900" t="b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1</v>
      </c>
      <c r="AA900" t="b">
        <v>1</v>
      </c>
      <c r="AB900" t="s">
        <v>511</v>
      </c>
      <c r="AC900" t="s">
        <v>9431</v>
      </c>
    </row>
    <row r="901" spans="1:29" x14ac:dyDescent="0.3">
      <c r="A901">
        <v>-73.978470470000005</v>
      </c>
      <c r="B901">
        <v>40.792506289999999</v>
      </c>
      <c r="C901" t="s">
        <v>851</v>
      </c>
      <c r="D901" t="s">
        <v>38</v>
      </c>
      <c r="E901" s="58">
        <v>43393</v>
      </c>
      <c r="F901">
        <v>5</v>
      </c>
      <c r="G901" t="s">
        <v>48</v>
      </c>
      <c r="H901" t="s">
        <v>42</v>
      </c>
      <c r="I901" t="s">
        <v>59</v>
      </c>
      <c r="J901" t="s">
        <v>43</v>
      </c>
      <c r="K901" t="s">
        <v>2503</v>
      </c>
      <c r="L901" t="s">
        <v>65</v>
      </c>
      <c r="M901" t="b">
        <v>0</v>
      </c>
      <c r="N901" t="s">
        <v>373</v>
      </c>
      <c r="O901" t="b">
        <v>0</v>
      </c>
      <c r="P901" t="b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1</v>
      </c>
      <c r="AA901" t="b">
        <v>1</v>
      </c>
      <c r="AB901" t="s">
        <v>1046</v>
      </c>
      <c r="AC901" t="s">
        <v>9432</v>
      </c>
    </row>
    <row r="902" spans="1:29" x14ac:dyDescent="0.3">
      <c r="A902">
        <v>-73.974623300000005</v>
      </c>
      <c r="B902">
        <v>40.784423789999998</v>
      </c>
      <c r="C902" t="s">
        <v>1232</v>
      </c>
      <c r="D902" t="s">
        <v>33</v>
      </c>
      <c r="E902" s="58">
        <v>43379</v>
      </c>
      <c r="F902">
        <v>9</v>
      </c>
      <c r="G902" t="s">
        <v>48</v>
      </c>
      <c r="H902" t="s">
        <v>42</v>
      </c>
      <c r="I902" t="s">
        <v>59</v>
      </c>
      <c r="J902" t="s">
        <v>79</v>
      </c>
      <c r="K902" t="s">
        <v>1813</v>
      </c>
      <c r="L902" t="s">
        <v>44</v>
      </c>
      <c r="M902">
        <v>10</v>
      </c>
      <c r="N902" t="s">
        <v>4030</v>
      </c>
      <c r="O902" t="b">
        <v>0</v>
      </c>
      <c r="P902" t="b">
        <v>0</v>
      </c>
      <c r="Q902" t="b">
        <v>1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s">
        <v>3051</v>
      </c>
      <c r="AC902" t="s">
        <v>9433</v>
      </c>
    </row>
    <row r="903" spans="1:29" x14ac:dyDescent="0.3">
      <c r="A903">
        <v>-73.980324490000001</v>
      </c>
      <c r="B903">
        <v>40.765094789999999</v>
      </c>
      <c r="C903" t="s">
        <v>1626</v>
      </c>
      <c r="D903" t="s">
        <v>33</v>
      </c>
      <c r="E903" s="58">
        <v>43383</v>
      </c>
      <c r="F903">
        <v>15</v>
      </c>
      <c r="G903" t="s">
        <v>105</v>
      </c>
      <c r="H903" t="s">
        <v>42</v>
      </c>
      <c r="I903" t="s">
        <v>53</v>
      </c>
      <c r="J903" t="s">
        <v>79</v>
      </c>
      <c r="K903" t="s">
        <v>2685</v>
      </c>
      <c r="L903" t="s">
        <v>65</v>
      </c>
      <c r="M903" t="b">
        <v>0</v>
      </c>
      <c r="N903" t="s">
        <v>1907</v>
      </c>
      <c r="O903" t="b">
        <v>1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s">
        <v>2555</v>
      </c>
      <c r="AC903" t="s">
        <v>9434</v>
      </c>
    </row>
    <row r="904" spans="1:29" x14ac:dyDescent="0.3">
      <c r="A904">
        <v>-73.975454830000004</v>
      </c>
      <c r="B904">
        <v>40.791703519999999</v>
      </c>
      <c r="C904" t="s">
        <v>729</v>
      </c>
      <c r="D904" t="s">
        <v>38</v>
      </c>
      <c r="E904" s="58">
        <v>43387</v>
      </c>
      <c r="F904">
        <v>3</v>
      </c>
      <c r="G904" t="s">
        <v>105</v>
      </c>
      <c r="H904" t="s">
        <v>53</v>
      </c>
      <c r="I904" t="s">
        <v>53</v>
      </c>
      <c r="J904" t="s">
        <v>79</v>
      </c>
      <c r="K904" t="s">
        <v>4180</v>
      </c>
      <c r="L904" t="s">
        <v>65</v>
      </c>
      <c r="M904" t="b">
        <v>0</v>
      </c>
      <c r="N904" t="s">
        <v>456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s">
        <v>3835</v>
      </c>
      <c r="AC904" t="s">
        <v>9435</v>
      </c>
    </row>
    <row r="905" spans="1:29" x14ac:dyDescent="0.3">
      <c r="A905">
        <v>-73.96282961</v>
      </c>
      <c r="B905">
        <v>40.766153899999999</v>
      </c>
      <c r="C905" t="s">
        <v>408</v>
      </c>
      <c r="D905" t="s">
        <v>33</v>
      </c>
      <c r="E905" s="58">
        <v>43385</v>
      </c>
      <c r="F905">
        <v>29</v>
      </c>
      <c r="G905" t="s">
        <v>48</v>
      </c>
      <c r="H905" t="s">
        <v>42</v>
      </c>
      <c r="I905" t="s">
        <v>53</v>
      </c>
      <c r="J905" t="s">
        <v>97</v>
      </c>
      <c r="K905" t="s">
        <v>1896</v>
      </c>
      <c r="L905" t="s">
        <v>65</v>
      </c>
      <c r="M905" t="b">
        <v>0</v>
      </c>
      <c r="N905" t="s">
        <v>5262</v>
      </c>
      <c r="O905" t="b">
        <v>1</v>
      </c>
      <c r="P905" t="b">
        <v>0</v>
      </c>
      <c r="Q905" t="b">
        <v>0</v>
      </c>
      <c r="R905" t="b">
        <v>1</v>
      </c>
      <c r="S905" t="b">
        <v>0</v>
      </c>
      <c r="T905" t="b">
        <v>0</v>
      </c>
      <c r="U905" t="b">
        <v>0</v>
      </c>
      <c r="V905" t="b">
        <v>0</v>
      </c>
      <c r="W905" t="b">
        <v>1</v>
      </c>
      <c r="X905" t="b">
        <v>0</v>
      </c>
      <c r="Y905" t="b">
        <v>0</v>
      </c>
      <c r="Z905" t="b">
        <v>0</v>
      </c>
      <c r="AA905" t="b">
        <v>0</v>
      </c>
      <c r="AB905" t="s">
        <v>121</v>
      </c>
      <c r="AC905" t="s">
        <v>9436</v>
      </c>
    </row>
    <row r="906" spans="1:29" x14ac:dyDescent="0.3">
      <c r="A906">
        <v>-73.967910340000003</v>
      </c>
      <c r="B906">
        <v>40.791166349999997</v>
      </c>
      <c r="C906" t="s">
        <v>574</v>
      </c>
      <c r="D906" t="s">
        <v>38</v>
      </c>
      <c r="E906" s="58">
        <v>43385</v>
      </c>
      <c r="F906">
        <v>6</v>
      </c>
      <c r="G906" t="s">
        <v>105</v>
      </c>
      <c r="H906" t="s">
        <v>42</v>
      </c>
      <c r="I906" t="s">
        <v>59</v>
      </c>
      <c r="J906" t="s">
        <v>79</v>
      </c>
      <c r="K906" t="s">
        <v>4572</v>
      </c>
      <c r="L906" t="s">
        <v>65</v>
      </c>
      <c r="M906" t="b">
        <v>0</v>
      </c>
      <c r="N906" t="s">
        <v>1853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1</v>
      </c>
      <c r="AB906" t="s">
        <v>380</v>
      </c>
      <c r="AC906" t="s">
        <v>9437</v>
      </c>
    </row>
    <row r="907" spans="1:29" x14ac:dyDescent="0.3">
      <c r="A907">
        <v>-73.953095829999995</v>
      </c>
      <c r="B907">
        <v>40.772039569999997</v>
      </c>
      <c r="C907" t="s">
        <v>415</v>
      </c>
      <c r="D907" t="s">
        <v>33</v>
      </c>
      <c r="E907" s="58">
        <v>43389</v>
      </c>
      <c r="F907">
        <v>17</v>
      </c>
      <c r="G907" t="s">
        <v>48</v>
      </c>
      <c r="H907" t="s">
        <v>42</v>
      </c>
      <c r="I907" t="s">
        <v>42</v>
      </c>
      <c r="J907" t="s">
        <v>43</v>
      </c>
      <c r="K907" t="s">
        <v>3050</v>
      </c>
      <c r="L907" t="s">
        <v>65</v>
      </c>
      <c r="M907" t="b">
        <v>0</v>
      </c>
      <c r="N907" t="s">
        <v>6765</v>
      </c>
      <c r="O907" t="b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s">
        <v>1029</v>
      </c>
      <c r="AC907" t="s">
        <v>9438</v>
      </c>
    </row>
    <row r="908" spans="1:29" x14ac:dyDescent="0.3">
      <c r="A908">
        <v>-73.955460759999994</v>
      </c>
      <c r="B908">
        <v>40.798642379999997</v>
      </c>
      <c r="C908" t="s">
        <v>1718</v>
      </c>
      <c r="D908" t="s">
        <v>33</v>
      </c>
      <c r="E908" s="58">
        <v>43391</v>
      </c>
      <c r="F908">
        <v>26</v>
      </c>
      <c r="G908" t="s">
        <v>48</v>
      </c>
      <c r="H908" t="s">
        <v>42</v>
      </c>
      <c r="I908" t="s">
        <v>148</v>
      </c>
      <c r="J908" t="s">
        <v>43</v>
      </c>
      <c r="K908" t="s">
        <v>2637</v>
      </c>
      <c r="L908" t="s">
        <v>65</v>
      </c>
      <c r="M908" t="b">
        <v>0</v>
      </c>
      <c r="N908" t="s">
        <v>2760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1</v>
      </c>
      <c r="AA908" t="b">
        <v>0</v>
      </c>
      <c r="AB908" t="s">
        <v>4305</v>
      </c>
      <c r="AC908" t="s">
        <v>9439</v>
      </c>
    </row>
    <row r="909" spans="1:29" x14ac:dyDescent="0.3">
      <c r="A909">
        <v>-73.970412929999995</v>
      </c>
      <c r="B909">
        <v>40.777865069999997</v>
      </c>
      <c r="C909" t="s">
        <v>212</v>
      </c>
      <c r="D909" t="s">
        <v>33</v>
      </c>
      <c r="E909" s="58">
        <v>43390</v>
      </c>
      <c r="F909">
        <v>21</v>
      </c>
      <c r="G909" t="s">
        <v>48</v>
      </c>
      <c r="H909" t="s">
        <v>42</v>
      </c>
      <c r="I909" t="s">
        <v>59</v>
      </c>
      <c r="J909" t="s">
        <v>79</v>
      </c>
      <c r="K909" t="s">
        <v>7178</v>
      </c>
      <c r="L909" t="s">
        <v>44</v>
      </c>
      <c r="M909">
        <v>40</v>
      </c>
      <c r="N909" t="s">
        <v>2865</v>
      </c>
      <c r="O909" t="b">
        <v>1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1</v>
      </c>
      <c r="AA909" t="b">
        <v>0</v>
      </c>
      <c r="AB909" t="s">
        <v>5874</v>
      </c>
      <c r="AC909" t="s">
        <v>9440</v>
      </c>
    </row>
    <row r="910" spans="1:29" x14ac:dyDescent="0.3">
      <c r="A910">
        <v>-73.973003129999995</v>
      </c>
      <c r="B910">
        <v>40.776421229999997</v>
      </c>
      <c r="C910" t="s">
        <v>130</v>
      </c>
      <c r="D910" t="s">
        <v>38</v>
      </c>
      <c r="E910" s="58">
        <v>43380</v>
      </c>
      <c r="F910">
        <v>8</v>
      </c>
      <c r="G910" t="s">
        <v>48</v>
      </c>
      <c r="H910" t="s">
        <v>42</v>
      </c>
      <c r="I910" t="s">
        <v>53</v>
      </c>
      <c r="J910" t="s">
        <v>43</v>
      </c>
      <c r="K910" t="s">
        <v>7046</v>
      </c>
      <c r="L910" t="s">
        <v>65</v>
      </c>
      <c r="M910" t="b">
        <v>0</v>
      </c>
      <c r="N910" t="s">
        <v>4876</v>
      </c>
      <c r="O910" t="b">
        <v>1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1</v>
      </c>
      <c r="AA910" t="b">
        <v>1</v>
      </c>
      <c r="AB910" t="s">
        <v>669</v>
      </c>
      <c r="AC910" t="s">
        <v>9441</v>
      </c>
    </row>
    <row r="911" spans="1:29" x14ac:dyDescent="0.3">
      <c r="A911">
        <v>-73.969222259999995</v>
      </c>
      <c r="B911">
        <v>40.770152699999997</v>
      </c>
      <c r="C911" t="s">
        <v>130</v>
      </c>
      <c r="D911" t="s">
        <v>33</v>
      </c>
      <c r="E911" s="58">
        <v>43386</v>
      </c>
      <c r="F911">
        <v>21</v>
      </c>
      <c r="G911" t="s">
        <v>48</v>
      </c>
      <c r="H911" t="s">
        <v>42</v>
      </c>
      <c r="I911" t="s">
        <v>42</v>
      </c>
      <c r="J911" t="s">
        <v>43</v>
      </c>
      <c r="K911" t="s">
        <v>2637</v>
      </c>
      <c r="L911" t="s">
        <v>65</v>
      </c>
      <c r="M911" t="b">
        <v>0</v>
      </c>
      <c r="N911" t="s">
        <v>2357</v>
      </c>
      <c r="O911" t="b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1</v>
      </c>
      <c r="AA911" t="b">
        <v>1</v>
      </c>
      <c r="AB911" t="s">
        <v>101</v>
      </c>
      <c r="AC911" t="s">
        <v>9442</v>
      </c>
    </row>
    <row r="912" spans="1:29" x14ac:dyDescent="0.3">
      <c r="A912">
        <v>-73.962601590000006</v>
      </c>
      <c r="B912">
        <v>40.775670339999998</v>
      </c>
      <c r="C912" t="s">
        <v>215</v>
      </c>
      <c r="D912" t="s">
        <v>33</v>
      </c>
      <c r="E912" s="58">
        <v>43381</v>
      </c>
      <c r="F912">
        <v>25</v>
      </c>
      <c r="G912" t="s">
        <v>48</v>
      </c>
      <c r="H912" t="s">
        <v>42</v>
      </c>
      <c r="I912" t="s">
        <v>59</v>
      </c>
      <c r="J912" t="s">
        <v>54</v>
      </c>
      <c r="K912" t="s">
        <v>981</v>
      </c>
      <c r="L912" t="s">
        <v>44</v>
      </c>
      <c r="M912">
        <v>4</v>
      </c>
      <c r="N912" t="s">
        <v>190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1</v>
      </c>
      <c r="AB912" t="s">
        <v>1288</v>
      </c>
      <c r="AC912" t="s">
        <v>9443</v>
      </c>
    </row>
    <row r="913" spans="1:29" x14ac:dyDescent="0.3">
      <c r="A913">
        <v>-73.972731510000003</v>
      </c>
      <c r="B913">
        <v>40.795775659999997</v>
      </c>
      <c r="C913" t="s">
        <v>729</v>
      </c>
      <c r="D913" t="s">
        <v>33</v>
      </c>
      <c r="E913" s="58">
        <v>43393</v>
      </c>
      <c r="F913">
        <v>11</v>
      </c>
      <c r="G913" t="s">
        <v>105</v>
      </c>
      <c r="H913" t="s">
        <v>42</v>
      </c>
      <c r="I913" t="s">
        <v>53</v>
      </c>
      <c r="J913" t="s">
        <v>79</v>
      </c>
      <c r="K913" t="s">
        <v>4308</v>
      </c>
      <c r="L913" t="s">
        <v>65</v>
      </c>
      <c r="M913" t="b">
        <v>0</v>
      </c>
      <c r="N913" t="s">
        <v>190</v>
      </c>
      <c r="O913" t="b">
        <v>0</v>
      </c>
      <c r="P913" t="b">
        <v>0</v>
      </c>
      <c r="Q913" t="b">
        <v>0</v>
      </c>
      <c r="R913" t="b">
        <v>0</v>
      </c>
      <c r="S913" t="b">
        <v>1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1</v>
      </c>
      <c r="AA913" t="b">
        <v>0</v>
      </c>
      <c r="AB913" t="s">
        <v>101</v>
      </c>
      <c r="AC913" t="s">
        <v>9444</v>
      </c>
    </row>
    <row r="914" spans="1:29" x14ac:dyDescent="0.3">
      <c r="A914">
        <v>-73.961537329999999</v>
      </c>
      <c r="B914">
        <v>40.799989459999999</v>
      </c>
      <c r="C914" t="s">
        <v>704</v>
      </c>
      <c r="D914" t="s">
        <v>33</v>
      </c>
      <c r="E914" s="58">
        <v>43386</v>
      </c>
      <c r="F914">
        <v>6</v>
      </c>
      <c r="G914" t="s">
        <v>48</v>
      </c>
      <c r="H914" t="s">
        <v>42</v>
      </c>
      <c r="I914" t="s">
        <v>42</v>
      </c>
      <c r="J914" t="s">
        <v>54</v>
      </c>
      <c r="K914" t="s">
        <v>1785</v>
      </c>
      <c r="L914" t="s">
        <v>44</v>
      </c>
      <c r="M914">
        <v>2</v>
      </c>
      <c r="N914" t="s">
        <v>456</v>
      </c>
      <c r="O914" t="b">
        <v>0</v>
      </c>
      <c r="P914" t="b">
        <v>0</v>
      </c>
      <c r="Q914" t="b">
        <v>0</v>
      </c>
      <c r="R914" t="b">
        <v>0</v>
      </c>
      <c r="S914" t="b">
        <v>1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1</v>
      </c>
      <c r="AA914" t="b">
        <v>1</v>
      </c>
      <c r="AB914" t="s">
        <v>1539</v>
      </c>
      <c r="AC914" t="s">
        <v>9445</v>
      </c>
    </row>
    <row r="915" spans="1:29" x14ac:dyDescent="0.3">
      <c r="A915">
        <v>-73.968287979999999</v>
      </c>
      <c r="B915">
        <v>40.777878049999998</v>
      </c>
      <c r="C915" t="s">
        <v>1115</v>
      </c>
      <c r="D915" t="s">
        <v>38</v>
      </c>
      <c r="E915" s="58">
        <v>43381</v>
      </c>
      <c r="F915">
        <v>8</v>
      </c>
      <c r="G915" t="s">
        <v>48</v>
      </c>
      <c r="H915" t="s">
        <v>42</v>
      </c>
      <c r="I915" t="s">
        <v>96</v>
      </c>
      <c r="J915" t="s">
        <v>97</v>
      </c>
      <c r="K915" t="s">
        <v>5649</v>
      </c>
      <c r="L915" t="s">
        <v>44</v>
      </c>
      <c r="M915">
        <v>30</v>
      </c>
      <c r="N915" t="s">
        <v>958</v>
      </c>
      <c r="O915" t="b">
        <v>0</v>
      </c>
      <c r="P915" t="b">
        <v>0</v>
      </c>
      <c r="Q915" t="b">
        <v>1</v>
      </c>
      <c r="R915" t="b">
        <v>0</v>
      </c>
      <c r="S915" t="b">
        <v>1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1</v>
      </c>
      <c r="AA915" t="b">
        <v>1</v>
      </c>
      <c r="AB915" t="s">
        <v>1727</v>
      </c>
      <c r="AC915" t="s">
        <v>9446</v>
      </c>
    </row>
    <row r="916" spans="1:29" x14ac:dyDescent="0.3">
      <c r="A916">
        <v>-73.963803979999994</v>
      </c>
      <c r="B916">
        <v>40.780705279999999</v>
      </c>
      <c r="C916" t="s">
        <v>212</v>
      </c>
      <c r="D916" t="s">
        <v>38</v>
      </c>
      <c r="E916" s="58">
        <v>43388</v>
      </c>
      <c r="F916">
        <v>10</v>
      </c>
      <c r="G916" t="s">
        <v>48</v>
      </c>
      <c r="H916" t="s">
        <v>42</v>
      </c>
      <c r="I916" t="s">
        <v>96</v>
      </c>
      <c r="J916" t="s">
        <v>79</v>
      </c>
      <c r="K916" t="s">
        <v>7003</v>
      </c>
      <c r="L916" t="s">
        <v>65</v>
      </c>
      <c r="M916" t="b">
        <v>0</v>
      </c>
      <c r="N916" t="s">
        <v>2737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s">
        <v>7150</v>
      </c>
      <c r="AC916" t="s">
        <v>9447</v>
      </c>
    </row>
    <row r="917" spans="1:29" x14ac:dyDescent="0.3">
      <c r="A917">
        <v>-73.967448149999996</v>
      </c>
      <c r="B917">
        <v>40.790333230000002</v>
      </c>
      <c r="C917" t="s">
        <v>462</v>
      </c>
      <c r="D917" t="s">
        <v>33</v>
      </c>
      <c r="E917" s="58">
        <v>43385</v>
      </c>
      <c r="F917">
        <v>24</v>
      </c>
      <c r="G917" t="s">
        <v>48</v>
      </c>
      <c r="H917" t="s">
        <v>42</v>
      </c>
      <c r="I917" t="s">
        <v>96</v>
      </c>
      <c r="J917" t="s">
        <v>54</v>
      </c>
      <c r="K917" t="s">
        <v>3433</v>
      </c>
      <c r="L917" t="s">
        <v>65</v>
      </c>
      <c r="M917" t="b">
        <v>0</v>
      </c>
      <c r="N917" t="s">
        <v>55</v>
      </c>
      <c r="O917" t="b">
        <v>1</v>
      </c>
      <c r="P917" t="b">
        <v>0</v>
      </c>
      <c r="Q917" t="b">
        <v>0</v>
      </c>
      <c r="R917" t="b">
        <v>0</v>
      </c>
      <c r="S917" t="b">
        <v>1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1</v>
      </c>
      <c r="AA917" t="b">
        <v>0</v>
      </c>
      <c r="AB917" t="s">
        <v>6346</v>
      </c>
      <c r="AC917" t="s">
        <v>9448</v>
      </c>
    </row>
    <row r="918" spans="1:29" x14ac:dyDescent="0.3">
      <c r="A918">
        <v>-73.971901520000003</v>
      </c>
      <c r="B918">
        <v>40.796111719999999</v>
      </c>
      <c r="C918" t="s">
        <v>1049</v>
      </c>
      <c r="D918" t="s">
        <v>38</v>
      </c>
      <c r="E918" s="58">
        <v>43380</v>
      </c>
      <c r="F918">
        <v>29</v>
      </c>
      <c r="G918" t="s">
        <v>48</v>
      </c>
      <c r="H918" t="s">
        <v>42</v>
      </c>
      <c r="I918" t="s">
        <v>53</v>
      </c>
      <c r="J918" t="s">
        <v>97</v>
      </c>
      <c r="K918" t="s">
        <v>3182</v>
      </c>
      <c r="L918" t="s">
        <v>65</v>
      </c>
      <c r="M918" t="b">
        <v>0</v>
      </c>
      <c r="N918" t="s">
        <v>456</v>
      </c>
      <c r="O918" t="b">
        <v>1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1</v>
      </c>
      <c r="AA918" t="b">
        <v>0</v>
      </c>
      <c r="AB918" t="s">
        <v>3061</v>
      </c>
      <c r="AC918" t="s">
        <v>9449</v>
      </c>
    </row>
    <row r="919" spans="1:29" x14ac:dyDescent="0.3">
      <c r="A919">
        <v>-73.951342229999995</v>
      </c>
      <c r="B919">
        <v>40.785790480000003</v>
      </c>
      <c r="C919" t="s">
        <v>767</v>
      </c>
      <c r="D919" t="s">
        <v>33</v>
      </c>
      <c r="E919" s="58">
        <v>43382</v>
      </c>
      <c r="F919">
        <v>3</v>
      </c>
      <c r="G919" t="s">
        <v>48</v>
      </c>
      <c r="H919" t="s">
        <v>42</v>
      </c>
      <c r="I919" t="s">
        <v>53</v>
      </c>
      <c r="J919" t="s">
        <v>79</v>
      </c>
      <c r="K919" t="s">
        <v>3248</v>
      </c>
      <c r="L919" t="s">
        <v>65</v>
      </c>
      <c r="M919" t="b">
        <v>0</v>
      </c>
      <c r="N919" t="s">
        <v>2767</v>
      </c>
      <c r="O919" t="b">
        <v>0</v>
      </c>
      <c r="P919" t="b">
        <v>0</v>
      </c>
      <c r="Q919" t="b">
        <v>1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s">
        <v>685</v>
      </c>
      <c r="AC919" t="s">
        <v>9450</v>
      </c>
    </row>
    <row r="920" spans="1:29" x14ac:dyDescent="0.3">
      <c r="A920">
        <v>-73.957153250000005</v>
      </c>
      <c r="B920">
        <v>40.778695450000001</v>
      </c>
      <c r="C920" t="s">
        <v>985</v>
      </c>
      <c r="D920" t="s">
        <v>38</v>
      </c>
      <c r="E920" s="58">
        <v>43389</v>
      </c>
      <c r="F920">
        <v>23</v>
      </c>
      <c r="G920" t="s">
        <v>105</v>
      </c>
      <c r="H920" t="s">
        <v>53</v>
      </c>
      <c r="I920" t="s">
        <v>59</v>
      </c>
      <c r="J920" t="s">
        <v>79</v>
      </c>
      <c r="K920" t="s">
        <v>2319</v>
      </c>
      <c r="L920" t="s">
        <v>44</v>
      </c>
      <c r="M920">
        <v>3</v>
      </c>
      <c r="N920" t="s">
        <v>1763</v>
      </c>
      <c r="O920" t="b">
        <v>1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s">
        <v>685</v>
      </c>
      <c r="AC920" t="s">
        <v>9451</v>
      </c>
    </row>
    <row r="921" spans="1:29" x14ac:dyDescent="0.3">
      <c r="A921">
        <v>-73.976753869999996</v>
      </c>
      <c r="B921">
        <v>40.779438200000001</v>
      </c>
      <c r="C921" t="s">
        <v>124</v>
      </c>
      <c r="D921" t="s">
        <v>38</v>
      </c>
      <c r="E921" s="58">
        <v>43384</v>
      </c>
      <c r="F921">
        <v>14</v>
      </c>
      <c r="G921" t="s">
        <v>48</v>
      </c>
      <c r="H921" t="s">
        <v>53</v>
      </c>
      <c r="I921" t="s">
        <v>53</v>
      </c>
      <c r="J921" t="s">
        <v>79</v>
      </c>
      <c r="K921" t="s">
        <v>6623</v>
      </c>
      <c r="L921" t="s">
        <v>65</v>
      </c>
      <c r="M921" t="b">
        <v>0</v>
      </c>
      <c r="N921" t="s">
        <v>2101</v>
      </c>
      <c r="O921" t="b">
        <v>1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1</v>
      </c>
      <c r="AA921" t="b">
        <v>0</v>
      </c>
      <c r="AB921" t="s">
        <v>1428</v>
      </c>
      <c r="AC921" t="s">
        <v>9452</v>
      </c>
    </row>
    <row r="922" spans="1:29" x14ac:dyDescent="0.3">
      <c r="A922">
        <v>-73.953856720000005</v>
      </c>
      <c r="B922">
        <v>40.789401890000001</v>
      </c>
      <c r="C922" t="s">
        <v>314</v>
      </c>
      <c r="D922" t="s">
        <v>38</v>
      </c>
      <c r="E922" s="58">
        <v>43389</v>
      </c>
      <c r="F922">
        <v>23</v>
      </c>
      <c r="G922" t="s">
        <v>48</v>
      </c>
      <c r="H922" t="s">
        <v>53</v>
      </c>
      <c r="I922" t="s">
        <v>59</v>
      </c>
      <c r="J922" t="s">
        <v>43</v>
      </c>
      <c r="K922" t="s">
        <v>6166</v>
      </c>
      <c r="L922" t="s">
        <v>65</v>
      </c>
      <c r="M922" t="b">
        <v>0</v>
      </c>
      <c r="N922" t="s">
        <v>190</v>
      </c>
      <c r="O922" t="b">
        <v>1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s">
        <v>4407</v>
      </c>
      <c r="AC922" t="s">
        <v>9453</v>
      </c>
    </row>
    <row r="923" spans="1:29" x14ac:dyDescent="0.3">
      <c r="A923">
        <v>-73.965835299999995</v>
      </c>
      <c r="B923">
        <v>40.765023980000002</v>
      </c>
      <c r="C923" t="s">
        <v>147</v>
      </c>
      <c r="D923" t="s">
        <v>33</v>
      </c>
      <c r="E923" s="58">
        <v>43387</v>
      </c>
      <c r="F923">
        <v>14</v>
      </c>
      <c r="G923" t="s">
        <v>48</v>
      </c>
      <c r="H923" t="s">
        <v>42</v>
      </c>
      <c r="I923" t="s">
        <v>96</v>
      </c>
      <c r="J923" t="s">
        <v>79</v>
      </c>
      <c r="K923" t="s">
        <v>2517</v>
      </c>
      <c r="L923" t="s">
        <v>65</v>
      </c>
      <c r="M923" t="b">
        <v>0</v>
      </c>
      <c r="N923" t="s">
        <v>190</v>
      </c>
      <c r="O923" t="b">
        <v>1</v>
      </c>
      <c r="P923" t="b">
        <v>0</v>
      </c>
      <c r="Q923" t="b">
        <v>0</v>
      </c>
      <c r="R923" t="b">
        <v>1</v>
      </c>
      <c r="S923" t="b">
        <v>0</v>
      </c>
      <c r="T923" t="b">
        <v>1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1</v>
      </c>
      <c r="AA923" t="b">
        <v>0</v>
      </c>
      <c r="AB923" t="s">
        <v>121</v>
      </c>
      <c r="AC923" t="s">
        <v>9454</v>
      </c>
    </row>
    <row r="924" spans="1:29" x14ac:dyDescent="0.3">
      <c r="A924">
        <v>-73.953036710000006</v>
      </c>
      <c r="B924">
        <v>40.786725079999997</v>
      </c>
      <c r="C924" t="s">
        <v>1920</v>
      </c>
      <c r="D924" t="s">
        <v>38</v>
      </c>
      <c r="E924" s="58">
        <v>43383</v>
      </c>
      <c r="F924">
        <v>10</v>
      </c>
      <c r="G924" t="s">
        <v>48</v>
      </c>
      <c r="H924" t="s">
        <v>42</v>
      </c>
      <c r="I924" t="s">
        <v>96</v>
      </c>
      <c r="J924" t="s">
        <v>54</v>
      </c>
      <c r="K924" t="s">
        <v>2382</v>
      </c>
      <c r="L924" t="s">
        <v>65</v>
      </c>
      <c r="M924" t="b">
        <v>0</v>
      </c>
      <c r="N924" t="s">
        <v>1689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s">
        <v>7360</v>
      </c>
      <c r="AC924" t="s">
        <v>9455</v>
      </c>
    </row>
    <row r="925" spans="1:29" x14ac:dyDescent="0.3">
      <c r="A925">
        <v>-73.956013679999998</v>
      </c>
      <c r="B925">
        <v>40.777426810000001</v>
      </c>
      <c r="C925" t="s">
        <v>709</v>
      </c>
      <c r="D925" t="s">
        <v>33</v>
      </c>
      <c r="E925" s="58">
        <v>43391</v>
      </c>
      <c r="F925">
        <v>12</v>
      </c>
      <c r="G925" t="s">
        <v>105</v>
      </c>
      <c r="H925" t="s">
        <v>42</v>
      </c>
      <c r="I925" t="s">
        <v>59</v>
      </c>
      <c r="J925" t="s">
        <v>116</v>
      </c>
      <c r="K925" t="s">
        <v>1181</v>
      </c>
      <c r="L925" t="s">
        <v>65</v>
      </c>
      <c r="M925" t="b">
        <v>0</v>
      </c>
      <c r="N925" t="s">
        <v>456</v>
      </c>
      <c r="O925" t="b">
        <v>1</v>
      </c>
      <c r="P925" t="b">
        <v>1</v>
      </c>
      <c r="Q925" t="b">
        <v>0</v>
      </c>
      <c r="R925" t="b">
        <v>1</v>
      </c>
      <c r="S925" t="b">
        <v>1</v>
      </c>
      <c r="T925" t="b">
        <v>0</v>
      </c>
      <c r="U925" t="b">
        <v>0</v>
      </c>
      <c r="V925" t="b">
        <v>0</v>
      </c>
      <c r="W925" t="b">
        <v>1</v>
      </c>
      <c r="X925" t="b">
        <v>0</v>
      </c>
      <c r="Y925" t="b">
        <v>0</v>
      </c>
      <c r="Z925" t="b">
        <v>1</v>
      </c>
      <c r="AA925" t="b">
        <v>0</v>
      </c>
      <c r="AB925" t="s">
        <v>1384</v>
      </c>
      <c r="AC925" t="s">
        <v>9456</v>
      </c>
    </row>
    <row r="926" spans="1:29" x14ac:dyDescent="0.3">
      <c r="A926">
        <v>-73.967791219999995</v>
      </c>
      <c r="B926">
        <v>40.79287265</v>
      </c>
      <c r="C926" t="s">
        <v>200</v>
      </c>
      <c r="D926" t="s">
        <v>38</v>
      </c>
      <c r="E926" s="58">
        <v>43387</v>
      </c>
      <c r="F926">
        <v>6</v>
      </c>
      <c r="G926" t="s">
        <v>48</v>
      </c>
      <c r="H926" t="s">
        <v>42</v>
      </c>
      <c r="I926" t="s">
        <v>96</v>
      </c>
      <c r="J926" t="s">
        <v>89</v>
      </c>
      <c r="K926" t="s">
        <v>1381</v>
      </c>
      <c r="L926" t="s">
        <v>44</v>
      </c>
      <c r="M926">
        <v>15</v>
      </c>
      <c r="N926" t="s">
        <v>1374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s">
        <v>1801</v>
      </c>
      <c r="AC926" t="s">
        <v>9457</v>
      </c>
    </row>
    <row r="927" spans="1:29" x14ac:dyDescent="0.3">
      <c r="A927">
        <v>-73.980452220000004</v>
      </c>
      <c r="B927">
        <v>40.768184669999997</v>
      </c>
      <c r="C927" t="s">
        <v>668</v>
      </c>
      <c r="D927" t="s">
        <v>33</v>
      </c>
      <c r="E927" s="58">
        <v>43393</v>
      </c>
      <c r="F927">
        <v>12</v>
      </c>
      <c r="G927" t="s">
        <v>48</v>
      </c>
      <c r="H927" t="s">
        <v>42</v>
      </c>
      <c r="I927" t="s">
        <v>42</v>
      </c>
      <c r="J927" t="s">
        <v>79</v>
      </c>
      <c r="K927" t="s">
        <v>5429</v>
      </c>
      <c r="L927" t="s">
        <v>65</v>
      </c>
      <c r="M927" t="b">
        <v>0</v>
      </c>
      <c r="N927" t="s">
        <v>2119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1</v>
      </c>
      <c r="Y927" t="b">
        <v>0</v>
      </c>
      <c r="Z927" t="b">
        <v>0</v>
      </c>
      <c r="AA927" t="b">
        <v>0</v>
      </c>
      <c r="AB927" t="s">
        <v>3888</v>
      </c>
      <c r="AC927" t="s">
        <v>9458</v>
      </c>
    </row>
    <row r="928" spans="1:29" x14ac:dyDescent="0.3">
      <c r="A928">
        <v>-73.972712220000005</v>
      </c>
      <c r="B928">
        <v>40.785620010000002</v>
      </c>
      <c r="C928" t="s">
        <v>1090</v>
      </c>
      <c r="D928" t="s">
        <v>38</v>
      </c>
      <c r="E928" s="58">
        <v>43383</v>
      </c>
      <c r="F928">
        <v>23</v>
      </c>
      <c r="G928" t="s">
        <v>48</v>
      </c>
      <c r="H928" t="s">
        <v>53</v>
      </c>
      <c r="I928" t="s">
        <v>59</v>
      </c>
      <c r="J928" t="s">
        <v>43</v>
      </c>
      <c r="K928" t="s">
        <v>1417</v>
      </c>
      <c r="L928" t="s">
        <v>65</v>
      </c>
      <c r="M928" t="b">
        <v>0</v>
      </c>
      <c r="N928" t="s">
        <v>922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s">
        <v>3573</v>
      </c>
      <c r="AC928" t="s">
        <v>9459</v>
      </c>
    </row>
    <row r="929" spans="1:29" x14ac:dyDescent="0.3">
      <c r="A929">
        <v>-73.964131330000001</v>
      </c>
      <c r="B929">
        <v>40.78184469</v>
      </c>
      <c r="C929" t="s">
        <v>1574</v>
      </c>
      <c r="D929" t="s">
        <v>38</v>
      </c>
      <c r="E929" s="58">
        <v>43388</v>
      </c>
      <c r="F929">
        <v>14</v>
      </c>
      <c r="G929" t="s">
        <v>48</v>
      </c>
      <c r="H929" t="s">
        <v>42</v>
      </c>
      <c r="I929" t="s">
        <v>53</v>
      </c>
      <c r="J929" t="s">
        <v>43</v>
      </c>
      <c r="K929" t="s">
        <v>2382</v>
      </c>
      <c r="L929" t="s">
        <v>65</v>
      </c>
      <c r="M929" t="b">
        <v>0</v>
      </c>
      <c r="N929" t="s">
        <v>1311</v>
      </c>
      <c r="O929" t="b">
        <v>1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1</v>
      </c>
      <c r="AA929" t="b">
        <v>1</v>
      </c>
      <c r="AB929" t="s">
        <v>799</v>
      </c>
      <c r="AC929" t="s">
        <v>9460</v>
      </c>
    </row>
    <row r="930" spans="1:29" x14ac:dyDescent="0.3">
      <c r="A930">
        <v>-73.961244039999997</v>
      </c>
      <c r="B930">
        <v>40.78752557</v>
      </c>
      <c r="C930" t="s">
        <v>1310</v>
      </c>
      <c r="D930" t="s">
        <v>38</v>
      </c>
      <c r="E930" s="58">
        <v>43386</v>
      </c>
      <c r="F930">
        <v>2</v>
      </c>
      <c r="G930" t="s">
        <v>48</v>
      </c>
      <c r="H930" t="s">
        <v>42</v>
      </c>
      <c r="I930" t="s">
        <v>53</v>
      </c>
      <c r="J930" t="s">
        <v>54</v>
      </c>
      <c r="K930" t="s">
        <v>1688</v>
      </c>
      <c r="L930" t="s">
        <v>44</v>
      </c>
      <c r="M930">
        <v>15</v>
      </c>
      <c r="N930" t="s">
        <v>3424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s">
        <v>2182</v>
      </c>
      <c r="AC930" t="s">
        <v>9461</v>
      </c>
    </row>
    <row r="931" spans="1:29" x14ac:dyDescent="0.3">
      <c r="A931">
        <v>-73.973051409999997</v>
      </c>
      <c r="B931">
        <v>40.767194019999998</v>
      </c>
      <c r="C931" t="s">
        <v>921</v>
      </c>
      <c r="D931" t="s">
        <v>33</v>
      </c>
      <c r="E931" s="58">
        <v>43391</v>
      </c>
      <c r="F931">
        <v>9</v>
      </c>
      <c r="G931" t="s">
        <v>48</v>
      </c>
      <c r="H931" t="s">
        <v>42</v>
      </c>
      <c r="I931" t="s">
        <v>53</v>
      </c>
      <c r="J931" t="s">
        <v>54</v>
      </c>
      <c r="K931" t="s">
        <v>5481</v>
      </c>
      <c r="L931" t="s">
        <v>65</v>
      </c>
      <c r="M931" t="b">
        <v>0</v>
      </c>
      <c r="N931" t="s">
        <v>1985</v>
      </c>
      <c r="O931" t="b">
        <v>1</v>
      </c>
      <c r="P931" t="b">
        <v>0</v>
      </c>
      <c r="Q931" t="b">
        <v>1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1</v>
      </c>
      <c r="AA931" t="b">
        <v>0</v>
      </c>
      <c r="AB931" t="s">
        <v>1893</v>
      </c>
      <c r="AC931" t="s">
        <v>9462</v>
      </c>
    </row>
    <row r="932" spans="1:29" x14ac:dyDescent="0.3">
      <c r="A932">
        <v>-73.976777670000004</v>
      </c>
      <c r="B932">
        <v>40.785330649999999</v>
      </c>
      <c r="C932" t="s">
        <v>448</v>
      </c>
      <c r="D932" t="s">
        <v>38</v>
      </c>
      <c r="E932" s="58">
        <v>43391</v>
      </c>
      <c r="F932">
        <v>10</v>
      </c>
      <c r="G932" t="s">
        <v>48</v>
      </c>
      <c r="H932" t="s">
        <v>53</v>
      </c>
      <c r="I932" t="s">
        <v>53</v>
      </c>
      <c r="J932" t="s">
        <v>54</v>
      </c>
      <c r="K932" t="s">
        <v>3050</v>
      </c>
      <c r="L932" t="s">
        <v>44</v>
      </c>
      <c r="M932">
        <v>8</v>
      </c>
      <c r="N932" t="s">
        <v>5371</v>
      </c>
      <c r="O932" t="b">
        <v>0</v>
      </c>
      <c r="P932" t="b">
        <v>0</v>
      </c>
      <c r="Q932" t="b">
        <v>1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s">
        <v>6511</v>
      </c>
      <c r="AC932" t="s">
        <v>9463</v>
      </c>
    </row>
    <row r="933" spans="1:29" x14ac:dyDescent="0.3">
      <c r="A933">
        <v>-73.954911030000005</v>
      </c>
      <c r="B933">
        <v>40.784679330000003</v>
      </c>
      <c r="C933" t="s">
        <v>462</v>
      </c>
      <c r="D933" t="s">
        <v>33</v>
      </c>
      <c r="E933" s="58">
        <v>43379</v>
      </c>
      <c r="F933">
        <v>26</v>
      </c>
      <c r="G933" t="s">
        <v>48</v>
      </c>
      <c r="H933" t="s">
        <v>42</v>
      </c>
      <c r="I933" t="s">
        <v>53</v>
      </c>
      <c r="J933" t="s">
        <v>54</v>
      </c>
      <c r="K933" t="s">
        <v>5976</v>
      </c>
      <c r="L933" t="s">
        <v>65</v>
      </c>
      <c r="M933" t="b">
        <v>0</v>
      </c>
      <c r="N933" t="s">
        <v>3826</v>
      </c>
      <c r="O933" t="b">
        <v>1</v>
      </c>
      <c r="P933" t="b">
        <v>0</v>
      </c>
      <c r="Q933" t="b">
        <v>1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s">
        <v>499</v>
      </c>
      <c r="AC933" t="s">
        <v>9464</v>
      </c>
    </row>
    <row r="934" spans="1:29" x14ac:dyDescent="0.3">
      <c r="A934">
        <v>-73.950212109999995</v>
      </c>
      <c r="B934">
        <v>40.784650300000003</v>
      </c>
      <c r="C934" t="s">
        <v>1581</v>
      </c>
      <c r="D934" t="s">
        <v>38</v>
      </c>
      <c r="E934" s="58">
        <v>43385</v>
      </c>
      <c r="F934">
        <v>17</v>
      </c>
      <c r="G934" t="s">
        <v>48</v>
      </c>
      <c r="H934" t="s">
        <v>42</v>
      </c>
      <c r="I934" t="s">
        <v>53</v>
      </c>
      <c r="J934" t="s">
        <v>43</v>
      </c>
      <c r="K934" t="s">
        <v>6422</v>
      </c>
      <c r="L934" t="s">
        <v>44</v>
      </c>
      <c r="M934">
        <v>7</v>
      </c>
      <c r="N934" t="s">
        <v>1016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s">
        <v>399</v>
      </c>
      <c r="AC934" t="s">
        <v>9465</v>
      </c>
    </row>
    <row r="935" spans="1:29" x14ac:dyDescent="0.3">
      <c r="A935">
        <v>-73.964632559999998</v>
      </c>
      <c r="B935">
        <v>40.78615817</v>
      </c>
      <c r="C935" t="s">
        <v>1112</v>
      </c>
      <c r="D935" t="s">
        <v>33</v>
      </c>
      <c r="E935" s="58">
        <v>43382</v>
      </c>
      <c r="F935">
        <v>17</v>
      </c>
      <c r="G935" t="s">
        <v>48</v>
      </c>
      <c r="H935" t="s">
        <v>53</v>
      </c>
      <c r="I935" t="s">
        <v>59</v>
      </c>
      <c r="J935" t="s">
        <v>339</v>
      </c>
      <c r="K935" t="s">
        <v>6869</v>
      </c>
      <c r="L935" t="s">
        <v>65</v>
      </c>
      <c r="M935" t="b">
        <v>0</v>
      </c>
      <c r="N935" t="s">
        <v>848</v>
      </c>
      <c r="O935" t="b">
        <v>0</v>
      </c>
      <c r="P935" t="b">
        <v>0</v>
      </c>
      <c r="Q935" t="b">
        <v>0</v>
      </c>
      <c r="R935" t="b">
        <v>0</v>
      </c>
      <c r="S935" t="b">
        <v>1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1</v>
      </c>
      <c r="AB935" t="s">
        <v>3884</v>
      </c>
      <c r="AC935" t="s">
        <v>9466</v>
      </c>
    </row>
    <row r="936" spans="1:29" x14ac:dyDescent="0.3">
      <c r="A936">
        <v>-73.97576153</v>
      </c>
      <c r="B936">
        <v>40.788727649999998</v>
      </c>
      <c r="C936" t="s">
        <v>68</v>
      </c>
      <c r="D936" t="s">
        <v>33</v>
      </c>
      <c r="E936" s="58">
        <v>43383</v>
      </c>
      <c r="F936">
        <v>3</v>
      </c>
      <c r="G936" t="s">
        <v>48</v>
      </c>
      <c r="H936" t="s">
        <v>42</v>
      </c>
      <c r="I936" t="s">
        <v>42</v>
      </c>
      <c r="J936" t="s">
        <v>43</v>
      </c>
      <c r="K936" t="s">
        <v>5180</v>
      </c>
      <c r="L936" t="s">
        <v>65</v>
      </c>
      <c r="M936" t="b">
        <v>0</v>
      </c>
      <c r="N936" t="s">
        <v>848</v>
      </c>
      <c r="O936" t="b">
        <v>0</v>
      </c>
      <c r="P936" t="b">
        <v>0</v>
      </c>
      <c r="Q936" t="b">
        <v>1</v>
      </c>
      <c r="R936" t="b">
        <v>1</v>
      </c>
      <c r="S936" t="b">
        <v>1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s">
        <v>101</v>
      </c>
      <c r="AC936" t="s">
        <v>9467</v>
      </c>
    </row>
    <row r="937" spans="1:29" x14ac:dyDescent="0.3">
      <c r="A937">
        <v>-73.972598110000007</v>
      </c>
      <c r="B937">
        <v>40.793252600000002</v>
      </c>
      <c r="C937" t="s">
        <v>286</v>
      </c>
      <c r="D937" t="s">
        <v>33</v>
      </c>
      <c r="E937" s="58">
        <v>43384</v>
      </c>
      <c r="F937">
        <v>30</v>
      </c>
      <c r="G937" t="s">
        <v>48</v>
      </c>
      <c r="H937" t="s">
        <v>42</v>
      </c>
      <c r="I937" t="s">
        <v>53</v>
      </c>
      <c r="J937" t="s">
        <v>116</v>
      </c>
      <c r="K937" t="s">
        <v>242</v>
      </c>
      <c r="L937" t="s">
        <v>65</v>
      </c>
      <c r="M937" t="b">
        <v>0</v>
      </c>
      <c r="N937" t="s">
        <v>5652</v>
      </c>
      <c r="O937" t="b">
        <v>0</v>
      </c>
      <c r="P937" t="b">
        <v>1</v>
      </c>
      <c r="Q937" t="b">
        <v>1</v>
      </c>
      <c r="R937" t="b">
        <v>0</v>
      </c>
      <c r="S937" t="b">
        <v>1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s">
        <v>75</v>
      </c>
      <c r="AC937" t="s">
        <v>9468</v>
      </c>
    </row>
    <row r="938" spans="1:29" x14ac:dyDescent="0.3">
      <c r="A938">
        <v>-73.980580439999997</v>
      </c>
      <c r="B938">
        <v>40.77441048</v>
      </c>
      <c r="C938" t="s">
        <v>431</v>
      </c>
      <c r="D938" t="s">
        <v>33</v>
      </c>
      <c r="E938" s="58">
        <v>43383</v>
      </c>
      <c r="F938">
        <v>19</v>
      </c>
      <c r="G938" t="s">
        <v>48</v>
      </c>
      <c r="H938" t="s">
        <v>42</v>
      </c>
      <c r="I938" t="s">
        <v>96</v>
      </c>
      <c r="J938" t="s">
        <v>155</v>
      </c>
      <c r="K938" t="s">
        <v>4237</v>
      </c>
      <c r="L938" t="s">
        <v>65</v>
      </c>
      <c r="M938" t="b">
        <v>0</v>
      </c>
      <c r="N938" t="s">
        <v>190</v>
      </c>
      <c r="O938" t="b">
        <v>0</v>
      </c>
      <c r="P938" t="b">
        <v>0</v>
      </c>
      <c r="Q938" t="b">
        <v>0</v>
      </c>
      <c r="R938" t="b">
        <v>0</v>
      </c>
      <c r="S938" t="b">
        <v>1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1</v>
      </c>
      <c r="AA938" t="b">
        <v>1</v>
      </c>
      <c r="AB938" t="s">
        <v>75</v>
      </c>
      <c r="AC938" t="s">
        <v>9469</v>
      </c>
    </row>
    <row r="939" spans="1:29" x14ac:dyDescent="0.3">
      <c r="A939">
        <v>-73.952415939999995</v>
      </c>
      <c r="B939">
        <v>40.793958879999998</v>
      </c>
      <c r="C939" t="s">
        <v>338</v>
      </c>
      <c r="D939" t="s">
        <v>33</v>
      </c>
      <c r="E939" s="58">
        <v>43390</v>
      </c>
      <c r="F939">
        <v>1</v>
      </c>
      <c r="G939" t="s">
        <v>48</v>
      </c>
      <c r="H939" t="s">
        <v>42</v>
      </c>
      <c r="I939" t="s">
        <v>59</v>
      </c>
      <c r="J939" t="s">
        <v>54</v>
      </c>
      <c r="K939" t="s">
        <v>3028</v>
      </c>
      <c r="L939" t="s">
        <v>65</v>
      </c>
      <c r="M939" t="b">
        <v>0</v>
      </c>
      <c r="N939" t="s">
        <v>7135</v>
      </c>
      <c r="O939" t="b">
        <v>0</v>
      </c>
      <c r="P939" t="b">
        <v>0</v>
      </c>
      <c r="Q939" t="b">
        <v>0</v>
      </c>
      <c r="R939" t="b">
        <v>0</v>
      </c>
      <c r="S939" t="b">
        <v>1</v>
      </c>
      <c r="T939" t="b">
        <v>0</v>
      </c>
      <c r="U939" t="b">
        <v>0</v>
      </c>
      <c r="V939" t="b">
        <v>0</v>
      </c>
      <c r="W939" t="b">
        <v>0</v>
      </c>
      <c r="X939" t="b">
        <v>1</v>
      </c>
      <c r="Y939" t="b">
        <v>0</v>
      </c>
      <c r="Z939" t="b">
        <v>1</v>
      </c>
      <c r="AA939" t="b">
        <v>0</v>
      </c>
      <c r="AB939" t="s">
        <v>3663</v>
      </c>
      <c r="AC939" t="s">
        <v>9470</v>
      </c>
    </row>
    <row r="940" spans="1:29" x14ac:dyDescent="0.3">
      <c r="A940">
        <v>-73.977456860000004</v>
      </c>
      <c r="B940">
        <v>40.782453179999997</v>
      </c>
      <c r="C940" t="s">
        <v>3073</v>
      </c>
      <c r="D940" t="s">
        <v>33</v>
      </c>
      <c r="E940" s="58">
        <v>43379</v>
      </c>
      <c r="F940">
        <v>12</v>
      </c>
      <c r="G940" t="s">
        <v>48</v>
      </c>
      <c r="H940" t="s">
        <v>42</v>
      </c>
      <c r="I940" t="s">
        <v>53</v>
      </c>
      <c r="J940" t="s">
        <v>97</v>
      </c>
      <c r="K940" t="s">
        <v>4308</v>
      </c>
      <c r="L940" t="s">
        <v>65</v>
      </c>
      <c r="M940" t="b">
        <v>0</v>
      </c>
      <c r="N940" t="s">
        <v>2632</v>
      </c>
      <c r="O940" t="b">
        <v>1</v>
      </c>
      <c r="P940" t="b">
        <v>0</v>
      </c>
      <c r="Q940" t="b">
        <v>0</v>
      </c>
      <c r="R940" t="b">
        <v>0</v>
      </c>
      <c r="S940" t="b">
        <v>1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s">
        <v>167</v>
      </c>
      <c r="AC940" t="s">
        <v>9471</v>
      </c>
    </row>
    <row r="941" spans="1:29" x14ac:dyDescent="0.3">
      <c r="A941">
        <v>-73.963034739999998</v>
      </c>
      <c r="B941">
        <v>40.767623720000003</v>
      </c>
      <c r="C941" t="s">
        <v>92</v>
      </c>
      <c r="D941" t="s">
        <v>33</v>
      </c>
      <c r="E941" s="58">
        <v>43390</v>
      </c>
      <c r="F941">
        <v>7</v>
      </c>
      <c r="G941" t="s">
        <v>48</v>
      </c>
      <c r="H941" t="s">
        <v>42</v>
      </c>
      <c r="I941" t="s">
        <v>42</v>
      </c>
      <c r="J941" t="s">
        <v>54</v>
      </c>
      <c r="K941" t="s">
        <v>3261</v>
      </c>
      <c r="L941" t="s">
        <v>65</v>
      </c>
      <c r="M941" t="b">
        <v>0</v>
      </c>
      <c r="N941" t="s">
        <v>2902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s">
        <v>4636</v>
      </c>
      <c r="AC941" t="s">
        <v>9472</v>
      </c>
    </row>
    <row r="942" spans="1:29" x14ac:dyDescent="0.3">
      <c r="A942">
        <v>-73.972543160000001</v>
      </c>
      <c r="B942">
        <v>40.766972119999998</v>
      </c>
      <c r="C942" t="s">
        <v>367</v>
      </c>
      <c r="D942" t="s">
        <v>38</v>
      </c>
      <c r="E942" s="58">
        <v>43387</v>
      </c>
      <c r="F942">
        <v>4</v>
      </c>
      <c r="G942" t="s">
        <v>48</v>
      </c>
      <c r="H942" t="s">
        <v>42</v>
      </c>
      <c r="I942" t="s">
        <v>59</v>
      </c>
      <c r="J942" t="s">
        <v>79</v>
      </c>
      <c r="K942" t="s">
        <v>1696</v>
      </c>
      <c r="L942" t="s">
        <v>65</v>
      </c>
      <c r="M942" t="b">
        <v>0</v>
      </c>
      <c r="N942" t="s">
        <v>190</v>
      </c>
      <c r="O942" t="b">
        <v>0</v>
      </c>
      <c r="P942" t="b">
        <v>0</v>
      </c>
      <c r="Q942" t="b">
        <v>0</v>
      </c>
      <c r="R942" t="b">
        <v>0</v>
      </c>
      <c r="S942" t="b">
        <v>1</v>
      </c>
      <c r="T942" t="b">
        <v>0</v>
      </c>
      <c r="U942" t="b">
        <v>0</v>
      </c>
      <c r="V942" t="b">
        <v>0</v>
      </c>
      <c r="W942" t="b">
        <v>1</v>
      </c>
      <c r="X942" t="b">
        <v>0</v>
      </c>
      <c r="Y942" t="b">
        <v>0</v>
      </c>
      <c r="Z942" t="b">
        <v>0</v>
      </c>
      <c r="AA942" t="b">
        <v>0</v>
      </c>
      <c r="AB942" t="s">
        <v>3827</v>
      </c>
      <c r="AC942" t="s">
        <v>9473</v>
      </c>
    </row>
    <row r="943" spans="1:29" x14ac:dyDescent="0.3">
      <c r="A943">
        <v>-73.963736990000001</v>
      </c>
      <c r="B943">
        <v>40.776678480000001</v>
      </c>
      <c r="C943" t="s">
        <v>680</v>
      </c>
      <c r="D943" t="s">
        <v>38</v>
      </c>
      <c r="E943" s="58">
        <v>43380</v>
      </c>
      <c r="F943">
        <v>10</v>
      </c>
      <c r="G943" t="s">
        <v>105</v>
      </c>
      <c r="H943" t="s">
        <v>42</v>
      </c>
      <c r="I943" t="s">
        <v>53</v>
      </c>
      <c r="J943" t="s">
        <v>54</v>
      </c>
      <c r="K943" t="s">
        <v>6109</v>
      </c>
      <c r="L943" t="s">
        <v>44</v>
      </c>
      <c r="M943">
        <v>25</v>
      </c>
      <c r="N943" t="s">
        <v>1883</v>
      </c>
      <c r="O943" t="b">
        <v>0</v>
      </c>
      <c r="P943" t="b">
        <v>0</v>
      </c>
      <c r="Q943" t="b">
        <v>0</v>
      </c>
      <c r="R943" t="b">
        <v>0</v>
      </c>
      <c r="S943" t="b">
        <v>1</v>
      </c>
      <c r="T943" t="b">
        <v>0</v>
      </c>
      <c r="U943" t="b">
        <v>0</v>
      </c>
      <c r="V943" t="b">
        <v>0</v>
      </c>
      <c r="W943" t="b">
        <v>0</v>
      </c>
      <c r="X943" t="b">
        <v>1</v>
      </c>
      <c r="Y943" t="b">
        <v>0</v>
      </c>
      <c r="Z943" t="b">
        <v>0</v>
      </c>
      <c r="AA943" t="b">
        <v>0</v>
      </c>
      <c r="AB943" t="s">
        <v>1428</v>
      </c>
      <c r="AC943" t="s">
        <v>9474</v>
      </c>
    </row>
    <row r="944" spans="1:29" x14ac:dyDescent="0.3">
      <c r="A944">
        <v>-73.960679999999996</v>
      </c>
      <c r="B944">
        <v>40.792545199999999</v>
      </c>
      <c r="C944" t="s">
        <v>82</v>
      </c>
      <c r="D944" t="s">
        <v>33</v>
      </c>
      <c r="E944" s="58">
        <v>43387</v>
      </c>
      <c r="F944">
        <v>13</v>
      </c>
      <c r="G944" t="s">
        <v>48</v>
      </c>
      <c r="H944" t="s">
        <v>42</v>
      </c>
      <c r="I944" t="s">
        <v>96</v>
      </c>
      <c r="J944" t="s">
        <v>54</v>
      </c>
      <c r="K944" t="s">
        <v>1381</v>
      </c>
      <c r="L944" t="s">
        <v>65</v>
      </c>
      <c r="M944" t="b">
        <v>0</v>
      </c>
      <c r="N944" t="s">
        <v>6024</v>
      </c>
      <c r="O944" t="b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s">
        <v>2090</v>
      </c>
      <c r="AC944" t="s">
        <v>9475</v>
      </c>
    </row>
    <row r="945" spans="1:29" x14ac:dyDescent="0.3">
      <c r="A945">
        <v>-73.955074139999994</v>
      </c>
      <c r="B945">
        <v>40.789826589999997</v>
      </c>
      <c r="C945" t="s">
        <v>172</v>
      </c>
      <c r="D945" t="s">
        <v>33</v>
      </c>
      <c r="E945" s="58">
        <v>43388</v>
      </c>
      <c r="F945">
        <v>2</v>
      </c>
      <c r="G945" t="s">
        <v>48</v>
      </c>
      <c r="H945" t="s">
        <v>42</v>
      </c>
      <c r="I945" t="s">
        <v>53</v>
      </c>
      <c r="J945" t="s">
        <v>79</v>
      </c>
      <c r="K945" t="s">
        <v>3461</v>
      </c>
      <c r="L945" t="s">
        <v>44</v>
      </c>
      <c r="M945">
        <v>10</v>
      </c>
      <c r="N945" t="s">
        <v>456</v>
      </c>
      <c r="O945" t="b">
        <v>0</v>
      </c>
      <c r="P945" t="b">
        <v>0</v>
      </c>
      <c r="Q945" t="b">
        <v>1</v>
      </c>
      <c r="R945" t="b">
        <v>1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s">
        <v>4147</v>
      </c>
      <c r="AC945" t="s">
        <v>9476</v>
      </c>
    </row>
    <row r="946" spans="1:29" x14ac:dyDescent="0.3">
      <c r="A946">
        <v>-73.974669349999999</v>
      </c>
      <c r="B946">
        <v>40.792676110000002</v>
      </c>
      <c r="C946" t="s">
        <v>1389</v>
      </c>
      <c r="D946" t="s">
        <v>33</v>
      </c>
      <c r="E946" s="58">
        <v>43380</v>
      </c>
      <c r="F946">
        <v>10</v>
      </c>
      <c r="G946" t="s">
        <v>48</v>
      </c>
      <c r="H946" t="s">
        <v>42</v>
      </c>
      <c r="I946" t="s">
        <v>59</v>
      </c>
      <c r="J946" t="s">
        <v>54</v>
      </c>
      <c r="K946" t="s">
        <v>4660</v>
      </c>
      <c r="L946" t="s">
        <v>65</v>
      </c>
      <c r="M946" t="b">
        <v>0</v>
      </c>
      <c r="N946" t="s">
        <v>1408</v>
      </c>
      <c r="O946" t="b">
        <v>1</v>
      </c>
      <c r="P946" t="b">
        <v>0</v>
      </c>
      <c r="Q946" t="b">
        <v>1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1</v>
      </c>
      <c r="AA946" t="b">
        <v>0</v>
      </c>
      <c r="AB946" t="s">
        <v>2884</v>
      </c>
      <c r="AC946" t="s">
        <v>9477</v>
      </c>
    </row>
    <row r="947" spans="1:29" x14ac:dyDescent="0.3">
      <c r="A947">
        <v>-73.980812909999997</v>
      </c>
      <c r="B947">
        <v>40.783122599999999</v>
      </c>
      <c r="C947" t="s">
        <v>455</v>
      </c>
      <c r="D947" t="s">
        <v>33</v>
      </c>
      <c r="E947" s="58">
        <v>43387</v>
      </c>
      <c r="F947">
        <v>21</v>
      </c>
      <c r="G947" t="s">
        <v>48</v>
      </c>
      <c r="H947" t="s">
        <v>42</v>
      </c>
      <c r="I947" t="s">
        <v>53</v>
      </c>
      <c r="J947" t="s">
        <v>79</v>
      </c>
      <c r="K947" t="s">
        <v>4660</v>
      </c>
      <c r="L947" t="s">
        <v>65</v>
      </c>
      <c r="M947" t="b">
        <v>0</v>
      </c>
      <c r="N947" t="s">
        <v>5858</v>
      </c>
      <c r="O947" t="b">
        <v>1</v>
      </c>
      <c r="P947" t="b">
        <v>0</v>
      </c>
      <c r="Q947" t="b">
        <v>1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s">
        <v>2555</v>
      </c>
      <c r="AC947" t="s">
        <v>9478</v>
      </c>
    </row>
    <row r="948" spans="1:29" x14ac:dyDescent="0.3">
      <c r="A948">
        <v>-73.976855330000006</v>
      </c>
      <c r="B948">
        <v>40.780409130000002</v>
      </c>
      <c r="C948" t="s">
        <v>423</v>
      </c>
      <c r="D948" t="s">
        <v>38</v>
      </c>
      <c r="E948" s="58">
        <v>43384</v>
      </c>
      <c r="F948">
        <v>22</v>
      </c>
      <c r="G948" t="s">
        <v>48</v>
      </c>
      <c r="H948" t="s">
        <v>42</v>
      </c>
      <c r="I948" t="s">
        <v>42</v>
      </c>
      <c r="J948" t="s">
        <v>43</v>
      </c>
      <c r="K948" t="s">
        <v>6299</v>
      </c>
      <c r="L948" t="s">
        <v>65</v>
      </c>
      <c r="M948" t="b">
        <v>0</v>
      </c>
      <c r="N948" t="s">
        <v>978</v>
      </c>
      <c r="O948" t="b">
        <v>1</v>
      </c>
      <c r="P948" t="b">
        <v>0</v>
      </c>
      <c r="Q948" t="b">
        <v>0</v>
      </c>
      <c r="R948" t="b">
        <v>0</v>
      </c>
      <c r="S948" t="b">
        <v>1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1</v>
      </c>
      <c r="AA948" t="b">
        <v>0</v>
      </c>
      <c r="AB948" t="s">
        <v>4117</v>
      </c>
      <c r="AC948" t="s">
        <v>9479</v>
      </c>
    </row>
    <row r="949" spans="1:29" x14ac:dyDescent="0.3">
      <c r="A949">
        <v>-73.952864860000005</v>
      </c>
      <c r="B949">
        <v>40.77010215</v>
      </c>
      <c r="C949" t="s">
        <v>372</v>
      </c>
      <c r="D949" t="s">
        <v>38</v>
      </c>
      <c r="E949" s="58">
        <v>43389</v>
      </c>
      <c r="F949">
        <v>25</v>
      </c>
      <c r="G949" t="s">
        <v>48</v>
      </c>
      <c r="H949" t="s">
        <v>42</v>
      </c>
      <c r="I949" t="s">
        <v>59</v>
      </c>
      <c r="J949" t="s">
        <v>54</v>
      </c>
      <c r="K949" t="s">
        <v>4317</v>
      </c>
      <c r="L949" t="s">
        <v>65</v>
      </c>
      <c r="M949" t="b">
        <v>0</v>
      </c>
      <c r="N949" t="s">
        <v>1879</v>
      </c>
      <c r="O949" t="b">
        <v>1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1</v>
      </c>
      <c r="AA949" t="b">
        <v>0</v>
      </c>
      <c r="AB949" t="s">
        <v>121</v>
      </c>
      <c r="AC949" t="s">
        <v>9480</v>
      </c>
    </row>
    <row r="950" spans="1:29" x14ac:dyDescent="0.3">
      <c r="A950">
        <v>-73.953686259999998</v>
      </c>
      <c r="B950">
        <v>40.776465629999997</v>
      </c>
      <c r="C950" t="s">
        <v>200</v>
      </c>
      <c r="D950" t="s">
        <v>33</v>
      </c>
      <c r="E950" s="58">
        <v>43387</v>
      </c>
      <c r="F950">
        <v>4</v>
      </c>
      <c r="G950" t="s">
        <v>105</v>
      </c>
      <c r="H950" t="s">
        <v>42</v>
      </c>
      <c r="I950" t="s">
        <v>59</v>
      </c>
      <c r="J950" t="s">
        <v>43</v>
      </c>
      <c r="K950" t="s">
        <v>6737</v>
      </c>
      <c r="L950" t="s">
        <v>44</v>
      </c>
      <c r="M950">
        <v>8</v>
      </c>
      <c r="N950" t="s">
        <v>190</v>
      </c>
      <c r="O950" t="b">
        <v>0</v>
      </c>
      <c r="P950" t="b">
        <v>0</v>
      </c>
      <c r="Q950" t="b">
        <v>1</v>
      </c>
      <c r="R950" t="b">
        <v>1</v>
      </c>
      <c r="S950" t="b">
        <v>1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1</v>
      </c>
      <c r="AA950" t="b">
        <v>0</v>
      </c>
      <c r="AB950" t="s">
        <v>4031</v>
      </c>
      <c r="AC950" t="s">
        <v>9481</v>
      </c>
    </row>
    <row r="951" spans="1:29" x14ac:dyDescent="0.3">
      <c r="A951">
        <v>-73.96237782</v>
      </c>
      <c r="B951">
        <v>40.780191559999999</v>
      </c>
      <c r="C951" t="s">
        <v>827</v>
      </c>
      <c r="D951" t="s">
        <v>33</v>
      </c>
      <c r="E951" s="58">
        <v>43391</v>
      </c>
      <c r="F951">
        <v>18</v>
      </c>
      <c r="G951" t="s">
        <v>48</v>
      </c>
      <c r="H951" t="s">
        <v>42</v>
      </c>
      <c r="I951" t="s">
        <v>53</v>
      </c>
      <c r="J951" t="s">
        <v>43</v>
      </c>
      <c r="K951" t="s">
        <v>3028</v>
      </c>
      <c r="L951" t="s">
        <v>65</v>
      </c>
      <c r="M951" t="b">
        <v>0</v>
      </c>
      <c r="N951" t="s">
        <v>3200</v>
      </c>
      <c r="O951" t="b">
        <v>0</v>
      </c>
      <c r="P951" t="b">
        <v>0</v>
      </c>
      <c r="Q951" t="b">
        <v>0</v>
      </c>
      <c r="R951" t="b">
        <v>0</v>
      </c>
      <c r="S951" t="b">
        <v>1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s">
        <v>3474</v>
      </c>
      <c r="AC951" t="s">
        <v>9482</v>
      </c>
    </row>
    <row r="952" spans="1:29" x14ac:dyDescent="0.3">
      <c r="A952">
        <v>-73.962280239999998</v>
      </c>
      <c r="B952">
        <v>40.768030099999997</v>
      </c>
      <c r="C952" t="s">
        <v>2889</v>
      </c>
      <c r="D952" t="s">
        <v>33</v>
      </c>
      <c r="E952" s="58">
        <v>43384</v>
      </c>
      <c r="F952">
        <v>5</v>
      </c>
      <c r="G952" t="s">
        <v>48</v>
      </c>
      <c r="H952" t="s">
        <v>42</v>
      </c>
      <c r="I952" t="s">
        <v>59</v>
      </c>
      <c r="J952" t="s">
        <v>43</v>
      </c>
      <c r="K952" t="s">
        <v>1843</v>
      </c>
      <c r="L952" t="s">
        <v>44</v>
      </c>
      <c r="M952">
        <v>40</v>
      </c>
      <c r="N952" t="s">
        <v>3101</v>
      </c>
      <c r="O952" t="b">
        <v>1</v>
      </c>
      <c r="P952" t="b">
        <v>0</v>
      </c>
      <c r="Q952" t="b">
        <v>0</v>
      </c>
      <c r="R952" t="b">
        <v>0</v>
      </c>
      <c r="S952" t="b">
        <v>1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1</v>
      </c>
      <c r="AA952" t="b">
        <v>0</v>
      </c>
      <c r="AB952" t="s">
        <v>2194</v>
      </c>
      <c r="AC952" t="s">
        <v>9483</v>
      </c>
    </row>
    <row r="953" spans="1:29" x14ac:dyDescent="0.3">
      <c r="A953">
        <v>-73.96025195</v>
      </c>
      <c r="B953">
        <v>40.772677940000001</v>
      </c>
      <c r="C953" t="s">
        <v>1270</v>
      </c>
      <c r="D953" t="s">
        <v>38</v>
      </c>
      <c r="E953" s="58">
        <v>43384</v>
      </c>
      <c r="F953">
        <v>19</v>
      </c>
      <c r="G953" t="s">
        <v>48</v>
      </c>
      <c r="H953" t="s">
        <v>53</v>
      </c>
      <c r="I953" t="s">
        <v>96</v>
      </c>
      <c r="J953" t="s">
        <v>43</v>
      </c>
      <c r="K953" t="s">
        <v>1381</v>
      </c>
      <c r="L953" t="s">
        <v>44</v>
      </c>
      <c r="M953">
        <v>15</v>
      </c>
      <c r="N953" t="s">
        <v>1985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1</v>
      </c>
      <c r="X953" t="b">
        <v>0</v>
      </c>
      <c r="Y953" t="b">
        <v>1</v>
      </c>
      <c r="Z953" t="b">
        <v>0</v>
      </c>
      <c r="AA953" t="b">
        <v>0</v>
      </c>
      <c r="AB953" t="s">
        <v>1222</v>
      </c>
      <c r="AC953" t="s">
        <v>9484</v>
      </c>
    </row>
    <row r="954" spans="1:29" x14ac:dyDescent="0.3">
      <c r="A954">
        <v>-73.975645470000003</v>
      </c>
      <c r="B954">
        <v>40.785972889999996</v>
      </c>
      <c r="C954" t="s">
        <v>172</v>
      </c>
      <c r="D954" t="s">
        <v>38</v>
      </c>
      <c r="E954" s="58">
        <v>43391</v>
      </c>
      <c r="F954">
        <v>2</v>
      </c>
      <c r="G954" t="s">
        <v>48</v>
      </c>
      <c r="H954" t="s">
        <v>42</v>
      </c>
      <c r="I954" t="s">
        <v>59</v>
      </c>
      <c r="J954" t="s">
        <v>43</v>
      </c>
      <c r="K954" t="s">
        <v>1381</v>
      </c>
      <c r="L954" t="s">
        <v>65</v>
      </c>
      <c r="M954" t="b">
        <v>0</v>
      </c>
      <c r="N954" t="s">
        <v>348</v>
      </c>
      <c r="O954" t="b">
        <v>0</v>
      </c>
      <c r="P954" t="b">
        <v>0</v>
      </c>
      <c r="Q954" t="b">
        <v>1</v>
      </c>
      <c r="R954" t="b">
        <v>0</v>
      </c>
      <c r="S954" t="b">
        <v>1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s">
        <v>1203</v>
      </c>
      <c r="AC954" t="s">
        <v>9485</v>
      </c>
    </row>
    <row r="955" spans="1:29" x14ac:dyDescent="0.3">
      <c r="A955">
        <v>-73.952412379999998</v>
      </c>
      <c r="B955">
        <v>40.790811779999999</v>
      </c>
      <c r="C955" t="s">
        <v>879</v>
      </c>
      <c r="D955" t="s">
        <v>33</v>
      </c>
      <c r="E955" s="58">
        <v>43389</v>
      </c>
      <c r="F955">
        <v>12</v>
      </c>
      <c r="G955" t="s">
        <v>48</v>
      </c>
      <c r="H955" t="s">
        <v>42</v>
      </c>
      <c r="I955" t="s">
        <v>59</v>
      </c>
      <c r="J955" t="s">
        <v>89</v>
      </c>
      <c r="K955" t="s">
        <v>531</v>
      </c>
      <c r="L955" t="s">
        <v>44</v>
      </c>
      <c r="M955">
        <v>30</v>
      </c>
      <c r="N955" t="s">
        <v>3185</v>
      </c>
      <c r="O955" t="b">
        <v>0</v>
      </c>
      <c r="P955" t="b">
        <v>0</v>
      </c>
      <c r="Q955" t="b">
        <v>0</v>
      </c>
      <c r="R955" t="b">
        <v>0</v>
      </c>
      <c r="S955" t="b">
        <v>1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s">
        <v>845</v>
      </c>
      <c r="AC955" t="s">
        <v>9486</v>
      </c>
    </row>
    <row r="956" spans="1:29" x14ac:dyDescent="0.3">
      <c r="A956">
        <v>-73.967993770000007</v>
      </c>
      <c r="B956">
        <v>40.800060340000002</v>
      </c>
      <c r="C956" t="s">
        <v>2440</v>
      </c>
      <c r="D956" t="s">
        <v>33</v>
      </c>
      <c r="E956" s="58">
        <v>43392</v>
      </c>
      <c r="F956">
        <v>17</v>
      </c>
      <c r="G956" t="s">
        <v>48</v>
      </c>
      <c r="H956" t="s">
        <v>42</v>
      </c>
      <c r="I956" t="s">
        <v>59</v>
      </c>
      <c r="J956" t="s">
        <v>43</v>
      </c>
      <c r="K956" t="s">
        <v>1896</v>
      </c>
      <c r="L956" t="s">
        <v>65</v>
      </c>
      <c r="M956" t="b">
        <v>0</v>
      </c>
      <c r="N956" t="s">
        <v>1702</v>
      </c>
      <c r="O956" t="b">
        <v>0</v>
      </c>
      <c r="P956" t="b">
        <v>0</v>
      </c>
      <c r="Q956" t="b">
        <v>0</v>
      </c>
      <c r="R956" t="b">
        <v>0</v>
      </c>
      <c r="S956" t="b">
        <v>1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s">
        <v>2962</v>
      </c>
      <c r="AC956" t="s">
        <v>9487</v>
      </c>
    </row>
    <row r="957" spans="1:29" x14ac:dyDescent="0.3">
      <c r="A957">
        <v>-73.969113930000006</v>
      </c>
      <c r="B957">
        <v>40.797763580000002</v>
      </c>
      <c r="C957" t="s">
        <v>1103</v>
      </c>
      <c r="D957" t="s">
        <v>38</v>
      </c>
      <c r="E957" s="58">
        <v>43380</v>
      </c>
      <c r="F957">
        <v>10</v>
      </c>
      <c r="G957" t="s">
        <v>48</v>
      </c>
      <c r="H957" t="s">
        <v>42</v>
      </c>
      <c r="I957" t="s">
        <v>42</v>
      </c>
      <c r="J957" t="s">
        <v>79</v>
      </c>
      <c r="K957" t="s">
        <v>700</v>
      </c>
      <c r="L957" t="s">
        <v>44</v>
      </c>
      <c r="M957">
        <v>10</v>
      </c>
      <c r="N957" t="s">
        <v>1311</v>
      </c>
      <c r="O957" t="b">
        <v>0</v>
      </c>
      <c r="P957" t="b">
        <v>1</v>
      </c>
      <c r="Q957" t="b">
        <v>1</v>
      </c>
      <c r="R957" t="b">
        <v>1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s">
        <v>4781</v>
      </c>
      <c r="AC957" t="s">
        <v>9488</v>
      </c>
    </row>
    <row r="958" spans="1:29" x14ac:dyDescent="0.3">
      <c r="A958">
        <v>-73.964845460000006</v>
      </c>
      <c r="B958">
        <v>40.787534010000002</v>
      </c>
      <c r="C958" t="s">
        <v>704</v>
      </c>
      <c r="D958" t="s">
        <v>38</v>
      </c>
      <c r="E958" s="58">
        <v>43386</v>
      </c>
      <c r="F958">
        <v>2</v>
      </c>
      <c r="G958" t="s">
        <v>48</v>
      </c>
      <c r="H958" t="s">
        <v>42</v>
      </c>
      <c r="I958" t="s">
        <v>59</v>
      </c>
      <c r="J958" t="s">
        <v>43</v>
      </c>
      <c r="K958" t="s">
        <v>4308</v>
      </c>
      <c r="L958" t="s">
        <v>65</v>
      </c>
      <c r="M958" t="b">
        <v>0</v>
      </c>
      <c r="N958" t="s">
        <v>6618</v>
      </c>
      <c r="O958" t="b">
        <v>1</v>
      </c>
      <c r="P958" t="b">
        <v>0</v>
      </c>
      <c r="Q958" t="b">
        <v>0</v>
      </c>
      <c r="R958" t="b">
        <v>0</v>
      </c>
      <c r="S958" t="b">
        <v>1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1</v>
      </c>
      <c r="AA958" t="b">
        <v>0</v>
      </c>
      <c r="AB958" t="s">
        <v>6042</v>
      </c>
      <c r="AC958" t="s">
        <v>9489</v>
      </c>
    </row>
    <row r="959" spans="1:29" x14ac:dyDescent="0.3">
      <c r="A959">
        <v>-73.979682120000007</v>
      </c>
      <c r="B959">
        <v>40.779741909999998</v>
      </c>
      <c r="C959" t="s">
        <v>1240</v>
      </c>
      <c r="D959" t="s">
        <v>33</v>
      </c>
      <c r="E959" s="58">
        <v>43381</v>
      </c>
      <c r="F959">
        <v>6</v>
      </c>
      <c r="G959" t="s">
        <v>48</v>
      </c>
      <c r="H959" t="s">
        <v>42</v>
      </c>
      <c r="I959" t="s">
        <v>42</v>
      </c>
      <c r="J959" t="s">
        <v>60</v>
      </c>
      <c r="K959" t="s">
        <v>1381</v>
      </c>
      <c r="L959" t="s">
        <v>65</v>
      </c>
      <c r="M959" t="b">
        <v>0</v>
      </c>
      <c r="N959" t="s">
        <v>1582</v>
      </c>
      <c r="O959" t="b">
        <v>0</v>
      </c>
      <c r="P959" t="b">
        <v>0</v>
      </c>
      <c r="Q959" t="b">
        <v>0</v>
      </c>
      <c r="R959" t="b">
        <v>0</v>
      </c>
      <c r="S959" t="b">
        <v>1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1</v>
      </c>
      <c r="AA959" t="b">
        <v>1</v>
      </c>
      <c r="AB959" t="s">
        <v>4031</v>
      </c>
      <c r="AC959" t="s">
        <v>9490</v>
      </c>
    </row>
    <row r="960" spans="1:29" x14ac:dyDescent="0.3">
      <c r="A960">
        <v>-73.975931160000002</v>
      </c>
      <c r="B960">
        <v>40.787309110000002</v>
      </c>
      <c r="C960" t="s">
        <v>689</v>
      </c>
      <c r="D960" t="s">
        <v>33</v>
      </c>
      <c r="E960" s="58">
        <v>43385</v>
      </c>
      <c r="F960">
        <v>8</v>
      </c>
      <c r="G960" t="s">
        <v>48</v>
      </c>
      <c r="H960" t="s">
        <v>53</v>
      </c>
      <c r="I960" t="s">
        <v>96</v>
      </c>
      <c r="J960" t="s">
        <v>54</v>
      </c>
      <c r="K960" t="s">
        <v>6623</v>
      </c>
      <c r="L960" t="s">
        <v>44</v>
      </c>
      <c r="M960">
        <v>4</v>
      </c>
      <c r="N960" t="s">
        <v>2877</v>
      </c>
      <c r="O960" t="b">
        <v>0</v>
      </c>
      <c r="P960" t="b">
        <v>0</v>
      </c>
      <c r="Q960" t="b">
        <v>0</v>
      </c>
      <c r="R960" t="b">
        <v>0</v>
      </c>
      <c r="S960" t="b">
        <v>1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s">
        <v>1367</v>
      </c>
      <c r="AC960" t="s">
        <v>9491</v>
      </c>
    </row>
    <row r="961" spans="1:29" x14ac:dyDescent="0.3">
      <c r="A961">
        <v>-73.957957160000007</v>
      </c>
      <c r="B961">
        <v>40.792571770000002</v>
      </c>
      <c r="C961" t="s">
        <v>1133</v>
      </c>
      <c r="D961" t="s">
        <v>33</v>
      </c>
      <c r="E961" s="58">
        <v>43383</v>
      </c>
      <c r="F961">
        <v>29</v>
      </c>
      <c r="G961" t="s">
        <v>48</v>
      </c>
      <c r="H961" t="s">
        <v>42</v>
      </c>
      <c r="I961" t="s">
        <v>59</v>
      </c>
      <c r="J961" t="s">
        <v>54</v>
      </c>
      <c r="K961" t="s">
        <v>1381</v>
      </c>
      <c r="L961" t="s">
        <v>65</v>
      </c>
      <c r="M961" t="b">
        <v>0</v>
      </c>
      <c r="N961" t="s">
        <v>3931</v>
      </c>
      <c r="O961" t="b">
        <v>0</v>
      </c>
      <c r="P961" t="b">
        <v>1</v>
      </c>
      <c r="Q961" t="b">
        <v>0</v>
      </c>
      <c r="R961" t="b">
        <v>0</v>
      </c>
      <c r="S961" t="b">
        <v>1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1</v>
      </c>
      <c r="AA961" t="b">
        <v>0</v>
      </c>
      <c r="AB961" t="s">
        <v>5720</v>
      </c>
      <c r="AC961" t="s">
        <v>9492</v>
      </c>
    </row>
    <row r="962" spans="1:29" x14ac:dyDescent="0.3">
      <c r="A962">
        <v>-73.978555650000004</v>
      </c>
      <c r="B962">
        <v>40.769077029999998</v>
      </c>
      <c r="C962" t="s">
        <v>235</v>
      </c>
      <c r="D962" t="s">
        <v>38</v>
      </c>
      <c r="E962" s="58">
        <v>43381</v>
      </c>
      <c r="F962">
        <v>19</v>
      </c>
      <c r="G962" t="s">
        <v>48</v>
      </c>
      <c r="H962" t="s">
        <v>42</v>
      </c>
      <c r="I962" t="s">
        <v>53</v>
      </c>
      <c r="J962" t="s">
        <v>54</v>
      </c>
      <c r="K962" t="s">
        <v>4381</v>
      </c>
      <c r="L962" t="s">
        <v>65</v>
      </c>
      <c r="M962" t="b">
        <v>0</v>
      </c>
      <c r="N962" t="s">
        <v>4504</v>
      </c>
      <c r="O962" t="b">
        <v>0</v>
      </c>
      <c r="P962" t="b">
        <v>0</v>
      </c>
      <c r="Q962" t="b">
        <v>0</v>
      </c>
      <c r="R962" t="b">
        <v>0</v>
      </c>
      <c r="S962" t="b">
        <v>1</v>
      </c>
      <c r="T962" t="b">
        <v>0</v>
      </c>
      <c r="U962" t="b">
        <v>0</v>
      </c>
      <c r="V962" t="b">
        <v>0</v>
      </c>
      <c r="W962" t="b">
        <v>0</v>
      </c>
      <c r="X962" t="b">
        <v>1</v>
      </c>
      <c r="Y962" t="b">
        <v>0</v>
      </c>
      <c r="Z962" t="b">
        <v>0</v>
      </c>
      <c r="AA962" t="b">
        <v>1</v>
      </c>
      <c r="AB962" t="s">
        <v>2768</v>
      </c>
      <c r="AC962" t="s">
        <v>9493</v>
      </c>
    </row>
    <row r="963" spans="1:29" x14ac:dyDescent="0.3">
      <c r="A963">
        <v>-73.962197399999994</v>
      </c>
      <c r="B963">
        <v>40.779342540000002</v>
      </c>
      <c r="C963" t="s">
        <v>1245</v>
      </c>
      <c r="D963" t="s">
        <v>33</v>
      </c>
      <c r="E963" s="58">
        <v>43379</v>
      </c>
      <c r="F963">
        <v>11</v>
      </c>
      <c r="G963" t="s">
        <v>48</v>
      </c>
      <c r="H963" t="s">
        <v>42</v>
      </c>
      <c r="I963" t="s">
        <v>59</v>
      </c>
      <c r="J963" t="s">
        <v>54</v>
      </c>
      <c r="K963" t="s">
        <v>49</v>
      </c>
      <c r="L963" t="s">
        <v>65</v>
      </c>
      <c r="M963" t="b">
        <v>0</v>
      </c>
      <c r="N963" t="s">
        <v>748</v>
      </c>
      <c r="O963" t="b">
        <v>0</v>
      </c>
      <c r="P963" t="b">
        <v>0</v>
      </c>
      <c r="Q963" t="b">
        <v>0</v>
      </c>
      <c r="R963" t="b">
        <v>1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s">
        <v>2713</v>
      </c>
      <c r="AC963" t="s">
        <v>9494</v>
      </c>
    </row>
    <row r="964" spans="1:29" x14ac:dyDescent="0.3">
      <c r="A964">
        <v>-73.973445589999997</v>
      </c>
      <c r="B964">
        <v>40.794478300000002</v>
      </c>
      <c r="C964" t="s">
        <v>870</v>
      </c>
      <c r="D964" t="s">
        <v>33</v>
      </c>
      <c r="E964" s="58">
        <v>43386</v>
      </c>
      <c r="F964">
        <v>25</v>
      </c>
      <c r="G964" t="s">
        <v>48</v>
      </c>
      <c r="H964" t="s">
        <v>42</v>
      </c>
      <c r="I964" t="s">
        <v>96</v>
      </c>
      <c r="J964" t="s">
        <v>79</v>
      </c>
      <c r="K964" t="s">
        <v>6633</v>
      </c>
      <c r="L964" t="s">
        <v>65</v>
      </c>
      <c r="M964" t="b">
        <v>0</v>
      </c>
      <c r="N964" t="s">
        <v>2032</v>
      </c>
      <c r="O964" t="b">
        <v>0</v>
      </c>
      <c r="P964" t="b">
        <v>0</v>
      </c>
      <c r="Q964" t="b">
        <v>1</v>
      </c>
      <c r="R964" t="b">
        <v>0</v>
      </c>
      <c r="S964" t="b">
        <v>1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1</v>
      </c>
      <c r="AA964" t="b">
        <v>0</v>
      </c>
      <c r="AB964" t="s">
        <v>6487</v>
      </c>
      <c r="AC964" t="s">
        <v>9495</v>
      </c>
    </row>
    <row r="965" spans="1:29" x14ac:dyDescent="0.3">
      <c r="A965">
        <v>-73.968920370000006</v>
      </c>
      <c r="B965">
        <v>40.778424600000001</v>
      </c>
      <c r="C965" t="s">
        <v>5232</v>
      </c>
      <c r="D965" t="s">
        <v>38</v>
      </c>
      <c r="E965" s="58">
        <v>43381</v>
      </c>
      <c r="F965">
        <v>12</v>
      </c>
      <c r="G965" t="s">
        <v>48</v>
      </c>
      <c r="H965" t="s">
        <v>176</v>
      </c>
      <c r="I965" t="s">
        <v>53</v>
      </c>
      <c r="J965" t="s">
        <v>43</v>
      </c>
      <c r="K965" t="s">
        <v>6367</v>
      </c>
      <c r="L965" t="s">
        <v>65</v>
      </c>
      <c r="M965" t="b">
        <v>0</v>
      </c>
      <c r="N965" t="s">
        <v>2833</v>
      </c>
      <c r="O965" t="b">
        <v>1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s">
        <v>1288</v>
      </c>
      <c r="AC965" t="s">
        <v>9496</v>
      </c>
    </row>
    <row r="966" spans="1:29" x14ac:dyDescent="0.3">
      <c r="A966">
        <v>-73.972082970000002</v>
      </c>
      <c r="B966">
        <v>40.785045060000002</v>
      </c>
      <c r="C966" t="s">
        <v>1165</v>
      </c>
      <c r="D966" t="s">
        <v>33</v>
      </c>
      <c r="E966" s="58">
        <v>43380</v>
      </c>
      <c r="F966">
        <v>9</v>
      </c>
      <c r="G966" t="s">
        <v>48</v>
      </c>
      <c r="H966" t="s">
        <v>42</v>
      </c>
      <c r="I966" t="s">
        <v>59</v>
      </c>
      <c r="J966" t="s">
        <v>2942</v>
      </c>
      <c r="K966" t="s">
        <v>3758</v>
      </c>
      <c r="L966" t="s">
        <v>44</v>
      </c>
      <c r="M966">
        <v>7</v>
      </c>
      <c r="N966" t="s">
        <v>2996</v>
      </c>
      <c r="O966" t="b">
        <v>1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1</v>
      </c>
      <c r="X966" t="b">
        <v>1</v>
      </c>
      <c r="Y966" t="b">
        <v>0</v>
      </c>
      <c r="Z966" t="b">
        <v>0</v>
      </c>
      <c r="AA966" t="b">
        <v>0</v>
      </c>
      <c r="AB966" t="s">
        <v>1029</v>
      </c>
      <c r="AC966" t="s">
        <v>9497</v>
      </c>
    </row>
    <row r="967" spans="1:29" x14ac:dyDescent="0.3">
      <c r="A967">
        <v>-73.969977360000001</v>
      </c>
      <c r="B967">
        <v>40.785604759999998</v>
      </c>
      <c r="C967" t="s">
        <v>1404</v>
      </c>
      <c r="D967" t="s">
        <v>38</v>
      </c>
      <c r="E967" s="58">
        <v>43379</v>
      </c>
      <c r="F967">
        <v>2</v>
      </c>
      <c r="G967" t="s">
        <v>48</v>
      </c>
      <c r="H967" t="s">
        <v>42</v>
      </c>
      <c r="I967" t="s">
        <v>96</v>
      </c>
      <c r="J967" t="s">
        <v>54</v>
      </c>
      <c r="K967" t="s">
        <v>3883</v>
      </c>
      <c r="L967" t="s">
        <v>65</v>
      </c>
      <c r="M967" t="b">
        <v>0</v>
      </c>
      <c r="N967" t="s">
        <v>4406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1</v>
      </c>
      <c r="Y967" t="b">
        <v>0</v>
      </c>
      <c r="Z967" t="b">
        <v>1</v>
      </c>
      <c r="AA967" t="b">
        <v>0</v>
      </c>
      <c r="AB967" t="s">
        <v>1264</v>
      </c>
      <c r="AC967" t="s">
        <v>9498</v>
      </c>
    </row>
    <row r="968" spans="1:29" x14ac:dyDescent="0.3">
      <c r="A968">
        <v>-73.958554070000005</v>
      </c>
      <c r="B968">
        <v>40.771405680000001</v>
      </c>
      <c r="C968" t="s">
        <v>704</v>
      </c>
      <c r="D968" t="s">
        <v>33</v>
      </c>
      <c r="E968" s="58">
        <v>43382</v>
      </c>
      <c r="F968">
        <v>8</v>
      </c>
      <c r="G968" t="s">
        <v>48</v>
      </c>
      <c r="H968" t="s">
        <v>42</v>
      </c>
      <c r="I968" t="s">
        <v>53</v>
      </c>
      <c r="J968" t="s">
        <v>54</v>
      </c>
      <c r="K968" t="s">
        <v>1381</v>
      </c>
      <c r="L968" t="s">
        <v>65</v>
      </c>
      <c r="M968" t="b">
        <v>0</v>
      </c>
      <c r="N968" t="s">
        <v>456</v>
      </c>
      <c r="O968" t="b">
        <v>0</v>
      </c>
      <c r="P968" t="b">
        <v>0</v>
      </c>
      <c r="Q968" t="b">
        <v>0</v>
      </c>
      <c r="R968" t="b">
        <v>1</v>
      </c>
      <c r="S968" t="b">
        <v>1</v>
      </c>
      <c r="T968" t="b">
        <v>0</v>
      </c>
      <c r="U968" t="b">
        <v>0</v>
      </c>
      <c r="V968" t="b">
        <v>0</v>
      </c>
      <c r="W968" t="b">
        <v>0</v>
      </c>
      <c r="X968" t="b">
        <v>1</v>
      </c>
      <c r="Y968" t="b">
        <v>0</v>
      </c>
      <c r="Z968" t="b">
        <v>0</v>
      </c>
      <c r="AA968" t="b">
        <v>0</v>
      </c>
      <c r="AB968" t="s">
        <v>4194</v>
      </c>
      <c r="AC968" t="s">
        <v>9499</v>
      </c>
    </row>
    <row r="969" spans="1:29" x14ac:dyDescent="0.3">
      <c r="A969">
        <v>-73.971818020000001</v>
      </c>
      <c r="B969">
        <v>40.777664199999997</v>
      </c>
      <c r="C969" t="s">
        <v>1759</v>
      </c>
      <c r="D969" t="s">
        <v>33</v>
      </c>
      <c r="E969" s="58">
        <v>43391</v>
      </c>
      <c r="F969">
        <v>26</v>
      </c>
      <c r="G969" t="s">
        <v>48</v>
      </c>
      <c r="H969" t="s">
        <v>42</v>
      </c>
      <c r="I969" t="s">
        <v>59</v>
      </c>
      <c r="J969" t="s">
        <v>97</v>
      </c>
      <c r="K969" t="s">
        <v>7359</v>
      </c>
      <c r="L969" t="s">
        <v>65</v>
      </c>
      <c r="M969" t="b">
        <v>0</v>
      </c>
      <c r="N969" t="s">
        <v>4030</v>
      </c>
      <c r="O969" t="b">
        <v>0</v>
      </c>
      <c r="P969" t="b">
        <v>0</v>
      </c>
      <c r="Q969" t="b">
        <v>1</v>
      </c>
      <c r="R969" t="b">
        <v>0</v>
      </c>
      <c r="S969" t="b">
        <v>1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1</v>
      </c>
      <c r="AB969" t="s">
        <v>445</v>
      </c>
      <c r="AC969" t="s">
        <v>9500</v>
      </c>
    </row>
    <row r="970" spans="1:29" x14ac:dyDescent="0.3">
      <c r="A970">
        <v>-73.963352619999995</v>
      </c>
      <c r="B970">
        <v>40.77668809</v>
      </c>
      <c r="C970" t="s">
        <v>2046</v>
      </c>
      <c r="D970" t="s">
        <v>38</v>
      </c>
      <c r="E970" s="58">
        <v>43386</v>
      </c>
      <c r="F970">
        <v>11</v>
      </c>
      <c r="G970" t="s">
        <v>48</v>
      </c>
      <c r="H970" t="s">
        <v>42</v>
      </c>
      <c r="I970" t="s">
        <v>53</v>
      </c>
      <c r="J970" t="s">
        <v>54</v>
      </c>
      <c r="K970" t="s">
        <v>6214</v>
      </c>
      <c r="L970" t="s">
        <v>65</v>
      </c>
      <c r="M970" t="b">
        <v>0</v>
      </c>
      <c r="N970" t="s">
        <v>190</v>
      </c>
      <c r="O970" t="b">
        <v>0</v>
      </c>
      <c r="P970" t="b">
        <v>0</v>
      </c>
      <c r="Q970" t="b">
        <v>0</v>
      </c>
      <c r="R970" t="b">
        <v>0</v>
      </c>
      <c r="S970" t="b">
        <v>1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1</v>
      </c>
      <c r="AA970" t="b">
        <v>0</v>
      </c>
      <c r="AB970" t="s">
        <v>2916</v>
      </c>
      <c r="AC970" t="s">
        <v>9501</v>
      </c>
    </row>
    <row r="971" spans="1:29" x14ac:dyDescent="0.3">
      <c r="A971">
        <v>-73.966193070000003</v>
      </c>
      <c r="B971">
        <v>40.765833000000001</v>
      </c>
      <c r="C971" t="s">
        <v>139</v>
      </c>
      <c r="D971" t="s">
        <v>33</v>
      </c>
      <c r="E971" s="58">
        <v>43391</v>
      </c>
      <c r="F971">
        <v>28</v>
      </c>
      <c r="G971" t="s">
        <v>48</v>
      </c>
      <c r="H971" t="s">
        <v>42</v>
      </c>
      <c r="I971" t="s">
        <v>53</v>
      </c>
      <c r="J971" t="s">
        <v>89</v>
      </c>
      <c r="K971" t="s">
        <v>6367</v>
      </c>
      <c r="L971" t="s">
        <v>44</v>
      </c>
      <c r="M971">
        <v>30</v>
      </c>
      <c r="N971" t="s">
        <v>190</v>
      </c>
      <c r="O971" t="b">
        <v>0</v>
      </c>
      <c r="P971" t="b">
        <v>0</v>
      </c>
      <c r="Q971" t="b">
        <v>0</v>
      </c>
      <c r="R971" t="b">
        <v>1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1</v>
      </c>
      <c r="Y971" t="b">
        <v>0</v>
      </c>
      <c r="Z971" t="b">
        <v>0</v>
      </c>
      <c r="AA971" t="b">
        <v>1</v>
      </c>
      <c r="AB971" t="s">
        <v>527</v>
      </c>
      <c r="AC971" t="s">
        <v>9502</v>
      </c>
    </row>
    <row r="972" spans="1:29" x14ac:dyDescent="0.3">
      <c r="A972">
        <v>-73.960294869999998</v>
      </c>
      <c r="B972">
        <v>40.765762410000001</v>
      </c>
      <c r="C972" t="s">
        <v>428</v>
      </c>
      <c r="D972" t="s">
        <v>38</v>
      </c>
      <c r="E972" s="58">
        <v>43381</v>
      </c>
      <c r="F972">
        <v>21</v>
      </c>
      <c r="G972" t="s">
        <v>48</v>
      </c>
      <c r="H972" t="s">
        <v>42</v>
      </c>
      <c r="I972" t="s">
        <v>96</v>
      </c>
      <c r="J972" t="s">
        <v>54</v>
      </c>
      <c r="K972" t="s">
        <v>3758</v>
      </c>
      <c r="L972" t="s">
        <v>44</v>
      </c>
      <c r="M972">
        <v>8</v>
      </c>
      <c r="N972" t="s">
        <v>6167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1</v>
      </c>
      <c r="AA972" t="b">
        <v>0</v>
      </c>
      <c r="AB972" t="s">
        <v>2713</v>
      </c>
      <c r="AC972" t="s">
        <v>9503</v>
      </c>
    </row>
    <row r="973" spans="1:29" x14ac:dyDescent="0.3">
      <c r="A973">
        <v>-73.951707639999995</v>
      </c>
      <c r="B973">
        <v>40.794192930000001</v>
      </c>
      <c r="C973" t="s">
        <v>286</v>
      </c>
      <c r="D973" t="s">
        <v>33</v>
      </c>
      <c r="E973" s="58">
        <v>43392</v>
      </c>
      <c r="F973">
        <v>4</v>
      </c>
      <c r="G973" t="s">
        <v>48</v>
      </c>
      <c r="H973" t="s">
        <v>53</v>
      </c>
      <c r="I973" t="s">
        <v>53</v>
      </c>
      <c r="J973" t="s">
        <v>97</v>
      </c>
      <c r="K973" t="s">
        <v>3152</v>
      </c>
      <c r="L973" t="s">
        <v>44</v>
      </c>
      <c r="M973">
        <v>15</v>
      </c>
      <c r="N973" t="s">
        <v>1494</v>
      </c>
      <c r="O973" t="b">
        <v>0</v>
      </c>
      <c r="P973" t="b">
        <v>0</v>
      </c>
      <c r="Q973" t="b">
        <v>0</v>
      </c>
      <c r="R973" t="b">
        <v>0</v>
      </c>
      <c r="S973" t="b">
        <v>1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s">
        <v>5241</v>
      </c>
      <c r="AC973" t="s">
        <v>9504</v>
      </c>
    </row>
    <row r="974" spans="1:29" x14ac:dyDescent="0.3">
      <c r="A974">
        <v>-73.958128849999994</v>
      </c>
      <c r="B974">
        <v>40.774524900000003</v>
      </c>
      <c r="C974" t="s">
        <v>514</v>
      </c>
      <c r="D974" t="s">
        <v>33</v>
      </c>
      <c r="E974" s="58">
        <v>43379</v>
      </c>
      <c r="F974">
        <v>10</v>
      </c>
      <c r="G974" t="s">
        <v>48</v>
      </c>
      <c r="H974" t="s">
        <v>42</v>
      </c>
      <c r="I974" t="s">
        <v>53</v>
      </c>
      <c r="J974" t="s">
        <v>43</v>
      </c>
      <c r="K974" t="s">
        <v>6367</v>
      </c>
      <c r="L974" t="s">
        <v>65</v>
      </c>
      <c r="M974" t="b">
        <v>0</v>
      </c>
      <c r="N974" t="s">
        <v>449</v>
      </c>
      <c r="O974" t="b">
        <v>1</v>
      </c>
      <c r="P974" t="b">
        <v>0</v>
      </c>
      <c r="Q974" t="b">
        <v>1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1</v>
      </c>
      <c r="AA974" t="b">
        <v>0</v>
      </c>
      <c r="AB974" t="s">
        <v>75</v>
      </c>
      <c r="AC974" t="s">
        <v>9505</v>
      </c>
    </row>
    <row r="975" spans="1:29" x14ac:dyDescent="0.3">
      <c r="A975">
        <v>-73.974401540000002</v>
      </c>
      <c r="B975">
        <v>40.783151109999999</v>
      </c>
      <c r="C975" t="s">
        <v>764</v>
      </c>
      <c r="D975" t="s">
        <v>38</v>
      </c>
      <c r="E975" s="58">
        <v>43382</v>
      </c>
      <c r="F975">
        <v>21</v>
      </c>
      <c r="G975" t="s">
        <v>48</v>
      </c>
      <c r="H975" t="s">
        <v>42</v>
      </c>
      <c r="I975" t="s">
        <v>42</v>
      </c>
      <c r="J975" t="s">
        <v>89</v>
      </c>
      <c r="K975" t="s">
        <v>1181</v>
      </c>
      <c r="L975" t="s">
        <v>65</v>
      </c>
      <c r="M975" t="b">
        <v>0</v>
      </c>
      <c r="N975" t="s">
        <v>1311</v>
      </c>
      <c r="O975" t="b">
        <v>0</v>
      </c>
      <c r="P975" t="b">
        <v>1</v>
      </c>
      <c r="Q975" t="b">
        <v>1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1</v>
      </c>
      <c r="X975" t="b">
        <v>0</v>
      </c>
      <c r="Y975" t="b">
        <v>0</v>
      </c>
      <c r="Z975" t="b">
        <v>0</v>
      </c>
      <c r="AA975" t="b">
        <v>0</v>
      </c>
      <c r="AB975" t="s">
        <v>3663</v>
      </c>
      <c r="AC975" t="s">
        <v>9506</v>
      </c>
    </row>
    <row r="976" spans="1:29" x14ac:dyDescent="0.3">
      <c r="A976">
        <v>-73.980178280000004</v>
      </c>
      <c r="B976">
        <v>40.775428150000003</v>
      </c>
      <c r="C976" t="s">
        <v>544</v>
      </c>
      <c r="D976" t="s">
        <v>33</v>
      </c>
      <c r="E976" s="58">
        <v>43387</v>
      </c>
      <c r="F976">
        <v>20</v>
      </c>
      <c r="G976" t="s">
        <v>48</v>
      </c>
      <c r="H976" t="s">
        <v>42</v>
      </c>
      <c r="I976" t="s">
        <v>53</v>
      </c>
      <c r="J976" t="s">
        <v>97</v>
      </c>
      <c r="K976" t="s">
        <v>2685</v>
      </c>
      <c r="L976" t="s">
        <v>44</v>
      </c>
      <c r="M976">
        <v>20</v>
      </c>
      <c r="N976" t="s">
        <v>1996</v>
      </c>
      <c r="O976" t="b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s">
        <v>4695</v>
      </c>
      <c r="AC976" t="s">
        <v>9507</v>
      </c>
    </row>
    <row r="977" spans="1:29" x14ac:dyDescent="0.3">
      <c r="A977">
        <v>-73.972913829999996</v>
      </c>
      <c r="B977">
        <v>40.798029960000001</v>
      </c>
      <c r="C977" t="s">
        <v>100</v>
      </c>
      <c r="D977" t="s">
        <v>38</v>
      </c>
      <c r="E977" s="58">
        <v>43391</v>
      </c>
      <c r="F977">
        <v>16</v>
      </c>
      <c r="G977" t="s">
        <v>48</v>
      </c>
      <c r="H977" t="s">
        <v>42</v>
      </c>
      <c r="I977" t="s">
        <v>148</v>
      </c>
      <c r="J977" t="s">
        <v>43</v>
      </c>
      <c r="K977" t="s">
        <v>1896</v>
      </c>
      <c r="L977" t="s">
        <v>44</v>
      </c>
      <c r="M977">
        <v>2</v>
      </c>
      <c r="N977" t="s">
        <v>348</v>
      </c>
      <c r="O977" t="b">
        <v>1</v>
      </c>
      <c r="P977" t="b">
        <v>0</v>
      </c>
      <c r="Q977" t="b">
        <v>0</v>
      </c>
      <c r="R977" t="b">
        <v>1</v>
      </c>
      <c r="S977" t="b">
        <v>1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1</v>
      </c>
      <c r="AB977" t="s">
        <v>445</v>
      </c>
      <c r="AC977" t="s">
        <v>9508</v>
      </c>
    </row>
    <row r="978" spans="1:29" x14ac:dyDescent="0.3">
      <c r="A978">
        <v>-73.962451229999999</v>
      </c>
      <c r="B978">
        <v>40.774039950000002</v>
      </c>
      <c r="C978" t="s">
        <v>281</v>
      </c>
      <c r="D978" t="s">
        <v>33</v>
      </c>
      <c r="E978" s="58">
        <v>43379</v>
      </c>
      <c r="F978">
        <v>8</v>
      </c>
      <c r="G978" t="s">
        <v>48</v>
      </c>
      <c r="H978" t="s">
        <v>42</v>
      </c>
      <c r="I978" t="s">
        <v>148</v>
      </c>
      <c r="J978" t="s">
        <v>43</v>
      </c>
      <c r="K978" t="s">
        <v>6725</v>
      </c>
      <c r="L978" t="s">
        <v>65</v>
      </c>
      <c r="M978" t="b">
        <v>0</v>
      </c>
      <c r="N978" t="s">
        <v>7250</v>
      </c>
      <c r="O978" t="b">
        <v>1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1</v>
      </c>
      <c r="Y978" t="b">
        <v>0</v>
      </c>
      <c r="Z978" t="b">
        <v>0</v>
      </c>
      <c r="AA978" t="b">
        <v>0</v>
      </c>
      <c r="AB978" t="s">
        <v>488</v>
      </c>
      <c r="AC978" t="s">
        <v>9509</v>
      </c>
    </row>
    <row r="979" spans="1:29" x14ac:dyDescent="0.3">
      <c r="A979">
        <v>-73.979541920000003</v>
      </c>
      <c r="B979">
        <v>40.780037960000001</v>
      </c>
      <c r="C979" t="s">
        <v>47</v>
      </c>
      <c r="D979" t="s">
        <v>33</v>
      </c>
      <c r="E979" s="58">
        <v>43390</v>
      </c>
      <c r="F979">
        <v>4</v>
      </c>
      <c r="G979" t="s">
        <v>48</v>
      </c>
      <c r="H979" t="s">
        <v>42</v>
      </c>
      <c r="I979" t="s">
        <v>53</v>
      </c>
      <c r="J979" t="s">
        <v>54</v>
      </c>
      <c r="K979" t="s">
        <v>3050</v>
      </c>
      <c r="L979" t="s">
        <v>65</v>
      </c>
      <c r="M979" t="b">
        <v>0</v>
      </c>
      <c r="N979" t="s">
        <v>7063</v>
      </c>
      <c r="O979" t="b">
        <v>0</v>
      </c>
      <c r="P979" t="b">
        <v>0</v>
      </c>
      <c r="Q979" t="b">
        <v>1</v>
      </c>
      <c r="R979" t="b">
        <v>0</v>
      </c>
      <c r="S979" t="b">
        <v>1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1</v>
      </c>
      <c r="AA979" t="b">
        <v>0</v>
      </c>
      <c r="AB979" t="s">
        <v>340</v>
      </c>
      <c r="AC979" t="s">
        <v>9510</v>
      </c>
    </row>
    <row r="980" spans="1:29" x14ac:dyDescent="0.3">
      <c r="A980">
        <v>-73.965554409999996</v>
      </c>
      <c r="B980">
        <v>40.795637620000001</v>
      </c>
      <c r="C980" t="s">
        <v>2011</v>
      </c>
      <c r="D980" t="s">
        <v>33</v>
      </c>
      <c r="E980" s="58">
        <v>43392</v>
      </c>
      <c r="F980">
        <v>29</v>
      </c>
      <c r="G980" t="s">
        <v>48</v>
      </c>
      <c r="H980" t="s">
        <v>42</v>
      </c>
      <c r="I980" t="s">
        <v>53</v>
      </c>
      <c r="J980" t="s">
        <v>339</v>
      </c>
      <c r="K980" t="s">
        <v>442</v>
      </c>
      <c r="L980" t="s">
        <v>44</v>
      </c>
      <c r="M980">
        <v>2</v>
      </c>
      <c r="N980" t="s">
        <v>2189</v>
      </c>
      <c r="O980" t="b">
        <v>1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1</v>
      </c>
      <c r="AB980" t="s">
        <v>4800</v>
      </c>
      <c r="AC980" t="s">
        <v>9511</v>
      </c>
    </row>
    <row r="981" spans="1:29" x14ac:dyDescent="0.3">
      <c r="A981">
        <v>-73.962395740000005</v>
      </c>
      <c r="B981">
        <v>40.79455334</v>
      </c>
      <c r="C981" t="s">
        <v>1451</v>
      </c>
      <c r="D981" t="s">
        <v>33</v>
      </c>
      <c r="E981" s="58">
        <v>43389</v>
      </c>
      <c r="F981">
        <v>10</v>
      </c>
      <c r="G981" t="s">
        <v>48</v>
      </c>
      <c r="H981" t="s">
        <v>42</v>
      </c>
      <c r="I981" t="s">
        <v>96</v>
      </c>
      <c r="J981" t="s">
        <v>43</v>
      </c>
      <c r="K981" t="s">
        <v>2517</v>
      </c>
      <c r="L981" t="s">
        <v>65</v>
      </c>
      <c r="M981" t="b">
        <v>0</v>
      </c>
      <c r="N981" t="s">
        <v>3458</v>
      </c>
      <c r="O981" t="b">
        <v>0</v>
      </c>
      <c r="P981" t="b">
        <v>0</v>
      </c>
      <c r="Q981" t="b">
        <v>0</v>
      </c>
      <c r="R981" t="b">
        <v>0</v>
      </c>
      <c r="S981" t="b">
        <v>1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1</v>
      </c>
      <c r="AB981" t="s">
        <v>2182</v>
      </c>
      <c r="AC981" t="s">
        <v>9512</v>
      </c>
    </row>
    <row r="982" spans="1:29" x14ac:dyDescent="0.3">
      <c r="A982">
        <v>-73.970651020000005</v>
      </c>
      <c r="B982">
        <v>40.771462900000003</v>
      </c>
      <c r="C982" t="s">
        <v>320</v>
      </c>
      <c r="D982" t="s">
        <v>38</v>
      </c>
      <c r="E982" s="58">
        <v>43380</v>
      </c>
      <c r="F982">
        <v>12</v>
      </c>
      <c r="G982" t="s">
        <v>48</v>
      </c>
      <c r="H982" t="s">
        <v>53</v>
      </c>
      <c r="I982" t="s">
        <v>59</v>
      </c>
      <c r="J982" t="s">
        <v>54</v>
      </c>
      <c r="K982" t="s">
        <v>4742</v>
      </c>
      <c r="L982" t="s">
        <v>65</v>
      </c>
      <c r="M982" t="b">
        <v>0</v>
      </c>
      <c r="N982" t="s">
        <v>120</v>
      </c>
      <c r="O982" t="b">
        <v>0</v>
      </c>
      <c r="P982" t="b">
        <v>1</v>
      </c>
      <c r="Q982" t="b">
        <v>0</v>
      </c>
      <c r="R982" t="b">
        <v>1</v>
      </c>
      <c r="S982" t="b">
        <v>1</v>
      </c>
      <c r="T982" t="b">
        <v>0</v>
      </c>
      <c r="U982" t="b">
        <v>0</v>
      </c>
      <c r="V982" t="b">
        <v>0</v>
      </c>
      <c r="W982" t="b">
        <v>0</v>
      </c>
      <c r="X982" t="b">
        <v>1</v>
      </c>
      <c r="Y982" t="b">
        <v>0</v>
      </c>
      <c r="Z982" t="b">
        <v>0</v>
      </c>
      <c r="AA982" t="b">
        <v>0</v>
      </c>
      <c r="AB982" t="s">
        <v>3888</v>
      </c>
      <c r="AC982" t="s">
        <v>9513</v>
      </c>
    </row>
    <row r="983" spans="1:29" x14ac:dyDescent="0.3">
      <c r="A983">
        <v>-73.956923560000007</v>
      </c>
      <c r="B983">
        <v>40.793170009999997</v>
      </c>
      <c r="C983" t="s">
        <v>232</v>
      </c>
      <c r="D983" t="s">
        <v>38</v>
      </c>
      <c r="E983" s="58">
        <v>43387</v>
      </c>
      <c r="F983">
        <v>29</v>
      </c>
      <c r="G983" t="s">
        <v>48</v>
      </c>
      <c r="H983" t="s">
        <v>42</v>
      </c>
      <c r="I983" t="s">
        <v>53</v>
      </c>
      <c r="J983" t="s">
        <v>43</v>
      </c>
      <c r="K983" t="s">
        <v>3341</v>
      </c>
      <c r="L983" t="s">
        <v>65</v>
      </c>
      <c r="M983" t="b">
        <v>0</v>
      </c>
      <c r="N983" t="s">
        <v>2902</v>
      </c>
      <c r="O983" t="b">
        <v>0</v>
      </c>
      <c r="P983" t="b">
        <v>0</v>
      </c>
      <c r="Q983" t="b">
        <v>1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1</v>
      </c>
      <c r="AA983" t="b">
        <v>0</v>
      </c>
      <c r="AB983" t="s">
        <v>3274</v>
      </c>
      <c r="AC983" t="s">
        <v>9514</v>
      </c>
    </row>
    <row r="984" spans="1:29" x14ac:dyDescent="0.3">
      <c r="A984">
        <v>-73.977807470000002</v>
      </c>
      <c r="B984">
        <v>40.78104244</v>
      </c>
      <c r="C984" t="s">
        <v>2011</v>
      </c>
      <c r="D984" t="s">
        <v>33</v>
      </c>
      <c r="E984" s="58">
        <v>43380</v>
      </c>
      <c r="F984">
        <v>14</v>
      </c>
      <c r="G984" t="s">
        <v>48</v>
      </c>
      <c r="H984" t="s">
        <v>42</v>
      </c>
      <c r="I984" t="s">
        <v>96</v>
      </c>
      <c r="J984" t="s">
        <v>54</v>
      </c>
      <c r="K984" t="s">
        <v>531</v>
      </c>
      <c r="L984" t="s">
        <v>65</v>
      </c>
      <c r="M984" t="b">
        <v>0</v>
      </c>
      <c r="N984" t="s">
        <v>456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1</v>
      </c>
      <c r="Z984" t="b">
        <v>0</v>
      </c>
      <c r="AA984" t="b">
        <v>0</v>
      </c>
      <c r="AB984" t="s">
        <v>991</v>
      </c>
      <c r="AC984" t="s">
        <v>9515</v>
      </c>
    </row>
    <row r="985" spans="1:29" x14ac:dyDescent="0.3">
      <c r="A985">
        <v>-73.978796489999993</v>
      </c>
      <c r="B985">
        <v>40.781914960000002</v>
      </c>
      <c r="C985" t="s">
        <v>1920</v>
      </c>
      <c r="D985" t="s">
        <v>33</v>
      </c>
      <c r="E985" s="58">
        <v>43391</v>
      </c>
      <c r="F985">
        <v>16</v>
      </c>
      <c r="G985" t="s">
        <v>48</v>
      </c>
      <c r="H985" t="s">
        <v>42</v>
      </c>
      <c r="I985" t="s">
        <v>53</v>
      </c>
      <c r="J985" t="s">
        <v>79</v>
      </c>
      <c r="K985" t="s">
        <v>1381</v>
      </c>
      <c r="L985" t="s">
        <v>65</v>
      </c>
      <c r="M985" t="b">
        <v>0</v>
      </c>
      <c r="N985" t="s">
        <v>3098</v>
      </c>
      <c r="O985" t="b">
        <v>0</v>
      </c>
      <c r="P985" t="b">
        <v>0</v>
      </c>
      <c r="Q985" t="b">
        <v>0</v>
      </c>
      <c r="R985" t="b">
        <v>0</v>
      </c>
      <c r="S985" t="b">
        <v>1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s">
        <v>3698</v>
      </c>
      <c r="AC985" t="s">
        <v>9516</v>
      </c>
    </row>
    <row r="986" spans="1:29" x14ac:dyDescent="0.3">
      <c r="A986">
        <v>-73.958266649999999</v>
      </c>
      <c r="B986">
        <v>40.769610210000003</v>
      </c>
      <c r="C986" t="s">
        <v>1112</v>
      </c>
      <c r="D986" t="s">
        <v>38</v>
      </c>
      <c r="E986" s="58">
        <v>43381</v>
      </c>
      <c r="F986">
        <v>22</v>
      </c>
      <c r="G986" t="s">
        <v>48</v>
      </c>
      <c r="H986" t="s">
        <v>42</v>
      </c>
      <c r="I986" t="s">
        <v>42</v>
      </c>
      <c r="J986" t="s">
        <v>34</v>
      </c>
      <c r="K986" t="s">
        <v>4594</v>
      </c>
      <c r="L986" t="s">
        <v>65</v>
      </c>
      <c r="M986" t="b">
        <v>0</v>
      </c>
      <c r="N986" t="s">
        <v>190</v>
      </c>
      <c r="O986" t="b">
        <v>0</v>
      </c>
      <c r="P986" t="b">
        <v>0</v>
      </c>
      <c r="Q986" t="b">
        <v>0</v>
      </c>
      <c r="R986" t="b">
        <v>0</v>
      </c>
      <c r="S986" t="b">
        <v>1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s">
        <v>4495</v>
      </c>
      <c r="AC986" t="s">
        <v>9517</v>
      </c>
    </row>
    <row r="987" spans="1:29" x14ac:dyDescent="0.3">
      <c r="A987">
        <v>-73.965581909999997</v>
      </c>
      <c r="B987">
        <v>40.767748470000001</v>
      </c>
      <c r="C987" t="s">
        <v>1115</v>
      </c>
      <c r="D987" t="s">
        <v>38</v>
      </c>
      <c r="E987" s="58">
        <v>43385</v>
      </c>
      <c r="F987">
        <v>18</v>
      </c>
      <c r="G987" t="s">
        <v>105</v>
      </c>
      <c r="H987" t="s">
        <v>42</v>
      </c>
      <c r="I987" t="s">
        <v>53</v>
      </c>
      <c r="J987" t="s">
        <v>54</v>
      </c>
      <c r="K987" t="s">
        <v>7359</v>
      </c>
      <c r="L987" t="s">
        <v>65</v>
      </c>
      <c r="M987" t="b">
        <v>0</v>
      </c>
      <c r="N987" t="s">
        <v>190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s">
        <v>5863</v>
      </c>
      <c r="AC987" t="s">
        <v>9518</v>
      </c>
    </row>
    <row r="988" spans="1:29" x14ac:dyDescent="0.3">
      <c r="A988">
        <v>-73.959517399999996</v>
      </c>
      <c r="B988">
        <v>40.790539850000002</v>
      </c>
      <c r="C988" t="s">
        <v>415</v>
      </c>
      <c r="D988" t="s">
        <v>33</v>
      </c>
      <c r="E988" s="58">
        <v>43381</v>
      </c>
      <c r="F988">
        <v>21</v>
      </c>
      <c r="G988" t="s">
        <v>48</v>
      </c>
      <c r="H988" t="s">
        <v>53</v>
      </c>
      <c r="I988" t="s">
        <v>53</v>
      </c>
      <c r="J988" t="s">
        <v>89</v>
      </c>
      <c r="K988" t="s">
        <v>5413</v>
      </c>
      <c r="L988" t="s">
        <v>65</v>
      </c>
      <c r="M988" t="b">
        <v>0</v>
      </c>
      <c r="N988" t="s">
        <v>815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1</v>
      </c>
      <c r="Y988" t="b">
        <v>0</v>
      </c>
      <c r="Z988" t="b">
        <v>1</v>
      </c>
      <c r="AA988" t="b">
        <v>0</v>
      </c>
      <c r="AB988" t="s">
        <v>3258</v>
      </c>
      <c r="AC988" t="s">
        <v>9519</v>
      </c>
    </row>
    <row r="989" spans="1:29" x14ac:dyDescent="0.3">
      <c r="A989">
        <v>-73.967488990000007</v>
      </c>
      <c r="B989">
        <v>40.782389999999999</v>
      </c>
      <c r="C989" t="s">
        <v>343</v>
      </c>
      <c r="D989" t="s">
        <v>33</v>
      </c>
      <c r="E989" s="58">
        <v>43387</v>
      </c>
      <c r="F989">
        <v>22</v>
      </c>
      <c r="G989" t="s">
        <v>105</v>
      </c>
      <c r="H989" t="s">
        <v>42</v>
      </c>
      <c r="I989" t="s">
        <v>53</v>
      </c>
      <c r="J989" t="s">
        <v>79</v>
      </c>
      <c r="K989" t="s">
        <v>1558</v>
      </c>
      <c r="L989" t="s">
        <v>65</v>
      </c>
      <c r="M989" t="b">
        <v>0</v>
      </c>
      <c r="N989" t="s">
        <v>6024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s">
        <v>3910</v>
      </c>
      <c r="AC989" t="s">
        <v>9520</v>
      </c>
    </row>
    <row r="990" spans="1:29" x14ac:dyDescent="0.3">
      <c r="A990">
        <v>-73.973412490000001</v>
      </c>
      <c r="B990">
        <v>40.780291239999997</v>
      </c>
      <c r="C990" t="s">
        <v>218</v>
      </c>
      <c r="D990" t="s">
        <v>33</v>
      </c>
      <c r="E990" s="58">
        <v>43384</v>
      </c>
      <c r="F990">
        <v>21</v>
      </c>
      <c r="G990" t="s">
        <v>48</v>
      </c>
      <c r="H990" t="s">
        <v>53</v>
      </c>
      <c r="I990" t="s">
        <v>176</v>
      </c>
      <c r="J990" t="s">
        <v>43</v>
      </c>
      <c r="K990" t="s">
        <v>6582</v>
      </c>
      <c r="L990" t="s">
        <v>65</v>
      </c>
      <c r="M990" t="b">
        <v>0</v>
      </c>
      <c r="N990" t="s">
        <v>4320</v>
      </c>
      <c r="O990" t="b">
        <v>0</v>
      </c>
      <c r="P990" t="b">
        <v>0</v>
      </c>
      <c r="Q990" t="b">
        <v>1</v>
      </c>
      <c r="R990" t="b">
        <v>1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s">
        <v>630</v>
      </c>
      <c r="AC990" t="s">
        <v>9521</v>
      </c>
    </row>
    <row r="991" spans="1:29" x14ac:dyDescent="0.3">
      <c r="A991">
        <v>-73.955408610000006</v>
      </c>
      <c r="B991">
        <v>40.790595080000003</v>
      </c>
      <c r="C991" t="s">
        <v>1366</v>
      </c>
      <c r="D991" t="s">
        <v>38</v>
      </c>
      <c r="E991" s="58">
        <v>43381</v>
      </c>
      <c r="F991">
        <v>12</v>
      </c>
      <c r="G991" t="s">
        <v>48</v>
      </c>
      <c r="H991" t="s">
        <v>42</v>
      </c>
      <c r="I991" t="s">
        <v>59</v>
      </c>
      <c r="J991" t="s">
        <v>54</v>
      </c>
      <c r="K991" t="s">
        <v>64</v>
      </c>
      <c r="L991" t="s">
        <v>44</v>
      </c>
      <c r="M991">
        <v>8</v>
      </c>
      <c r="N991" t="s">
        <v>6024</v>
      </c>
      <c r="O991" t="b">
        <v>1</v>
      </c>
      <c r="P991" t="b">
        <v>0</v>
      </c>
      <c r="Q991" t="b">
        <v>1</v>
      </c>
      <c r="R991" t="b">
        <v>0</v>
      </c>
      <c r="S991" t="b">
        <v>1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1</v>
      </c>
      <c r="AA991" t="b">
        <v>0</v>
      </c>
      <c r="AB991" t="s">
        <v>101</v>
      </c>
      <c r="AC991" t="s">
        <v>9522</v>
      </c>
    </row>
    <row r="992" spans="1:29" x14ac:dyDescent="0.3">
      <c r="A992">
        <v>-73.956027489999997</v>
      </c>
      <c r="B992">
        <v>40.791862729999998</v>
      </c>
      <c r="C992" t="s">
        <v>607</v>
      </c>
      <c r="D992" t="s">
        <v>33</v>
      </c>
      <c r="E992" s="58">
        <v>43387</v>
      </c>
      <c r="F992">
        <v>18</v>
      </c>
      <c r="G992" t="s">
        <v>48</v>
      </c>
      <c r="H992" t="s">
        <v>42</v>
      </c>
      <c r="I992" t="s">
        <v>96</v>
      </c>
      <c r="J992" t="s">
        <v>79</v>
      </c>
      <c r="K992" t="s">
        <v>2169</v>
      </c>
      <c r="L992" t="s">
        <v>44</v>
      </c>
      <c r="M992">
        <v>30</v>
      </c>
      <c r="N992" t="s">
        <v>3132</v>
      </c>
      <c r="O992" t="b">
        <v>0</v>
      </c>
      <c r="P992" t="b">
        <v>0</v>
      </c>
      <c r="Q992" t="b">
        <v>1</v>
      </c>
      <c r="R992" t="b">
        <v>1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s">
        <v>5988</v>
      </c>
      <c r="AC992" t="s">
        <v>9523</v>
      </c>
    </row>
    <row r="993" spans="1:29" x14ac:dyDescent="0.3">
      <c r="A993">
        <v>-73.959319539999996</v>
      </c>
      <c r="B993">
        <v>40.770505479999997</v>
      </c>
      <c r="C993" t="s">
        <v>933</v>
      </c>
      <c r="D993" t="s">
        <v>33</v>
      </c>
      <c r="E993" s="58">
        <v>43379</v>
      </c>
      <c r="F993">
        <v>30</v>
      </c>
      <c r="G993" t="s">
        <v>48</v>
      </c>
      <c r="H993" t="s">
        <v>42</v>
      </c>
      <c r="I993" t="s">
        <v>59</v>
      </c>
      <c r="J993" t="s">
        <v>34</v>
      </c>
      <c r="K993" t="s">
        <v>1696</v>
      </c>
      <c r="L993" t="s">
        <v>65</v>
      </c>
      <c r="M993" t="b">
        <v>0</v>
      </c>
      <c r="N993" t="s">
        <v>190</v>
      </c>
      <c r="O993" t="b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1</v>
      </c>
      <c r="Z993" t="b">
        <v>0</v>
      </c>
      <c r="AA993" t="b">
        <v>0</v>
      </c>
      <c r="AB993" t="s">
        <v>3446</v>
      </c>
      <c r="AC993" t="s">
        <v>9524</v>
      </c>
    </row>
    <row r="994" spans="1:29" x14ac:dyDescent="0.3">
      <c r="A994">
        <v>-73.972603199999995</v>
      </c>
      <c r="B994">
        <v>40.786395380000002</v>
      </c>
      <c r="C994" t="s">
        <v>1199</v>
      </c>
      <c r="D994" t="s">
        <v>38</v>
      </c>
      <c r="E994" s="58">
        <v>43388</v>
      </c>
      <c r="F994">
        <v>7</v>
      </c>
      <c r="G994" t="s">
        <v>48</v>
      </c>
      <c r="H994" t="s">
        <v>42</v>
      </c>
      <c r="I994" t="s">
        <v>53</v>
      </c>
      <c r="J994" t="s">
        <v>60</v>
      </c>
      <c r="K994" t="s">
        <v>1417</v>
      </c>
      <c r="L994" t="s">
        <v>65</v>
      </c>
      <c r="M994" t="b">
        <v>0</v>
      </c>
      <c r="N994" t="s">
        <v>978</v>
      </c>
      <c r="O994" t="b">
        <v>1</v>
      </c>
      <c r="P994" t="b">
        <v>1</v>
      </c>
      <c r="Q994" t="b">
        <v>0</v>
      </c>
      <c r="R994" t="b">
        <v>1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1</v>
      </c>
      <c r="AA994" t="b">
        <v>0</v>
      </c>
      <c r="AB994" t="s">
        <v>3104</v>
      </c>
      <c r="AC994" t="s">
        <v>9525</v>
      </c>
    </row>
    <row r="995" spans="1:29" x14ac:dyDescent="0.3">
      <c r="A995">
        <v>-73.962603610000002</v>
      </c>
      <c r="B995">
        <v>40.769676189999998</v>
      </c>
      <c r="C995" t="s">
        <v>41</v>
      </c>
      <c r="D995" t="s">
        <v>33</v>
      </c>
      <c r="E995" s="58">
        <v>43381</v>
      </c>
      <c r="F995">
        <v>20</v>
      </c>
      <c r="G995" t="s">
        <v>48</v>
      </c>
      <c r="H995" t="s">
        <v>42</v>
      </c>
      <c r="I995" t="s">
        <v>53</v>
      </c>
      <c r="J995" t="s">
        <v>43</v>
      </c>
      <c r="K995" t="s">
        <v>4814</v>
      </c>
      <c r="L995" t="s">
        <v>44</v>
      </c>
      <c r="M995">
        <v>20</v>
      </c>
      <c r="N995" t="s">
        <v>1359</v>
      </c>
      <c r="O995" t="b">
        <v>0</v>
      </c>
      <c r="P995" t="b">
        <v>0</v>
      </c>
      <c r="Q995" t="b">
        <v>0</v>
      </c>
      <c r="R995" t="b">
        <v>0</v>
      </c>
      <c r="S995" t="b">
        <v>1</v>
      </c>
      <c r="T995" t="b">
        <v>0</v>
      </c>
      <c r="U995" t="b">
        <v>0</v>
      </c>
      <c r="V995" t="b">
        <v>0</v>
      </c>
      <c r="W995" t="b">
        <v>0</v>
      </c>
      <c r="X995" t="b">
        <v>1</v>
      </c>
      <c r="Y995" t="b">
        <v>0</v>
      </c>
      <c r="Z995" t="b">
        <v>1</v>
      </c>
      <c r="AA995" t="b">
        <v>0</v>
      </c>
      <c r="AB995" t="s">
        <v>121</v>
      </c>
      <c r="AC995" t="s">
        <v>9526</v>
      </c>
    </row>
    <row r="996" spans="1:29" x14ac:dyDescent="0.3">
      <c r="A996">
        <v>-73.969810710000004</v>
      </c>
      <c r="B996">
        <v>40.791364969999997</v>
      </c>
      <c r="C996" t="s">
        <v>1232</v>
      </c>
      <c r="D996" t="s">
        <v>33</v>
      </c>
      <c r="E996" s="58">
        <v>43379</v>
      </c>
      <c r="F996">
        <v>24</v>
      </c>
      <c r="G996" t="s">
        <v>48</v>
      </c>
      <c r="H996" t="s">
        <v>53</v>
      </c>
      <c r="I996" t="s">
        <v>59</v>
      </c>
      <c r="J996" t="s">
        <v>43</v>
      </c>
      <c r="K996" t="s">
        <v>2169</v>
      </c>
      <c r="L996" t="s">
        <v>65</v>
      </c>
      <c r="M996" t="b">
        <v>0</v>
      </c>
      <c r="N996" t="s">
        <v>1985</v>
      </c>
      <c r="O996" t="b">
        <v>1</v>
      </c>
      <c r="P996" t="b">
        <v>0</v>
      </c>
      <c r="Q996" t="b">
        <v>1</v>
      </c>
      <c r="R996" t="b">
        <v>1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1</v>
      </c>
      <c r="AA996" t="b">
        <v>0</v>
      </c>
      <c r="AB996" t="s">
        <v>5181</v>
      </c>
      <c r="AC996" t="s">
        <v>9527</v>
      </c>
    </row>
    <row r="997" spans="1:29" x14ac:dyDescent="0.3">
      <c r="A997">
        <v>-73.978279529999995</v>
      </c>
      <c r="B997">
        <v>40.788040649999999</v>
      </c>
      <c r="C997" t="s">
        <v>1525</v>
      </c>
      <c r="D997" t="s">
        <v>33</v>
      </c>
      <c r="E997" s="58">
        <v>43380</v>
      </c>
      <c r="F997">
        <v>23</v>
      </c>
      <c r="G997" t="s">
        <v>48</v>
      </c>
      <c r="H997" t="s">
        <v>53</v>
      </c>
      <c r="I997" t="s">
        <v>59</v>
      </c>
      <c r="J997" t="s">
        <v>43</v>
      </c>
      <c r="K997" t="s">
        <v>2319</v>
      </c>
      <c r="L997" t="s">
        <v>44</v>
      </c>
      <c r="M997">
        <v>30</v>
      </c>
      <c r="N997" t="s">
        <v>6925</v>
      </c>
      <c r="O997" t="b">
        <v>0</v>
      </c>
      <c r="P997" t="b">
        <v>0</v>
      </c>
      <c r="Q997" t="b">
        <v>0</v>
      </c>
      <c r="R997" t="b">
        <v>1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1</v>
      </c>
      <c r="AA997" t="b">
        <v>0</v>
      </c>
      <c r="AB997" t="s">
        <v>2123</v>
      </c>
      <c r="AC997" t="s">
        <v>9528</v>
      </c>
    </row>
    <row r="998" spans="1:29" x14ac:dyDescent="0.3">
      <c r="A998">
        <v>-73.952321170000005</v>
      </c>
      <c r="B998">
        <v>40.798591010000003</v>
      </c>
      <c r="C998" t="s">
        <v>256</v>
      </c>
      <c r="D998" t="s">
        <v>33</v>
      </c>
      <c r="E998" s="58">
        <v>43390</v>
      </c>
      <c r="F998">
        <v>7</v>
      </c>
      <c r="G998" t="s">
        <v>48</v>
      </c>
      <c r="H998" t="s">
        <v>53</v>
      </c>
      <c r="I998" t="s">
        <v>59</v>
      </c>
      <c r="J998" t="s">
        <v>155</v>
      </c>
      <c r="K998" t="s">
        <v>700</v>
      </c>
      <c r="L998" t="s">
        <v>44</v>
      </c>
      <c r="M998">
        <v>4</v>
      </c>
      <c r="N998" t="s">
        <v>456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1</v>
      </c>
      <c r="AA998" t="b">
        <v>1</v>
      </c>
      <c r="AB998" t="s">
        <v>5656</v>
      </c>
      <c r="AC998" t="s">
        <v>9529</v>
      </c>
    </row>
    <row r="999" spans="1:29" x14ac:dyDescent="0.3">
      <c r="A999">
        <v>-73.976857440000003</v>
      </c>
      <c r="B999">
        <v>40.767338530000004</v>
      </c>
      <c r="C999" t="s">
        <v>183</v>
      </c>
      <c r="D999" t="s">
        <v>33</v>
      </c>
      <c r="E999" s="58">
        <v>43386</v>
      </c>
      <c r="F999">
        <v>9</v>
      </c>
      <c r="G999" t="s">
        <v>48</v>
      </c>
      <c r="H999" t="s">
        <v>42</v>
      </c>
      <c r="I999" t="s">
        <v>53</v>
      </c>
      <c r="J999" t="s">
        <v>60</v>
      </c>
      <c r="K999" t="s">
        <v>1381</v>
      </c>
      <c r="L999" t="s">
        <v>65</v>
      </c>
      <c r="M999" t="b">
        <v>0</v>
      </c>
      <c r="N999" t="s">
        <v>742</v>
      </c>
      <c r="O999" t="b">
        <v>1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1</v>
      </c>
      <c r="AA999" t="b">
        <v>0</v>
      </c>
      <c r="AB999" t="s">
        <v>7150</v>
      </c>
      <c r="AC999" t="s">
        <v>9530</v>
      </c>
    </row>
    <row r="1000" spans="1:29" x14ac:dyDescent="0.3">
      <c r="A1000">
        <v>-73.951286150000001</v>
      </c>
      <c r="B1000">
        <v>40.766919440000002</v>
      </c>
      <c r="C1000" t="s">
        <v>1780</v>
      </c>
      <c r="D1000" t="s">
        <v>33</v>
      </c>
      <c r="E1000" s="58">
        <v>43385</v>
      </c>
      <c r="F1000">
        <v>1</v>
      </c>
      <c r="G1000" t="s">
        <v>48</v>
      </c>
      <c r="H1000" t="s">
        <v>42</v>
      </c>
      <c r="I1000" t="s">
        <v>115</v>
      </c>
      <c r="J1000" t="s">
        <v>97</v>
      </c>
      <c r="K1000" t="s">
        <v>2973</v>
      </c>
      <c r="L1000" t="s">
        <v>44</v>
      </c>
      <c r="M1000">
        <v>4</v>
      </c>
      <c r="N1000" t="s">
        <v>4876</v>
      </c>
      <c r="O1000" t="b">
        <v>0</v>
      </c>
      <c r="P1000" t="b">
        <v>0</v>
      </c>
      <c r="Q1000" t="b">
        <v>1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1</v>
      </c>
      <c r="AA1000" t="b">
        <v>0</v>
      </c>
      <c r="AB1000" t="s">
        <v>6963</v>
      </c>
      <c r="AC1000" t="s">
        <v>9531</v>
      </c>
    </row>
    <row r="1001" spans="1:29" x14ac:dyDescent="0.3">
      <c r="A1001">
        <v>-73.967137579999999</v>
      </c>
      <c r="B1001">
        <v>40.77484587</v>
      </c>
      <c r="C1001" t="s">
        <v>2053</v>
      </c>
      <c r="D1001" t="s">
        <v>33</v>
      </c>
      <c r="E1001" s="58">
        <v>43380</v>
      </c>
      <c r="F1001">
        <v>26</v>
      </c>
      <c r="G1001" t="s">
        <v>48</v>
      </c>
      <c r="H1001" t="s">
        <v>42</v>
      </c>
      <c r="I1001" t="s">
        <v>53</v>
      </c>
      <c r="J1001" t="s">
        <v>54</v>
      </c>
      <c r="K1001" t="s">
        <v>442</v>
      </c>
      <c r="L1001" t="s">
        <v>44</v>
      </c>
      <c r="M1001">
        <v>6</v>
      </c>
      <c r="N1001" t="s">
        <v>6814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s">
        <v>5733</v>
      </c>
      <c r="AC1001" t="s">
        <v>9532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Comparison</vt:lpstr>
      <vt:lpstr>Profile</vt:lpstr>
      <vt:lpstr>Fake Profile</vt:lpstr>
      <vt:lpstr>Empirical Random Profile</vt:lpstr>
      <vt:lpstr>Squirrel_Data</vt:lpstr>
      <vt:lpstr>Fake_Squirrel_Data</vt:lpstr>
      <vt:lpstr>Empirical_Random_Squirrel_Data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Ganz</dc:creator>
  <cp:lastModifiedBy>Shawn Ganz</cp:lastModifiedBy>
  <dcterms:created xsi:type="dcterms:W3CDTF">2026-06-20T16:57:34Z</dcterms:created>
  <dcterms:modified xsi:type="dcterms:W3CDTF">2026-06-20T21:39:11Z</dcterms:modified>
</cp:coreProperties>
</file>